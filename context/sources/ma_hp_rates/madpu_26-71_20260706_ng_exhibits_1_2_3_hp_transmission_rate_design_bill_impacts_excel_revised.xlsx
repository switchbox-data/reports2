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26 meco\26-71 Heat Pump Transmission Rate Proposal\filing documents\"/>
    </mc:Choice>
  </mc:AlternateContent>
  <xr:revisionPtr revIDLastSave="0" documentId="13_ncr:1_{73215261-A850-4241-8A6B-8126D1E91A88}" xr6:coauthVersionLast="47" xr6:coauthVersionMax="47" xr10:uidLastSave="{00000000-0000-0000-0000-000000000000}"/>
  <bookViews>
    <workbookView xWindow="-93" yWindow="-93" windowWidth="25786" windowHeight="15466" activeTab="9" xr2:uid="{D339B27C-ED58-42D5-9DAF-266AAA3B945D}"/>
  </bookViews>
  <sheets>
    <sheet name="Exhibit 1, Page 1" sheetId="17" r:id="rId1"/>
    <sheet name="Exhibit 1, Page 2" sheetId="19" r:id="rId2"/>
    <sheet name="Exhibit 2, Page 1" sheetId="12" r:id="rId3"/>
    <sheet name="Exhibit 2, Page 2" sheetId="13" r:id="rId4"/>
    <sheet name="Exhibit 2, Page 3" sheetId="14" r:id="rId5"/>
    <sheet name="Exhibit 2, Page 4" sheetId="15" r:id="rId6"/>
    <sheet name="Exhibit 3, Page 1" sheetId="24" r:id="rId7"/>
    <sheet name="Exhibit 3, Page 2" sheetId="25" r:id="rId8"/>
    <sheet name="Exhibit 3, Page 3" sheetId="26" r:id="rId9"/>
    <sheet name="Exhibit 3, Page 4" sheetId="2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\A">#REF!</definedName>
    <definedName name="\B">'[1]My Worksheet'!#REF!</definedName>
    <definedName name="\C">#REF!</definedName>
    <definedName name="\D">#REF!</definedName>
    <definedName name="\E">#REF!</definedName>
    <definedName name="\F">[2]LIIncSt!#REF!</definedName>
    <definedName name="\G">[2]LIIncSt!#REF!</definedName>
    <definedName name="\H">[2]LIIncSt!#REF!</definedName>
    <definedName name="\I">#REF!</definedName>
    <definedName name="\K">'[3]PAGE 7'!#REF!</definedName>
    <definedName name="\L">[2]LIIncSt!#REF!</definedName>
    <definedName name="\M">#REF!</definedName>
    <definedName name="\N">#REF!</definedName>
    <definedName name="\O">#REF!</definedName>
    <definedName name="\P">#REF!</definedName>
    <definedName name="\Q">[2]LIIncSt!#REF!</definedName>
    <definedName name="\R">#REF!</definedName>
    <definedName name="\S">#REF!</definedName>
    <definedName name="\T">#REF!</definedName>
    <definedName name="\V">'[4]Var. Anal.'!#REF!</definedName>
    <definedName name="\W">#REF!</definedName>
    <definedName name="\Z">#REF!</definedName>
    <definedName name="______BUV2">'[5]FYTD 12 Gas'!$E$346</definedName>
    <definedName name="______SEG2">'[5]FYTD 12 Gas'!$B$347</definedName>
    <definedName name="_____BUV2">'[5]FYTD 12 Elec '!$E$386</definedName>
    <definedName name="_____FYR10">#REF!</definedName>
    <definedName name="_____FYR11">#REF!</definedName>
    <definedName name="_____FYR12">#REF!</definedName>
    <definedName name="_____FYR2">#REF!</definedName>
    <definedName name="_____FYR3">#REF!</definedName>
    <definedName name="_____FYR4">#REF!</definedName>
    <definedName name="_____FYR5">#REF!</definedName>
    <definedName name="_____FYR6">#REF!</definedName>
    <definedName name="_____FYR7">#REF!</definedName>
    <definedName name="_____FYR8">#REF!</definedName>
    <definedName name="_____FYR9">#REF!</definedName>
    <definedName name="_____PC1">#REF!</definedName>
    <definedName name="_____PC10">#REF!</definedName>
    <definedName name="_____PC11">#REF!</definedName>
    <definedName name="_____PC12">#REF!</definedName>
    <definedName name="_____PC2">#REF!</definedName>
    <definedName name="_____PC3">#REF!</definedName>
    <definedName name="_____PC4">#REF!</definedName>
    <definedName name="_____PC5">#REF!</definedName>
    <definedName name="_____PC6">#REF!</definedName>
    <definedName name="_____PC7">#REF!</definedName>
    <definedName name="_____PC8">#REF!</definedName>
    <definedName name="_____PC9">#REF!</definedName>
    <definedName name="_____PER1">#REF!</definedName>
    <definedName name="_____PER10">#REF!</definedName>
    <definedName name="_____PER11">#REF!</definedName>
    <definedName name="_____PER12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SEG2">'[5]FYTD 12 Elec '!$B$387</definedName>
    <definedName name="____BUV2">#REF!</definedName>
    <definedName name="____FYR10">#REF!</definedName>
    <definedName name="____FYR11">#REF!</definedName>
    <definedName name="____FYR12">#REF!</definedName>
    <definedName name="____FYR2">#REF!</definedName>
    <definedName name="____FYR3">#REF!</definedName>
    <definedName name="____FYR4">#REF!</definedName>
    <definedName name="____FYR5">#REF!</definedName>
    <definedName name="____FYR6">#REF!</definedName>
    <definedName name="____FYR7">#REF!</definedName>
    <definedName name="____FYR8">#REF!</definedName>
    <definedName name="____FYR9">#REF!</definedName>
    <definedName name="____PC1">#REF!</definedName>
    <definedName name="____PC10">#REF!</definedName>
    <definedName name="____PC11">#REF!</definedName>
    <definedName name="____PC12">#REF!</definedName>
    <definedName name="____PC2">#REF!</definedName>
    <definedName name="____PC3">#REF!</definedName>
    <definedName name="____PC4">#REF!</definedName>
    <definedName name="____PC5">#REF!</definedName>
    <definedName name="____PC6">#REF!</definedName>
    <definedName name="____PC7">#REF!</definedName>
    <definedName name="____PC8">#REF!</definedName>
    <definedName name="____PC9">#REF!</definedName>
    <definedName name="____PER1">#REF!</definedName>
    <definedName name="____PER10">#REF!</definedName>
    <definedName name="____PER11">#REF!</definedName>
    <definedName name="____PER12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SEG2">#REF!</definedName>
    <definedName name="____Yr1">#REF!</definedName>
    <definedName name="___2A">#REF!</definedName>
    <definedName name="___BUV2">#REF!</definedName>
    <definedName name="___C">#REF!</definedName>
    <definedName name="___CO1">#REF!</definedName>
    <definedName name="___CO2">#REF!</definedName>
    <definedName name="___EXH1">#REF!</definedName>
    <definedName name="___FYR10">#REF!</definedName>
    <definedName name="___FYR11">#REF!</definedName>
    <definedName name="___FYR12">#REF!</definedName>
    <definedName name="___FYR2">#REF!</definedName>
    <definedName name="___FYR3">#REF!</definedName>
    <definedName name="___FYR4">#REF!</definedName>
    <definedName name="___FYR5">#REF!</definedName>
    <definedName name="___FYR6">#REF!</definedName>
    <definedName name="___FYR7">#REF!</definedName>
    <definedName name="___FYR8">#REF!</definedName>
    <definedName name="___FYR9">#REF!</definedName>
    <definedName name="___PC1">#REF!</definedName>
    <definedName name="___PC10">#REF!</definedName>
    <definedName name="___PC11">#REF!</definedName>
    <definedName name="___PC12">#REF!</definedName>
    <definedName name="___PC2">#REF!</definedName>
    <definedName name="___PC3">#REF!</definedName>
    <definedName name="___PC4">#REF!</definedName>
    <definedName name="___PC5">#REF!</definedName>
    <definedName name="___PC6">#REF!</definedName>
    <definedName name="___PC7">#REF!</definedName>
    <definedName name="___PC8">#REF!</definedName>
    <definedName name="___PC9">#REF!</definedName>
    <definedName name="___PER1">#REF!</definedName>
    <definedName name="___PER10">#REF!</definedName>
    <definedName name="___PER11">#REF!</definedName>
    <definedName name="___PER12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I1">#REF!</definedName>
    <definedName name="___PGI10">#REF!</definedName>
    <definedName name="___PGI11">#REF!</definedName>
    <definedName name="___PGI2">#REF!</definedName>
    <definedName name="___PGI3">#REF!</definedName>
    <definedName name="___PGI4">#REF!</definedName>
    <definedName name="___PGI5">#REF!</definedName>
    <definedName name="___PGI6">#REF!</definedName>
    <definedName name="___PGI7">#REF!</definedName>
    <definedName name="___PGI8">#REF!</definedName>
    <definedName name="___PGI9">#REF!</definedName>
    <definedName name="___qtr1">[6]FY2000!$BS$70:$CF$119</definedName>
    <definedName name="___qtr2">[6]FY2000!$BS$122:$CF$172</definedName>
    <definedName name="___SEG2">#REF!</definedName>
    <definedName name="__123Graph_A" localSheetId="1" hidden="1">#REF!</definedName>
    <definedName name="__123Graph_A" hidden="1">#REF!</definedName>
    <definedName name="__123Graph_ACITYGATE" hidden="1">[7]A!$D$246:$J$246</definedName>
    <definedName name="__123Graph_ACNG" hidden="1">[7]A!$D$434:$J$434</definedName>
    <definedName name="__123Graph_AGRAPH2" hidden="1">[7]A!$BB$258:$BB$264</definedName>
    <definedName name="__123Graph_AMARGIN" hidden="1">[7]A!$D$385:$K$385</definedName>
    <definedName name="__123Graph_AMINBD" hidden="1">[7]A!$D$241:$K$241</definedName>
    <definedName name="__123Graph_AMINTAKE" hidden="1">[7]A!$D$381:$K$381</definedName>
    <definedName name="__123Graph_ASTORE" hidden="1">[7]A!$D$276:$K$276</definedName>
    <definedName name="__123Graph_ASTOREBD" hidden="1">[7]A!$D$431:$J$431</definedName>
    <definedName name="__123Graph_ATENN" hidden="1">[7]A!$D$433:$J$433</definedName>
    <definedName name="__123Graph_ATETCO" hidden="1">[7]A!$D$432:$J$432</definedName>
    <definedName name="__123Graph_ATOTAL" hidden="1">[7]A!$O$264:$V$264</definedName>
    <definedName name="__123Graph_ATRANSCO" hidden="1">[7]A!$D$431:$J$431</definedName>
    <definedName name="__123Graph_B" hidden="1">[7]A!$BC$258:$BC$264</definedName>
    <definedName name="__123Graph_BCITYGATE" hidden="1">[7]A!$D$247:$J$247</definedName>
    <definedName name="__123Graph_BCNG" hidden="1">[7]A!$N$440:$T$440</definedName>
    <definedName name="__123Graph_BGRAPH2" hidden="1">[7]A!$BC$258:$BC$264</definedName>
    <definedName name="__123Graph_BSTOREBD" hidden="1">[7]A!$D$432:$J$432</definedName>
    <definedName name="__123Graph_BTENN" hidden="1">[7]A!$N$439:$T$439</definedName>
    <definedName name="__123Graph_BTETCO" hidden="1">[7]A!$N$438:$T$438</definedName>
    <definedName name="__123Graph_BTOTAL" hidden="1">[7]A!$D$276:$K$276</definedName>
    <definedName name="__123Graph_BTRANSCO" hidden="1">[7]A!$N$437:$T$437</definedName>
    <definedName name="__123Graph_C" hidden="1">[7]A!$BD$258:$BD$264</definedName>
    <definedName name="__123Graph_CCITYGATE" hidden="1">[7]A!$D$248:$J$248</definedName>
    <definedName name="__123Graph_CGRAPH2" hidden="1">[7]A!$BD$258:$BD$264</definedName>
    <definedName name="__123Graph_CMINBD" hidden="1">[7]A!$D$240:$K$240</definedName>
    <definedName name="__123Graph_CSTOREBD" hidden="1">[7]A!$D$433:$J$433</definedName>
    <definedName name="__123Graph_DCITYGATE" hidden="1">[7]A!$O$259:$U$259</definedName>
    <definedName name="__123Graph_DSTOREBD" hidden="1">[7]A!$D$434:$J$434</definedName>
    <definedName name="__123Graph_ECITYGATE" hidden="1">[7]A!$O$260:$U$260</definedName>
    <definedName name="__123Graph_X" hidden="1">[7]A!$BA$258:$BA$264</definedName>
    <definedName name="__123Graph_XCITYGATE" hidden="1">[7]A!$D$244:$J$244</definedName>
    <definedName name="__123Graph_XCNG" hidden="1">[7]A!$D$244:$J$244</definedName>
    <definedName name="__123Graph_XGRAPH2" hidden="1">[7]A!$BA$258:$BA$264</definedName>
    <definedName name="__123Graph_XMARGIN" hidden="1">[7]A!$D$244:$K$244</definedName>
    <definedName name="__123Graph_XMINBD" hidden="1">[7]A!$D$244:$K$244</definedName>
    <definedName name="__123Graph_XMINTAKE" hidden="1">[7]A!$D$244:$K$244</definedName>
    <definedName name="__123Graph_XSTORE" hidden="1">[7]A!$D$244:$K$244</definedName>
    <definedName name="__123Graph_XSTOREBD" hidden="1">[7]A!$D$244:$J$244</definedName>
    <definedName name="__123Graph_XTENN" hidden="1">[7]A!$D$244:$J$244</definedName>
    <definedName name="__123Graph_XTETCO" hidden="1">[7]A!$D$244:$J$244</definedName>
    <definedName name="__123Graph_XTOTAL" hidden="1">[7]A!$D$244:$K$244</definedName>
    <definedName name="__123Graph_XTRANSCO" hidden="1">[7]A!$D$244:$J$244</definedName>
    <definedName name="__2A">#REF!</definedName>
    <definedName name="__AMY1">#REF!</definedName>
    <definedName name="__BUV2">#REF!</definedName>
    <definedName name="__C">#REF!</definedName>
    <definedName name="__CO1">#REF!</definedName>
    <definedName name="__CO2">#REF!</definedName>
    <definedName name="__EXH1">#REF!</definedName>
    <definedName name="__FYR10">#REF!</definedName>
    <definedName name="__FYR11">#REF!</definedName>
    <definedName name="__FYR12">#REF!</definedName>
    <definedName name="__FYR2">#REF!</definedName>
    <definedName name="__FYR3">#REF!</definedName>
    <definedName name="__FYR4">#REF!</definedName>
    <definedName name="__FYR5">#REF!</definedName>
    <definedName name="__FYR6">#REF!</definedName>
    <definedName name="__FYR7">#REF!</definedName>
    <definedName name="__FYR8">#REF!</definedName>
    <definedName name="__FYR9">#REF!</definedName>
    <definedName name="__PC1">#REF!</definedName>
    <definedName name="__PC10">#REF!</definedName>
    <definedName name="__PC11">#REF!</definedName>
    <definedName name="__PC12">#REF!</definedName>
    <definedName name="__PC2">#REF!</definedName>
    <definedName name="__PC3">#REF!</definedName>
    <definedName name="__PC4">#REF!</definedName>
    <definedName name="__PC5">#REF!</definedName>
    <definedName name="__PC6">#REF!</definedName>
    <definedName name="__PC7">#REF!</definedName>
    <definedName name="__PC8">#REF!</definedName>
    <definedName name="__PC9">#REF!</definedName>
    <definedName name="__PER1">#REF!</definedName>
    <definedName name="__PER10">#REF!</definedName>
    <definedName name="__PER11">#REF!</definedName>
    <definedName name="__PER12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I1">#REF!</definedName>
    <definedName name="__PGI10">#REF!</definedName>
    <definedName name="__PGI11">#REF!</definedName>
    <definedName name="__PGI2">#REF!</definedName>
    <definedName name="__PGI3">#REF!</definedName>
    <definedName name="__PGI4">#REF!</definedName>
    <definedName name="__PGI5">#REF!</definedName>
    <definedName name="__PGI6">#REF!</definedName>
    <definedName name="__PGI7">#REF!</definedName>
    <definedName name="__PGI8">#REF!</definedName>
    <definedName name="__PGI9">#REF!</definedName>
    <definedName name="__qtr1">[6]FY2000!$BS$70:$CF$119</definedName>
    <definedName name="__qtr2">[6]FY2000!$BS$122:$CF$172</definedName>
    <definedName name="__SEG2">#REF!</definedName>
    <definedName name="__SUM3">#REF!</definedName>
    <definedName name="__Yr1">#REF!</definedName>
    <definedName name="_00301_PS">#REF!</definedName>
    <definedName name="_1__123Graph_ACHART_1" localSheetId="1" hidden="1">[8]TME11_2010!#REF!</definedName>
    <definedName name="_1__123Graph_ACHART_1" hidden="1">[8]TME11_2010!#REF!</definedName>
    <definedName name="_1_2A">#REF!</definedName>
    <definedName name="_10YR">#REF!</definedName>
    <definedName name="_12__123Graph_CCHART_1" localSheetId="1" hidden="1">[8]TME11_2010!#REF!</definedName>
    <definedName name="_12__123Graph_CCHART_1" hidden="1">[8]TME11_2010!#REF!</definedName>
    <definedName name="_15YR">#REF!</definedName>
    <definedName name="_16__123Graph_XCHART_1" hidden="1">[8]TME11_2010!#REF!</definedName>
    <definedName name="_18__123Graph_BCHART_1" hidden="1">[8]TME11_2010!#REF!</definedName>
    <definedName name="_1A">#REF!</definedName>
    <definedName name="_1ACCESS_RECON">'[9]Basic-Default'!#REF!</definedName>
    <definedName name="_1B">#REF!</definedName>
    <definedName name="_1塅Ep_rates___________Ş________耀_____top_rmsሻ__________ş________耀_____to">#REF!</definedName>
    <definedName name="_2__123Graph_ACHART_1" hidden="1">[8]TME11_2010!#REF!</definedName>
    <definedName name="_2__123Graph_BCHART_1" hidden="1">[8]TME11_2010!#REF!</definedName>
    <definedName name="_2_2A">#REF!</definedName>
    <definedName name="_27__123Graph_CCHART_1" hidden="1">[8]TME11_2010!#REF!</definedName>
    <definedName name="_2A">#REF!</definedName>
    <definedName name="_2A_G">#REF!</definedName>
    <definedName name="_2PAGE_3">#REF!</definedName>
    <definedName name="_3__123Graph_CCHART_1" hidden="1">[8]TME11_2010!#REF!</definedName>
    <definedName name="_36__123Graph_XCHART_1" hidden="1">[8]TME11_2010!#REF!</definedName>
    <definedName name="_3PREPARED_BY">'[10]Start Balance'!$C$15</definedName>
    <definedName name="_4__123Graph_ACHART_1" hidden="1">[8]TME11_2010!#REF!</definedName>
    <definedName name="_4__123Graph_BCHART_1" hidden="1">[8]TME11_2010!#REF!</definedName>
    <definedName name="_4__123Graph_XCHART_1" hidden="1">[8]TME11_2010!#REF!</definedName>
    <definedName name="_4_7_14">#REF!</definedName>
    <definedName name="_4A">#REF!</definedName>
    <definedName name="_4A_G">#REF!</definedName>
    <definedName name="_4B">#REF!</definedName>
    <definedName name="_4TRANS_RECON">[11]trans!#REF!</definedName>
    <definedName name="_6__123Graph_CCHART_1" hidden="1">[8]TME11_2010!#REF!</definedName>
    <definedName name="_6B">#REF!</definedName>
    <definedName name="_7">#REF!</definedName>
    <definedName name="_8__123Graph_BCHART_1" hidden="1">[8]TME11_2010!#REF!</definedName>
    <definedName name="_8__123Graph_XCHART_1" hidden="1">[8]TME11_2010!#REF!</definedName>
    <definedName name="_9__123Graph_ACHART_1" hidden="1">[8]TME11_2010!#REF!</definedName>
    <definedName name="_94AVGUSE">#REF!</definedName>
    <definedName name="_94CUST">#REF!</definedName>
    <definedName name="_94NORMAR">#REF!</definedName>
    <definedName name="_94NORMARNOCC">#REF!</definedName>
    <definedName name="_94NORVOL">#REF!</definedName>
    <definedName name="_94RTNOCC">#REF!</definedName>
    <definedName name="_94RTWCC">#REF!</definedName>
    <definedName name="_94WTHRT">#REF!</definedName>
    <definedName name="_95AVGUSE">#REF!</definedName>
    <definedName name="_95BDAY">#REF!</definedName>
    <definedName name="_95BDAYRTCL">#REF!</definedName>
    <definedName name="_95CUST">#REF!</definedName>
    <definedName name="_95NORMAR">#REF!</definedName>
    <definedName name="_95NORMARNOCC">#REF!</definedName>
    <definedName name="_95NORVOL">#REF!</definedName>
    <definedName name="_95RTNOCC">#REF!</definedName>
    <definedName name="_95RTWCC">#REF!</definedName>
    <definedName name="_96BDAY">#REF!</definedName>
    <definedName name="_96BDAYRTCL">#REF!</definedName>
    <definedName name="_97VOL">#REF!</definedName>
    <definedName name="_AMY1">#REF!</definedName>
    <definedName name="_BDD0111">#REF!</definedName>
    <definedName name="_BDD0311">#REF!</definedName>
    <definedName name="_BDD0411">#REF!</definedName>
    <definedName name="_BDD0509">#REF!</definedName>
    <definedName name="_BDD0511">#REF!</definedName>
    <definedName name="_BDD0611">#REF!</definedName>
    <definedName name="_BDD0811">[12]BDD1211!$A$1:$M$27</definedName>
    <definedName name="_BUN2">#REF!</definedName>
    <definedName name="_BUV2">#REF!</definedName>
    <definedName name="_C">#REF!</definedName>
    <definedName name="_Cat1">#REF!</definedName>
    <definedName name="_CGP1">'[13]Page 1-Peak'!$A$4:$I$30</definedName>
    <definedName name="_CGP10">'[13]Page 10'!$A$4:$J$38</definedName>
    <definedName name="_CGP11">'[13]Page 11'!$A$4:$K$37</definedName>
    <definedName name="_CGP12">#REF!</definedName>
    <definedName name="_CGP13">'[13]Page 14'!$A$4:$G$32</definedName>
    <definedName name="_CGP14">'[13]Page 15'!$A$4:$K$23</definedName>
    <definedName name="_CGP16">'[13]Page 17'!$A$8:$S$69</definedName>
    <definedName name="_CGP17">'[13]Page 18'!$A$2:$R$48</definedName>
    <definedName name="_CGP18">'[13]Page 19'!$A$5:$O$34</definedName>
    <definedName name="_CGP19">'[13]Page 20'!$A$3:$R$11</definedName>
    <definedName name="_CGP2">'[13]Page 2'!$A$4:$I$42</definedName>
    <definedName name="_CGP20">'[13]Page 21'!$B$7:$R$18</definedName>
    <definedName name="_CGP21">'[13]Page 22'!$A$3:$R$14</definedName>
    <definedName name="_CGP22">'[13]Page 23'!$B$4:$F$64</definedName>
    <definedName name="_CGP23">#REF!</definedName>
    <definedName name="_CGP24">#REF!</definedName>
    <definedName name="_CGP3">'[13]Page 3'!$A$4:$I$40</definedName>
    <definedName name="_CGP4">#REF!</definedName>
    <definedName name="_CGP5">'[14]Page 5'!#REF!</definedName>
    <definedName name="_CGP6">#REF!</definedName>
    <definedName name="_CGP7">'[13]Page 6'!$A$1:$E$52</definedName>
    <definedName name="_CGP8">'[13]Page 7'!$A$1:$G$54</definedName>
    <definedName name="_CGP9">'[13]Page 9'!$A$1:$I$48</definedName>
    <definedName name="_CNG1">#REF!</definedName>
    <definedName name="_CNG5">[15]CNG!#REF!</definedName>
    <definedName name="_CO1">#REF!</definedName>
    <definedName name="_CO2">#REF!</definedName>
    <definedName name="_Co49">'[16]Liabilities Rec List'!#REF!</definedName>
    <definedName name="_ex3">[17]NY_FSO!#REF!</definedName>
    <definedName name="_ex4">[17]NY_HDD!#REF!</definedName>
    <definedName name="_EXH1">#REF!</definedName>
    <definedName name="_Fill" localSheetId="1" hidden="1">#REF!</definedName>
    <definedName name="_Fill" hidden="1">#REF!</definedName>
    <definedName name="_FIT1">'[2]LISIT-FIT'!#REF!</definedName>
    <definedName name="_FYR10">#REF!</definedName>
    <definedName name="_FYR11">#REF!</definedName>
    <definedName name="_FYR12">#REF!</definedName>
    <definedName name="_FYR2">#REF!</definedName>
    <definedName name="_FYR3">#REF!</definedName>
    <definedName name="_FYR4">#REF!</definedName>
    <definedName name="_FYR5">#REF!</definedName>
    <definedName name="_FYR6">#REF!</definedName>
    <definedName name="_FYR7">#REF!</definedName>
    <definedName name="_FYR8">#REF!</definedName>
    <definedName name="_FYR9">#REF!</definedName>
    <definedName name="_JE903">#REF!</definedName>
    <definedName name="_Key1" localSheetId="1" hidden="1">#REF!</definedName>
    <definedName name="_Key1" hidden="1">#REF!</definedName>
    <definedName name="_KEY2">#REF!</definedName>
    <definedName name="_KEY3">#REF!</definedName>
    <definedName name="_KEY4">#REF!</definedName>
    <definedName name="_LDP1">'[13]LDAC Page 1'!$A$4:$U$18</definedName>
    <definedName name="_LDP10">'[14]LDAC Page 11'!#REF!</definedName>
    <definedName name="_LDP2">'[13]LDAC Page 2'!$A$4:$E$25</definedName>
    <definedName name="_LDP3">'[13]LDAC Page 3'!$A$3:$E$28</definedName>
    <definedName name="_LDP4">#REF!</definedName>
    <definedName name="_LDP5">#REF!</definedName>
    <definedName name="_LDP6">'[13]LDAC Page 7'!$A$5:$E$48</definedName>
    <definedName name="_LDP7">'[13]LDAC Page 8'!$A$22:$E$35</definedName>
    <definedName name="_LDP8">'[13]LDAC Page 9'!$B$7:$R$23</definedName>
    <definedName name="_LDP9">'[13]LDAC Page 10'!$A$3:$E$91</definedName>
    <definedName name="_M">#REF!</definedName>
    <definedName name="_Mar1" localSheetId="1" hidden="1">[18]Apr!#REF!</definedName>
    <definedName name="_Mar1" hidden="1">[18]Apr!#REF!</definedName>
    <definedName name="_MSG1">#REF!</definedName>
    <definedName name="_MSG4">#REF!</definedName>
    <definedName name="_NH12">[19]Market!#REF!</definedName>
    <definedName name="_NH2">[19]Market!#REF!</definedName>
    <definedName name="_NH3">[19]Market!#REF!</definedName>
    <definedName name="_NH5">[19]Market!#REF!</definedName>
    <definedName name="_NH6">[19]Market!#REF!</definedName>
    <definedName name="_NH7">[19]Market!#REF!</definedName>
    <definedName name="_NH8">[19]Market!#REF!</definedName>
    <definedName name="_NH9">[19]Market!#REF!</definedName>
    <definedName name="_nm2008">#REF!</definedName>
    <definedName name="_nm2009">#REF!</definedName>
    <definedName name="_OPP1">#REF!</definedName>
    <definedName name="_opp2">#REF!</definedName>
    <definedName name="_Order1" hidden="1">255</definedName>
    <definedName name="_Order2" hidden="1">0</definedName>
    <definedName name="_org1">#REF!</definedName>
    <definedName name="_org2">#REF!</definedName>
    <definedName name="_P">#REF!</definedName>
    <definedName name="_PC1">#REF!</definedName>
    <definedName name="_PC10">#REF!</definedName>
    <definedName name="_PC11">#REF!</definedName>
    <definedName name="_PC12">#REF!</definedName>
    <definedName name="_PC2">#REF!</definedName>
    <definedName name="_PC3">#REF!</definedName>
    <definedName name="_PC4">#REF!</definedName>
    <definedName name="_PC5">#REF!</definedName>
    <definedName name="_PC6">#REF!</definedName>
    <definedName name="_PC7">#REF!</definedName>
    <definedName name="_PC8">#REF!</definedName>
    <definedName name="_PC9">#REF!</definedName>
    <definedName name="_PER1">#REF!</definedName>
    <definedName name="_PER10">#REF!</definedName>
    <definedName name="_PER11">#REF!</definedName>
    <definedName name="_PER12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G1">'[20]1'!#REF!</definedName>
    <definedName name="_PG18">#REF!</definedName>
    <definedName name="_PG24">#REF!</definedName>
    <definedName name="_PG25">#REF!</definedName>
    <definedName name="_PG63">#REF!</definedName>
    <definedName name="_PG72">#REF!</definedName>
    <definedName name="_PG7277">#REF!</definedName>
    <definedName name="_PG73">#REF!</definedName>
    <definedName name="_PG74">#REF!</definedName>
    <definedName name="_PG75">#REF!</definedName>
    <definedName name="_PG76">#REF!</definedName>
    <definedName name="_PG77">#REF!</definedName>
    <definedName name="_PG83">#REF!</definedName>
    <definedName name="_PG84">#REF!</definedName>
    <definedName name="_PG85">#REF!</definedName>
    <definedName name="_PG89">#REF!</definedName>
    <definedName name="_PG90">#REF!</definedName>
    <definedName name="_PG91">#REF!</definedName>
    <definedName name="_PG92">#REF!</definedName>
    <definedName name="_PGI1">#REF!</definedName>
    <definedName name="_PGI10">#REF!</definedName>
    <definedName name="_PGI11">#REF!</definedName>
    <definedName name="_PGI2">#REF!</definedName>
    <definedName name="_PGI3">#REF!</definedName>
    <definedName name="_PGI4">#REF!</definedName>
    <definedName name="_PGI5">#REF!</definedName>
    <definedName name="_PGI6">#REF!</definedName>
    <definedName name="_PGI7">#REF!</definedName>
    <definedName name="_PGI8">#REF!</definedName>
    <definedName name="_PGI9">#REF!</definedName>
    <definedName name="_qtr1">[6]FY2000!$BS$70:$CF$119</definedName>
    <definedName name="_qtr2">[6]FY2000!$BS$122:$CF$172</definedName>
    <definedName name="_qtr3">#REF!</definedName>
    <definedName name="_qtr4">#REF!</definedName>
    <definedName name="_R1OLDCC">'[21]Rate Table'!#REF!</definedName>
    <definedName name="_R1OLDCCOP">'[21]Rate Table'!#REF!</definedName>
    <definedName name="_R1OLDOPHB">'[21]Rate Table'!#REF!</definedName>
    <definedName name="_R1OLDOPTB">'[21]Rate Table'!#REF!</definedName>
    <definedName name="_R1OLDPHB">'[21]Rate Table'!#REF!</definedName>
    <definedName name="_R1OLDPTB">'[21]Rate Table'!#REF!</definedName>
    <definedName name="_R2OLDCC">'[21]Rate Table'!#REF!</definedName>
    <definedName name="_R2OLDCCOP">'[21]Rate Table'!#REF!</definedName>
    <definedName name="_R2OLDOPHB">'[21]Rate Table'!#REF!</definedName>
    <definedName name="_R2OLDOPTB">'[21]Rate Table'!#REF!</definedName>
    <definedName name="_R2OLDPHB">'[21]Rate Table'!#REF!</definedName>
    <definedName name="_R2OLDPTB">'[21]Rate Table'!#REF!</definedName>
    <definedName name="_R3OLDCC">'[21]Rate Table'!#REF!</definedName>
    <definedName name="_R3OLDCCOP">'[21]Rate Table'!#REF!</definedName>
    <definedName name="_R3OLDOPHB">'[21]Rate Table'!#REF!</definedName>
    <definedName name="_R3OLDOPTB">'[21]Rate Table'!#REF!</definedName>
    <definedName name="_R3OLDPHB">'[21]Rate Table'!#REF!</definedName>
    <definedName name="_R3OLDPTB">'[21]Rate Table'!#REF!</definedName>
    <definedName name="_R4OLDCC">'[21]Rate Table'!#REF!</definedName>
    <definedName name="_R4OLDCCOP">'[21]Rate Table'!#REF!</definedName>
    <definedName name="_R4OLDOPHB">'[21]Rate Table'!#REF!</definedName>
    <definedName name="_R4OLDOPTB">'[21]Rate Table'!#REF!</definedName>
    <definedName name="_R4OLDPHB">'[21]Rate Table'!#REF!</definedName>
    <definedName name="_R4OLDPTB">'[21]Rate Table'!#REF!</definedName>
    <definedName name="_Rad1">#REF!</definedName>
    <definedName name="_Rad2">#REF!</definedName>
    <definedName name="_RI1">[19]Market!#REF!</definedName>
    <definedName name="_RI10">[19]Market!#REF!</definedName>
    <definedName name="_RI11">[19]Market!#REF!</definedName>
    <definedName name="_RI12">[19]Market!#REF!</definedName>
    <definedName name="_RI3">[19]Market!#REF!</definedName>
    <definedName name="_RI4">[19]Market!#REF!</definedName>
    <definedName name="_RI5">[19]Market!#REF!</definedName>
    <definedName name="_RI7">[19]Market!#REF!</definedName>
    <definedName name="_RI8">[19]Market!#REF!</definedName>
    <definedName name="_RI9">[19]Market!#REF!</definedName>
    <definedName name="_SC7">#REF!</definedName>
    <definedName name="_SEG2">#REF!</definedName>
    <definedName name="_SET1">#REF!</definedName>
    <definedName name="_SET2">#REF!</definedName>
    <definedName name="_SET3">#REF!</definedName>
    <definedName name="_Sort" localSheetId="1" hidden="1">#REF!</definedName>
    <definedName name="_Sort" hidden="1">#REF!</definedName>
    <definedName name="_SQL1">#REF!</definedName>
    <definedName name="_STA65">#REF!</definedName>
    <definedName name="_SUM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ar2">'[22]Var. Anal.'!#REF!</definedName>
    <definedName name="_var3">'[22]Var. Anal.'!#REF!</definedName>
    <definedName name="_Yr1">#REF!</definedName>
    <definedName name="_ZN1">#REF!</definedName>
    <definedName name="a">'[23]Workings 1'!$A$3:$A$21</definedName>
    <definedName name="abc">'[24]COS p1'!$R$1</definedName>
    <definedName name="ACC_INT_EXP">#REF!</definedName>
    <definedName name="Access_Button" hidden="1">"MKTTERM_DATA_List"</definedName>
    <definedName name="AccessDatabase" hidden="1">"S:\LO\EASTERN\Mktterm23.mdb"</definedName>
    <definedName name="Accounts">#REF!</definedName>
    <definedName name="ACT_Electricity_Delivery">#REF!</definedName>
    <definedName name="ACT_NE_Gas_Distribution">#REF!</definedName>
    <definedName name="ACT_New_Summary_for_UK">#REF!</definedName>
    <definedName name="ACT_NY_Gas_Distribution">#REF!</definedName>
    <definedName name="ACT_Total_Gas_Distribution">#REF!</definedName>
    <definedName name="ACT_vs_BUD_Main_Distribution_and_Gas">#REF!</definedName>
    <definedName name="ACT_vs_BUD_Summ_Var_Anal_Combined">#REF!</definedName>
    <definedName name="ACT_vs_BUD_Summ_Var_Anal_NE">#REF!</definedName>
    <definedName name="ACT_vs_BUD_Summ_Var_Anal_NY">#REF!</definedName>
    <definedName name="Actual">'[25]Actual0910 £'!$A$38:$AX$145</definedName>
    <definedName name="ActualCategory">[26]Settings!$C$5</definedName>
    <definedName name="addsintang">#REF!</definedName>
    <definedName name="addslease">#REF!</definedName>
    <definedName name="addslse">#REF!</definedName>
    <definedName name="addsplant">#REF!</definedName>
    <definedName name="ADJUST">#REF!</definedName>
    <definedName name="AFUDC">#REF!</definedName>
    <definedName name="AG" localSheetId="1" hidden="1">{#N/A,#N/A,FALSE,"OIT summ";#N/A,#N/A,FALSE,"otb summ-dental";#N/A,#N/A,FALSE,"otb summ-vision"}</definedName>
    <definedName name="AG" localSheetId="2" hidden="1">{#N/A,#N/A,FALSE,"OIT summ";#N/A,#N/A,FALSE,"otb summ-dental";#N/A,#N/A,FALSE,"otb summ-vision"}</definedName>
    <definedName name="AG" localSheetId="3" hidden="1">{#N/A,#N/A,FALSE,"OIT summ";#N/A,#N/A,FALSE,"otb summ-dental";#N/A,#N/A,FALSE,"otb summ-vision"}</definedName>
    <definedName name="AG" localSheetId="6" hidden="1">{#N/A,#N/A,FALSE,"OIT summ";#N/A,#N/A,FALSE,"otb summ-dental";#N/A,#N/A,FALSE,"otb summ-vision"}</definedName>
    <definedName name="AG" localSheetId="7" hidden="1">{#N/A,#N/A,FALSE,"OIT summ";#N/A,#N/A,FALSE,"otb summ-dental";#N/A,#N/A,FALSE,"otb summ-vision"}</definedName>
    <definedName name="AG" hidden="1">{#N/A,#N/A,FALSE,"OIT summ";#N/A,#N/A,FALSE,"otb summ-dental";#N/A,#N/A,FALSE,"otb summ-vision"}</definedName>
    <definedName name="ALL">#REF!</definedName>
    <definedName name="ALL_PRICING_INFORMATION">#REF!</definedName>
    <definedName name="ALL_SPENDING_BY_PT___SEG_____KEY">#REF!</definedName>
    <definedName name="Alloc0">[27]AllocFctr!$F$7</definedName>
    <definedName name="ANE_BOUNDARY_CITYGATE_BACKUP">#REF!</definedName>
    <definedName name="anscount" hidden="1">1</definedName>
    <definedName name="app">#REF!</definedName>
    <definedName name="APPL">#REF!</definedName>
    <definedName name="Application">[26]Settings!$C$19</definedName>
    <definedName name="Approval">#REF!</definedName>
    <definedName name="approval_by">#REF!</definedName>
    <definedName name="APPSTR">#REF!</definedName>
    <definedName name="apr">[6]FY2000!$W$137:$AG$177</definedName>
    <definedName name="Apr_10">'[28]Apr 10'!$C$2:$G$80</definedName>
    <definedName name="Apr_2004_MCG">#REF!</definedName>
    <definedName name="APRIL_2003_MCG">#REF!</definedName>
    <definedName name="arClassOff">[27]Total!$7:$7</definedName>
    <definedName name="Arrays">[29]Arrays!$A$2:$B$10</definedName>
    <definedName name="ASD">#REF!</definedName>
    <definedName name="asset">'[30]Workings 1'!$C$2:$C$18</definedName>
    <definedName name="AttName">[31]Increase!$J$1</definedName>
    <definedName name="aug">[6]FY2000!$W$311:$AG$351</definedName>
    <definedName name="AUG_2003_MCG">#REF!</definedName>
    <definedName name="Aug_2004_MCG">#REF!</definedName>
    <definedName name="August_January_Basic_Service_Rate">'[32]Summary Bill Impacts'!$D$5</definedName>
    <definedName name="average">#REF!</definedName>
    <definedName name="AVG_RATE">'[22]Data EntryS&amp;T'!#REF!</definedName>
    <definedName name="AVGCOG">#REF!</definedName>
    <definedName name="avgnew">#REF!</definedName>
    <definedName name="b">#REF!</definedName>
    <definedName name="b_icurve">'[33]B &amp; I Curves'!$B$2:$G$312</definedName>
    <definedName name="BACKHAUL">#REF!</definedName>
    <definedName name="basis">#REF!</definedName>
    <definedName name="Basis_Detail">#REF!</definedName>
    <definedName name="basis2">#REF!</definedName>
    <definedName name="Basisprices">#REF!</definedName>
    <definedName name="BDD">#REF!</definedName>
    <definedName name="BDD0611a">#REF!</definedName>
    <definedName name="BF_Cust">#REF!</definedName>
    <definedName name="BFMARGIN">#REF!</definedName>
    <definedName name="BFNORMVOL">#REF!</definedName>
    <definedName name="BFR.Blks.BosEsx">[34]Input.Essex!$D$160:$D$241</definedName>
    <definedName name="BG_BIL_AF">[35]RI_BIL_AF!$A$5:$AT$176</definedName>
    <definedName name="BG_BIL_NF">[35]RI_BIL_NF!$A$5:$AT$176</definedName>
    <definedName name="BG_MC_AF">[35]RI_MC_AF!$A$5:$AT$176</definedName>
    <definedName name="BG_UBL_AF">[35]RI_UBL_AF!$A$5:$AT$175</definedName>
    <definedName name="BG_UBL_NF">[35]RI_UBL_NF!$A$5:$AT$175</definedName>
    <definedName name="BG_VOL_AF">[35]RI_VOL_AF!$A$5:$AT$176</definedName>
    <definedName name="BG_VOL_NF">[35]RI_VOL_NF!$A$5:$AT$176</definedName>
    <definedName name="BG_VOL_NF_2">[36]RI_VOL_NF!$A$5:$AT$176</definedName>
    <definedName name="bi_curve">#REF!</definedName>
    <definedName name="bi_curve2">#REF!</definedName>
    <definedName name="Billed_Fuel_Rev">[37]GcaSummary!$A$16:$DK$79</definedName>
    <definedName name="Billed_Net_Margin_Rev">[37]MarginSummary!$A$19:$DK$82</definedName>
    <definedName name="BKAFUDC">#REF!</definedName>
    <definedName name="BL4Inject">[38]Dispatch!#REF!</definedName>
    <definedName name="blocation">#REF!</definedName>
    <definedName name="BMENU">#REF!</definedName>
    <definedName name="bMTM_Val">#REF!</definedName>
    <definedName name="BNY">#REF!</definedName>
    <definedName name="BNYTOTALS">#REF!</definedName>
    <definedName name="BOAR">#REF!</definedName>
    <definedName name="bondReserve">'[39]Invest-WorkCap-Cap Calcs'!$D$14</definedName>
    <definedName name="BookedFom">[38]Dispatch!#REF!</definedName>
    <definedName name="Bridge99_Index_Recon_List">#REF!</definedName>
    <definedName name="Brief_PL_Summary">'[40]Profit Summary'!#REF!</definedName>
    <definedName name="BROKER">'[41]Nucleus Trade Detail_Futures'!$B$2:$B$268</definedName>
    <definedName name="BU">'[42]Classified-Dec'!$C$256</definedName>
    <definedName name="Budget">'[25]Budget0910 £'!$A$38:$AX$145</definedName>
    <definedName name="BUN">#REF!</definedName>
    <definedName name="BUV">#REF!</definedName>
    <definedName name="BUYSELL">'[43]Nucleus Trade Detail_Futures'!$G$2:$G$500</definedName>
    <definedName name="bvolume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6">#REF!</definedName>
    <definedName name="C_7">#REF!</definedName>
    <definedName name="C_8">#REF!</definedName>
    <definedName name="C_9">#REF!</definedName>
    <definedName name="C_BLOG">#REF!</definedName>
    <definedName name="C_INTERR">#REF!</definedName>
    <definedName name="C_REPA">#REF!</definedName>
    <definedName name="calc">'[30]Workings 1'!$F$13:$F$17</definedName>
    <definedName name="callstkopt">#REF!</definedName>
    <definedName name="CAP_MANAGED">#REF!</definedName>
    <definedName name="Capacity1">[38]Dispatch!#REF!</definedName>
    <definedName name="capex">#REF!</definedName>
    <definedName name="CapexGross">#REF!</definedName>
    <definedName name="CapexIncome">#REF!</definedName>
    <definedName name="CAPSTRUC">[2]LICapStructure!#REF!</definedName>
    <definedName name="CASH">#REF!</definedName>
    <definedName name="Cash_Estimate_August_gas_initial">#REF!</definedName>
    <definedName name="CAT">#REF!</definedName>
    <definedName name="categoryName">#REF!</definedName>
    <definedName name="categoryName_40">'[44]E Chin''s Extract'!#REF!</definedName>
    <definedName name="categoryName_41">'[44]E Chin''s Extract'!#REF!</definedName>
    <definedName name="ce">'[42]Classified-Dec'!$C$255</definedName>
    <definedName name="CELLTOUSE">#REF!</definedName>
    <definedName name="CHANGE_ROW_HEIGHT">#REF!</definedName>
    <definedName name="CHANGE_ROW_HEIGHT_OTHER">#REF!</definedName>
    <definedName name="chAprilMDQ">#REF!</definedName>
    <definedName name="Chg_Impact">#REF!</definedName>
    <definedName name="Chgs_Since_Board">#REF!</definedName>
    <definedName name="Ckopt">#REF!</definedName>
    <definedName name="Classification">#REF!</definedName>
    <definedName name="closing">#REF!</definedName>
    <definedName name="Cmdy">[38]Dispatch!#REF!</definedName>
    <definedName name="cmdyFSS">[38]Dispatch!#REF!</definedName>
    <definedName name="cmdyGSS">[38]Dispatch!#REF!</definedName>
    <definedName name="cmdySS1">[38]Dispatch!#REF!</definedName>
    <definedName name="CNG_GSS_II__APEC__STORAGE__20">#REF!</definedName>
    <definedName name="CngStorage1">#REF!</definedName>
    <definedName name="CngStorage10">[15]CNG!#REF!</definedName>
    <definedName name="CngStorage11">[15]CNG!#REF!</definedName>
    <definedName name="CngStorage12">[15]CNG!#REF!</definedName>
    <definedName name="CngStorage13">[15]CNG!#REF!</definedName>
    <definedName name="CngStorage2">[15]CNG!#REF!</definedName>
    <definedName name="CngStorage3">#REF!</definedName>
    <definedName name="CngStorage4">#REF!</definedName>
    <definedName name="CngStorage5">[15]CNG!#REF!</definedName>
    <definedName name="CngStorage6">[15]CNG!#REF!</definedName>
    <definedName name="CngStorage7">#REF!</definedName>
    <definedName name="CngStorage8">[15]CNG!#REF!</definedName>
    <definedName name="CngStorage9">[15]CNG!#REF!</definedName>
    <definedName name="CO">'[45]Start Balance'!$C$13</definedName>
    <definedName name="COGENTOTALS">#REF!</definedName>
    <definedName name="CombGross">[46]Verify!$B$66</definedName>
    <definedName name="Combined_ACT_vs_BUD_By_P_L">#REF!</definedName>
    <definedName name="Combined_ACT_vs_BUD_By_Type">#REF!</definedName>
    <definedName name="Combined_ACT_vs_BUD_Var_Anal">#REF!</definedName>
    <definedName name="Combined_ACT_vs_BUD_Var_Anal_YTD">#REF!</definedName>
    <definedName name="CombineSeparate">'[47]Input_Rates.Base.New'!#REF!</definedName>
    <definedName name="Comment">[48]Data!$E$91:$E$104</definedName>
    <definedName name="COMMODITY_BACKUP_FOR_STORAGE_INJECTIONS">#REF!</definedName>
    <definedName name="Comp_Yr1">#REF!</definedName>
    <definedName name="Comp_Yr2">#REF!</definedName>
    <definedName name="Comp_Yr3">#REF!</definedName>
    <definedName name="Comp_Yr4">#REF!</definedName>
    <definedName name="Comp_Yr5">#REF!</definedName>
    <definedName name="COMP1">#REF!</definedName>
    <definedName name="COMP2">#REF!</definedName>
    <definedName name="Company">[49]Index!$A$10</definedName>
    <definedName name="Component">#REF!</definedName>
    <definedName name="composite">#REF!</definedName>
    <definedName name="CON">#REF!</definedName>
    <definedName name="Consumption">#REF!</definedName>
    <definedName name="CONTRACTMONTH">'[41]Nucleus Trade Detail_Futures'!$D$2:$D$268</definedName>
    <definedName name="CONTRACTS">'[41]Nucleus Trade Detail_Futures'!$G$2:$G$268</definedName>
    <definedName name="Controllable_Opex">#REF!</definedName>
    <definedName name="CORE_ADJUST">#REF!</definedName>
    <definedName name="CORRFACTOR">#REF!</definedName>
    <definedName name="COSTCONTROL">[2]LIIncSt!#REF!</definedName>
    <definedName name="counterparty">#REF!</definedName>
    <definedName name="cover">#REF!</definedName>
    <definedName name="CP_Billed">[50]CP_Billed!$A$1:$AH$85</definedName>
    <definedName name="CP_fctMC">[50]CP_fctMC!$A$1:$AH$85</definedName>
    <definedName name="CP_fctVol">[50]CP_fctVol!$A$1:$AH$172</definedName>
    <definedName name="CP_His_MC">[50]CP_His_MC!$A$1:$AH$112</definedName>
    <definedName name="CP_His_Vol">[50]CP_His_Vol!$A$1:$AH$112</definedName>
    <definedName name="CP_Inp_MC">[50]CP_Inp_MC!$A$1:$AH$112</definedName>
    <definedName name="CP_NorBld">[50]CP_NorBld!$A$1:$AH$89</definedName>
    <definedName name="CP_NorUBD">[50]CP_NorUBD!$A$1:$AH$89</definedName>
    <definedName name="CP_NorVol">[50]CP_NorVol!$A$1:$AH$89</definedName>
    <definedName name="CP_rawCus">[50]CP_rawCus!$A$1:$AH$90</definedName>
    <definedName name="CP_rawVol">[50]CP_rawVol!$A$1:$AH$90</definedName>
    <definedName name="CP_Unbilled">[50]CP_Unbilled!$A$1:$AH$85</definedName>
    <definedName name="CR">!$A1:$IV1</definedName>
    <definedName name="crap" localSheetId="1" hidden="1">{#N/A,#N/A,FALSE,"OIT summ";#N/A,#N/A,FALSE,"otb summ-dental";#N/A,#N/A,FALSE,"otb summ-vision"}</definedName>
    <definedName name="crap" localSheetId="2" hidden="1">{#N/A,#N/A,FALSE,"OIT summ";#N/A,#N/A,FALSE,"otb summ-dental";#N/A,#N/A,FALSE,"otb summ-vision"}</definedName>
    <definedName name="crap" localSheetId="3" hidden="1">{#N/A,#N/A,FALSE,"OIT summ";#N/A,#N/A,FALSE,"otb summ-dental";#N/A,#N/A,FALSE,"otb summ-vision"}</definedName>
    <definedName name="crap" localSheetId="6" hidden="1">{#N/A,#N/A,FALSE,"OIT summ";#N/A,#N/A,FALSE,"otb summ-dental";#N/A,#N/A,FALSE,"otb summ-vision"}</definedName>
    <definedName name="crap" localSheetId="7" hidden="1">{#N/A,#N/A,FALSE,"OIT summ";#N/A,#N/A,FALSE,"otb summ-dental";#N/A,#N/A,FALSE,"otb summ-vision"}</definedName>
    <definedName name="crap" hidden="1">{#N/A,#N/A,FALSE,"OIT summ";#N/A,#N/A,FALSE,"otb summ-dental";#N/A,#N/A,FALSE,"otb summ-vision"}</definedName>
    <definedName name="CRIS_meters">#REF!</definedName>
    <definedName name="CS">'[42]Classified-Dec'!$C$254</definedName>
    <definedName name="Cum_Growth">#REF!</definedName>
    <definedName name="Cum3ps">[38]Dispatch!#REF!</definedName>
    <definedName name="cum3psFSS">[38]Dispatch!#REF!</definedName>
    <definedName name="cum3psGSS">[38]Dispatch!#REF!</definedName>
    <definedName name="cum3psSS1">[38]Dispatch!#REF!</definedName>
    <definedName name="Cum3rdParty4Inject">[38]Dispatch!#REF!</definedName>
    <definedName name="CumBL4Inject">[38]Dispatch!#REF!</definedName>
    <definedName name="CumBLinject">[38]Dispatch!#REF!</definedName>
    <definedName name="CUMDIFF">#REF!</definedName>
    <definedName name="cumFom4FSS">[38]Dispatch!#REF!</definedName>
    <definedName name="cumFom4GSS">[38]Dispatch!#REF!</definedName>
    <definedName name="cumFom4SS1">[38]Dispatch!#REF!</definedName>
    <definedName name="cumFomInjected">[51]Dispatch!#REF!</definedName>
    <definedName name="cumGDM4FSS">[38]Dispatch!#REF!</definedName>
    <definedName name="cumGDM4GSS">[38]Dispatch!#REF!</definedName>
    <definedName name="cumGDM4SS1">[38]Dispatch!#REF!</definedName>
    <definedName name="Current_month">#REF!</definedName>
    <definedName name="current_month_year">#REF!</definedName>
    <definedName name="current_mtm">'[33]MTM Summary'!#REF!</definedName>
    <definedName name="current_realized">'[33]MTM Summary'!#REF!</definedName>
    <definedName name="current_total">'[33]MTM Summary'!#REF!</definedName>
    <definedName name="current_unrealized">'[33]MTM Summary'!#REF!</definedName>
    <definedName name="current_vol">'[33]MTM Summary'!#REF!</definedName>
    <definedName name="Current_Year_1" localSheetId="1">#REF!</definedName>
    <definedName name="Current_Year_1">#REF!</definedName>
    <definedName name="currentBDD0109">#REF!</definedName>
    <definedName name="currentBDD0110">#REF!</definedName>
    <definedName name="currentBDD0209">#REF!</definedName>
    <definedName name="currentBDD0210">#REF!</definedName>
    <definedName name="currentBDD0309">#REF!</definedName>
    <definedName name="currentBDD0310">#REF!</definedName>
    <definedName name="currentBDD0311">#REF!</definedName>
    <definedName name="currentBDD0409">#REF!</definedName>
    <definedName name="currentBDD0410">#REF!</definedName>
    <definedName name="currentBDD0509">#REF!</definedName>
    <definedName name="currentBDD0510">#REF!</definedName>
    <definedName name="currentBDD0609">#REF!</definedName>
    <definedName name="currentBDD0610">#REF!</definedName>
    <definedName name="currentBDD0709">#REF!</definedName>
    <definedName name="currentBDD0710">#REF!</definedName>
    <definedName name="currentBDD0809">#REF!</definedName>
    <definedName name="currentBDD0810">#REF!</definedName>
    <definedName name="currentBDD0909">#REF!</definedName>
    <definedName name="currentBDD0910">#REF!</definedName>
    <definedName name="currentBDD1009">#REF!</definedName>
    <definedName name="currentBDD1010">#REF!</definedName>
    <definedName name="currentBDD1109">#REF!</definedName>
    <definedName name="currentBDD1110">#REF!</definedName>
    <definedName name="currentBDD1209">#REF!</definedName>
    <definedName name="currentBDD1210">#REF!</definedName>
    <definedName name="currentMonthB">#REF!</definedName>
    <definedName name="Curve">#REF!</definedName>
    <definedName name="CUST">#REF!</definedName>
    <definedName name="cust_actual">#REF!</definedName>
    <definedName name="cust_budget">#REF!</definedName>
    <definedName name="CUSTCH">#REF!</definedName>
    <definedName name="Customer_Charges_Rev">[37]MarginSummary!$A$84:$DK$147</definedName>
    <definedName name="CUSTOMERCHG">#REF!</definedName>
    <definedName name="CustomerID">#REF!</definedName>
    <definedName name="CycDD">#REF!</definedName>
    <definedName name="CycDD2">#REF!</definedName>
    <definedName name="d">#REF!</definedName>
    <definedName name="DailyDetailsTable">OFFSET(#REF!,0,0,COUNTA(#REF!),COUNTA(#REF!))</definedName>
    <definedName name="DATA">#REF!</definedName>
    <definedName name="Data_LI">#REF!</definedName>
    <definedName name="Data_NE">#REF!</definedName>
    <definedName name="Data_NY">[52]NY!$C$11:$DO$63</definedName>
    <definedName name="data1">'[53]East of England'!#REF!</definedName>
    <definedName name="Data2">'[53]East of England'!$A$5:$AZ$48</definedName>
    <definedName name="data2004">#REF!</definedName>
    <definedName name="data5">#REF!</definedName>
    <definedName name="data6">#REF!</definedName>
    <definedName name="_xlnm.Database" hidden="1">#REF!</definedName>
    <definedName name="DataCanvas">#REF!</definedName>
    <definedName name="Date">#REF!</definedName>
    <definedName name="date1base">#REF!</definedName>
    <definedName name="date1contract">#REF!</definedName>
    <definedName name="date1posting">#REF!</definedName>
    <definedName name="date1wtd">#REF!</definedName>
    <definedName name="date3base">#REF!</definedName>
    <definedName name="date3contract">#REF!</definedName>
    <definedName name="date3posting">#REF!</definedName>
    <definedName name="date3wtd">#REF!</definedName>
    <definedName name="date7base">#REF!</definedName>
    <definedName name="date7contract">#REF!</definedName>
    <definedName name="date7posting">#REF!</definedName>
    <definedName name="date7wtd">#REF!</definedName>
    <definedName name="DateBargeIC">#REF!</definedName>
    <definedName name="DateBargeKero">#REF!</definedName>
    <definedName name="DateIgnition">#REF!</definedName>
    <definedName name="DateStamp">#NAME?</definedName>
    <definedName name="DateTruckIC">#REF!</definedName>
    <definedName name="DateTruckKero">#REF!</definedName>
    <definedName name="DateTruckTax">#REF!</definedName>
    <definedName name="DateTruckTaxIC">#REF!</definedName>
    <definedName name="DateTruckTaxKero">#REF!</definedName>
    <definedName name="Day4_Flash_Consolidated">#REF!</definedName>
    <definedName name="days">#REF!</definedName>
    <definedName name="daysout">#REF!</definedName>
    <definedName name="DaysPast">#REF!</definedName>
    <definedName name="dccost">#REF!</definedName>
    <definedName name="dddd">'[54]12mo Print View'!#REF!</definedName>
    <definedName name="dddddddddddd" localSheetId="1" hidden="1">{#N/A,#N/A,FALSE,"OIT summ";#N/A,#N/A,FALSE,"otb summ-dental";#N/A,#N/A,FALSE,"otb summ-vision"}</definedName>
    <definedName name="dddddddddddd" localSheetId="2" hidden="1">{#N/A,#N/A,FALSE,"OIT summ";#N/A,#N/A,FALSE,"otb summ-dental";#N/A,#N/A,FALSE,"otb summ-vision"}</definedName>
    <definedName name="dddddddddddd" localSheetId="3" hidden="1">{#N/A,#N/A,FALSE,"OIT summ";#N/A,#N/A,FALSE,"otb summ-dental";#N/A,#N/A,FALSE,"otb summ-vision"}</definedName>
    <definedName name="dddddddddddd" localSheetId="6" hidden="1">{#N/A,#N/A,FALSE,"OIT summ";#N/A,#N/A,FALSE,"otb summ-dental";#N/A,#N/A,FALSE,"otb summ-vision"}</definedName>
    <definedName name="dddddddddddd" localSheetId="7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DEALTYPE">'[43]Nucleus Trade Detail_Futures'!$A$2:$A$500</definedName>
    <definedName name="dec">[6]FY2000!$W$480:$AG$520</definedName>
    <definedName name="Dec_09">'[28]Dec 09'!$C$2:$G$80</definedName>
    <definedName name="DEC_2003_MCG">#REF!</definedName>
    <definedName name="DEF_GAS_COST_JE">#REF!</definedName>
    <definedName name="DEF_RECLASS" localSheetId="1">#REF!</definedName>
    <definedName name="DEF_RECLASS">#REF!</definedName>
    <definedName name="DEF_RECLASS_MA" localSheetId="1">#REF!</definedName>
    <definedName name="DEF_RECLASS_MA">#REF!</definedName>
    <definedName name="DEF_RECLASS_SURCHARGE" localSheetId="1">#REF!</definedName>
    <definedName name="DEF_RECLASS_SURCHARGE">#REF!</definedName>
    <definedName name="DEF_RECLASS_SURCHARGE_MA">#REF!</definedName>
    <definedName name="DEF_WC_JE">#REF!</definedName>
    <definedName name="Delivery_Peak_Period_End">'[32]Summary Bill Impacts'!$D$7</definedName>
    <definedName name="Delivery_Peak_Period_Start">'[32]Summary Bill Impacts'!$D$6</definedName>
    <definedName name="DEMAND">#REF!</definedName>
    <definedName name="Description">#REF!</definedName>
    <definedName name="Detail">#REF!</definedName>
    <definedName name="Detail_EarningPlan">#REF!</definedName>
    <definedName name="diPrice1">[38]Dispatch!#REF!</definedName>
    <definedName name="diPrice2">[38]Dispatch!#REF!</definedName>
    <definedName name="diPrice3">[38]Dispatch!#REF!</definedName>
    <definedName name="direc">'[30]Workings 1'!$C$20:$C$24</definedName>
    <definedName name="discount">#REF!</definedName>
    <definedName name="DiscountRate">'[55]General Inputs'!$B$5</definedName>
    <definedName name="DISTOFADJ">[2]LIIncSt!#REF!</definedName>
    <definedName name="DKT">#REF!</definedName>
    <definedName name="DNE_Deal_Nom_Est_Detail">#REF!</definedName>
    <definedName name="Docket">[49]Index!$D$4</definedName>
    <definedName name="DOMcomm">[56]Rates!#REF!</definedName>
    <definedName name="DOMfuel">[56]Rates!#REF!</definedName>
    <definedName name="DOMgsstgpcomm">[57]Rates!#REF!</definedName>
    <definedName name="DOMgsstgpfuel">[57]Rates!#REF!</definedName>
    <definedName name="domserv">#REF!</definedName>
    <definedName name="DPUHeader">#REF!</definedName>
    <definedName name="DPUpp">[49]Index!$G$70</definedName>
    <definedName name="DSM">#REF!</definedName>
    <definedName name="DSMMAR">#REF!</definedName>
    <definedName name="DSMRTCL">#REF!</definedName>
    <definedName name="dsPrice1">[38]Dispatch!#REF!</definedName>
    <definedName name="dsPrice2">[38]Dispatch!#REF!</definedName>
    <definedName name="dsPrice3">[38]Dispatch!#REF!</definedName>
    <definedName name="DSUB">#REF!</definedName>
    <definedName name="DTIwdFirm">[38]Dispatch!#REF!</definedName>
    <definedName name="DTIwdIT">[38]Dispatch!#REF!</definedName>
    <definedName name="e">'[23]Workings 1'!$C$2:$C$18</definedName>
    <definedName name="Econ_Dvpt_Dis">#REF!</definedName>
    <definedName name="ELA">[38]Dispatch!#REF!</definedName>
    <definedName name="ELA3ps">[38]Dispatch!#REF!</definedName>
    <definedName name="ELECPLANTS">#REF!</definedName>
    <definedName name="ELPasoGSS">[15]CNG!#REF!</definedName>
    <definedName name="ENRON">#REF!</definedName>
    <definedName name="ent">#REF!</definedName>
    <definedName name="entity">[58]Data!$B$8:$B$19</definedName>
    <definedName name="entity1">#REF!</definedName>
    <definedName name="entity2">#REF!</definedName>
    <definedName name="ENTRY">#REF!</definedName>
    <definedName name="Eqcallopt">#REF!</definedName>
    <definedName name="EssActuals">#REF!</definedName>
    <definedName name="EssLatest">"P1"</definedName>
    <definedName name="EssOptions">"A1110000000111000010001101000_01000"</definedName>
    <definedName name="ESTIMATED_STORAGE_INJECTIONS_FOR_CITYGATE_BACKUP">#REF!</definedName>
    <definedName name="ESTTAX">#REF!</definedName>
    <definedName name="ETX">#REF!</definedName>
    <definedName name="ETX3ps">[38]Dispatch!#REF!</definedName>
    <definedName name="EVER_NU">#REF!</definedName>
    <definedName name="ew">#REF!</definedName>
    <definedName name="ex">'[59]Total Opex'!$N$4:$AA$24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3">#REF!</definedName>
    <definedName name="Excel_BuiltIn_Print_Area_4">#REF!</definedName>
    <definedName name="EXCHANGESUPPLIES">#REF!</definedName>
    <definedName name="Exclude_negative_spread">#REF!</definedName>
    <definedName name="Exh_Name">[49]Index!$D$5</definedName>
    <definedName name="EXH2PAGE1">#REF!</definedName>
    <definedName name="EXH2PAGE3">#REF!</definedName>
    <definedName name="EXH2PAGE4">#REF!</definedName>
    <definedName name="EXH2PAGE5">#REF!</definedName>
    <definedName name="EXH2PAGE6">#REF!</definedName>
    <definedName name="EXH2PAGE7">#REF!</definedName>
    <definedName name="EXH2PAGE8">#REF!</definedName>
    <definedName name="EXH2PAGE9">#REF!</definedName>
    <definedName name="ExpbyCompany">'[60]Exp by Company'!#REF!</definedName>
    <definedName name="Export4ToMDB">#REF!</definedName>
    <definedName name="EXTRA_STORAGE">#REF!</definedName>
    <definedName name="f">'[23]Workings 1'!$F$13:$F$17</definedName>
    <definedName name="FA">#REF!</definedName>
    <definedName name="FC_Combined_FC_vs_BUD_by_P_L">#REF!</definedName>
    <definedName name="FC_Combined_FC_vs_BUD_by_type">#REF!</definedName>
    <definedName name="FC_Combined_FC_vs_BUD_Summary">#REF!</definedName>
    <definedName name="FC_Combined_FC_vs_BUD_Summary_YTD">#REF!</definedName>
    <definedName name="FC_Commodity">#REF!</definedName>
    <definedName name="FC_Electricity_Delivery">#REF!</definedName>
    <definedName name="FC_Main_Distrib_NEG_only">#REF!</definedName>
    <definedName name="FC_Main_Distrib_not_NEG">#REF!</definedName>
    <definedName name="FC_Main_Distribution">#REF!</definedName>
    <definedName name="FC_Main_Distribution_and_Gas">#REF!</definedName>
    <definedName name="FC_Main_Distribution_Detail">#REF!</definedName>
    <definedName name="FC_NE_DIST_FC_vs_BUD">#REF!</definedName>
    <definedName name="FC_NE_DIST_Reg_Assets">#REF!</definedName>
    <definedName name="FC_NE_DIST_Summary">#REF!</definedName>
    <definedName name="FC_NE_FC_vs_BUD_by_P_L">#REF!</definedName>
    <definedName name="FC_NE_FC_vs_BUD_by_type">#REF!</definedName>
    <definedName name="FC_NE_FC_vs_BUD_Summary">#REF!</definedName>
    <definedName name="FC_NE_FC_vs_BUD_Summary_YTD">#REF!</definedName>
    <definedName name="FC_NE_Gas_Distribution">#REF!</definedName>
    <definedName name="FC_NE_GAS_FC_vs_BUD">#REF!</definedName>
    <definedName name="FC_NE_GAS_Reg_Assets">#REF!</definedName>
    <definedName name="FC_NE_GAS_Summary">#REF!</definedName>
    <definedName name="FC_NE_Other_FC_vs_BUD">#REF!</definedName>
    <definedName name="FC_NE_Other_Reg_Assets">#REF!</definedName>
    <definedName name="FC_NE_Other_Summary">#REF!</definedName>
    <definedName name="FC_NE_STD_FC_Summary">#REF!</definedName>
    <definedName name="FC_NE_STD_FC_vs_BUD">#REF!</definedName>
    <definedName name="FC_NE_STD_Reg_Assets">#REF!</definedName>
    <definedName name="FC_NE_STD_Summary">#REF!</definedName>
    <definedName name="FC_NY_DIST_FC_vs_BUD">#REF!</definedName>
    <definedName name="FC_NY_DIST_Reg_Assets">#REF!</definedName>
    <definedName name="FC_NY_DIST_Summary">#REF!</definedName>
    <definedName name="FC_NY_FC_vs_BUD_by_P_L">#REF!</definedName>
    <definedName name="FC_NY_FC_vs_BUD_by_type">#REF!</definedName>
    <definedName name="FC_NY_FC_vs_BUD_Summary">#REF!</definedName>
    <definedName name="FC_NY_FC_vs_BUD_Summary_YTD">#REF!</definedName>
    <definedName name="FC_NY_Gas_Distribution">#REF!</definedName>
    <definedName name="FC_NY_GAS_FC_vs_BUD">#REF!</definedName>
    <definedName name="FC_NY_GAS_Reg_Assets">#REF!</definedName>
    <definedName name="FC_NY_GAS_Summary">#REF!</definedName>
    <definedName name="FC_NY_STD_FC_vs_BUD">#REF!</definedName>
    <definedName name="FC_NY_STD_Reg_Assets">#REF!</definedName>
    <definedName name="FC_NY_STD_Summary">#REF!</definedName>
    <definedName name="FC_Over_Under_FC_vs_BUD_Summary">#REF!</definedName>
    <definedName name="FC_Over_Unders">#REF!</definedName>
    <definedName name="FC_Over_Unders_Month">#REF!</definedName>
    <definedName name="FC_Over_Unders_YTD">#REF!</definedName>
    <definedName name="FC_Stranded">#REF!</definedName>
    <definedName name="FC_Summary">#REF!</definedName>
    <definedName name="FC_Summary_for_UK">#REF!</definedName>
    <definedName name="FC_Total_Gas_Distribution">#REF!</definedName>
    <definedName name="FC_Volatility">#REF!</definedName>
    <definedName name="feb">[6]FY2000!$W$49:$AG$89</definedName>
    <definedName name="Feb_10">'[28]Feb 10'!$C$2:$G$80</definedName>
    <definedName name="FEB_2003_MCG">#REF!</definedName>
    <definedName name="Feb_2004_MCG">#REF!</definedName>
    <definedName name="February_July_Basic_Service_Rate">'[32]Summary Bill Impacts'!$D$4</definedName>
    <definedName name="FEopt">#REF!</definedName>
    <definedName name="ffg" localSheetId="2">'Exhibit 2, Page 1'!ffg</definedName>
    <definedName name="ffg" localSheetId="3">'Exhibit 2, Page 2'!ffg</definedName>
    <definedName name="ffg" localSheetId="6">'Exhibit 3, Page 1'!ffg</definedName>
    <definedName name="ffg" localSheetId="7">'Exhibit 3, Page 2'!ffg</definedName>
    <definedName name="ffg">[0]!ffg</definedName>
    <definedName name="FILE">#REF!</definedName>
    <definedName name="FileDate">[31]Increase!$J$3</definedName>
    <definedName name="Filing_Date">[49]Index!$D$6</definedName>
    <definedName name="fin">#REF!</definedName>
    <definedName name="Fin_Categories">'[30]Workings 1'!$N$3:$N$16</definedName>
    <definedName name="FINA1_CITYGATE_BACKUP">#REF!</definedName>
    <definedName name="FINA2_CITYGATE_BACKUP">#REF!</definedName>
    <definedName name="Finance">'[30]Workings 1'!$A$23:$A$28</definedName>
    <definedName name="FinancialPriceBase">[26]Settings!$G$15</definedName>
    <definedName name="Firm_Base">#REF!</definedName>
    <definedName name="Firm_Slope">#REF!</definedName>
    <definedName name="FIT">'[61]NIMO-2MRR'!$C$33</definedName>
    <definedName name="FITalt">#REF!</definedName>
    <definedName name="fitalt1">#REF!</definedName>
    <definedName name="FITalt2">'[61]3MRR'!$C$34</definedName>
    <definedName name="FITID">'[2]LISIT-FIT'!#REF!</definedName>
    <definedName name="Flash_Report">#REF!</definedName>
    <definedName name="Flash_Validation">#REF!</definedName>
    <definedName name="FOM4FSS">[38]Dispatch!#REF!</definedName>
    <definedName name="FOM4GSS">[38]Dispatch!#REF!</definedName>
    <definedName name="FOM4SS1">[38]Dispatch!#REF!</definedName>
    <definedName name="fordata">#REF!</definedName>
    <definedName name="ForecastCategory">[26]Settings!$C$3</definedName>
    <definedName name="ForecastError">'[62]NH Summary Ind'!#REF!</definedName>
    <definedName name="Forecst">#REF!</definedName>
    <definedName name="fPrice1">[38]Dispatch!#REF!</definedName>
    <definedName name="fPrice2">[38]Dispatch!#REF!</definedName>
    <definedName name="fPrice3">[38]Dispatch!#REF!</definedName>
    <definedName name="FRAN">#REF!</definedName>
    <definedName name="FRBS">#REF!</definedName>
    <definedName name="FREQ">#REF!</definedName>
    <definedName name="FSSinjAft3ps">[38]Dispatch!#REF!</definedName>
    <definedName name="FSSinjAftFOM">[38]Dispatch!#REF!</definedName>
    <definedName name="FT_Var">#REF!</definedName>
    <definedName name="fts5Fuel">[63]Variables!$D$42</definedName>
    <definedName name="fts8Fuel">[63]Variables!$D$44</definedName>
    <definedName name="FUEL_ADJ_VALUE">#REF!</definedName>
    <definedName name="fuelFSS">[38]Dispatch!#REF!</definedName>
    <definedName name="fuelGSS">[38]Dispatch!#REF!</definedName>
    <definedName name="fuelSS1">[38]Dispatch!#REF!</definedName>
    <definedName name="FY05_Combined_by_P_L">#REF!</definedName>
    <definedName name="FY05_Combined_by_Segment_Full_Year">#REF!</definedName>
    <definedName name="FY05_Combined_by_Segment_Half_Year">#REF!</definedName>
    <definedName name="FY05_Combined_by_Type">#REF!</definedName>
    <definedName name="FY05_Commodity">#REF!</definedName>
    <definedName name="FY05_Cover">#REF!</definedName>
    <definedName name="FY05_Electricity_Delivery">#REF!</definedName>
    <definedName name="FY05_Main_Distrib_NEG_only">#REF!</definedName>
    <definedName name="FY05_Main_Distrib_not_NEG">#REF!</definedName>
    <definedName name="FY05_Main_Distribution">#REF!</definedName>
    <definedName name="FY05_Main_Distribution_and_Gas">#REF!</definedName>
    <definedName name="FY05_Main_Distribution_Detail">#REF!</definedName>
    <definedName name="FY05_NE_by_P_L">#REF!</definedName>
    <definedName name="FY05_NE_by_Segment_Full_Year">#REF!</definedName>
    <definedName name="FY05_NE_by_Segment_Half_Year">#REF!</definedName>
    <definedName name="FY05_NE_by_Type">#REF!</definedName>
    <definedName name="FY05_NE_Distribution">#REF!</definedName>
    <definedName name="FY05_NE_Gas">#REF!</definedName>
    <definedName name="FY05_NE_Gas_Distribution">#REF!</definedName>
    <definedName name="FY05_NE_Other">#REF!</definedName>
    <definedName name="FY05_NE_Stranded">#REF!</definedName>
    <definedName name="FY05_NY_by_P_L">#REF!</definedName>
    <definedName name="FY05_NY_by_Segment_Full_Year">#REF!</definedName>
    <definedName name="FY05_NY_by_Segment_Half_Year">#REF!</definedName>
    <definedName name="FY05_NY_by_Type">#REF!</definedName>
    <definedName name="FY05_NY_Distribution">#REF!</definedName>
    <definedName name="FY05_NY_Gas">#REF!</definedName>
    <definedName name="FY05_NY_Gas_Distribution">#REF!</definedName>
    <definedName name="FY05_NY_Stranded">#REF!</definedName>
    <definedName name="FY05_Over_Under_Variance_Analysis">#REF!</definedName>
    <definedName name="FY05_Stranded">#REF!</definedName>
    <definedName name="FY05_Summary">#REF!</definedName>
    <definedName name="FY05_Summary_for_UK">#REF!</definedName>
    <definedName name="FY05_Total_Gas_Distribution">#REF!</definedName>
    <definedName name="FY05_Volatility">#REF!</definedName>
    <definedName name="FY2007_Actual_IAS_adjustments">#REF!</definedName>
    <definedName name="fynn">#REF!</definedName>
    <definedName name="FYR">#REF!</definedName>
    <definedName name="FYR10A">#REF!</definedName>
    <definedName name="FYR10B">#REF!</definedName>
    <definedName name="FYR11A">#REF!</definedName>
    <definedName name="FYR11B">#REF!</definedName>
    <definedName name="FYR12A">#REF!</definedName>
    <definedName name="FYR12B">#REF!</definedName>
    <definedName name="FYR8A">#REF!</definedName>
    <definedName name="FYR8B">#REF!</definedName>
    <definedName name="FYR9A">#REF!</definedName>
    <definedName name="FYR9B">#REF!</definedName>
    <definedName name="FZRPT">#REF!</definedName>
    <definedName name="g">'[23]Workings 1'!$H$3:$H$10</definedName>
    <definedName name="G41OLDCC">'[21]Rate Table'!#REF!</definedName>
    <definedName name="G41OLDCCOP">'[21]Rate Table'!#REF!</definedName>
    <definedName name="G41OLDOPHB">'[21]Rate Table'!#REF!</definedName>
    <definedName name="G41OLDOPTB">'[21]Rate Table'!#REF!</definedName>
    <definedName name="G41OLDPHB">'[21]Rate Table'!#REF!</definedName>
    <definedName name="G41OLDPTB">'[21]Rate Table'!#REF!</definedName>
    <definedName name="G42OLDCC">'[21]Rate Table'!#REF!</definedName>
    <definedName name="G42OLDCCOP">'[21]Rate Table'!#REF!</definedName>
    <definedName name="G42OLDOPHB">'[21]Rate Table'!#REF!</definedName>
    <definedName name="G42OLDOPTB">'[21]Rate Table'!#REF!</definedName>
    <definedName name="G42OLDPHB">'[21]Rate Table'!#REF!</definedName>
    <definedName name="G42OLDPTB">'[21]Rate Table'!#REF!</definedName>
    <definedName name="G43OLDCC">'[21]Rate Table'!#REF!</definedName>
    <definedName name="G43OLDCCOP">'[21]Rate Table'!#REF!</definedName>
    <definedName name="G43OLDOPHB">'[21]Rate Table'!#REF!</definedName>
    <definedName name="G43OLDOPTB">'[21]Rate Table'!#REF!</definedName>
    <definedName name="G43OLDPHB">'[21]Rate Table'!#REF!</definedName>
    <definedName name="G43OLDPTB">'[21]Rate Table'!#REF!</definedName>
    <definedName name="G51OLDCC">'[21]Rate Table'!#REF!</definedName>
    <definedName name="G51OLDCCOP">'[21]Rate Table'!#REF!</definedName>
    <definedName name="G51OLDOPHB">'[21]Rate Table'!#REF!</definedName>
    <definedName name="G51OLDOPTB">'[21]Rate Table'!#REF!</definedName>
    <definedName name="G51OLDPHB">'[21]Rate Table'!#REF!</definedName>
    <definedName name="G51OLDPTB">'[21]Rate Table'!#REF!</definedName>
    <definedName name="G52OLDCC">'[21]Rate Table'!#REF!</definedName>
    <definedName name="G52OLDCCOP">'[21]Rate Table'!#REF!</definedName>
    <definedName name="G52OLDOPHB">'[21]Rate Table'!#REF!</definedName>
    <definedName name="G52OLDOPTB">'[21]Rate Table'!#REF!</definedName>
    <definedName name="G52OLDPHB">'[21]Rate Table'!#REF!</definedName>
    <definedName name="G52OLDPTB">'[21]Rate Table'!#REF!</definedName>
    <definedName name="G53OLDCC">'[21]Rate Table'!#REF!</definedName>
    <definedName name="G53OLDCCOP">'[21]Rate Table'!#REF!</definedName>
    <definedName name="G53OLDOPHB">'[21]Rate Table'!#REF!</definedName>
    <definedName name="G53OLDOPTB">'[21]Rate Table'!#REF!</definedName>
    <definedName name="G53OLDPHB">'[21]Rate Table'!#REF!</definedName>
    <definedName name="G53OLDPTB">'[21]Rate Table'!#REF!</definedName>
    <definedName name="G61OLDCC">'[21]Rate Table'!#REF!</definedName>
    <definedName name="G61OLDCCOP">'[21]Rate Table'!#REF!</definedName>
    <definedName name="G61OLDOPHB">'[21]Rate Table'!#REF!</definedName>
    <definedName name="G61OLDOPTB">'[21]Rate Table'!#REF!</definedName>
    <definedName name="G61OLDPHB">'[21]Rate Table'!#REF!</definedName>
    <definedName name="G61OLDPTB">'[21]Rate Table'!#REF!</definedName>
    <definedName name="G62OLDCC">'[21]Rate Table'!#REF!</definedName>
    <definedName name="G62OLDCCOP">'[21]Rate Table'!#REF!</definedName>
    <definedName name="G62OLDOPHB">'[21]Rate Table'!#REF!</definedName>
    <definedName name="G62OLDOPTB">'[21]Rate Table'!#REF!</definedName>
    <definedName name="G62OLDPHB">'[21]Rate Table'!#REF!</definedName>
    <definedName name="G62OLDPTB">'[21]Rate Table'!#REF!</definedName>
    <definedName name="G63OLDCC">'[21]Rate Table'!#REF!</definedName>
    <definedName name="G63OLDCCOP">'[21]Rate Table'!#REF!</definedName>
    <definedName name="G63OLDOPHB">'[21]Rate Table'!#REF!</definedName>
    <definedName name="G63OLDOPTB">'[21]Rate Table'!#REF!</definedName>
    <definedName name="G63OLDPHB">'[21]Rate Table'!#REF!</definedName>
    <definedName name="G63OLDPTB">'[21]Rate Table'!#REF!</definedName>
    <definedName name="GACDATE">#REF!</definedName>
    <definedName name="GAS">#REF!</definedName>
    <definedName name="gascost">#REF!</definedName>
    <definedName name="GASCOSTSUM">#REF!</definedName>
    <definedName name="GASPAYBACKS">#REF!</definedName>
    <definedName name="GASSWAPS">#REF!</definedName>
    <definedName name="GateFom">[38]Dispatch!#REF!</definedName>
    <definedName name="GCStorage">#REF!</definedName>
    <definedName name="GDD">#REF!</definedName>
    <definedName name="GDM4FSS">[38]Dispatch!#REF!</definedName>
    <definedName name="GDM4GSS">[38]Dispatch!#REF!</definedName>
    <definedName name="GDM4Inject">[38]Dispatch!#REF!</definedName>
    <definedName name="GDM4SS1">[38]Dispatch!#REF!</definedName>
    <definedName name="GDMinjTot">[38]Dispatch!#REF!</definedName>
    <definedName name="gl_items">'[64]Recon items - in Lawson'!$G$2:$G$244</definedName>
    <definedName name="GLD">#REF!</definedName>
    <definedName name="GLData">#REF!</definedName>
    <definedName name="GLENTRIE">#REF!</definedName>
    <definedName name="GLFILE">'[65]DB GL FILE'!#REF!</definedName>
    <definedName name="GLFILE2">'[66]DB GL'!#REF!</definedName>
    <definedName name="GLFILE3">'[67]DB GL'!#REF!</definedName>
    <definedName name="GranAvgLF">[62]NHLoads!$U$2</definedName>
    <definedName name="GranLrgLF">[62]NHLoads!$S$2</definedName>
    <definedName name="GranSmlLF">[62]NHLoads!$T$2</definedName>
    <definedName name="GRAPH_DATA">#REF!</definedName>
    <definedName name="GRAPHS">#REF!</definedName>
    <definedName name="GROSS">#REF!</definedName>
    <definedName name="GrossGrowthByClass">#REF!</definedName>
    <definedName name="GrossMarGrowthByClass">#REF!</definedName>
    <definedName name="GrossRepex">#REF!</definedName>
    <definedName name="GSCSTRCL">#REF!</definedName>
    <definedName name="GSSinjAft3ps">[38]Dispatch!#REF!</definedName>
    <definedName name="GSSinjAftFOM">[38]Dispatch!#REF!</definedName>
    <definedName name="H">#REF!</definedName>
    <definedName name="HATT">#REF!</definedName>
    <definedName name="HDD">#REF!</definedName>
    <definedName name="HDD0611a">#REF!</definedName>
    <definedName name="HeadingDate">#REF!</definedName>
    <definedName name="Hearing_Officer">[49]Index!$D$8</definedName>
    <definedName name="HeatTypeLIst">'[55]General Inputs'!$C$57:$C$60</definedName>
    <definedName name="HESS1_CITYGATE_BACKUP">#REF!</definedName>
    <definedName name="HESS2_CITYGATE_BACKUP">#REF!</definedName>
    <definedName name="HESS3_CITYGATE_BACKUP">#REF!</definedName>
    <definedName name="HILOW">#REF!</definedName>
    <definedName name="home">#REF!</definedName>
    <definedName name="HTML_CodePage" hidden="1">1252</definedName>
    <definedName name="HTML_Control" localSheetId="1" hidden="1">{"'Worksheet'!$A$3:$R$184"}</definedName>
    <definedName name="HTML_Control" localSheetId="2" hidden="1">{"'Worksheet'!$A$3:$R$184"}</definedName>
    <definedName name="HTML_Control" localSheetId="3" hidden="1">{"'Worksheet'!$A$3:$R$184"}</definedName>
    <definedName name="HTML_Control" localSheetId="6" hidden="1">{"'Worksheet'!$A$3:$R$184"}</definedName>
    <definedName name="HTML_Control" localSheetId="7" hidden="1">{"'Worksheet'!$A$3:$R$184"}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HUBLine3ps">[38]Dispatch!#REF!</definedName>
    <definedName name="HVM" localSheetId="1">#REF!</definedName>
    <definedName name="HVM">#REF!</definedName>
    <definedName name="i">#REF!</definedName>
    <definedName name="ICC_CITYGATE_BACKUP">#REF!</definedName>
    <definedName name="ICNarrow">#REF!</definedName>
    <definedName name="ICWide">#REF!</definedName>
    <definedName name="iec">[68]FinPlanLI!#REF!</definedName>
    <definedName name="IF_Col_Gulf_LA35886">#REF!</definedName>
    <definedName name="IncRepex">#REF!</definedName>
    <definedName name="Index" localSheetId="1">#REF!</definedName>
    <definedName name="Index">#REF!</definedName>
    <definedName name="Index_Curve">[33]indexcurve!$A$3:$N$21</definedName>
    <definedName name="Index_Detail">#REF!</definedName>
    <definedName name="Index_Start">#REF!</definedName>
    <definedName name="Inflation">'[55]General Inputs'!$B$6</definedName>
    <definedName name="initial_profit_summary_July_2001">#REF!</definedName>
    <definedName name="Inj._Daily">#REF!</definedName>
    <definedName name="InjectedFom">[51]Dispatch!#REF!</definedName>
    <definedName name="injectedFSS">[38]Dispatch!#REF!</definedName>
    <definedName name="injectedGSS">[38]Dispatch!#REF!</definedName>
    <definedName name="injectedSS1">[38]Dispatch!#REF!</definedName>
    <definedName name="injectFSS">[38]Dispatch!#REF!</definedName>
    <definedName name="InjectFuel">[38]Dispatch!#REF!</definedName>
    <definedName name="injectGSS">[38]Dispatch!#REF!</definedName>
    <definedName name="InjectionPrice">#REF!</definedName>
    <definedName name="InjectionVol">#REF!</definedName>
    <definedName name="injectSS1">[38]Dispatch!#REF!</definedName>
    <definedName name="inputadds">#REF!</definedName>
    <definedName name="INPUTS">#REF!</definedName>
    <definedName name="Interest">#REF!</definedName>
    <definedName name="Inventory_Storage_Costs">#REF!</definedName>
    <definedName name="Investd">'[30]Workings 1'!$A$3:$A$21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40164.5046875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oquois_EN">#REF!</definedName>
    <definedName name="IROQUOISFT">#REF!</definedName>
    <definedName name="IROQUOISIT">#REF!</definedName>
    <definedName name="IsAuto_Open">#REF!</definedName>
    <definedName name="isc">[68]FinPlanLI!#REF!</definedName>
    <definedName name="ITTHRES">#REF!</definedName>
    <definedName name="J">#REF!</definedName>
    <definedName name="jan">[6]FY2000!$W$5:$AG$45</definedName>
    <definedName name="Jan_10">'[28]Jan 10'!$C$2:$G$80</definedName>
    <definedName name="JAN_2003_MCG">#REF!</definedName>
    <definedName name="Jan_2004_MCG">#REF!</definedName>
    <definedName name="JANREV">[69]TRIGEN!#REF!</definedName>
    <definedName name="JE">#REF!</definedName>
    <definedName name="JJSForecast">#REF!</definedName>
    <definedName name="Jour_Prefix">[70]IS!#REF!</definedName>
    <definedName name="JourAppl">#REF!</definedName>
    <definedName name="JourCat">#REF!</definedName>
    <definedName name="JourDB">#REF!</definedName>
    <definedName name="JourDesc">#REF!</definedName>
    <definedName name="JourEntity">#REF!</definedName>
    <definedName name="JourFreq">#REF!</definedName>
    <definedName name="JOURNAL">#REF!</definedName>
    <definedName name="JourRef">#REF!</definedName>
    <definedName name="jul">[6]FY2000!$W$268:$AG$308</definedName>
    <definedName name="Jul_2004_MCG">#REF!</definedName>
    <definedName name="JULY_2003_MCG">#REF!</definedName>
    <definedName name="JulyPricing_ICTRUCK__List">#REF!</definedName>
    <definedName name="jun">[6]FY2000!$W$225:$AG$265</definedName>
    <definedName name="Jun_2004_MCG">#REF!</definedName>
    <definedName name="JUNE_2003_MCG">#REF!</definedName>
    <definedName name="JUNK">#REF!</definedName>
    <definedName name="KIAC">#REF!</definedName>
    <definedName name="KMENU">#REF!</definedName>
    <definedName name="Kopt">#REF!</definedName>
    <definedName name="L">#REF!</definedName>
    <definedName name="LASTYEAR">'[71]Start Balance'!$C$10</definedName>
    <definedName name="LDAF_recon1">#REF!</definedName>
    <definedName name="LDAF_recon2">#REF!</definedName>
    <definedName name="LDGRTH">#REF!</definedName>
    <definedName name="lev">#REF!</definedName>
    <definedName name="LI_Bill_Fuel_Com_Rev">#REF!</definedName>
    <definedName name="LI10yrNormal">#REF!</definedName>
    <definedName name="LI20yrNormal">#REF!</definedName>
    <definedName name="LI30yrNormal">#REF!</definedName>
    <definedName name="LineLossCapacity">'[55]General Inputs'!$B$8</definedName>
    <definedName name="LineLossEnergy">'[55]General Inputs'!$B$7</definedName>
    <definedName name="LNG">#REF!</definedName>
    <definedName name="LNG_Value">#REF!</definedName>
    <definedName name="loadfac">#REF!</definedName>
    <definedName name="location">#REF!</definedName>
    <definedName name="Locationact">'[53]East of England'!$B$7</definedName>
    <definedName name="Log_Gasday">#REF!</definedName>
    <definedName name="Log_GasdayHour">#REF!</definedName>
    <definedName name="Log_GasdayHourPoints">#REF!</definedName>
    <definedName name="Long_Val">#REF!</definedName>
    <definedName name="Long_Vol">#REF!</definedName>
    <definedName name="LossByClass">#REF!</definedName>
    <definedName name="LossMarByClass">#REF!</definedName>
    <definedName name="LR" localSheetId="1">#REF!</definedName>
    <definedName name="LR">#REF!</definedName>
    <definedName name="LYCAT">#REF!</definedName>
    <definedName name="LYPER">#REF!</definedName>
    <definedName name="LYR">#REF!</definedName>
    <definedName name="m" hidden="1">#REF!</definedName>
    <definedName name="M33ps">[38]Dispatch!#REF!</definedName>
    <definedName name="Macro_pivot_table" localSheetId="2">'Exhibit 2, Page 1'!Macro_pivot_table</definedName>
    <definedName name="Macro_pivot_table" localSheetId="3">'Exhibit 2, Page 2'!Macro_pivot_table</definedName>
    <definedName name="Macro_pivot_table" localSheetId="6">'Exhibit 3, Page 1'!Macro_pivot_table</definedName>
    <definedName name="Macro_pivot_table" localSheetId="7">'Exhibit 3, Page 2'!Macro_pivot_table</definedName>
    <definedName name="Macro_pivot_table">[0]!Macro_pivot_table</definedName>
    <definedName name="mainli">#REF!</definedName>
    <definedName name="MAINMENU">#REF!</definedName>
    <definedName name="mainne">#REF!</definedName>
    <definedName name="mainny">#REF!</definedName>
    <definedName name="Mains">#REF!</definedName>
    <definedName name="man">#REF!</definedName>
    <definedName name="mand">#REF!</definedName>
    <definedName name="mar">[6]FY2000!$W$93:$AG$133</definedName>
    <definedName name="Mar_10">'[28]Mar 10'!$C$2:$G$81</definedName>
    <definedName name="Mar_2004_MCG">#REF!</definedName>
    <definedName name="Mar09Table">[72]Mar09!$B$3:$K$54</definedName>
    <definedName name="MarByRate">#REF!</definedName>
    <definedName name="MARCH_2003_MCG">#REF!</definedName>
    <definedName name="MARGIN">#REF!</definedName>
    <definedName name="Margins">#REF!</definedName>
    <definedName name="MarginSummary">#REF!</definedName>
    <definedName name="MARGRTCL">#REF!</definedName>
    <definedName name="MARKETER">#REF!</definedName>
    <definedName name="Mass_Dist">#REF!</definedName>
    <definedName name="MassCLF">[62]MALoads!$AD$1</definedName>
    <definedName name="MaxLBMPYear">'[55]General Inputs'!$B$71</definedName>
    <definedName name="MaxRows">#REF!</definedName>
    <definedName name="may">[6]FY2000!$W$181:$AG$221</definedName>
    <definedName name="MAY_2003_MCG">#REF!</definedName>
    <definedName name="May_2004_MCG">#REF!</definedName>
    <definedName name="MDCQADJ">#REF!</definedName>
    <definedName name="MeasureCount">'[55]General Inputs'!$B$70</definedName>
    <definedName name="MENU">[73]Menu!#REF!</definedName>
    <definedName name="MergeHead1">#REF!</definedName>
    <definedName name="MergeHead2">#REF!</definedName>
    <definedName name="MergeHead3">#REF!</definedName>
    <definedName name="meterli">#REF!</definedName>
    <definedName name="MeterNe">#REF!</definedName>
    <definedName name="MeterNY">#REF!</definedName>
    <definedName name="meterwk">#REF!</definedName>
    <definedName name="MgnSummary_5Yrs">'[74]Comparison_5yrs(LI)'!$A$1:$F$43</definedName>
    <definedName name="Midconstorage">#REF!</definedName>
    <definedName name="MidMonth2">[62]Data!$L$10</definedName>
    <definedName name="migration">#REF!</definedName>
    <definedName name="MISC">#REF!</definedName>
    <definedName name="MKT_GAS_PRICE">#REF!</definedName>
    <definedName name="MKT_OIL_PRICE">#REF!</definedName>
    <definedName name="MOBIL1_CITYGATE_BACKUP">#REF!</definedName>
    <definedName name="MOBIL2_CITYGATE_BACKUP">#REF!</definedName>
    <definedName name="MODATE">#REF!</definedName>
    <definedName name="MONTH">#REF!</definedName>
    <definedName name="MonthA">'[71]Start Balance'!$D$7</definedName>
    <definedName name="monthInYear">[39]Inputs!$D$10</definedName>
    <definedName name="monthlist">'[75]Range Lists'!$P$2:$U$14</definedName>
    <definedName name="Monthly">[6]FY2000!$E$5:$P$105</definedName>
    <definedName name="MONTHREMAIN">'[10]Start Balance'!$D$8</definedName>
    <definedName name="Months">#REF!</definedName>
    <definedName name="MOORE_ENERGY_CITYGATE_BACKUP">#REF!</definedName>
    <definedName name="MR">#REF!</definedName>
    <definedName name="MRAA">'[76]12mo Print View'!#REF!</definedName>
    <definedName name="MRBA">'[76]12mo Print View'!#REF!</definedName>
    <definedName name="MRFA">'[76]12mo Print View'!#REF!</definedName>
    <definedName name="MRPFA">'[76]12mo Print View'!#REF!</definedName>
    <definedName name="MTM">[77]Pivots!$B$4:$V$58</definedName>
    <definedName name="MTM_Dol">#REF!</definedName>
    <definedName name="MTM_Value">#REF!</definedName>
    <definedName name="N.Unbilled_NonFuel_Rev">[37]MarginSummary!$A$149:$DK$212</definedName>
    <definedName name="NAME">#REF!</definedName>
    <definedName name="NATeftcomm">[56]Rates!#REF!</definedName>
    <definedName name="NATeftfuel">[56]Rates!#REF!</definedName>
    <definedName name="NATesscomm">[56]Rates!#REF!</definedName>
    <definedName name="NATessfuel">[56]Rates!#REF!</definedName>
    <definedName name="NatlFuel_EN">'[78]Pivot Table -12-31-06'!$B$7:$I$8</definedName>
    <definedName name="NATURALCHOICE">#REF!</definedName>
    <definedName name="NCP">#REF!</definedName>
    <definedName name="NDEC">#REF!</definedName>
    <definedName name="NE_ACT_vs_BUD_By_P_L">#REF!</definedName>
    <definedName name="NE_ACT_vs_BUD_By_Type">#REF!</definedName>
    <definedName name="NE_ACT_vs_BUD_Var_Anal">#REF!</definedName>
    <definedName name="NE_ACT_vs_BUD_Var_Anal_YTD">#REF!</definedName>
    <definedName name="NE_DIST_ACT_Reg_Assets">#REF!</definedName>
    <definedName name="NE_DIST_ACT_Summary_Month">#REF!</definedName>
    <definedName name="NE_DIST_ACT_Summary_YTD">#REF!</definedName>
    <definedName name="NE_DIST_BUD_Reg_Assets">#REF!</definedName>
    <definedName name="NE_DIST_BUD_Summary_Month">#REF!</definedName>
    <definedName name="NE_DIST_BUD_Summary_YTD">#REF!</definedName>
    <definedName name="NE_DIST_BUD_vs_ACT">#REF!</definedName>
    <definedName name="NE_DIST_BUD_YTD">#REF!</definedName>
    <definedName name="NE_GAS_ACT_Reg_Assets">#REF!</definedName>
    <definedName name="NE_GAS_ACT_Summary_Month">#REF!</definedName>
    <definedName name="NE_GAS_ACT_Summary_YTD">#REF!</definedName>
    <definedName name="NE_GAS_BUD_vs_ACT">#REF!</definedName>
    <definedName name="NE_Other_ACT_Reg_Assets">#REF!</definedName>
    <definedName name="NE_Other_ACT_Summary_Month">#REF!</definedName>
    <definedName name="NE_Other_ACT_Summary_YTD">#REF!</definedName>
    <definedName name="NE_Other_BUD_Reg_Assets">#REF!</definedName>
    <definedName name="NE_Other_BUD_Summary_Month">#REF!</definedName>
    <definedName name="NE_Other_BUD_Summary_YTD">#REF!</definedName>
    <definedName name="NE_Other_BUD_vs_ACT">#REF!</definedName>
    <definedName name="NE_STD_ACT_Reg_Assets">#REF!</definedName>
    <definedName name="NE_STD_ACT_Summary_Month">#REF!</definedName>
    <definedName name="NE_STD_ACT_Summary_YTD">#REF!</definedName>
    <definedName name="NE_STD_BUD_Reg_Assets">#REF!</definedName>
    <definedName name="NE_STD_BUD_Summary_Month">#REF!</definedName>
    <definedName name="NE_STD_BUD_Summary_YTD">#REF!</definedName>
    <definedName name="NE_STD_BUD_vs_ACT">#REF!</definedName>
    <definedName name="NET">#REF!</definedName>
    <definedName name="NetGrowthByClass">#REF!</definedName>
    <definedName name="NetLockCust">[79]Input!$AS$9:$BL$116</definedName>
    <definedName name="NetMarGrowthByClass">#REF!</definedName>
    <definedName name="NetRepex">#REF!</definedName>
    <definedName name="Network">'[30]Workings 1'!$H$3:$H$10</definedName>
    <definedName name="NEW">#REF!</definedName>
    <definedName name="New_England_Distribution">#REF!</definedName>
    <definedName name="New_Rate">#REF!</definedName>
    <definedName name="newAG" localSheetId="1" hidden="1">{#N/A,#N/A,FALSE,"OIT summ";#N/A,#N/A,FALSE,"otb summ-dental";#N/A,#N/A,FALSE,"otb summ-vision"}</definedName>
    <definedName name="newAG" localSheetId="2" hidden="1">{#N/A,#N/A,FALSE,"OIT summ";#N/A,#N/A,FALSE,"otb summ-dental";#N/A,#N/A,FALSE,"otb summ-vision"}</definedName>
    <definedName name="newAG" localSheetId="3" hidden="1">{#N/A,#N/A,FALSE,"OIT summ";#N/A,#N/A,FALSE,"otb summ-dental";#N/A,#N/A,FALSE,"otb summ-vision"}</definedName>
    <definedName name="newAG" localSheetId="6" hidden="1">{#N/A,#N/A,FALSE,"OIT summ";#N/A,#N/A,FALSE,"otb summ-dental";#N/A,#N/A,FALSE,"otb summ-vision"}</definedName>
    <definedName name="newAG" localSheetId="7" hidden="1">{#N/A,#N/A,FALSE,"OIT summ";#N/A,#N/A,FALSE,"otb summ-dental";#N/A,#N/A,FALSE,"otb summ-vision"}</definedName>
    <definedName name="newAG" hidden="1">{#N/A,#N/A,FALSE,"OIT summ";#N/A,#N/A,FALSE,"otb summ-dental";#N/A,#N/A,FALSE,"otb summ-vision"}</definedName>
    <definedName name="newname" localSheetId="1" hidden="1">{"'Worksheet'!$A$3:$R$184"}</definedName>
    <definedName name="newname" localSheetId="2" hidden="1">{"'Worksheet'!$A$3:$R$184"}</definedName>
    <definedName name="newname" localSheetId="3" hidden="1">{"'Worksheet'!$A$3:$R$184"}</definedName>
    <definedName name="newname" localSheetId="6" hidden="1">{"'Worksheet'!$A$3:$R$184"}</definedName>
    <definedName name="newname" localSheetId="7" hidden="1">{"'Worksheet'!$A$3:$R$184"}</definedName>
    <definedName name="newname" hidden="1">{"'Worksheet'!$A$3:$R$184"}</definedName>
    <definedName name="neww">[80]JE301919!$A$1:$J$31</definedName>
    <definedName name="NF">[81]Dispatch!#REF!</definedName>
    <definedName name="NigasStorage">#REF!</definedName>
    <definedName name="NIMO_DEALTYPE">[82]Data!$A$2:$A$222</definedName>
    <definedName name="NIMO_MONTH">[82]Data!$E$2:$E$222</definedName>
    <definedName name="NIMO_MTM">'[83]Raw Data'!$O$2:$O$500</definedName>
    <definedName name="NIMO_PNL">[82]Data!$N$2:$N$222</definedName>
    <definedName name="nm2008cus">[12]nm2008cus!$A$1:$O$27</definedName>
    <definedName name="nm2008thm">[12]nm2008thm!$A$1:$O$27</definedName>
    <definedName name="nm2009cus">[12]nm2009cus!$A$1:$I$27</definedName>
    <definedName name="nm2009thm">[12]nm2009thm!$A$1:$D$27</definedName>
    <definedName name="nm2010cus">[12]nm2010cus!$A$1:$D$27</definedName>
    <definedName name="nm2010thm">[12]nm2010thm!$A$1:$D$27</definedName>
    <definedName name="nm2011cus">[12]nm2011cus!$A$1:$D$30</definedName>
    <definedName name="nm2011cus6D">[12]nm2011cus_6D!$A$1:$G$30</definedName>
    <definedName name="nm2011thm">[12]nm2011thm!$A$1:$D$30</definedName>
    <definedName name="nm2011thm6D">[12]nm2011thm_6D!$A$1:$G$30</definedName>
    <definedName name="nondomserv">#REF!</definedName>
    <definedName name="Nonpolover">#REF!</definedName>
    <definedName name="Nonpolunder">#REF!</definedName>
    <definedName name="nonrechargedivers">#REF!</definedName>
    <definedName name="norm_1">#REF!</definedName>
    <definedName name="norm_2">#REF!</definedName>
    <definedName name="norm_3">#REF!</definedName>
    <definedName name="Norm_Billed_Vol">#REF!</definedName>
    <definedName name="NOTE2">#REF!</definedName>
    <definedName name="nov">[6]FY2000!$W$438:$AG$478</definedName>
    <definedName name="Nov_09">'[28]Nov 09'!$C$2:$G$69</definedName>
    <definedName name="NOV_2003_MCG">#REF!</definedName>
    <definedName name="NR">!$A2:$IV2</definedName>
    <definedName name="NvsASD">"V2008-12-31"</definedName>
    <definedName name="NvsAutoDrillOk">"VN"</definedName>
    <definedName name="NvsElapsedTime">0.0000462962998426519</definedName>
    <definedName name="NvsEndTime">39267.0697453704</definedName>
    <definedName name="NvsInstLang">"VENG"</definedName>
    <definedName name="NvsInstSpec">"%,FBUSINESS_UNIT,V00005"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"V2003-11-14"</definedName>
    <definedName name="NvsPanelSetid">"VSHARE"</definedName>
    <definedName name="NvsReqBU">"VNVSDD"</definedName>
    <definedName name="NvsReqBUOnly">"VN"</definedName>
    <definedName name="NvsStyleNme">"NoFormat.xls"</definedName>
    <definedName name="NvsTransLed">"VN"</definedName>
    <definedName name="NvsTreeASD">"V2008-12-31"</definedName>
    <definedName name="NvsValTbl.ACCOUNT">"GL_ACCOUNT_TBL"</definedName>
    <definedName name="NvsValTbl.AFFILIATE_INTRA1">"AFFINTRA1_VW"</definedName>
    <definedName name="NvsValTbl.BUSINESS_UNIT">"BUS_UNIT_TBL_FS"</definedName>
    <definedName name="NvsValTbl.CHARTFIELD2">"CHARTFIELD2_TBL"</definedName>
    <definedName name="NvsValTbl.CHARTFIELD3">"CHARTFIELD3_TBL"</definedName>
    <definedName name="NvsValTbl.CURRENCY_CD">"CHARTFIELD2_TBL"</definedName>
    <definedName name="NvsValTbl.OPERATING_UNIT">"OPER_UNIT_TBL"</definedName>
    <definedName name="NvsValTbl.PRODUCT">"PRODUCT_TBL"</definedName>
    <definedName name="NvsValTbl.PROGRAM_CODE">"PROGRAM_TBL"</definedName>
    <definedName name="NvsValTbl.SCENARIO">"BD_SCENARIO_TBL"</definedName>
    <definedName name="NvsValTbl.STATISTICS_CODE">"STAT_TBL"</definedName>
    <definedName name="NvsValTbl.TREE_NODE">"TREE_NODE_VW"</definedName>
    <definedName name="NY_ACT_vs_BUD_By_Type">#REF!</definedName>
    <definedName name="NY_ACT_vs_BUD_Var_Anal">#REF!</definedName>
    <definedName name="NY_ACT_vs_BUD_Var_Anal_YTD">#REF!</definedName>
    <definedName name="NY_Base">#REF!</definedName>
    <definedName name="NY_BUD_vs_ACT_By_P_L">#REF!</definedName>
    <definedName name="NY_Cust_Dis">#REF!</definedName>
    <definedName name="NY_DIST_ACT_Reg_Assets">#REF!</definedName>
    <definedName name="NY_DIST_ACT_Summary_Month">#REF!</definedName>
    <definedName name="NY_DIST_ACT_Summary_YTD">#REF!</definedName>
    <definedName name="NY_DIST_BUD_Reg_Assets">#REF!</definedName>
    <definedName name="NY_DIST_BUD_Summary_Month">#REF!</definedName>
    <definedName name="NY_DIST_BUD_Summary_YTD">#REF!</definedName>
    <definedName name="NY_DIST_BUD_vs_ACT">#REF!</definedName>
    <definedName name="NY_FIRM_SLOPE">#REF!</definedName>
    <definedName name="NY_GAS_ACT_Reg_Assets">#REF!</definedName>
    <definedName name="NY_GAS_ACT_Summary_Month">#REF!</definedName>
    <definedName name="NY_GAS_ACT_Summary_YTD">#REF!</definedName>
    <definedName name="NY_GAS_BUD_Reg_Assets">#REF!</definedName>
    <definedName name="NY_GAS_BUD_Summary_Month">#REF!</definedName>
    <definedName name="NY_GAS_BUD_Summary_YTD">#REF!</definedName>
    <definedName name="NY_GAS_BUD_vs_ACT">#REF!</definedName>
    <definedName name="NY_STD_ACT_Reg_Assets">#REF!</definedName>
    <definedName name="NY_STD_ACT_Summary_Month">#REF!</definedName>
    <definedName name="NY_STD_ACT_Summary_YTD">#REF!</definedName>
    <definedName name="NY_STD_BUD_Reg_Assets">#REF!</definedName>
    <definedName name="NY_STD_BUD_Summary_Month">#REF!</definedName>
    <definedName name="NY_STD_BUD_Summary_YTD">#REF!</definedName>
    <definedName name="NY_STD_BUD_vs_ACT">#REF!</definedName>
    <definedName name="NY_TCBASE">#REF!</definedName>
    <definedName name="NY_TCSLOPE">#REF!</definedName>
    <definedName name="NY20yrNormal">#REF!</definedName>
    <definedName name="NY30yrNormal">#REF!</definedName>
    <definedName name="NYC">#REF!</definedName>
    <definedName name="NYMEX">#REF!</definedName>
    <definedName name="NYPA">#REF!</definedName>
    <definedName name="NYPAPILG">#REF!</definedName>
    <definedName name="Oct">[6]FY2000!$W$396:$AG$436</definedName>
    <definedName name="Oct_16_2008">#REF!</definedName>
    <definedName name="OCT_2003_MCG">#REF!</definedName>
    <definedName name="Oct2004_MCG">#REF!</definedName>
    <definedName name="OFFSYSTEMSALES">#REF!</definedName>
    <definedName name="OFFSYSTEMTRANSP">#REF!</definedName>
    <definedName name="OIL">#REF!</definedName>
    <definedName name="Old_Rate">#REF!</definedName>
    <definedName name="OnPeak">[84]Data!#REF!</definedName>
    <definedName name="OP">'[13]Page 1-Off Peak'!$I$7</definedName>
    <definedName name="opco">#REF!</definedName>
    <definedName name="optAdders">#REF!</definedName>
    <definedName name="Options">#REF!</definedName>
    <definedName name="org">#REF!</definedName>
    <definedName name="Originator">[70]IS!#REF!</definedName>
    <definedName name="OTCOPT_MONTH">[85]OPTIONS!$H$2:$H$100</definedName>
    <definedName name="OTCOPT_PNL">[85]OPTIONS!$AF$2:$AF$100</definedName>
    <definedName name="OUTCMP">'[22]Var. Anal.'!#REF!</definedName>
    <definedName name="OUTPUT">#REF!</definedName>
    <definedName name="Over_Under_ACT_mth">#REF!</definedName>
    <definedName name="Over_Under_ACT_YTD">#REF!</definedName>
    <definedName name="Over_Under_BUD">#REF!</definedName>
    <definedName name="Over_Under_BUD_mth">#REF!</definedName>
    <definedName name="Over_Under_BUD_vs_ACT">#REF!</definedName>
    <definedName name="Over_Under_BUD_ytd">#REF!</definedName>
    <definedName name="Over_Unders_ACT">#REF!</definedName>
    <definedName name="PAGE1">#REF!</definedName>
    <definedName name="page10">'[6]Not in Use'!$B$4:$Q$67</definedName>
    <definedName name="PAGE11">#REF!</definedName>
    <definedName name="page12">#REF!</definedName>
    <definedName name="PAGE123">#REF!</definedName>
    <definedName name="page13">#REF!</definedName>
    <definedName name="page14">#REF!</definedName>
    <definedName name="page15">#REF!</definedName>
    <definedName name="PAGE16">#REF!</definedName>
    <definedName name="PAGE16A">#REF!</definedName>
    <definedName name="page17">#REF!</definedName>
    <definedName name="page18">#REF!</definedName>
    <definedName name="page19">#REF!</definedName>
    <definedName name="PAGE1A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5">#REF!</definedName>
    <definedName name="PAGE5A">#REF!</definedName>
    <definedName name="page6">#REF!</definedName>
    <definedName name="page7">#REF!</definedName>
    <definedName name="page8">#REF!</definedName>
    <definedName name="PAGE8A">#REF!</definedName>
    <definedName name="page9">#REF!</definedName>
    <definedName name="PAGE9A">#REF!</definedName>
    <definedName name="pageg">#REF!</definedName>
    <definedName name="PageI1">#REF!</definedName>
    <definedName name="PageI2">#REF!</definedName>
    <definedName name="PageI3">#REF!</definedName>
    <definedName name="PageI4">#REF!</definedName>
    <definedName name="PageI5">#REF!</definedName>
    <definedName name="PageOff">'[86]6P1_Index'!$J$5</definedName>
    <definedName name="PC10A">#REF!</definedName>
    <definedName name="PC10B">#REF!</definedName>
    <definedName name="PC11A">#REF!</definedName>
    <definedName name="PC11B">#REF!</definedName>
    <definedName name="PC12A">#REF!</definedName>
    <definedName name="PC12B">#REF!</definedName>
    <definedName name="PC1A">#REF!</definedName>
    <definedName name="PC1B">#REF!</definedName>
    <definedName name="PC2A">#REF!</definedName>
    <definedName name="PC2B">#REF!</definedName>
    <definedName name="PC3A">#REF!</definedName>
    <definedName name="PC3B">#REF!</definedName>
    <definedName name="PC4A">#REF!</definedName>
    <definedName name="PC4B">#REF!</definedName>
    <definedName name="PC5A">#REF!</definedName>
    <definedName name="PC5B">#REF!</definedName>
    <definedName name="PC6A">#REF!</definedName>
    <definedName name="PC6B">#REF!</definedName>
    <definedName name="PC7A">#REF!</definedName>
    <definedName name="PC7B">#REF!</definedName>
    <definedName name="PC8A">#REF!</definedName>
    <definedName name="PC8B">#REF!</definedName>
    <definedName name="PC9A">#REF!</definedName>
    <definedName name="PC9B">#REF!</definedName>
    <definedName name="PCR">'[30]Workings 1'!$K$23:$K$24</definedName>
    <definedName name="pdate1base">#REF!</definedName>
    <definedName name="pdate1contract">#REF!</definedName>
    <definedName name="pdate1posting">#REF!</definedName>
    <definedName name="pdate3base">#REF!</definedName>
    <definedName name="pdate3contract">#REF!</definedName>
    <definedName name="pdate3posting">#REF!</definedName>
    <definedName name="pdate7base">#REF!</definedName>
    <definedName name="pdate7contract">#REF!</definedName>
    <definedName name="pdate7posting">#REF!</definedName>
    <definedName name="PdateBargeIC">#REF!</definedName>
    <definedName name="PdateBargeKero">#REF!</definedName>
    <definedName name="PdateIgnition">#REF!</definedName>
    <definedName name="PdateTruckIC">#REF!</definedName>
    <definedName name="PdateTruckKero">#REF!</definedName>
    <definedName name="PdateTruckTaxIC">#REF!</definedName>
    <definedName name="PdateTruckTaxKero">#REF!</definedName>
    <definedName name="Peachtree">#REF!</definedName>
    <definedName name="PeakAdjs">#REF!</definedName>
    <definedName name="PeakAdjs_LI">#REF!</definedName>
    <definedName name="PeakDem">'[13]Page 8'!$A$26:$E$27</definedName>
    <definedName name="penny">[87]GLEntry!$A$1:$D$40</definedName>
    <definedName name="PER">#REF!</definedName>
    <definedName name="PER10A">#REF!</definedName>
    <definedName name="PER10B">#REF!</definedName>
    <definedName name="PER11A">#REF!</definedName>
    <definedName name="PER11B">#REF!</definedName>
    <definedName name="PER12A">#REF!</definedName>
    <definedName name="PER12B">#REF!</definedName>
    <definedName name="PER1A">#REF!</definedName>
    <definedName name="PER1B">#REF!</definedName>
    <definedName name="PER2A">#REF!</definedName>
    <definedName name="PER2B">#REF!</definedName>
    <definedName name="PER3A">#REF!</definedName>
    <definedName name="PER3B">#REF!</definedName>
    <definedName name="PER4A">#REF!</definedName>
    <definedName name="PER4B">#REF!</definedName>
    <definedName name="PER5A">#REF!</definedName>
    <definedName name="PER5B">#REF!</definedName>
    <definedName name="PER6A">#REF!</definedName>
    <definedName name="PER6B">#REF!</definedName>
    <definedName name="PER7A">#REF!</definedName>
    <definedName name="PER7B">#REF!</definedName>
    <definedName name="PER8A">#REF!</definedName>
    <definedName name="PER8B">#REF!</definedName>
    <definedName name="PER9A">#REF!</definedName>
    <definedName name="PER9B">#REF!</definedName>
    <definedName name="Period">#REF!</definedName>
    <definedName name="Period0405">[26]Settings!$C$7</definedName>
    <definedName name="Period0506">[26]Settings!$C$8</definedName>
    <definedName name="Period0607">[26]Settings!$C$9</definedName>
    <definedName name="Period0708">[26]Settings!$C$10</definedName>
    <definedName name="Period0809">[26]Settings!$C$11</definedName>
    <definedName name="Period0910">[26]Settings!$C$12</definedName>
    <definedName name="Period1011">[26]Settings!$C$13</definedName>
    <definedName name="Period1112">[26]Settings!$C$14</definedName>
    <definedName name="Period1213">[26]Settings!$C$15</definedName>
    <definedName name="PeriodA">[88]Start!$C$26</definedName>
    <definedName name="PeriodIndex">#REF!</definedName>
    <definedName name="PeriodTable">#REF!</definedName>
    <definedName name="PF">'[13]Page 1-Peak'!$A$4:$I$30</definedName>
    <definedName name="PG24A">#REF!</definedName>
    <definedName name="PG25A">#REF!</definedName>
    <definedName name="PG7_8">#REF!</definedName>
    <definedName name="PG85A">#REF!</definedName>
    <definedName name="Pillar">#REF!</definedName>
    <definedName name="PILLAR1">#REF!</definedName>
    <definedName name="PILLAR2">#REF!</definedName>
    <definedName name="PILLAR3">#REF!</definedName>
    <definedName name="pipeline">[89]Data!$C$20:$C$32</definedName>
    <definedName name="Pivot_BookValue">#REF!</definedName>
    <definedName name="Pivot_Location">#REF!</definedName>
    <definedName name="Pivot_MTM">#REF!</definedName>
    <definedName name="Pivot_Realized">#REF!</definedName>
    <definedName name="Pivot_Unrealized">#REF!</definedName>
    <definedName name="Pivot_Wacog">#REF!</definedName>
    <definedName name="Pivot_Wasp">#REF!</definedName>
    <definedName name="pklook">#REF!</definedName>
    <definedName name="PlanFrequency">[26]Settings!$C$17</definedName>
    <definedName name="Pmcall">#REF!</definedName>
    <definedName name="pmdata">#REF!</definedName>
    <definedName name="PMPG10">'[20]10'!#REF!</definedName>
    <definedName name="PMPG12">'[90]12'!#REF!</definedName>
    <definedName name="PMPG18">#REF!</definedName>
    <definedName name="PMPG24">#REF!</definedName>
    <definedName name="PMPG24A">#REF!</definedName>
    <definedName name="PMPG25">#REF!</definedName>
    <definedName name="PMPG26">'[20]2627'!#REF!</definedName>
    <definedName name="PMPG27">'[20]2627'!#REF!</definedName>
    <definedName name="PMPG28">'[20]2829'!#REF!</definedName>
    <definedName name="PMPG29">'[20]2829'!#REF!</definedName>
    <definedName name="PMPG43">'[20]43'!#REF!</definedName>
    <definedName name="PMPG47">'[20]47'!#REF!</definedName>
    <definedName name="PMPG63">#REF!</definedName>
    <definedName name="PMPG7_8">#REF!</definedName>
    <definedName name="PMPG70_71">'[20]7071'!#REF!</definedName>
    <definedName name="PMPG72_77">#REF!</definedName>
    <definedName name="PMPG81">'[90]8181a'!#REF!</definedName>
    <definedName name="PMPG83">#REF!</definedName>
    <definedName name="PMPG84">#REF!</definedName>
    <definedName name="PMPG85">'[20]85'!#REF!</definedName>
    <definedName name="PMPG85A">#REF!</definedName>
    <definedName name="PMPG86">'[20]86'!#REF!</definedName>
    <definedName name="PMPG89_90">#REF!</definedName>
    <definedName name="PMPG91_92">#REF!</definedName>
    <definedName name="PNL">'[41]Nucleus Trade Detail_Futures'!$L$2:$L$268</definedName>
    <definedName name="pnymex">#REF!</definedName>
    <definedName name="point">[89]Data!$D$34:$D$96</definedName>
    <definedName name="pointNameHeader">#REF!</definedName>
    <definedName name="Policyover">#REF!</definedName>
    <definedName name="Policyunder">#REF!</definedName>
    <definedName name="Pool_Codes">[91]Points!$C$2:$C$27</definedName>
    <definedName name="POS">[92]DATA!#REF!</definedName>
    <definedName name="PPData">#REF!</definedName>
    <definedName name="PPData2">#REF!</definedName>
    <definedName name="PR">!$A65536:$IV65536</definedName>
    <definedName name="PRad1">#REF!</definedName>
    <definedName name="PRad2">#REF!</definedName>
    <definedName name="PRad2Tax">#REF!</definedName>
    <definedName name="PRadIgnition">#REF!</definedName>
    <definedName name="Premopt">#REF!</definedName>
    <definedName name="price">#REF!</definedName>
    <definedName name="Price_Summary">#REF!</definedName>
    <definedName name="prices">#REF!</definedName>
    <definedName name="PRINT">#REF!</definedName>
    <definedName name="Print_1">#REF!</definedName>
    <definedName name="_xlnm.Print_Area" localSheetId="0">'Exhibit 1, Page 1'!$A$1:$I$83</definedName>
    <definedName name="_xlnm.Print_Area" localSheetId="1">'Exhibit 1, Page 2'!$A$1:$M$56</definedName>
    <definedName name="_xlnm.Print_Area" localSheetId="2">'Exhibit 2, Page 1'!$A$1:$G$42</definedName>
    <definedName name="_xlnm.Print_Area" localSheetId="3">'Exhibit 2, Page 2'!$A$1:$G$57</definedName>
    <definedName name="_xlnm.Print_Area" localSheetId="4">'Exhibit 2, Page 3'!$A$1:$I$74</definedName>
    <definedName name="_xlnm.Print_Area" localSheetId="5">'Exhibit 2, Page 4'!$A$1:$I$74</definedName>
    <definedName name="_xlnm.Print_Area" localSheetId="6">'Exhibit 3, Page 1'!$A$1:$G$42</definedName>
    <definedName name="_xlnm.Print_Area" localSheetId="7">'Exhibit 3, Page 2'!$A$1:$G$57</definedName>
    <definedName name="_xlnm.Print_Area" localSheetId="8">'Exhibit 3, Page 3'!$A$1:$I$74</definedName>
    <definedName name="_xlnm.Print_Area" localSheetId="9">'Exhibit 3, Page 4'!$A$1:$I$74</definedName>
    <definedName name="_xlnm.Print_Area">#REF!</definedName>
    <definedName name="Print_Area_MI">#REF!</definedName>
    <definedName name="print_Area1">[93]IS!$A$1:$BG$77</definedName>
    <definedName name="Print_Area2">#REF!</definedName>
    <definedName name="Print_Area3">#REF!</definedName>
    <definedName name="print_summary">#REF!</definedName>
    <definedName name="_xlnm.Print_Titles">#N/A</definedName>
    <definedName name="Print_Titles_MI">#REF!</definedName>
    <definedName name="print1">#REF!</definedName>
    <definedName name="PRINT2">#REF!</definedName>
    <definedName name="PRINT3">#REF!</definedName>
    <definedName name="PRINT5">#REF!</definedName>
    <definedName name="printarea_12">'[17]FSO Data'!#REF!</definedName>
    <definedName name="Prior_month">#REF!</definedName>
    <definedName name="prior_month_year">#REF!</definedName>
    <definedName name="Prior_Year">'[25]Actual0809 £'!$A$38:$AX$145</definedName>
    <definedName name="PriorVol">'[94]Summary Graphs'!$BP$6:$CE$70</definedName>
    <definedName name="Process">#REF!</definedName>
    <definedName name="Proj_Exp" localSheetId="1">#REF!</definedName>
    <definedName name="Proj_Exp">#REF!</definedName>
    <definedName name="projinfo">#REF!</definedName>
    <definedName name="proposed">#REF!</definedName>
    <definedName name="proptax1">'[95]General Taxes'!#REF!</definedName>
    <definedName name="proptax2">'[95]General Taxes'!#REF!</definedName>
    <definedName name="proptax3">'[95]General Taxes'!#REF!</definedName>
    <definedName name="proptax4">'[95]General Taxes'!#REF!</definedName>
    <definedName name="proptax5">'[95]General Taxes'!#REF!</definedName>
    <definedName name="proptax6">'[95]General Taxes'!#REF!</definedName>
    <definedName name="prtpge1">#REF!</definedName>
    <definedName name="prtpge2">#REF!</definedName>
    <definedName name="prtpge3">#REF!</definedName>
    <definedName name="prtpge4">#REF!</definedName>
    <definedName name="prtpge5">#REF!</definedName>
    <definedName name="prtpge6">#REF!</definedName>
    <definedName name="prtpge7">#REF!</definedName>
    <definedName name="prtpge8">#REF!</definedName>
    <definedName name="prtpge9">#REF!</definedName>
    <definedName name="PSDATA">#REF!</definedName>
    <definedName name="PSEG">[96]Optimals!#REF!</definedName>
    <definedName name="pswaps">#REF!</definedName>
    <definedName name="pupu">#REF!</definedName>
    <definedName name="PURCHASEDOLLARS">'[43]Nucleus Trade Detail_Futures'!$K$2:$K$500</definedName>
    <definedName name="PURCHASES">#REF!</definedName>
    <definedName name="PYE">'[94]Summary Graphs'!$CM$6:$DA$75</definedName>
    <definedName name="q_eco_NMD">#REF!</definedName>
    <definedName name="q_eco_NMD_M">#REF!</definedName>
    <definedName name="QUARCMP">'[22]Var. Anal.'!#REF!</definedName>
    <definedName name="R_">#REF!</definedName>
    <definedName name="RAC">#REF!</definedName>
    <definedName name="Rad1Tax">#REF!</definedName>
    <definedName name="Rad2Tax">#REF!</definedName>
    <definedName name="RadIgnition">#REF!</definedName>
    <definedName name="RANGE2">#REF!</definedName>
    <definedName name="Ratchet">[38]Dispatch!#REF!</definedName>
    <definedName name="ratchetFSS">[38]Dispatch!#REF!</definedName>
    <definedName name="ratchetGSS">[38]Dispatch!#REF!</definedName>
    <definedName name="ratchetSS1">[38]Dispatch!#REF!</definedName>
    <definedName name="rate_1a">#REF!</definedName>
    <definedName name="Rate_1b">#REF!</definedName>
    <definedName name="Rate_table">#REF!</definedName>
    <definedName name="RATE6">#REF!</definedName>
    <definedName name="RATEG17">#REF!</definedName>
    <definedName name="RATEG41">#REF!</definedName>
    <definedName name="RATEG42">#REF!</definedName>
    <definedName name="RATEG43">#REF!</definedName>
    <definedName name="RATEG45">#REF!</definedName>
    <definedName name="RATEG51">#REF!</definedName>
    <definedName name="RATEG52">#REF!</definedName>
    <definedName name="RATEG53">#REF!</definedName>
    <definedName name="RATEG54">#REF!</definedName>
    <definedName name="RATEG55">#REF!</definedName>
    <definedName name="RATEG61">#REF!</definedName>
    <definedName name="RATEG62">#REF!</definedName>
    <definedName name="RATEG63">#REF!</definedName>
    <definedName name="RATEG7">#REF!</definedName>
    <definedName name="RATEG7A">#REF!</definedName>
    <definedName name="RATEITHLF">#REF!</definedName>
    <definedName name="RATEITLLF">#REF!</definedName>
    <definedName name="RATER1">#REF!</definedName>
    <definedName name="RATER2">#REF!</definedName>
    <definedName name="RATER3">#REF!</definedName>
    <definedName name="RATER4">#REF!</definedName>
    <definedName name="Rates">#REF!</definedName>
    <definedName name="RATES1">#REF!</definedName>
    <definedName name="RB">#REF!</definedName>
    <definedName name="rCapEx">'[86]Inputs SL'!$B$2</definedName>
    <definedName name="rDate">[86]Global!$C$16</definedName>
    <definedName name="rDiff">'[86]Inputs SL'!$B$12</definedName>
    <definedName name="rDocket">[86]Global!$C$7</definedName>
    <definedName name="REACQUISITION">#REF!</definedName>
    <definedName name="REC">#REF!</definedName>
    <definedName name="rechargedivers">#REF!</definedName>
    <definedName name="Recon">'[97]Basic-Default'!#REF!</definedName>
    <definedName name="RECONCILIATION">#REF!</definedName>
    <definedName name="Reference">[70]IS!#REF!</definedName>
    <definedName name="reg">#REF!</definedName>
    <definedName name="Region">#REF!</definedName>
    <definedName name="RegionList">'[55]General Inputs'!$C$64:$C$65</definedName>
    <definedName name="reinover">#REF!</definedName>
    <definedName name="reinunder">#REF!</definedName>
    <definedName name="RemainStorageVolume">[38]Dispatch!#REF!</definedName>
    <definedName name="RemBL4Inject">[38]Dispatch!#REF!</definedName>
    <definedName name="RemGDM4Inject">[38]Dispatch!#REF!</definedName>
    <definedName name="RemInjRat1">[38]Dispatch!#REF!</definedName>
    <definedName name="RemInjVol1">[38]Dispatch!#REF!</definedName>
    <definedName name="RemPipCap1">[38]Dispatch!#REF!</definedName>
    <definedName name="RemSup1">[38]Dispatch!#REF!</definedName>
    <definedName name="RepexData">#REF!</definedName>
    <definedName name="REQ">#REF!</definedName>
    <definedName name="Resid">#REF!</definedName>
    <definedName name="RET">'[98]Cap Structure'!$I$24</definedName>
    <definedName name="retireinput">#REF!</definedName>
    <definedName name="Rev_Chg">#REF!</definedName>
    <definedName name="Rev_Est" localSheetId="1">#REF!</definedName>
    <definedName name="Rev_Est">#REF!</definedName>
    <definedName name="Revenue">#REF!</definedName>
    <definedName name="Reverse_auction">#REF!</definedName>
    <definedName name="Review">#REF!</definedName>
    <definedName name="revised">#REF!</definedName>
    <definedName name="REVREQ">[2]LIRevReq!#REF!</definedName>
    <definedName name="REVSUM">#REF!</definedName>
    <definedName name="rExh4">[86]Global!$C$9</definedName>
    <definedName name="rExh5">[86]Global!$C$10</definedName>
    <definedName name="rExh6">[86]Global!$C$11</definedName>
    <definedName name="rExhRRP5">[86]Global!$C$14</definedName>
    <definedName name="rFuncTitle">[46]Functions!$B$1:$B$65536</definedName>
    <definedName name="rgeClasses1">[99]Total!$F$7:$AA$7</definedName>
    <definedName name="rgeClasses2">[99]Total!$F$8:$AA$8</definedName>
    <definedName name="rgeClasses3">[99]Total!$F$9:$AA$9</definedName>
    <definedName name="RH_1">[49]Index!$D$1</definedName>
    <definedName name="RH_2">[49]Index!$D$2</definedName>
    <definedName name="RH_3">[49]Index!$D$3</definedName>
    <definedName name="rHO_Name">[86]Global!$C$18</definedName>
    <definedName name="rLast">[49]Index!$G$68</definedName>
    <definedName name="rlo">'[100]COS p1'!$R$8</definedName>
    <definedName name="rMECO">[86]Global!$C$20</definedName>
    <definedName name="rNECO">[86]Global!$C$21</definedName>
    <definedName name="ROLL">#REF!</definedName>
    <definedName name="rPages">[49]Index!$F$18:$G$66</definedName>
    <definedName name="rSL_Inc">'[86]Inputs SL'!$B$10</definedName>
    <definedName name="rSL_Inc1">'[86]Inputs SL'!$B$15</definedName>
    <definedName name="rSmart">'[86]Inputs SL'!$B$4</definedName>
    <definedName name="rSolar">'[86]Inputs SL'!$B$3</definedName>
    <definedName name="rTitle1">[86]Global!$C$4</definedName>
    <definedName name="rTitle2">[86]Global!$C$5</definedName>
    <definedName name="rTitle3">[86]Global!$C$6</definedName>
    <definedName name="rTitleGrid">[86]Global!$C$23</definedName>
    <definedName name="rTotRates">'[86]6P1_Index'!$H$2</definedName>
    <definedName name="RWE">#REF!</definedName>
    <definedName name="SALES">#REF!</definedName>
    <definedName name="SALES2">#REF!</definedName>
    <definedName name="SALESSUMMARY">#REF!</definedName>
    <definedName name="SalesVol">'[101]Graph-SalesVol(NY)'!$B$3:$M$38</definedName>
    <definedName name="SCALE">#REF!</definedName>
    <definedName name="scdata">#REF!</definedName>
    <definedName name="SCHEDULE_1">#REF!</definedName>
    <definedName name="SCHEDULE_1.EXT">#REF!</definedName>
    <definedName name="SCHEDULE_3">#REF!</definedName>
    <definedName name="SCHEDULE_4.EXT">#REF!</definedName>
    <definedName name="SCHEDULE_5.EXT">#REF!</definedName>
    <definedName name="SCHEDULE_6">#REF!</definedName>
    <definedName name="SCHEDULE_6.EXT">#REF!</definedName>
    <definedName name="SCHEDULE_7.1">#REF!</definedName>
    <definedName name="SCHEDULE_7.2">#REF!</definedName>
    <definedName name="SCHEDULE_8">#REF!</definedName>
    <definedName name="SCHEDULE_9.1">#REF!</definedName>
    <definedName name="SCHEDULE_9.2">#REF!</definedName>
    <definedName name="SCHEDULEA">#REF!</definedName>
    <definedName name="SCN">#REF!</definedName>
    <definedName name="sdate">#REF!</definedName>
    <definedName name="SDVolume">[38]Dispatch!#REF!</definedName>
    <definedName name="SEG">#REF!</definedName>
    <definedName name="SEGNAME">#REF!</definedName>
    <definedName name="SENDOUT">#REF!</definedName>
    <definedName name="sens">'[102]Int Model'!$C$1</definedName>
    <definedName name="sep">[6]FY2000!$W$354:$AG$394</definedName>
    <definedName name="Sep2004_MCG">#REF!</definedName>
    <definedName name="SEPT_2003_MCG">#REF!</definedName>
    <definedName name="Services">#REF!</definedName>
    <definedName name="SFV">#REF!</definedName>
    <definedName name="sheetno27">#REF!</definedName>
    <definedName name="SHELL1_CITYGATE_BACKUP">#REF!</definedName>
    <definedName name="SHELL2_CITYGATE_BACKUP">#REF!</definedName>
    <definedName name="Short_Val">#REF!</definedName>
    <definedName name="Short_Vol">#REF!</definedName>
    <definedName name="SIT">'[61]NIMO-2MRR'!$C$34</definedName>
    <definedName name="SITalt">#REF!</definedName>
    <definedName name="SITalt2">'[61]3MRR'!$C$35</definedName>
    <definedName name="SO_Rev" localSheetId="1">#REF!</definedName>
    <definedName name="SO_Rev">#REF!</definedName>
    <definedName name="Sorted">#REF!</definedName>
    <definedName name="SPOT_FIRM_ON_TEXAS_GAS">#REF!</definedName>
    <definedName name="SPP_ANE_BOUNDARY_CITYGATE">#REF!</definedName>
    <definedName name="SPP_ANE_BOUNDARY_SUMMARY">#REF!</definedName>
    <definedName name="SS1injAft3ps">[38]Dispatch!#REF!</definedName>
    <definedName name="SS1injAftFOM">[38]Dispatch!#REF!</definedName>
    <definedName name="StartYear">'[55]General Inputs'!$B$69</definedName>
    <definedName name="stat">#REF!</definedName>
    <definedName name="stat1">#REF!</definedName>
    <definedName name="Status">#REF!</definedName>
    <definedName name="stgdatabase">#REF!</definedName>
    <definedName name="STKopt">#REF!</definedName>
    <definedName name="STMT">#REF!</definedName>
    <definedName name="stor1">#REF!</definedName>
    <definedName name="stor10">#REF!</definedName>
    <definedName name="stor11">#REF!</definedName>
    <definedName name="stor12">#REF!</definedName>
    <definedName name="stor13">#REF!</definedName>
    <definedName name="stor14">#REF!</definedName>
    <definedName name="stor15">#REF!</definedName>
    <definedName name="stor16">#REF!</definedName>
    <definedName name="stor17">#REF!</definedName>
    <definedName name="stor18">#REF!</definedName>
    <definedName name="stor19">#REF!</definedName>
    <definedName name="stor2">#REF!</definedName>
    <definedName name="stor20">#REF!</definedName>
    <definedName name="stor21">#REF!</definedName>
    <definedName name="stor22">#REF!</definedName>
    <definedName name="stor23">#REF!</definedName>
    <definedName name="stor24">#REF!</definedName>
    <definedName name="stor25">#REF!</definedName>
    <definedName name="stor26">#REF!</definedName>
    <definedName name="stor27">#REF!</definedName>
    <definedName name="stor28">#REF!</definedName>
    <definedName name="stor3">#REF!</definedName>
    <definedName name="stor4">#REF!</definedName>
    <definedName name="stor5">#REF!</definedName>
    <definedName name="stor6">#REF!</definedName>
    <definedName name="stor7">#REF!</definedName>
    <definedName name="stor8">#REF!</definedName>
    <definedName name="stor9">#REF!</definedName>
    <definedName name="STORAGE_DEMAND_AND_SPACE_CHARGE_CITYGATE_BACKUP">#REF!</definedName>
    <definedName name="STORAGE_SPOT">#REF!</definedName>
    <definedName name="STORAGEINJECT">#REF!</definedName>
    <definedName name="STORAGES">#REF!</definedName>
    <definedName name="STORAGEWITHDR">#REF!</definedName>
    <definedName name="STRATEGY">#REF!</definedName>
    <definedName name="STX">[38]Dispatch!#REF!</definedName>
    <definedName name="STX3ps">[38]Dispatch!#REF!</definedName>
    <definedName name="SUBT">#REF!</definedName>
    <definedName name="SUM_SCHED">#REF!</definedName>
    <definedName name="SUM_SENDOUT">#REF!</definedName>
    <definedName name="summary">#REF!</definedName>
    <definedName name="Summary_ACT_vs_BUD_Commodity">#REF!</definedName>
    <definedName name="Summary_ACT_vs_BUD_Cover">#REF!</definedName>
    <definedName name="Summary_ACT_vs_BUD_Stranded">#REF!</definedName>
    <definedName name="Summary_ACT_vs_BUD_US_Distrib_NEG_only">#REF!</definedName>
    <definedName name="Summary_ACT_vs_BUD_US_Distrib_not_NEG">#REF!</definedName>
    <definedName name="Summary_ACT_vs_BUD_US_Distribution_and_Stranded">#REF!</definedName>
    <definedName name="Summary_ACT_vs_BUD_US_Distribution_Detail">#REF!</definedName>
    <definedName name="Summary_ACT_vs_BUD_US_Distribution_Summary">#REF!</definedName>
    <definedName name="Summary_ACT_vs_BUD_Volatility">#REF!</definedName>
    <definedName name="Summary_Commodity">#REF!</definedName>
    <definedName name="Summary_FC_vs_BUD_Cover">#REF!</definedName>
    <definedName name="SUMMARY_PAGE">#REF!</definedName>
    <definedName name="Summary_Stranded">#REF!</definedName>
    <definedName name="Summary_US_Distribution_and_Stranded">#REF!</definedName>
    <definedName name="Summary_US_Distribution_Detail">#REF!</definedName>
    <definedName name="Summary_US_Distribution_Summary">#REF!</definedName>
    <definedName name="Summary_Volatility">#REF!</definedName>
    <definedName name="Summmary_OffPK">[103]Summary!#REF!</definedName>
    <definedName name="sundries">#REF!</definedName>
    <definedName name="Supply_Peak_Period_End">'[32]Summary Bill Impacts'!$D$9</definedName>
    <definedName name="Supply_Peak_Period_Start">'[32]Summary Bill Impacts'!$D$8</definedName>
    <definedName name="SupplyGone">[38]Dispatch!#REF!</definedName>
    <definedName name="supportcosts">#REF!</definedName>
    <definedName name="Surcharge_5YrsSummary">'[104]Comparison_5yrs(LI)'!#REF!</definedName>
    <definedName name="Surcharge_Yr1">#REF!</definedName>
    <definedName name="Surcharge_Yr2">#REF!</definedName>
    <definedName name="Surcharge_Yr3">#REF!</definedName>
    <definedName name="Surcharge_Yr4">#REF!</definedName>
    <definedName name="Surcharge_Yr5">#REF!</definedName>
    <definedName name="SurchargeSummary">#REF!</definedName>
    <definedName name="SUSAN">#REF!</definedName>
    <definedName name="svcli">#REF!</definedName>
    <definedName name="svcNe">#REF!</definedName>
    <definedName name="svcNY">#REF!</definedName>
    <definedName name="SWP_MONTH">'[85]SWAPS&amp;FUTUREs'!$I$2:$I$172</definedName>
    <definedName name="SWP_PNL">'[85]SWAPS&amp;FUTUREs'!$AU$2:$AU$172</definedName>
    <definedName name="T">[2]LIIncSt!#REF!</definedName>
    <definedName name="TABLE">#REF!</definedName>
    <definedName name="table81">#REF!</definedName>
    <definedName name="table82">#REF!</definedName>
    <definedName name="table83">#REF!</definedName>
    <definedName name="table84">#REF!</definedName>
    <definedName name="table85">#REF!</definedName>
    <definedName name="table86">#REF!</definedName>
    <definedName name="table87">#REF!</definedName>
    <definedName name="table88">#REF!</definedName>
    <definedName name="table89">#REF!</definedName>
    <definedName name="table90">#REF!</definedName>
    <definedName name="table91">#REF!</definedName>
    <definedName name="TABLE92">#REF!</definedName>
    <definedName name="TABLE93">#REF!</definedName>
    <definedName name="TABLE94">#REF!</definedName>
    <definedName name="TABLE95">#REF!</definedName>
    <definedName name="TABLE96">#REF!</definedName>
    <definedName name="TABLE97">#REF!</definedName>
    <definedName name="TABLE98">#REF!</definedName>
    <definedName name="table99">#REF!</definedName>
    <definedName name="tableHeaderLoc">#REF!</definedName>
    <definedName name="Talk_to_Annette_regarding_United_storage_management">#REF!</definedName>
    <definedName name="TARGETGRT">[46]Verify!$E$63</definedName>
    <definedName name="TAXRATE">#REF!</definedName>
    <definedName name="TB_Dol">#REF!</definedName>
    <definedName name="TBG">#REF!</definedName>
    <definedName name="tblPages">'[86]6P1_Index'!$B$14:$F$57</definedName>
    <definedName name="TC_Base">#REF!</definedName>
    <definedName name="TC_Forecast">#REF!</definedName>
    <definedName name="TC_Slope">#REF!</definedName>
    <definedName name="TC_Var">#REF!</definedName>
    <definedName name="tcoFuel">[63]Variables!$D$48</definedName>
    <definedName name="TechnologyList">'[55]General Inputs'!$C$52:$C$56</definedName>
    <definedName name="temporary" localSheetId="1" hidden="1">'[105]Nov 02'!#REF!</definedName>
    <definedName name="temporary" hidden="1">'[105]Nov 02'!#REF!</definedName>
    <definedName name="temporary2" localSheetId="1" hidden="1">'[105]Nov 02'!#REF!</definedName>
    <definedName name="temporary2" hidden="1">'[105]Nov 02'!#REF!</definedName>
    <definedName name="TENN1">#REF!</definedName>
    <definedName name="TENNESSEEFT">#REF!</definedName>
    <definedName name="TENNESSEEIT">#REF!</definedName>
    <definedName name="TES_4" localSheetId="1">#REF!</definedName>
    <definedName name="TES_4">#REF!</definedName>
    <definedName name="Test">'[42]Classified-Dec'!$C$250</definedName>
    <definedName name="test_base">#REF!</definedName>
    <definedName name="Tetco_Commodity">#REF!</definedName>
    <definedName name="Tetco_Fuel">#REF!</definedName>
    <definedName name="TETCO1">#REF!</definedName>
    <definedName name="TETCOFSSwd">[38]Dispatch!#REF!</definedName>
    <definedName name="TETCOFT">#REF!</definedName>
    <definedName name="TETCOIT">#REF!</definedName>
    <definedName name="TETCOSS1wd">[38]Dispatch!#REF!</definedName>
    <definedName name="TETelam2comm">[56]Rates!#REF!</definedName>
    <definedName name="TETelam2fuel">[56]Rates!#REF!</definedName>
    <definedName name="TETetxm2comm">[56]Rates!#REF!</definedName>
    <definedName name="TETetxm2fuel">[56]Rates!#REF!</definedName>
    <definedName name="TETstxm2comm">[56]Rates!#REF!</definedName>
    <definedName name="TETstxm2fuel">[56]Rates!#REF!</definedName>
    <definedName name="TETwlam2comm">[56]Rates!#REF!</definedName>
    <definedName name="TETwlam2fuel">[56]Rates!#REF!</definedName>
    <definedName name="TGP_Col">[106]PivotTable!$C$37:$I$43</definedName>
    <definedName name="TGP_EN">'[78]Pivot Table -12-31-06'!$B$12:$I$19</definedName>
    <definedName name="tgtFuel">[63]Variables!$D$45</definedName>
    <definedName name="Title">[62]Data!$B$4</definedName>
    <definedName name="Title_RY">[49]Index!$G$2</definedName>
    <definedName name="Title_TY">[49]Index!$G$1</definedName>
    <definedName name="Title_TY_RY">[49]Index!$A$12</definedName>
    <definedName name="To_Do">#REF!</definedName>
    <definedName name="TOC">'[13]T O C'!$A$3:$C$39</definedName>
    <definedName name="TOCLD">[13]TOCLD!$A$3:$D$22</definedName>
    <definedName name="Today">#REF!</definedName>
    <definedName name="Todayb">#REF!</definedName>
    <definedName name="TOP">#REF!</definedName>
    <definedName name="top_rms">#REF!</definedName>
    <definedName name="Total_Opex">#REF!</definedName>
    <definedName name="totInject">[38]Dispatch!#REF!</definedName>
    <definedName name="tport">#REF!</definedName>
    <definedName name="tport_rates">#REF!</definedName>
    <definedName name="TRAN1">#REF!</definedName>
    <definedName name="trans_type">[89]Data!$A$2:$A$6</definedName>
    <definedName name="TRANSCO">#REF!</definedName>
    <definedName name="TRANSCO_FS_CITYGATE_BACKUP">#REF!</definedName>
    <definedName name="TRANSCOFT">#REF!</definedName>
    <definedName name="TRANSCOIT">#REF!</definedName>
    <definedName name="TranscoS2Fuel">'[107]Lookup Tables, Misc.'!$E$6:$H$10</definedName>
    <definedName name="transcoz2Z6Fuel">[63]Variables!$D$47</definedName>
    <definedName name="transfers">#REF!</definedName>
    <definedName name="TranZ6Z6comm">[56]Rates!#REF!</definedName>
    <definedName name="TranZ6Z6fuel">[56]Rates!#REF!</definedName>
    <definedName name="TRS_1" localSheetId="1">#REF!</definedName>
    <definedName name="TRS_1">#REF!</definedName>
    <definedName name="TRS_10" localSheetId="1">#REF!</definedName>
    <definedName name="TRS_10">#REF!</definedName>
    <definedName name="TRS_11">#REF!</definedName>
    <definedName name="TRS_12">#REF!</definedName>
    <definedName name="TRS_13">#REF!</definedName>
    <definedName name="TRS_2">#REF!</definedName>
    <definedName name="TRS_3">#REF!</definedName>
    <definedName name="TRS_5">#REF!</definedName>
    <definedName name="TRS_6">#REF!</definedName>
    <definedName name="TRS_7">#REF!</definedName>
    <definedName name="TRS_8">#REF!</definedName>
    <definedName name="TRS_9">#REF!</definedName>
    <definedName name="TRS_FACT_1">#REF!</definedName>
    <definedName name="TRS_FACT_2">#REF!</definedName>
    <definedName name="Two_Year_History">#REF!</definedName>
    <definedName name="TXOKStorage">#REF!</definedName>
    <definedName name="type">#REF!</definedName>
    <definedName name="UNBILLED">#REF!</definedName>
    <definedName name="Unbilled_Fuel_Rev">[37]GcaSummary!$A$81:$DK$144</definedName>
    <definedName name="UNFUND">#REF!</definedName>
    <definedName name="Unfund_DIT">#REF!</definedName>
    <definedName name="unidentified">#REF!</definedName>
    <definedName name="UnitedGSS">[15]CNG!#REF!</definedName>
    <definedName name="US_Distribution">#REF!</definedName>
    <definedName name="US_Distribution_and_Stranded">#REF!</definedName>
    <definedName name="US_Distribution_Detail">#REF!</definedName>
    <definedName name="US_Distribution_Summary">#REF!</definedName>
    <definedName name="USDEOM">#REF!</definedName>
    <definedName name="USV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VARIABLES">'[108]CY2002 Actual'!#REF!</definedName>
    <definedName name="Vol_Price">#REF!</definedName>
    <definedName name="VolByRate">#REF!</definedName>
    <definedName name="VOLRTCL">#REF!</definedName>
    <definedName name="volume">#REF!</definedName>
    <definedName name="Volumes">#REF!</definedName>
    <definedName name="W3B">#REF!</definedName>
    <definedName name="WEATHER">#REF!</definedName>
    <definedName name="WEATHERVOL">'[22]Ld. Grth:Weather'!$B$2:$G$34</definedName>
    <definedName name="WESCO">#REF!</definedName>
    <definedName name="WglGSS">[15]CNG!#REF!</definedName>
    <definedName name="WITCO">#REF!</definedName>
    <definedName name="With._Daily">#REF!</definedName>
    <definedName name="WithdrawalPrice">#REF!</definedName>
    <definedName name="WithdrawalVol">#REF!</definedName>
    <definedName name="WLA">[38]Dispatch!#REF!</definedName>
    <definedName name="WLA3ps">[38]Dispatch!#REF!</definedName>
    <definedName name="work">'[53]East of England'!$A$4:$AZ$26</definedName>
    <definedName name="workload">'[53]East of England'!$A$4:$AZ$26</definedName>
    <definedName name="WorkStatus">'[109]Reliability Change Tracking'!$V$1:$V$6</definedName>
    <definedName name="wrn.2004._.Feb." localSheetId="1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2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3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6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7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localSheetId="1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2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3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6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7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localSheetId="1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2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3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6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7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localSheetId="1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2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3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6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7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localSheetId="1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2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3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6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7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localSheetId="1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2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3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6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7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localSheetId="1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2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3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6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7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localSheetId="1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2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3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6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7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localSheetId="1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2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3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6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7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localSheetId="1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2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3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6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7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localSheetId="1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2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3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6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7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localSheetId="1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2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3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6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7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localSheetId="1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2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3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4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5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6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7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8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9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localSheetId="1" hidden="1">{"exp SC1",#N/A,FALSE,"Mar";"exp SC2",#N/A,FALSE,"Mar";"exp SC2MB",#N/A,FALSE,"Mar";"exp SC1MB",#N/A,FALSE,"Mar";"exp roll up for tables",#N/A,FALSE,"Mar"}</definedName>
    <definedName name="wrn.Explanations." localSheetId="2" hidden="1">{"exp SC1",#N/A,FALSE,"Mar";"exp SC2",#N/A,FALSE,"Mar";"exp SC2MB",#N/A,FALSE,"Mar";"exp SC1MB",#N/A,FALSE,"Mar";"exp roll up for tables",#N/A,FALSE,"Mar"}</definedName>
    <definedName name="wrn.Explanations." localSheetId="3" hidden="1">{"exp SC1",#N/A,FALSE,"Mar";"exp SC2",#N/A,FALSE,"Mar";"exp SC2MB",#N/A,FALSE,"Mar";"exp SC1MB",#N/A,FALSE,"Mar";"exp roll up for tables",#N/A,FALSE,"Mar"}</definedName>
    <definedName name="wrn.Explanations." localSheetId="6" hidden="1">{"exp SC1",#N/A,FALSE,"Mar";"exp SC2",#N/A,FALSE,"Mar";"exp SC2MB",#N/A,FALSE,"Mar";"exp SC1MB",#N/A,FALSE,"Mar";"exp roll up for tables",#N/A,FALSE,"Mar"}</definedName>
    <definedName name="wrn.Explanations." localSheetId="7" hidden="1">{"exp SC1",#N/A,FALSE,"Mar";"exp SC2",#N/A,FALSE,"Mar";"exp SC2MB",#N/A,FALSE,"Mar";"exp SC1MB",#N/A,FALSE,"Mar";"exp roll up for tables",#N/A,FALSE,"Mar"}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localSheetId="1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2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3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6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7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localSheetId="1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2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3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6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7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ull._.Report." localSheetId="2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localSheetId="3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localSheetId="6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localSheetId="7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GAC._.RECO." localSheetId="1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2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3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6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7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localSheetId="1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2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3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6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7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localSheetId="1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2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3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6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7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localSheetId="1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2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3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6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7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localSheetId="1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2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3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6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7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localSheetId="1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2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3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6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7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localSheetId="1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2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3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6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7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localSheetId="1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2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3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6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7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localSheetId="1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2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3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6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7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localSheetId="1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2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3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6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7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localSheetId="1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2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3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6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7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localSheetId="1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2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3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6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7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localSheetId="1" hidden="1">{#N/A,#N/A,FALSE,"OIT summ";#N/A,#N/A,FALSE,"otb summ-dental";#N/A,#N/A,FALSE,"otb summ-vision"}</definedName>
    <definedName name="wrn.OIT._.Sum._.Pages.Manual._.Input._.First." localSheetId="2" hidden="1">{#N/A,#N/A,FALSE,"OIT summ";#N/A,#N/A,FALSE,"otb summ-dental";#N/A,#N/A,FALSE,"otb summ-vision"}</definedName>
    <definedName name="wrn.OIT._.Sum._.Pages.Manual._.Input._.First." localSheetId="3" hidden="1">{#N/A,#N/A,FALSE,"OIT summ";#N/A,#N/A,FALSE,"otb summ-dental";#N/A,#N/A,FALSE,"otb summ-vision"}</definedName>
    <definedName name="wrn.OIT._.Sum._.Pages.Manual._.Input._.First." localSheetId="6" hidden="1">{#N/A,#N/A,FALSE,"OIT summ";#N/A,#N/A,FALSE,"otb summ-dental";#N/A,#N/A,FALSE,"otb summ-vision"}</definedName>
    <definedName name="wrn.OIT._.Sum._.Pages.Manual._.Input._.First." localSheetId="7" hidden="1">{#N/A,#N/A,FALSE,"OIT summ";#N/A,#N/A,FALSE,"otb summ-dental";#N/A,#N/A,FALSE,"otb summ-vision"}</definedName>
    <definedName name="wrn.OIT._.Sum._.Pages.Manual._.Input._.First." hidden="1">{#N/A,#N/A,FALSE,"OIT summ";#N/A,#N/A,FALSE,"otb summ-dental";#N/A,#N/A,FALSE,"otb summ-vision"}</definedName>
    <definedName name="wrn.PRINT._.ALL." localSheetId="1" hidden="1">{#N/A,#N/A,FALSE,"JV167";#N/A,#N/A,FALSE,"INPUT AREA"}</definedName>
    <definedName name="wrn.PRINT._.ALL." localSheetId="2" hidden="1">{#N/A,#N/A,FALSE,"JV167";#N/A,#N/A,FALSE,"INPUT AREA"}</definedName>
    <definedName name="wrn.PRINT._.ALL." localSheetId="3" hidden="1">{#N/A,#N/A,FALSE,"JV167";#N/A,#N/A,FALSE,"INPUT AREA"}</definedName>
    <definedName name="wrn.PRINT._.ALL." localSheetId="6" hidden="1">{#N/A,#N/A,FALSE,"JV167";#N/A,#N/A,FALSE,"INPUT AREA"}</definedName>
    <definedName name="wrn.PRINT._.ALL." localSheetId="7" hidden="1">{#N/A,#N/A,FALSE,"JV167";#N/A,#N/A,FALSE,"INPUT AREA"}</definedName>
    <definedName name="wrn.PRINT._.ALL." hidden="1">{#N/A,#N/A,FALSE,"JV167";#N/A,#N/A,FALSE,"INPUT AREA"}</definedName>
    <definedName name="wrn.Print._.Report." localSheetId="1" hidden="1">{#N/A,#N/A,FALSE,"COG Reco";#N/A,#N/A,FALSE,"Gas Cost Accrual Analysis";#N/A,#N/A,FALSE,"Analysis of Unbilled Adjustment"}</definedName>
    <definedName name="wrn.Print._.Report." localSheetId="2" hidden="1">{#N/A,#N/A,FALSE,"COG Reco";#N/A,#N/A,FALSE,"Gas Cost Accrual Analysis";#N/A,#N/A,FALSE,"Analysis of Unbilled Adjustment"}</definedName>
    <definedName name="wrn.Print._.Report." localSheetId="3" hidden="1">{#N/A,#N/A,FALSE,"COG Reco";#N/A,#N/A,FALSE,"Gas Cost Accrual Analysis";#N/A,#N/A,FALSE,"Analysis of Unbilled Adjustment"}</definedName>
    <definedName name="wrn.Print._.Report." localSheetId="6" hidden="1">{#N/A,#N/A,FALSE,"COG Reco";#N/A,#N/A,FALSE,"Gas Cost Accrual Analysis";#N/A,#N/A,FALSE,"Analysis of Unbilled Adjustment"}</definedName>
    <definedName name="wrn.Print._.Report." localSheetId="7" hidden="1">{#N/A,#N/A,FALSE,"COG Reco";#N/A,#N/A,FALSE,"Gas Cost Accrual Analysis";#N/A,#N/A,FALSE,"Analysis of Unbilled Adjustment"}</definedName>
    <definedName name="wrn.Print._.Report." hidden="1">{#N/A,#N/A,FALSE,"COG Reco";#N/A,#N/A,FALSE,"Gas Cost Accrual Analysis";#N/A,#N/A,FALSE,"Analysis of Unbilled Adjustment"}</definedName>
    <definedName name="wrn.Schedule._.JLH_3." localSheetId="1" hidden="1">{"3-1",#N/A,FALSE,"Main";"3-2",#N/A,FALSE,"Sendout";"3-5",#N/A,FALSE,"Commodity";"3-7",#N/A,FALSE,"Demand";"3-8",#N/A,FALSE,"Base";"3-9",#N/A,FALSE,"Remaining";"3-12",#N/A,FALSE,"NewCGA"}</definedName>
    <definedName name="wrn.Schedule._.JLH_3." localSheetId="2" hidden="1">{"3-1",#N/A,FALSE,"Main";"3-2",#N/A,FALSE,"Sendout";"3-5",#N/A,FALSE,"Commodity";"3-7",#N/A,FALSE,"Demand";"3-8",#N/A,FALSE,"Base";"3-9",#N/A,FALSE,"Remaining";"3-12",#N/A,FALSE,"NewCGA"}</definedName>
    <definedName name="wrn.Schedule._.JLH_3." localSheetId="3" hidden="1">{"3-1",#N/A,FALSE,"Main";"3-2",#N/A,FALSE,"Sendout";"3-5",#N/A,FALSE,"Commodity";"3-7",#N/A,FALSE,"Demand";"3-8",#N/A,FALSE,"Base";"3-9",#N/A,FALSE,"Remaining";"3-12",#N/A,FALSE,"NewCGA"}</definedName>
    <definedName name="wrn.Schedule._.JLH_3." localSheetId="6" hidden="1">{"3-1",#N/A,FALSE,"Main";"3-2",#N/A,FALSE,"Sendout";"3-5",#N/A,FALSE,"Commodity";"3-7",#N/A,FALSE,"Demand";"3-8",#N/A,FALSE,"Base";"3-9",#N/A,FALSE,"Remaining";"3-12",#N/A,FALSE,"NewCGA"}</definedName>
    <definedName name="wrn.Schedule._.JLH_3." localSheetId="7" hidden="1">{"3-1",#N/A,FALSE,"Main";"3-2",#N/A,FALSE,"Sendout";"3-5",#N/A,FALSE,"Commodity";"3-7",#N/A,FALSE,"Demand";"3-8",#N/A,FALSE,"Base";"3-9",#N/A,FALSE,"Remaining";"3-12",#N/A,FALSE,"NewCGA"}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localSheetId="1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2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3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6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7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localSheetId="1" hidden="1">{"Sec2Sch1",#N/A,FALSE,"Sheet1";"Sec2Sch2",#N/A,FALSE,"Sheet1";"Sec2Sch3",#N/A,FALSE,"Sheet1"}</definedName>
    <definedName name="wrn.Slide._.Add._.Ons." localSheetId="2" hidden="1">{"Sec2Sch1",#N/A,FALSE,"Sheet1";"Sec2Sch2",#N/A,FALSE,"Sheet1";"Sec2Sch3",#N/A,FALSE,"Sheet1"}</definedName>
    <definedName name="wrn.Slide._.Add._.Ons." localSheetId="3" hidden="1">{"Sec2Sch1",#N/A,FALSE,"Sheet1";"Sec2Sch2",#N/A,FALSE,"Sheet1";"Sec2Sch3",#N/A,FALSE,"Sheet1"}</definedName>
    <definedName name="wrn.Slide._.Add._.Ons." localSheetId="4" hidden="1">{"Sec2Sch1",#N/A,FALSE,"Sheet1";"Sec2Sch2",#N/A,FALSE,"Sheet1";"Sec2Sch3",#N/A,FALSE,"Sheet1"}</definedName>
    <definedName name="wrn.Slide._.Add._.Ons." localSheetId="5" hidden="1">{"Sec2Sch1",#N/A,FALSE,"Sheet1";"Sec2Sch2",#N/A,FALSE,"Sheet1";"Sec2Sch3",#N/A,FALSE,"Sheet1"}</definedName>
    <definedName name="wrn.Slide._.Add._.Ons." localSheetId="6" hidden="1">{"Sec2Sch1",#N/A,FALSE,"Sheet1";"Sec2Sch2",#N/A,FALSE,"Sheet1";"Sec2Sch3",#N/A,FALSE,"Sheet1"}</definedName>
    <definedName name="wrn.Slide._.Add._.Ons." localSheetId="7" hidden="1">{"Sec2Sch1",#N/A,FALSE,"Sheet1";"Sec2Sch2",#N/A,FALSE,"Sheet1";"Sec2Sch3",#N/A,FALSE,"Sheet1"}</definedName>
    <definedName name="wrn.Slide._.Add._.Ons." localSheetId="8" hidden="1">{"Sec2Sch1",#N/A,FALSE,"Sheet1";"Sec2Sch2",#N/A,FALSE,"Sheet1";"Sec2Sch3",#N/A,FALSE,"Sheet1"}</definedName>
    <definedName name="wrn.Slide._.Add._.Ons." localSheetId="9" hidden="1">{"Sec2Sch1",#N/A,FALSE,"Sheet1";"Sec2Sch2",#N/A,FALSE,"Sheet1";"Sec2Sch3",#N/A,FALSE,"Sheet1"}</definedName>
    <definedName name="wrn.Slide._.Add._.Ons." hidden="1">{"Sec2Sch1",#N/A,FALSE,"Sheet1";"Sec2Sch2",#N/A,FALSE,"Sheet1";"Sec2Sch3",#N/A,FALSE,"Sheet1"}</definedName>
    <definedName name="wrn.Storage." localSheetId="1" hidden="1">{"Storage",#N/A,FALSE,"Storage"}</definedName>
    <definedName name="wrn.Storage." localSheetId="2" hidden="1">{"Storage",#N/A,FALSE,"Storage"}</definedName>
    <definedName name="wrn.Storage." localSheetId="3" hidden="1">{"Storage",#N/A,FALSE,"Storage"}</definedName>
    <definedName name="wrn.Storage." localSheetId="6" hidden="1">{"Storage",#N/A,FALSE,"Storage"}</definedName>
    <definedName name="wrn.Storage." localSheetId="7" hidden="1">{"Storage",#N/A,FALSE,"Storage"}</definedName>
    <definedName name="wrn.Storage." hidden="1">{"Storage",#N/A,FALSE,"Storage"}</definedName>
    <definedName name="wrn.Temp." localSheetId="1" hidden="1">{"Working Capital",#N/A,FALSE,"Main";"Sept CGA",#N/A,FALSE,"Main";"Adders",#N/A,FALSE,"Main";"Bad Debt",#N/A,FALSE,"Main"}</definedName>
    <definedName name="wrn.Temp." localSheetId="2" hidden="1">{"Working Capital",#N/A,FALSE,"Main";"Sept CGA",#N/A,FALSE,"Main";"Adders",#N/A,FALSE,"Main";"Bad Debt",#N/A,FALSE,"Main"}</definedName>
    <definedName name="wrn.Temp." localSheetId="3" hidden="1">{"Working Capital",#N/A,FALSE,"Main";"Sept CGA",#N/A,FALSE,"Main";"Adders",#N/A,FALSE,"Main";"Bad Debt",#N/A,FALSE,"Main"}</definedName>
    <definedName name="wrn.Temp." localSheetId="6" hidden="1">{"Working Capital",#N/A,FALSE,"Main";"Sept CGA",#N/A,FALSE,"Main";"Adders",#N/A,FALSE,"Main";"Bad Debt",#N/A,FALSE,"Main"}</definedName>
    <definedName name="wrn.Temp." localSheetId="7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year._.2004." localSheetId="1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2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3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6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7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localSheetId="1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2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3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6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7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SS">#REF!</definedName>
    <definedName name="WSS_FS">#REF!</definedName>
    <definedName name="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2A">#REF!</definedName>
    <definedName name="X2I">[110]CWC!#REF!</definedName>
    <definedName name="x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3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6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7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  <definedName name="xxx">[111]Input!$AK$9:$BD$134</definedName>
    <definedName name="YEAR">'[71]Start Balance'!$C$9</definedName>
    <definedName name="YEPMAR">'[94]Summary Graphs'!$FD$6:$FQ$81</definedName>
    <definedName name="YEPVOL">'[94]Summary Graphs'!$EH$6:$EV$53</definedName>
    <definedName name="yesno">#REF!</definedName>
    <definedName name="yrtodate">[6]FY2000!$BS$5:$CE$58</definedName>
    <definedName name="ytd1">#REF!</definedName>
    <definedName name="ytd2">#REF!</definedName>
    <definedName name="YTDvslastyr">#REF!</definedName>
    <definedName name="ZN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9" l="1"/>
  <c r="M3" i="19"/>
  <c r="M4" i="19"/>
  <c r="M1" i="19"/>
  <c r="D54" i="27"/>
  <c r="D47" i="27"/>
  <c r="D46" i="27"/>
  <c r="D45" i="27"/>
  <c r="D44" i="27"/>
  <c r="D43" i="27"/>
  <c r="D42" i="27"/>
  <c r="D41" i="27"/>
  <c r="D40" i="27"/>
  <c r="D38" i="27"/>
  <c r="D54" i="15"/>
  <c r="D41" i="15"/>
  <c r="D42" i="15"/>
  <c r="D43" i="15"/>
  <c r="D44" i="15"/>
  <c r="D45" i="15"/>
  <c r="D46" i="15"/>
  <c r="D47" i="15"/>
  <c r="D40" i="15"/>
  <c r="D38" i="15"/>
  <c r="H54" i="27"/>
  <c r="H41" i="27"/>
  <c r="H42" i="27"/>
  <c r="H43" i="27"/>
  <c r="H44" i="27"/>
  <c r="H45" i="27"/>
  <c r="H46" i="27"/>
  <c r="H47" i="27"/>
  <c r="H40" i="27"/>
  <c r="H38" i="27"/>
  <c r="H54" i="15"/>
  <c r="H41" i="15"/>
  <c r="H42" i="15"/>
  <c r="H43" i="15"/>
  <c r="H44" i="15"/>
  <c r="H45" i="15"/>
  <c r="H46" i="15"/>
  <c r="H47" i="15"/>
  <c r="H40" i="15"/>
  <c r="H38" i="15"/>
  <c r="I7" i="27" l="1"/>
  <c r="I7" i="26"/>
  <c r="G7" i="25"/>
  <c r="G7" i="24"/>
  <c r="I7" i="15"/>
  <c r="I7" i="14"/>
  <c r="G7" i="13"/>
  <c r="G7" i="12"/>
  <c r="G43" i="27" l="1"/>
  <c r="G43" i="26"/>
  <c r="G43" i="14"/>
  <c r="I56" i="17"/>
  <c r="I50" i="17"/>
  <c r="C44" i="17"/>
  <c r="I51" i="17"/>
  <c r="A57" i="17"/>
  <c r="A58" i="17"/>
  <c r="C41" i="26" l="1"/>
  <c r="C42" i="26"/>
  <c r="C44" i="26"/>
  <c r="C45" i="26"/>
  <c r="C46" i="26"/>
  <c r="C47" i="26"/>
  <c r="C4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A46" i="17"/>
  <c r="C40" i="17" l="1"/>
  <c r="C39" i="17"/>
  <c r="I39" i="17" s="1"/>
  <c r="C38" i="17"/>
  <c r="C50" i="17"/>
  <c r="G20" i="14"/>
  <c r="G20" i="15" s="1"/>
  <c r="B67" i="27"/>
  <c r="G53" i="27"/>
  <c r="C53" i="27"/>
  <c r="G52" i="27"/>
  <c r="C52" i="27"/>
  <c r="C54" i="27" s="1"/>
  <c r="G51" i="27"/>
  <c r="C51" i="27"/>
  <c r="C47" i="27"/>
  <c r="B47" i="27"/>
  <c r="C46" i="27"/>
  <c r="E46" i="27" s="1"/>
  <c r="C45" i="27"/>
  <c r="E45" i="27" s="1"/>
  <c r="C44" i="27"/>
  <c r="C42" i="27"/>
  <c r="C41" i="27"/>
  <c r="E41" i="27" s="1"/>
  <c r="C40" i="27"/>
  <c r="E40" i="27" s="1"/>
  <c r="C37" i="27"/>
  <c r="B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G22" i="27"/>
  <c r="C22" i="27"/>
  <c r="A22" i="27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40" i="27" s="1"/>
  <c r="A41" i="27" s="1"/>
  <c r="A42" i="27" s="1"/>
  <c r="A43" i="27" s="1"/>
  <c r="A44" i="27" s="1"/>
  <c r="A45" i="27" s="1"/>
  <c r="A46" i="27" s="1"/>
  <c r="A47" i="27" s="1"/>
  <c r="A48" i="27" s="1"/>
  <c r="A51" i="27" s="1"/>
  <c r="A52" i="27" s="1"/>
  <c r="A53" i="27" s="1"/>
  <c r="A54" i="27" s="1"/>
  <c r="A56" i="27" s="1"/>
  <c r="A58" i="27" s="1"/>
  <c r="A60" i="27" s="1"/>
  <c r="A62" i="27" s="1"/>
  <c r="A64" i="27" s="1"/>
  <c r="C21" i="27"/>
  <c r="A21" i="27"/>
  <c r="G20" i="27"/>
  <c r="C20" i="27"/>
  <c r="A20" i="27"/>
  <c r="H19" i="27"/>
  <c r="I19" i="27" s="1"/>
  <c r="E19" i="27"/>
  <c r="C54" i="26"/>
  <c r="G54" i="26" s="1"/>
  <c r="G53" i="26"/>
  <c r="G52" i="26"/>
  <c r="G51" i="26"/>
  <c r="G47" i="26"/>
  <c r="G47" i="27" s="1"/>
  <c r="E47" i="26"/>
  <c r="D47" i="26"/>
  <c r="G46" i="26"/>
  <c r="I46" i="26" s="1"/>
  <c r="E46" i="26"/>
  <c r="D46" i="26"/>
  <c r="G45" i="26"/>
  <c r="G45" i="27" s="1"/>
  <c r="E45" i="26"/>
  <c r="D45" i="26"/>
  <c r="G44" i="26"/>
  <c r="I44" i="26" s="1"/>
  <c r="E44" i="26"/>
  <c r="D44" i="26"/>
  <c r="G42" i="26"/>
  <c r="H42" i="26" s="1"/>
  <c r="E42" i="26"/>
  <c r="D42" i="26"/>
  <c r="G41" i="26"/>
  <c r="I41" i="26" s="1"/>
  <c r="E41" i="26"/>
  <c r="D41" i="26"/>
  <c r="G40" i="26"/>
  <c r="G40" i="27" s="1"/>
  <c r="E40" i="26"/>
  <c r="D40" i="26"/>
  <c r="G37" i="26"/>
  <c r="G37" i="27" s="1"/>
  <c r="G36" i="26"/>
  <c r="G36" i="27" s="1"/>
  <c r="G35" i="26"/>
  <c r="G35" i="27" s="1"/>
  <c r="G34" i="26"/>
  <c r="G34" i="27" s="1"/>
  <c r="G33" i="26"/>
  <c r="G32" i="26"/>
  <c r="G32" i="27" s="1"/>
  <c r="G31" i="26"/>
  <c r="G31" i="27" s="1"/>
  <c r="G30" i="26"/>
  <c r="G30" i="27" s="1"/>
  <c r="G29" i="26"/>
  <c r="G29" i="27" s="1"/>
  <c r="G28" i="26"/>
  <c r="G28" i="27" s="1"/>
  <c r="G27" i="26"/>
  <c r="G27" i="27" s="1"/>
  <c r="G26" i="26"/>
  <c r="G26" i="27" s="1"/>
  <c r="G25" i="26"/>
  <c r="G25" i="27" s="1"/>
  <c r="G24" i="26"/>
  <c r="G24" i="27" s="1"/>
  <c r="G23" i="26"/>
  <c r="G23" i="27" s="1"/>
  <c r="G22" i="26"/>
  <c r="A22" i="26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40" i="26" s="1"/>
  <c r="A41" i="26" s="1"/>
  <c r="A42" i="26" s="1"/>
  <c r="A43" i="26" s="1"/>
  <c r="A44" i="26" s="1"/>
  <c r="A45" i="26" s="1"/>
  <c r="A46" i="26" s="1"/>
  <c r="A47" i="26" s="1"/>
  <c r="A48" i="26" s="1"/>
  <c r="A51" i="26" s="1"/>
  <c r="A52" i="26" s="1"/>
  <c r="A53" i="26" s="1"/>
  <c r="A54" i="26" s="1"/>
  <c r="A56" i="26" s="1"/>
  <c r="A58" i="26" s="1"/>
  <c r="A60" i="26" s="1"/>
  <c r="A62" i="26" s="1"/>
  <c r="A64" i="26" s="1"/>
  <c r="G21" i="26"/>
  <c r="A21" i="26"/>
  <c r="A20" i="26"/>
  <c r="H19" i="26"/>
  <c r="I19" i="26" s="1"/>
  <c r="E19" i="26"/>
  <c r="A45" i="25"/>
  <c r="A23" i="25"/>
  <c r="A25" i="25" s="1"/>
  <c r="A27" i="25" s="1"/>
  <c r="A29" i="25" s="1"/>
  <c r="A31" i="25" s="1"/>
  <c r="A33" i="25" s="1"/>
  <c r="A21" i="25"/>
  <c r="G5" i="25"/>
  <c r="I5" i="26" s="1"/>
  <c r="I5" i="27" s="1"/>
  <c r="A37" i="24"/>
  <c r="A22" i="24"/>
  <c r="A24" i="24" s="1"/>
  <c r="A20" i="24"/>
  <c r="G4" i="24"/>
  <c r="G4" i="25" s="1"/>
  <c r="I4" i="26" s="1"/>
  <c r="I4" i="27" s="1"/>
  <c r="G3" i="24"/>
  <c r="G3" i="25" s="1"/>
  <c r="I3" i="26" s="1"/>
  <c r="I3" i="27" s="1"/>
  <c r="G2" i="24"/>
  <c r="G2" i="25" s="1"/>
  <c r="I2" i="26" s="1"/>
  <c r="I2" i="27" s="1"/>
  <c r="G1" i="24"/>
  <c r="G1" i="25" s="1"/>
  <c r="I1" i="26" s="1"/>
  <c r="I1" i="27" s="1"/>
  <c r="B67" i="15"/>
  <c r="G33" i="27" l="1"/>
  <c r="C38" i="27"/>
  <c r="E38" i="27" s="1"/>
  <c r="I40" i="17"/>
  <c r="E42" i="27"/>
  <c r="G42" i="27"/>
  <c r="I42" i="27" s="1"/>
  <c r="I45" i="26"/>
  <c r="E47" i="27"/>
  <c r="H46" i="26"/>
  <c r="G38" i="26"/>
  <c r="C41" i="17"/>
  <c r="I47" i="27"/>
  <c r="I40" i="27"/>
  <c r="H54" i="26"/>
  <c r="I54" i="26"/>
  <c r="I38" i="26"/>
  <c r="H38" i="26"/>
  <c r="I45" i="27"/>
  <c r="G54" i="27"/>
  <c r="E54" i="27"/>
  <c r="E44" i="27"/>
  <c r="I40" i="26"/>
  <c r="H44" i="26"/>
  <c r="H40" i="26"/>
  <c r="G44" i="27"/>
  <c r="D54" i="26"/>
  <c r="I42" i="26"/>
  <c r="G41" i="27"/>
  <c r="E54" i="26"/>
  <c r="H41" i="26"/>
  <c r="H45" i="26"/>
  <c r="G21" i="27"/>
  <c r="G38" i="27" s="1"/>
  <c r="G46" i="27"/>
  <c r="H47" i="26"/>
  <c r="I47" i="26"/>
  <c r="I41" i="17" l="1"/>
  <c r="I38" i="27"/>
  <c r="I46" i="27"/>
  <c r="I54" i="27"/>
  <c r="I41" i="27"/>
  <c r="I44" i="27"/>
  <c r="G2" i="12" l="1"/>
  <c r="G2" i="13" s="1"/>
  <c r="I2" i="14" s="1"/>
  <c r="I2" i="15" s="1"/>
  <c r="G3" i="12"/>
  <c r="G4" i="12"/>
  <c r="G1" i="12"/>
  <c r="G1" i="13" s="1"/>
  <c r="I1" i="14" s="1"/>
  <c r="I1" i="15" s="1"/>
  <c r="A45" i="14"/>
  <c r="A46" i="14" s="1"/>
  <c r="A47" i="14" s="1"/>
  <c r="A48" i="14" s="1"/>
  <c r="G53" i="15"/>
  <c r="G52" i="15"/>
  <c r="G51" i="15"/>
  <c r="C52" i="15"/>
  <c r="C53" i="15"/>
  <c r="C51" i="15"/>
  <c r="E46" i="15"/>
  <c r="C47" i="15"/>
  <c r="G47" i="15"/>
  <c r="G42" i="15"/>
  <c r="G44" i="15"/>
  <c r="G45" i="15"/>
  <c r="G46" i="15"/>
  <c r="I46" i="15" s="1"/>
  <c r="G40" i="15"/>
  <c r="C41" i="15"/>
  <c r="C42" i="15"/>
  <c r="C44" i="15"/>
  <c r="C45" i="15"/>
  <c r="C46" i="15"/>
  <c r="B47" i="15"/>
  <c r="C4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4" i="15"/>
  <c r="G35" i="15"/>
  <c r="G36" i="15"/>
  <c r="G37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B37" i="15"/>
  <c r="C20" i="15"/>
  <c r="G3" i="13"/>
  <c r="I3" i="14" s="1"/>
  <c r="I3" i="15" s="1"/>
  <c r="G4" i="13"/>
  <c r="I4" i="14" s="1"/>
  <c r="I4" i="15" s="1"/>
  <c r="G5" i="13"/>
  <c r="I5" i="14" s="1"/>
  <c r="I5" i="15" s="1"/>
  <c r="C38" i="14"/>
  <c r="E47" i="14"/>
  <c r="D47" i="14"/>
  <c r="G47" i="14"/>
  <c r="H47" i="14" s="1"/>
  <c r="G37" i="14"/>
  <c r="E38" i="14" l="1"/>
  <c r="C38" i="26"/>
  <c r="E47" i="15"/>
  <c r="I47" i="15"/>
  <c r="C38" i="15"/>
  <c r="I47" i="14"/>
  <c r="D38" i="26" l="1"/>
  <c r="E38" i="26"/>
  <c r="C43" i="14"/>
  <c r="C43" i="15" l="1"/>
  <c r="C43" i="26"/>
  <c r="E29" i="17"/>
  <c r="D43" i="26" l="1"/>
  <c r="D48" i="26" s="1"/>
  <c r="D56" i="26" s="1"/>
  <c r="C43" i="27"/>
  <c r="E43" i="26"/>
  <c r="E48" i="26" s="1"/>
  <c r="E56" i="26" s="1"/>
  <c r="C52" i="19"/>
  <c r="C40" i="19"/>
  <c r="C54" i="19"/>
  <c r="C49" i="19"/>
  <c r="C50" i="19"/>
  <c r="C51" i="19"/>
  <c r="C53" i="19"/>
  <c r="C45" i="19"/>
  <c r="E62" i="26" l="1"/>
  <c r="E64" i="26" s="1"/>
  <c r="D29" i="25" s="1"/>
  <c r="E58" i="26"/>
  <c r="E60" i="26" s="1"/>
  <c r="D21" i="25" s="1"/>
  <c r="D20" i="24"/>
  <c r="E43" i="27"/>
  <c r="E48" i="27" s="1"/>
  <c r="E56" i="27" s="1"/>
  <c r="D48" i="27"/>
  <c r="D56" i="27" s="1"/>
  <c r="D58" i="26"/>
  <c r="D60" i="26" s="1"/>
  <c r="C21" i="25" s="1"/>
  <c r="D62" i="26"/>
  <c r="D64" i="26" s="1"/>
  <c r="C29" i="25" s="1"/>
  <c r="C20" i="24"/>
  <c r="C55" i="17"/>
  <c r="I55" i="17" s="1"/>
  <c r="G20" i="24" l="1"/>
  <c r="E58" i="27"/>
  <c r="E60" i="27" s="1"/>
  <c r="G21" i="25" s="1"/>
  <c r="E62" i="27"/>
  <c r="E64" i="27" s="1"/>
  <c r="G29" i="25" s="1"/>
  <c r="D62" i="27"/>
  <c r="D64" i="27" s="1"/>
  <c r="F29" i="25" s="1"/>
  <c r="F20" i="24"/>
  <c r="D58" i="27"/>
  <c r="D60" i="27" s="1"/>
  <c r="F21" i="25" s="1"/>
  <c r="H54" i="19"/>
  <c r="G54" i="19"/>
  <c r="F54" i="19"/>
  <c r="E54" i="19"/>
  <c r="D54" i="19"/>
  <c r="B54" i="19"/>
  <c r="H53" i="19"/>
  <c r="G53" i="19"/>
  <c r="F53" i="19"/>
  <c r="E53" i="19"/>
  <c r="D53" i="19"/>
  <c r="B53" i="19"/>
  <c r="A53" i="19"/>
  <c r="H52" i="19"/>
  <c r="G52" i="19"/>
  <c r="F52" i="19"/>
  <c r="E52" i="19"/>
  <c r="D52" i="19"/>
  <c r="H51" i="19"/>
  <c r="G51" i="19"/>
  <c r="F51" i="19"/>
  <c r="E51" i="19"/>
  <c r="D51" i="19"/>
  <c r="H50" i="19"/>
  <c r="G50" i="19"/>
  <c r="F50" i="19"/>
  <c r="E50" i="19"/>
  <c r="D50" i="19"/>
  <c r="H49" i="19"/>
  <c r="G49" i="19"/>
  <c r="F49" i="19"/>
  <c r="E49" i="19"/>
  <c r="D49" i="19"/>
  <c r="H48" i="19"/>
  <c r="G48" i="19"/>
  <c r="F48" i="19"/>
  <c r="E48" i="19"/>
  <c r="D48" i="19"/>
  <c r="C48" i="19"/>
  <c r="B48" i="19"/>
  <c r="H47" i="19"/>
  <c r="G47" i="19"/>
  <c r="F47" i="19"/>
  <c r="E47" i="19"/>
  <c r="D47" i="19"/>
  <c r="C47" i="19"/>
  <c r="H46" i="19"/>
  <c r="G46" i="19"/>
  <c r="F46" i="19"/>
  <c r="E46" i="19"/>
  <c r="D46" i="19"/>
  <c r="C46" i="19"/>
  <c r="H45" i="19"/>
  <c r="G45" i="19"/>
  <c r="F45" i="19"/>
  <c r="E45" i="19"/>
  <c r="D45" i="19"/>
  <c r="I45" i="19"/>
  <c r="H44" i="19"/>
  <c r="G44" i="19"/>
  <c r="F44" i="19"/>
  <c r="E44" i="19"/>
  <c r="D44" i="19"/>
  <c r="C44" i="19"/>
  <c r="H43" i="19"/>
  <c r="G43" i="19"/>
  <c r="F43" i="19"/>
  <c r="E43" i="19"/>
  <c r="D43" i="19"/>
  <c r="C43" i="19"/>
  <c r="I39" i="19"/>
  <c r="K39" i="19" s="1"/>
  <c r="B39" i="19"/>
  <c r="I38" i="19"/>
  <c r="K38" i="19" s="1"/>
  <c r="B38" i="19"/>
  <c r="A38" i="19"/>
  <c r="I37" i="19"/>
  <c r="K37" i="19" s="1"/>
  <c r="B37" i="19"/>
  <c r="B52" i="19" s="1"/>
  <c r="I36" i="19"/>
  <c r="K36" i="19" s="1"/>
  <c r="B36" i="19"/>
  <c r="B51" i="19" s="1"/>
  <c r="I35" i="19"/>
  <c r="K35" i="19" s="1"/>
  <c r="B35" i="19"/>
  <c r="B50" i="19" s="1"/>
  <c r="I34" i="19"/>
  <c r="K34" i="19" s="1"/>
  <c r="B34" i="19"/>
  <c r="B49" i="19" s="1"/>
  <c r="I33" i="19"/>
  <c r="B33" i="19"/>
  <c r="I32" i="19"/>
  <c r="K32" i="19" s="1"/>
  <c r="B32" i="19"/>
  <c r="B47" i="19" s="1"/>
  <c r="I31" i="19"/>
  <c r="K31" i="19" s="1"/>
  <c r="B31" i="19"/>
  <c r="B46" i="19" s="1"/>
  <c r="I30" i="19"/>
  <c r="K30" i="19" s="1"/>
  <c r="B30" i="19"/>
  <c r="B45" i="19" s="1"/>
  <c r="I29" i="19"/>
  <c r="K29" i="19" s="1"/>
  <c r="B29" i="19"/>
  <c r="B44" i="19" s="1"/>
  <c r="A29" i="19"/>
  <c r="A44" i="19" s="1"/>
  <c r="I28" i="19"/>
  <c r="K28" i="19" s="1"/>
  <c r="B28" i="19"/>
  <c r="B43" i="19" s="1"/>
  <c r="A28" i="19"/>
  <c r="A43" i="19" s="1"/>
  <c r="I24" i="19"/>
  <c r="K24" i="19" s="1"/>
  <c r="A24" i="19"/>
  <c r="A39" i="19" s="1"/>
  <c r="A54" i="19" s="1"/>
  <c r="I23" i="19"/>
  <c r="K23" i="19" s="1"/>
  <c r="I22" i="19"/>
  <c r="K22" i="19" s="1"/>
  <c r="I21" i="19"/>
  <c r="K21" i="19" s="1"/>
  <c r="I20" i="19"/>
  <c r="K20" i="19" s="1"/>
  <c r="I19" i="19"/>
  <c r="K19" i="19" s="1"/>
  <c r="I18" i="19"/>
  <c r="K18" i="19" s="1"/>
  <c r="I17" i="19"/>
  <c r="K17" i="19" s="1"/>
  <c r="I16" i="19"/>
  <c r="I15" i="19"/>
  <c r="K15" i="19" s="1"/>
  <c r="I14" i="19"/>
  <c r="K14" i="19" s="1"/>
  <c r="A14" i="19"/>
  <c r="A15" i="19" s="1"/>
  <c r="I13" i="19"/>
  <c r="K13" i="19" s="1"/>
  <c r="I53" i="19" l="1"/>
  <c r="I46" i="19"/>
  <c r="J46" i="19" s="1"/>
  <c r="I49" i="19"/>
  <c r="J49" i="19" s="1"/>
  <c r="I48" i="19"/>
  <c r="J48" i="19" s="1"/>
  <c r="I52" i="19"/>
  <c r="J52" i="19" s="1"/>
  <c r="D56" i="19"/>
  <c r="E56" i="19"/>
  <c r="J53" i="19"/>
  <c r="I50" i="19"/>
  <c r="J50" i="19" s="1"/>
  <c r="I43" i="19"/>
  <c r="J43" i="19" s="1"/>
  <c r="I51" i="19"/>
  <c r="J51" i="19" s="1"/>
  <c r="J45" i="19"/>
  <c r="G56" i="19"/>
  <c r="H56" i="19"/>
  <c r="F56" i="19"/>
  <c r="I44" i="19"/>
  <c r="J44" i="19" s="1"/>
  <c r="I54" i="19"/>
  <c r="J54" i="19" s="1"/>
  <c r="A16" i="19"/>
  <c r="A30" i="19"/>
  <c r="A45" i="19" s="1"/>
  <c r="K16" i="19"/>
  <c r="I25" i="19"/>
  <c r="I40" i="19"/>
  <c r="K33" i="19"/>
  <c r="I47" i="19"/>
  <c r="J47" i="19" s="1"/>
  <c r="C56" i="19"/>
  <c r="I56" i="19" l="1"/>
  <c r="J56" i="19" s="1"/>
  <c r="A31" i="19"/>
  <c r="A46" i="19" s="1"/>
  <c r="A17" i="19"/>
  <c r="A32" i="19" l="1"/>
  <c r="A47" i="19" s="1"/>
  <c r="A18" i="19"/>
  <c r="A33" i="19" l="1"/>
  <c r="A48" i="19" s="1"/>
  <c r="A19" i="19"/>
  <c r="A20" i="19" l="1"/>
  <c r="A34" i="19"/>
  <c r="A49" i="19" s="1"/>
  <c r="A21" i="19" l="1"/>
  <c r="A35" i="19"/>
  <c r="A50" i="19" s="1"/>
  <c r="A22" i="19" l="1"/>
  <c r="A37" i="19" s="1"/>
  <c r="A52" i="19" s="1"/>
  <c r="A36" i="19"/>
  <c r="A51" i="19" s="1"/>
  <c r="A36" i="17" l="1"/>
  <c r="E19" i="17" l="1"/>
  <c r="G19" i="17" s="1"/>
  <c r="H19" i="17" s="1"/>
  <c r="I19" i="17" s="1"/>
  <c r="C28" i="17"/>
  <c r="I25" i="17"/>
  <c r="I24" i="17"/>
  <c r="I23" i="17"/>
  <c r="I22" i="17"/>
  <c r="I21" i="17"/>
  <c r="I20" i="17"/>
  <c r="A14" i="17"/>
  <c r="A11" i="17"/>
  <c r="C32" i="17" l="1"/>
  <c r="E17" i="17"/>
  <c r="G17" i="17" s="1"/>
  <c r="H17" i="17" s="1"/>
  <c r="I17" i="17" s="1"/>
  <c r="E18" i="17"/>
  <c r="G18" i="17" s="1"/>
  <c r="H18" i="17" s="1"/>
  <c r="I18" i="17" s="1"/>
  <c r="E16" i="17"/>
  <c r="G16" i="17" s="1"/>
  <c r="H16" i="17" s="1"/>
  <c r="E27" i="17"/>
  <c r="G27" i="17" s="1"/>
  <c r="H27" i="17" s="1"/>
  <c r="I27" i="17" s="1"/>
  <c r="A12" i="17"/>
  <c r="E26" i="17"/>
  <c r="G26" i="17" s="1"/>
  <c r="H26" i="17" s="1"/>
  <c r="I26" i="17" s="1"/>
  <c r="C43" i="17" l="1"/>
  <c r="I43" i="17"/>
  <c r="C48" i="17"/>
  <c r="A13" i="17"/>
  <c r="I48" i="17" l="1"/>
  <c r="A15" i="17"/>
  <c r="A16" i="17" s="1"/>
  <c r="I16" i="17"/>
  <c r="H28" i="17"/>
  <c r="C33" i="17" l="1"/>
  <c r="I44" i="17" s="1"/>
  <c r="A17" i="17"/>
  <c r="A18" i="17" s="1"/>
  <c r="I28" i="17"/>
  <c r="D46" i="14"/>
  <c r="D45" i="14"/>
  <c r="D44" i="14"/>
  <c r="D43" i="14"/>
  <c r="D42" i="14"/>
  <c r="D41" i="14"/>
  <c r="D40" i="14"/>
  <c r="C54" i="15"/>
  <c r="G54" i="15" s="1"/>
  <c r="E45" i="15"/>
  <c r="I44" i="15"/>
  <c r="E44" i="15"/>
  <c r="E43" i="15"/>
  <c r="I42" i="15"/>
  <c r="E42" i="15"/>
  <c r="E41" i="15"/>
  <c r="E40" i="15"/>
  <c r="A20" i="15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H19" i="15"/>
  <c r="E19" i="15"/>
  <c r="C54" i="14"/>
  <c r="G54" i="14" s="1"/>
  <c r="H54" i="14" s="1"/>
  <c r="G53" i="14"/>
  <c r="G52" i="14"/>
  <c r="G51" i="14"/>
  <c r="G46" i="14"/>
  <c r="I46" i="14" s="1"/>
  <c r="E46" i="14"/>
  <c r="G45" i="14"/>
  <c r="H45" i="14" s="1"/>
  <c r="E45" i="14"/>
  <c r="G44" i="14"/>
  <c r="I44" i="14" s="1"/>
  <c r="E44" i="14"/>
  <c r="E43" i="14"/>
  <c r="G42" i="14"/>
  <c r="H42" i="14" s="1"/>
  <c r="E42" i="14"/>
  <c r="G41" i="14"/>
  <c r="E41" i="14"/>
  <c r="G40" i="14"/>
  <c r="I40" i="14" s="1"/>
  <c r="E40" i="14"/>
  <c r="G35" i="14"/>
  <c r="G34" i="14"/>
  <c r="G33" i="14"/>
  <c r="G33" i="15" s="1"/>
  <c r="G38" i="15" s="1"/>
  <c r="G32" i="14"/>
  <c r="G31" i="14"/>
  <c r="G30" i="14"/>
  <c r="G29" i="14"/>
  <c r="G28" i="14"/>
  <c r="G27" i="14"/>
  <c r="G26" i="14"/>
  <c r="G25" i="14"/>
  <c r="G24" i="14"/>
  <c r="G23" i="14"/>
  <c r="G22" i="14"/>
  <c r="G21" i="14"/>
  <c r="A20" i="14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H19" i="14"/>
  <c r="E19" i="14"/>
  <c r="A45" i="13"/>
  <c r="A21" i="13"/>
  <c r="A23" i="13" s="1"/>
  <c r="A25" i="13" s="1"/>
  <c r="A27" i="13" s="1"/>
  <c r="A29" i="13" s="1"/>
  <c r="A31" i="13" s="1"/>
  <c r="A33" i="13" s="1"/>
  <c r="A37" i="12"/>
  <c r="A20" i="12"/>
  <c r="A22" i="12" s="1"/>
  <c r="A24" i="12" s="1"/>
  <c r="I45" i="17" l="1"/>
  <c r="I49" i="17"/>
  <c r="C42" i="17"/>
  <c r="I41" i="14"/>
  <c r="G41" i="15"/>
  <c r="I41" i="15" s="1"/>
  <c r="I19" i="15"/>
  <c r="A37" i="15"/>
  <c r="A38" i="15" s="1"/>
  <c r="A40" i="15" s="1"/>
  <c r="A41" i="15" s="1"/>
  <c r="A42" i="15" s="1"/>
  <c r="A43" i="15" s="1"/>
  <c r="A44" i="15" s="1"/>
  <c r="A45" i="15" s="1"/>
  <c r="A46" i="15" s="1"/>
  <c r="A47" i="15" s="1"/>
  <c r="A48" i="15" s="1"/>
  <c r="E48" i="14"/>
  <c r="A37" i="14"/>
  <c r="H46" i="14"/>
  <c r="A19" i="17"/>
  <c r="H40" i="14"/>
  <c r="D54" i="14"/>
  <c r="H44" i="14"/>
  <c r="H41" i="14"/>
  <c r="I40" i="15"/>
  <c r="I45" i="15"/>
  <c r="I42" i="14"/>
  <c r="I45" i="14"/>
  <c r="I54" i="15"/>
  <c r="I54" i="14"/>
  <c r="E54" i="15"/>
  <c r="I19" i="14"/>
  <c r="E54" i="14"/>
  <c r="A20" i="17" l="1"/>
  <c r="A21" i="17" s="1"/>
  <c r="A51" i="15"/>
  <c r="A52" i="15" s="1"/>
  <c r="A53" i="15" s="1"/>
  <c r="A54" i="15" s="1"/>
  <c r="A56" i="15" s="1"/>
  <c r="A58" i="15" s="1"/>
  <c r="A60" i="15" s="1"/>
  <c r="A62" i="15" s="1"/>
  <c r="A64" i="15" s="1"/>
  <c r="A38" i="14"/>
  <c r="A40" i="14" s="1"/>
  <c r="A41" i="14" s="1"/>
  <c r="A42" i="14" s="1"/>
  <c r="A43" i="14" s="1"/>
  <c r="A44" i="14" s="1"/>
  <c r="A22" i="17" l="1"/>
  <c r="A23" i="17" s="1"/>
  <c r="A24" i="17" s="1"/>
  <c r="A51" i="14" l="1"/>
  <c r="A52" i="14" s="1"/>
  <c r="A53" i="14" s="1"/>
  <c r="A54" i="14" s="1"/>
  <c r="A56" i="14" s="1"/>
  <c r="A58" i="14" s="1"/>
  <c r="A60" i="14" s="1"/>
  <c r="A62" i="14" s="1"/>
  <c r="A64" i="14" s="1"/>
  <c r="A25" i="17"/>
  <c r="A26" i="17" s="1"/>
  <c r="A27" i="17" s="1"/>
  <c r="A28" i="17" s="1"/>
  <c r="A29" i="17" s="1"/>
  <c r="A30" i="17" s="1"/>
  <c r="A31" i="17" l="1"/>
  <c r="A32" i="17" s="1"/>
  <c r="A33" i="17" l="1"/>
  <c r="A38" i="17" l="1"/>
  <c r="A39" i="17" s="1"/>
  <c r="A40" i="17" l="1"/>
  <c r="A41" i="17" s="1"/>
  <c r="A42" i="17" l="1"/>
  <c r="A43" i="17" s="1"/>
  <c r="A44" i="17" s="1"/>
  <c r="A45" i="17" s="1"/>
  <c r="A47" i="17" s="1"/>
  <c r="A48" i="17" s="1"/>
  <c r="A49" i="17" l="1"/>
  <c r="A50" i="17" s="1"/>
  <c r="I38" i="15"/>
  <c r="G36" i="14"/>
  <c r="G38" i="14" s="1"/>
  <c r="E56" i="14"/>
  <c r="A51" i="17" l="1"/>
  <c r="A53" i="17" s="1"/>
  <c r="A54" i="17" s="1"/>
  <c r="D48" i="15"/>
  <c r="D56" i="15" s="1"/>
  <c r="E62" i="14"/>
  <c r="E64" i="14" s="1"/>
  <c r="D29" i="13" s="1"/>
  <c r="E38" i="15"/>
  <c r="D38" i="14"/>
  <c r="E58" i="14"/>
  <c r="E60" i="14" s="1"/>
  <c r="D21" i="13" s="1"/>
  <c r="D20" i="12"/>
  <c r="H38" i="14"/>
  <c r="I38" i="14"/>
  <c r="A55" i="17" l="1"/>
  <c r="A56" i="17" s="1"/>
  <c r="D62" i="15"/>
  <c r="D64" i="15" s="1"/>
  <c r="F29" i="13" s="1"/>
  <c r="D58" i="15"/>
  <c r="D60" i="15" s="1"/>
  <c r="F21" i="13" s="1"/>
  <c r="F20" i="12"/>
  <c r="E48" i="15"/>
  <c r="E56" i="15" s="1"/>
  <c r="D48" i="14"/>
  <c r="D56" i="14" s="1"/>
  <c r="G20" i="12" l="1"/>
  <c r="E58" i="15"/>
  <c r="E60" i="15" s="1"/>
  <c r="G21" i="13" s="1"/>
  <c r="E62" i="15"/>
  <c r="E64" i="15" s="1"/>
  <c r="G29" i="13" s="1"/>
  <c r="C20" i="12"/>
  <c r="D62" i="14"/>
  <c r="D64" i="14" s="1"/>
  <c r="C29" i="13" s="1"/>
  <c r="D58" i="14"/>
  <c r="D60" i="14" s="1"/>
  <c r="C21" i="13" s="1"/>
  <c r="C47" i="17" l="1"/>
  <c r="C49" i="17" s="1"/>
  <c r="C56" i="17" s="1"/>
  <c r="C45" i="17" l="1"/>
  <c r="H43" i="26" l="1"/>
  <c r="H48" i="26" s="1"/>
  <c r="H56" i="26" s="1"/>
  <c r="I43" i="26"/>
  <c r="I48" i="26" s="1"/>
  <c r="I56" i="26" s="1"/>
  <c r="G43" i="15"/>
  <c r="I43" i="14"/>
  <c r="I48" i="14" s="1"/>
  <c r="I56" i="14" s="1"/>
  <c r="H43" i="14"/>
  <c r="H48" i="14" s="1"/>
  <c r="H56" i="14" s="1"/>
  <c r="H58" i="14" l="1"/>
  <c r="H60" i="14" s="1"/>
  <c r="C19" i="13" s="1"/>
  <c r="C23" i="13" s="1"/>
  <c r="C25" i="13" s="1"/>
  <c r="H62" i="14"/>
  <c r="H64" i="14" s="1"/>
  <c r="C27" i="13" s="1"/>
  <c r="C31" i="13" s="1"/>
  <c r="C33" i="13" s="1"/>
  <c r="C18" i="12"/>
  <c r="C22" i="12" s="1"/>
  <c r="C24" i="12" s="1"/>
  <c r="H48" i="15"/>
  <c r="H56" i="15" s="1"/>
  <c r="I43" i="15"/>
  <c r="I48" i="15" s="1"/>
  <c r="I56" i="15" s="1"/>
  <c r="I62" i="26"/>
  <c r="I64" i="26" s="1"/>
  <c r="D27" i="25" s="1"/>
  <c r="D31" i="25" s="1"/>
  <c r="D33" i="25" s="1"/>
  <c r="D18" i="24"/>
  <c r="D22" i="24" s="1"/>
  <c r="D24" i="24" s="1"/>
  <c r="I58" i="26"/>
  <c r="I60" i="26" s="1"/>
  <c r="D19" i="25" s="1"/>
  <c r="D23" i="25" s="1"/>
  <c r="D25" i="25" s="1"/>
  <c r="I43" i="27"/>
  <c r="I48" i="27" s="1"/>
  <c r="I56" i="27" s="1"/>
  <c r="H48" i="27"/>
  <c r="H56" i="27" s="1"/>
  <c r="D18" i="12"/>
  <c r="D22" i="12" s="1"/>
  <c r="D24" i="12" s="1"/>
  <c r="I58" i="14"/>
  <c r="I60" i="14" s="1"/>
  <c r="D19" i="13" s="1"/>
  <c r="D23" i="13" s="1"/>
  <c r="D25" i="13" s="1"/>
  <c r="I62" i="14"/>
  <c r="I64" i="14" s="1"/>
  <c r="D27" i="13" s="1"/>
  <c r="D31" i="13" s="1"/>
  <c r="D33" i="13" s="1"/>
  <c r="H58" i="26"/>
  <c r="H60" i="26" s="1"/>
  <c r="C19" i="25" s="1"/>
  <c r="C23" i="25" s="1"/>
  <c r="C25" i="25" s="1"/>
  <c r="H62" i="26"/>
  <c r="H64" i="26" s="1"/>
  <c r="C27" i="25" s="1"/>
  <c r="C31" i="25" s="1"/>
  <c r="C33" i="25" s="1"/>
  <c r="C18" i="24"/>
  <c r="C22" i="24" s="1"/>
  <c r="C24" i="24" s="1"/>
  <c r="F18" i="24" l="1"/>
  <c r="F22" i="24" s="1"/>
  <c r="F24" i="24" s="1"/>
  <c r="H62" i="27"/>
  <c r="H64" i="27" s="1"/>
  <c r="F27" i="25" s="1"/>
  <c r="F31" i="25" s="1"/>
  <c r="F33" i="25" s="1"/>
  <c r="H58" i="27"/>
  <c r="H60" i="27" s="1"/>
  <c r="F19" i="25" s="1"/>
  <c r="F23" i="25" s="1"/>
  <c r="F25" i="25" s="1"/>
  <c r="H62" i="15"/>
  <c r="H64" i="15" s="1"/>
  <c r="F27" i="13" s="1"/>
  <c r="F31" i="13" s="1"/>
  <c r="F33" i="13" s="1"/>
  <c r="F18" i="12"/>
  <c r="F22" i="12" s="1"/>
  <c r="F24" i="12" s="1"/>
  <c r="H58" i="15"/>
  <c r="H60" i="15" s="1"/>
  <c r="F19" i="13" s="1"/>
  <c r="F23" i="13" s="1"/>
  <c r="F25" i="13" s="1"/>
  <c r="I62" i="27"/>
  <c r="I64" i="27" s="1"/>
  <c r="G27" i="25" s="1"/>
  <c r="G31" i="25" s="1"/>
  <c r="G33" i="25" s="1"/>
  <c r="I58" i="27"/>
  <c r="I60" i="27" s="1"/>
  <c r="G19" i="25" s="1"/>
  <c r="G23" i="25" s="1"/>
  <c r="G25" i="25" s="1"/>
  <c r="G18" i="24"/>
  <c r="G22" i="24" s="1"/>
  <c r="G24" i="24" s="1"/>
  <c r="I62" i="15"/>
  <c r="I64" i="15" s="1"/>
  <c r="G27" i="13" s="1"/>
  <c r="G31" i="13" s="1"/>
  <c r="G33" i="13" s="1"/>
  <c r="G18" i="12"/>
  <c r="G22" i="12" s="1"/>
  <c r="G24" i="12" s="1"/>
  <c r="I58" i="15"/>
  <c r="I60" i="15" s="1"/>
  <c r="G19" i="13" s="1"/>
  <c r="G23" i="13" s="1"/>
  <c r="G25" i="13" s="1"/>
</calcChain>
</file>

<file path=xl/sharedStrings.xml><?xml version="1.0" encoding="utf-8"?>
<sst xmlns="http://schemas.openxmlformats.org/spreadsheetml/2006/main" count="640" uniqueCount="248">
  <si>
    <t>Massachusetts Electric Company</t>
  </si>
  <si>
    <t>Nantucket Electric Company</t>
  </si>
  <si>
    <t>d/b/a National Grid</t>
  </si>
  <si>
    <t>Exhibit 1</t>
  </si>
  <si>
    <t>Page 1 of 2</t>
  </si>
  <si>
    <t>Residential Transmission Heat Pump Rate Design</t>
  </si>
  <si>
    <t>H.O. _______</t>
  </si>
  <si>
    <t>Line</t>
  </si>
  <si>
    <t>Assumptions:</t>
  </si>
  <si>
    <t>R-1: Residential</t>
  </si>
  <si>
    <t>Proposed Rate</t>
  </si>
  <si>
    <t>Net Transmission Charge</t>
  </si>
  <si>
    <t>Average Monthly kWh - Test Year</t>
  </si>
  <si>
    <t>R-1 Average Monthly Use (kWh) (a)</t>
  </si>
  <si>
    <t>Normal Therm UPC 
(b)</t>
  </si>
  <si>
    <t>Therms (Heating Load)
(c)</t>
  </si>
  <si>
    <t>Avg. Temp COP 
(d)</t>
  </si>
  <si>
    <t>kWh Conversion 
(e)</t>
  </si>
  <si>
    <t>kWh Usage
(f)</t>
  </si>
  <si>
    <t>Avg. Monthly Use with Heat Pump (kWh)
(g)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</si>
  <si>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</si>
  <si>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</si>
  <si>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</si>
  <si>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</si>
  <si>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</si>
  <si>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</si>
  <si>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</si>
  <si>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</si>
  <si>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</si>
  <si>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</si>
  <si>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</si>
  <si>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</si>
  <si>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</si>
  <si>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Derrivation of Heat Pump Rate Adjustment Factor</t>
  </si>
  <si>
    <t>Therm to kWH Factor</t>
  </si>
  <si>
    <t>Summer Heat Pump Adjustment Factor</t>
  </si>
  <si>
    <t>Winter Heat Pump Adjustment Factor</t>
  </si>
  <si>
    <t>Forecasted Sales kWh - Winter (Mar - April 2026)</t>
  </si>
  <si>
    <t>Forecasted Sales kWh - Summer (May - October 2026)</t>
  </si>
  <si>
    <t>Forecasted Sales kWh - Winter (November 2026 - February 2027)</t>
  </si>
  <si>
    <t>Total Annual Forecasted kWh</t>
  </si>
  <si>
    <t>Forecasted kWh - Summer - HP Adjusted</t>
  </si>
  <si>
    <t>Total Annual Forecasted kWh - HP Adjusted</t>
  </si>
  <si>
    <t>Energy Revenue - Summer</t>
  </si>
  <si>
    <t>Energy Revenue -- Winter Mar - Apr '26</t>
  </si>
  <si>
    <t>Energy Revenue - Winter Nov '26 - Feb '27</t>
  </si>
  <si>
    <t>Total Net Transmission Charge Revenue</t>
  </si>
  <si>
    <t>Target R-1/R-2 Net Transmission Charge Revenue (DPU 26-02)</t>
  </si>
  <si>
    <t>Results</t>
  </si>
  <si>
    <t>R-1/R-2: Residential Heat Pump Service</t>
  </si>
  <si>
    <t>Rate</t>
  </si>
  <si>
    <t>Transmission Charge - Summer</t>
  </si>
  <si>
    <t>Transmission Charge - Winter</t>
  </si>
  <si>
    <t>Line (3) DPU 26-02 PP-9, Page 1, Line (10), Column (b)</t>
  </si>
  <si>
    <t>Column (a) Lines (5)-(16): D.P.U. 23-150, Workpaper NG-PP-3 (REV-2) page 2, line 2 (a)-(l) ÷ line 1 (a)-(l)</t>
  </si>
  <si>
    <t>Column (b) Company Records for average gas customer usage</t>
  </si>
  <si>
    <t>Column (c) = Column (b) -  Column (c) Line (18)</t>
  </si>
  <si>
    <t>Column (d) Electrification Load Profile assumptions from the Company's Electric Load Forecast</t>
  </si>
  <si>
    <t xml:space="preserve">Column (e) =  Column (c) Lines (5)-(16)  X Column (c) Line (19) </t>
  </si>
  <si>
    <t>Column (f)=Column (e) / Column (d)</t>
  </si>
  <si>
    <t>Column (g)= Column (a) + Column (f)</t>
  </si>
  <si>
    <t>Line (18) =Column (c) = Average of Lines (11)-(14) Column (c)</t>
  </si>
  <si>
    <t>Line (19) Column (c) = Therm to kWh conversion factor</t>
  </si>
  <si>
    <t>Line (21) = Sum of Column (g) May - October / Sum of Column (a) May - October</t>
  </si>
  <si>
    <t xml:space="preserve">Line (22) = Sum of Column (g) November - April  / Sum of Column (a) November - April </t>
  </si>
  <si>
    <t>Page 2 of 2</t>
  </si>
  <si>
    <t>FORECAST</t>
  </si>
  <si>
    <t>MECO</t>
  </si>
  <si>
    <t>YEAR</t>
  </si>
  <si>
    <t>MONTH</t>
  </si>
  <si>
    <t>R1</t>
  </si>
  <si>
    <t>R2</t>
  </si>
  <si>
    <t>G1</t>
  </si>
  <si>
    <t>G2</t>
  </si>
  <si>
    <t>G3</t>
  </si>
  <si>
    <t>SL</t>
  </si>
  <si>
    <t>Total</t>
  </si>
  <si>
    <t>NANT</t>
  </si>
  <si>
    <t>Combined</t>
  </si>
  <si>
    <t>Total kWh</t>
  </si>
  <si>
    <t>Exhibit 2</t>
  </si>
  <si>
    <t>Page 1 of 4</t>
  </si>
  <si>
    <t>Calculation of Illustrative R-1 Base Distribution and Transmission Heat-Pump Rate Customer Bill Impacts</t>
  </si>
  <si>
    <t>3 Ton Heat-Pump</t>
  </si>
  <si>
    <t>5 Ton Heat-Pump</t>
  </si>
  <si>
    <t>1,652 kWh usage (November)*</t>
  </si>
  <si>
    <t>2,269 kWh usage (January)**</t>
  </si>
  <si>
    <t>2,443 kWh usage (November)***</t>
  </si>
  <si>
    <t>3,341 kWh usage (January)****</t>
  </si>
  <si>
    <t>(a)</t>
  </si>
  <si>
    <t>(b)</t>
  </si>
  <si>
    <t>(c)</t>
  </si>
  <si>
    <t>(d)</t>
  </si>
  <si>
    <t>Illustrative R-1 Heat-Pump Customer Monthly Bill</t>
  </si>
  <si>
    <t>Illustrative Typical Residential R-1 Monthly Bill</t>
  </si>
  <si>
    <t>Illustrative R-1 Heat-Pump Customer Monthly Bill $ Increase/(Decrease)</t>
  </si>
  <si>
    <t>Illustrative R-1 Heat-Pump Customer Monthly Bill % Increase/(Decrease)</t>
  </si>
  <si>
    <t>(1) (a)</t>
  </si>
  <si>
    <t>Page 3, Line 34, Column (e)</t>
  </si>
  <si>
    <t>(2) (a)</t>
  </si>
  <si>
    <t>Page 3, Line 34, Column (b)</t>
  </si>
  <si>
    <t>(1) (b)</t>
  </si>
  <si>
    <t>Page 3, Line 34, Column (f)</t>
  </si>
  <si>
    <t>(2) (b)</t>
  </si>
  <si>
    <t>Page 3, Line 34, Column (c)</t>
  </si>
  <si>
    <t>(1) (c)</t>
  </si>
  <si>
    <t>Page 4, Line 34, Column (e)</t>
  </si>
  <si>
    <t>(2) (c)</t>
  </si>
  <si>
    <t>Page 4, Line 34, Column (b)</t>
  </si>
  <si>
    <t>(1) (d)</t>
  </si>
  <si>
    <t>Page 4, Line 34, Column (f)</t>
  </si>
  <si>
    <t>(2) (d)</t>
  </si>
  <si>
    <t>Page 4, Line 34, Column (c)</t>
  </si>
  <si>
    <t>Line (1) - Line (2)</t>
  </si>
  <si>
    <t>Line (3) ÷ Line (2)</t>
  </si>
  <si>
    <t>*</t>
  </si>
  <si>
    <t>1,652 kWh is equal to average residential customer usage in the month of November (600 kWh), plus 3-ton heat-pump usage in the same month</t>
  </si>
  <si>
    <t>**</t>
  </si>
  <si>
    <t>2,269 kWh is equal to average residential customer usage in the month of January (600 kWh), plus 3-ton heat-pump usage in the same month</t>
  </si>
  <si>
    <t>***</t>
  </si>
  <si>
    <t>2,443 kWh is equal to average residential customer usage in the month of November (600 kWh), plus 5-ton heat-pump usage in the same month</t>
  </si>
  <si>
    <t>****</t>
  </si>
  <si>
    <t>3,341 kWh is equal to average residential customer usage in the month of January (600 kWh), plus 5-ton heat-pump usage in the same month</t>
  </si>
  <si>
    <t>Page 2 of 4</t>
  </si>
  <si>
    <t>Calculation of Illustrative R-2 Base Distribution and Transmission Heat-Pump Rate Customer Bill Impacts</t>
  </si>
  <si>
    <t>Illustrative R-2 Heat-Pump Customer Monthly Bill - 32% discount rate</t>
  </si>
  <si>
    <t>Illustrative R-2 Residential Monthly Bill - 32% discount rate</t>
  </si>
  <si>
    <t>Illustrative R-2 Heat-Pump Customer Monthly Bill $ Increase/(Decrease) - 32% discount rate</t>
  </si>
  <si>
    <t>Illustrative R-2 Heat-Pump Customer Monthly Bill % Increase/(Decrease) -32% discount rate</t>
  </si>
  <si>
    <t>Illustrative R-2 Heat-Pump Customer Monthly Bill - 91% discount rate</t>
  </si>
  <si>
    <t>Illustrative R-2 Residential Monthly Bill - 91% discount rate</t>
  </si>
  <si>
    <t>Illustrative R-2 Heat-Pump Customer Monthly Bill $ Increase/(Decrease) - 91% discount rate</t>
  </si>
  <si>
    <t>Illustrative R-2 Heat-Pump Customer Monthly Bill % Increase/(Decrease) -91% discount rate</t>
  </si>
  <si>
    <t>Page 3, Line 36, Column (e)</t>
  </si>
  <si>
    <t>Page 3, Line 36, Column (b)</t>
  </si>
  <si>
    <t>Page 3, Line 36, Column (f)</t>
  </si>
  <si>
    <t>Page 3, Line 36, Column (c)</t>
  </si>
  <si>
    <t>Page 4, Line 36, Column (e)</t>
  </si>
  <si>
    <t>Page 4, Line 36, Column (b)</t>
  </si>
  <si>
    <t>Page 4, Line 36, Column (f)</t>
  </si>
  <si>
    <t>Page 4, Line 36, Column (c)</t>
  </si>
  <si>
    <t>(5) (a)</t>
  </si>
  <si>
    <t>Page 3, Line 38, Column (e)</t>
  </si>
  <si>
    <t>(6) (a)</t>
  </si>
  <si>
    <t>Page 3, Line 38, Column (b)</t>
  </si>
  <si>
    <t>(5) (b)</t>
  </si>
  <si>
    <t>Page 3, Line 38, Column (f)</t>
  </si>
  <si>
    <t>(6) (b)</t>
  </si>
  <si>
    <t>Page 3, Line 38, Column (c)</t>
  </si>
  <si>
    <t>(5) (c)</t>
  </si>
  <si>
    <t>Page 4, Line 38, Column (e)</t>
  </si>
  <si>
    <t>(6) (c)</t>
  </si>
  <si>
    <t>Page 4, Line 38, Column (b)</t>
  </si>
  <si>
    <t>(5) (d)</t>
  </si>
  <si>
    <t>Page 4, Line 38, Column (f)</t>
  </si>
  <si>
    <t>(6) (d)</t>
  </si>
  <si>
    <t>Page 4, Line 38, Column (c)</t>
  </si>
  <si>
    <t>Page 3 of 4</t>
  </si>
  <si>
    <t>Calculation of  Monthly Residential Bills for Customers with 3 Ton Heat-Pump</t>
  </si>
  <si>
    <t>Residential (non-Heat-Pump) Customer Typical Bill</t>
  </si>
  <si>
    <t>Residential Heat-Pump Rate Customer Typical Bill</t>
  </si>
  <si>
    <t>Effective</t>
  </si>
  <si>
    <t xml:space="preserve"> Amount (1,652 kWh November usage)</t>
  </si>
  <si>
    <t>Amount (2,269 kWh January usage)</t>
  </si>
  <si>
    <t>(e)</t>
  </si>
  <si>
    <t>(f)</t>
  </si>
  <si>
    <t>Delivery Service</t>
  </si>
  <si>
    <t>Customer Charge</t>
  </si>
  <si>
    <t>Base Distribution Charge</t>
  </si>
  <si>
    <t>Basic Service Adjustment Factor</t>
  </si>
  <si>
    <t>Residential Assistance Adjustment Factor</t>
  </si>
  <si>
    <t>Storm Fund Replenishment Factor</t>
  </si>
  <si>
    <t>Pension/PBOP Factor</t>
  </si>
  <si>
    <t>Revenue Decoupling Mechanism Adjustment Factor</t>
  </si>
  <si>
    <t>Attorney General Consulting Expense Factor</t>
  </si>
  <si>
    <t>Solar Cost Adjustment Factor</t>
  </si>
  <si>
    <t xml:space="preserve">Smart Grid Distribution Adjustment Factor </t>
  </si>
  <si>
    <t>Renewable Energy Recovery Factor</t>
  </si>
  <si>
    <t>Tax Act Credit Factor</t>
  </si>
  <si>
    <t>Vegetation Management Factor</t>
  </si>
  <si>
    <t>Grid Modernization Factor</t>
  </si>
  <si>
    <t>Exogenous Storm Fund Factor</t>
  </si>
  <si>
    <t>Advanced Metering Infrastructure Factor</t>
  </si>
  <si>
    <t>Electronic Payment Recovery Factor</t>
  </si>
  <si>
    <t>Infrastructure, Safety, Reliability and Electrification Factor</t>
  </si>
  <si>
    <t>Winter Relief Recovery Factor</t>
  </si>
  <si>
    <t>Total Distribution Energy Charge</t>
  </si>
  <si>
    <t>SMART Factor</t>
  </si>
  <si>
    <t>Electric Vehicle Program Factor</t>
  </si>
  <si>
    <t>Transition Charge</t>
  </si>
  <si>
    <t>Energy Efficiency Charge</t>
  </si>
  <si>
    <t>Net Metering Recovery Surcharge</t>
  </si>
  <si>
    <t>Renewables Charge</t>
  </si>
  <si>
    <t>Electric Sector Modernization Plan Factor</t>
  </si>
  <si>
    <t>Subtotal Delivery Charges</t>
  </si>
  <si>
    <t>Supply Service</t>
  </si>
  <si>
    <t>Base Basic Service Charge</t>
  </si>
  <si>
    <t>Basic Service Admin Cost Factor</t>
  </si>
  <si>
    <t>Smart Grid Customer Cost Adjustment Factor</t>
  </si>
  <si>
    <t>Subtotal Commodity</t>
  </si>
  <si>
    <t>Total R-1 Residential Typical Bill</t>
  </si>
  <si>
    <t>R-2 Low Income Discount - 32%</t>
  </si>
  <si>
    <t>Total R-2 Residential Typical Bill on 32% discount rate</t>
  </si>
  <si>
    <t>R-2 Low Income Discount -91%</t>
  </si>
  <si>
    <t>Total R-2 Residential Typical Bill on 91% discount rate</t>
  </si>
  <si>
    <t>(a), (d)</t>
  </si>
  <si>
    <t>(b),(c), (e), (f)</t>
  </si>
  <si>
    <t>Line (1): Per M.D.P.U. No. 1-26-G (proposed)</t>
  </si>
  <si>
    <t>Lines (20) through (27), Line (32): kWh x Column (a)</t>
  </si>
  <si>
    <t>Line (29) = SUM (Lines (20) through (28))</t>
  </si>
  <si>
    <t>Line (34): Line (29) + Line (33)</t>
  </si>
  <si>
    <t>Line (35): Line (34) x Line (35), Column (a)</t>
  </si>
  <si>
    <t>Line (36): Line (34) - Line (35)</t>
  </si>
  <si>
    <t>Page 4 of 4</t>
  </si>
  <si>
    <t>Calculation of  Monthly Residential Bills for Customers with 5 Ton Heat-Pump</t>
  </si>
  <si>
    <t xml:space="preserve"> Amount (2,443 kWh November usage)</t>
  </si>
  <si>
    <t>Amount (3,341 kWh January usage)</t>
  </si>
  <si>
    <t>Transmission Service Adjustment Factor</t>
  </si>
  <si>
    <t>R-2 Low Income Discount</t>
  </si>
  <si>
    <t>Total R-2 Residential Typical Bill</t>
  </si>
  <si>
    <t>Exhibit 3</t>
  </si>
  <si>
    <t>Lines (23) - (25) Company's forecast</t>
  </si>
  <si>
    <t>Line (26) = Sum of Line (23) through Line (25)</t>
  </si>
  <si>
    <t>Line (27) = Line (22) * Line (23)</t>
  </si>
  <si>
    <t>Line (28) = Line (21) * Line (24)</t>
  </si>
  <si>
    <t>Line (30) = Sum of Line (27) through Line (2)</t>
  </si>
  <si>
    <t>Line (35) DPU 26-02 PP-9, Page 1, Line (6), Column (b)</t>
  </si>
  <si>
    <t>Line (31) =  Line (27) * Line (38)</t>
  </si>
  <si>
    <t>Line (32) = Line (28) * Line (38)</t>
  </si>
  <si>
    <t>Line (38) = Line (3)</t>
  </si>
  <si>
    <t>Forecasted kWh - Winter - Mar - Apr HP Adjusted</t>
  </si>
  <si>
    <t>Forecasted kWh - Winter -Nov - Feb HP Adjusted</t>
  </si>
  <si>
    <t>R-1/R-2: Residential Heat Pump Service (Normalized) - Annual Basis</t>
  </si>
  <si>
    <t>Forecasted Sales kWh - Summer (Mar - October 2026)</t>
  </si>
  <si>
    <t>Forecasted Sales kWh - Winter (March-April 2026, November 2026 - February 2027)</t>
  </si>
  <si>
    <t>Forecasted kWh - Winter -HP Adjusted</t>
  </si>
  <si>
    <t>Proposed Heat Pump Net Transmission Charge (Nov 2026-Feb 2027)</t>
  </si>
  <si>
    <t>Normalized Annual Heat Pump Net Transmission Charge</t>
  </si>
  <si>
    <t xml:space="preserve">Energy Revenue - Winter </t>
  </si>
  <si>
    <t>(h)</t>
  </si>
  <si>
    <t>(i)</t>
  </si>
  <si>
    <t>Line (29) = Line (22) * Line (25)</t>
  </si>
  <si>
    <t>Line (33) (h) = Line (34) - Line (31) - Line (32); Line (33) (i) = Line (29)* Line (39)</t>
  </si>
  <si>
    <t>Line (34) (h) = Line (35); Line (34) (i) = Sum of Lines (32) through (33)</t>
  </si>
  <si>
    <t>Line (39) (h) = Line (33)/ Line (29); Line (39) (i) = (Line (35) - Line (32)) / Line (29)</t>
  </si>
  <si>
    <t>Per M.D.P.U. No. 1-26-F; exept Line (24) (d) =  Exhibit 1 , Page 1, Line (39) Col. (i)</t>
  </si>
  <si>
    <t>Per M.D.P.U. No. 1-26-F; exept Line (24) (d) =  Exhibit 1 , Page 1, Line (39) (i), Line (2) = D.P.U.26-XX, Exhibit 4, Page 1, Line 3&amp;6</t>
  </si>
  <si>
    <t>D.P.U 26-71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</si>
</sst>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00_);_(&quot;$&quot;* \(#,##0.00000\);_(&quot;$&quot;* &quot;-&quot;??_);_(@_)"/>
    <numFmt numFmtId="166" formatCode="[$-409]mmm\-yy;@"/>
    <numFmt numFmtId="167" formatCode="&quot;$&quot;#,##0.00000_);[Red]\(&quot;$&quot;#,##0.00000\)"/>
    <numFmt numFmtId="168" formatCode="0.000000"/>
    <numFmt numFmtId="169" formatCode="0.0"/>
    <numFmt numFmtId="170" formatCode="&quot;$&quot;#,##0.00000_);\(&quot;$&quot;#,##0.00000\)"/>
    <numFmt numFmtId="171" formatCode="0_);\(0\)"/>
    <numFmt numFmtId="172" formatCode="_(* #,##0_);_(* \(#,##0\);_(* &quot;-&quot;??_);_(@_)"/>
    <numFmt numFmtId="173" formatCode="0%_);\(0%\)"/>
    <numFmt numFmtId="174" formatCode="mmm\-yyyy"/>
    <numFmt numFmtId="175" formatCode="_(&quot;$&quot;* #,##0.00_);_(&quot;$&quot;* \(#,##0.00\);_(&quot;$&quot;* &quot;-&quot;?????_);_(@_)"/>
    <numFmt numFmtId="176" formatCode="&quot;$&quot;#,##0.00"/>
    <numFmt numFmtId="177" formatCode="_(&quot;$&quot;* #,##0.0000000_);_(&quot;$&quot;* \(#,##0.0000000\);_(&quot;$&quot;* &quot;-&quot;??_);_(@_)"/>
    <numFmt numFmtId="178" formatCode="_(* #,##0.0000_);_(* \(#,##0.0000\);_(* &quot;-&quot;??_);_(@_)"/>
  </numFmts>
  <fonts count="24" x14ac:knownFonts="1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u val="singleAccounting"/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 val="singleAccounting"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0"/>
      <color rgb="FF3333FF"/>
      <name val="Times New Roman"/>
      <family val="1"/>
    </font>
    <font>
      <sz val="12"/>
      <name val="Arial"/>
      <family val="2"/>
    </font>
    <font>
      <u val="singleAccounting"/>
      <sz val="10"/>
      <name val="Times New Roman"/>
      <family val="1"/>
    </font>
    <font>
      <b/>
      <sz val="11"/>
      <color rgb="FFFF0000"/>
      <name val="Times New Roman"/>
      <family val="1"/>
    </font>
    <font>
      <strike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5" fillId="0" borderId="0"/>
    <xf numFmtId="0" fontId="3" fillId="0" borderId="0"/>
    <xf numFmtId="168" fontId="4" fillId="0" borderId="0">
      <alignment horizontal="left" wrapText="1"/>
    </xf>
    <xf numFmtId="0" fontId="2" fillId="0" borderId="0"/>
    <xf numFmtId="0" fontId="2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32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7" fillId="0" borderId="0" xfId="0" applyFont="1"/>
    <xf numFmtId="0" fontId="6" fillId="0" borderId="0" xfId="4" applyFont="1" applyAlignment="1">
      <alignment horizontal="left" indent="2"/>
    </xf>
    <xf numFmtId="44" fontId="6" fillId="0" borderId="0" xfId="0" applyNumberFormat="1" applyFont="1"/>
    <xf numFmtId="164" fontId="6" fillId="0" borderId="0" xfId="1" applyNumberFormat="1" applyFont="1" applyFill="1" applyBorder="1"/>
    <xf numFmtId="165" fontId="6" fillId="0" borderId="0" xfId="0" applyNumberFormat="1" applyFont="1"/>
    <xf numFmtId="164" fontId="6" fillId="0" borderId="0" xfId="2" applyNumberFormat="1" applyFont="1" applyFill="1" applyBorder="1"/>
    <xf numFmtId="0" fontId="7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6" fontId="6" fillId="0" borderId="0" xfId="5" applyNumberFormat="1" applyFont="1"/>
    <xf numFmtId="43" fontId="6" fillId="0" borderId="0" xfId="1" applyFont="1" applyFill="1" applyBorder="1"/>
    <xf numFmtId="43" fontId="6" fillId="0" borderId="0" xfId="0" applyNumberFormat="1" applyFont="1"/>
    <xf numFmtId="43" fontId="6" fillId="0" borderId="0" xfId="1" applyFont="1"/>
    <xf numFmtId="169" fontId="6" fillId="0" borderId="0" xfId="0" applyNumberFormat="1" applyFont="1"/>
    <xf numFmtId="43" fontId="6" fillId="0" borderId="1" xfId="1" applyFont="1" applyFill="1" applyBorder="1"/>
    <xf numFmtId="43" fontId="6" fillId="0" borderId="1" xfId="0" applyNumberFormat="1" applyFont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7" fontId="6" fillId="0" borderId="0" xfId="0" applyNumberFormat="1" applyFont="1"/>
    <xf numFmtId="0" fontId="6" fillId="0" borderId="0" xfId="0" applyFont="1" applyAlignment="1">
      <alignment horizontal="center" wrapText="1"/>
    </xf>
    <xf numFmtId="44" fontId="6" fillId="0" borderId="0" xfId="2" applyFont="1" applyFill="1"/>
    <xf numFmtId="7" fontId="6" fillId="0" borderId="0" xfId="0" applyNumberFormat="1" applyFont="1" applyAlignment="1">
      <alignment horizontal="center"/>
    </xf>
    <xf numFmtId="44" fontId="6" fillId="3" borderId="0" xfId="0" applyNumberFormat="1" applyFont="1" applyFill="1"/>
    <xf numFmtId="0" fontId="6" fillId="0" borderId="0" xfId="16" applyFont="1"/>
    <xf numFmtId="0" fontId="12" fillId="0" borderId="0" xfId="16"/>
    <xf numFmtId="3" fontId="6" fillId="0" borderId="0" xfId="16" applyNumberFormat="1" applyFont="1" applyAlignment="1">
      <alignment horizontal="right"/>
    </xf>
    <xf numFmtId="0" fontId="6" fillId="0" borderId="0" xfId="16" applyFont="1" applyAlignment="1">
      <alignment horizontal="right"/>
    </xf>
    <xf numFmtId="0" fontId="6" fillId="0" borderId="0" xfId="16" applyFont="1" applyAlignment="1">
      <alignment horizontal="center"/>
    </xf>
    <xf numFmtId="0" fontId="6" fillId="0" borderId="0" xfId="16" applyFont="1" applyAlignment="1">
      <alignment horizontal="centerContinuous"/>
    </xf>
    <xf numFmtId="0" fontId="12" fillId="0" borderId="0" xfId="16" applyAlignment="1">
      <alignment horizontal="center"/>
    </xf>
    <xf numFmtId="171" fontId="6" fillId="0" borderId="0" xfId="17" applyNumberFormat="1" applyFont="1" applyAlignment="1">
      <alignment horizontal="center"/>
    </xf>
    <xf numFmtId="7" fontId="6" fillId="0" borderId="0" xfId="16" applyNumberFormat="1" applyFont="1"/>
    <xf numFmtId="7" fontId="6" fillId="0" borderId="0" xfId="17" applyNumberFormat="1" applyFont="1"/>
    <xf numFmtId="43" fontId="6" fillId="0" borderId="0" xfId="17" applyFont="1" applyBorder="1"/>
    <xf numFmtId="172" fontId="6" fillId="0" borderId="0" xfId="17" applyNumberFormat="1" applyFont="1" applyAlignment="1">
      <alignment horizontal="center"/>
    </xf>
    <xf numFmtId="10" fontId="6" fillId="0" borderId="0" xfId="18" applyNumberFormat="1" applyFont="1"/>
    <xf numFmtId="10" fontId="6" fillId="0" borderId="0" xfId="18" applyNumberFormat="1" applyFont="1" applyBorder="1"/>
    <xf numFmtId="173" fontId="6" fillId="0" borderId="0" xfId="18" applyNumberFormat="1" applyFont="1"/>
    <xf numFmtId="173" fontId="6" fillId="0" borderId="0" xfId="18" applyNumberFormat="1" applyFont="1" applyBorder="1"/>
    <xf numFmtId="9" fontId="12" fillId="0" borderId="0" xfId="19" applyFont="1"/>
    <xf numFmtId="7" fontId="12" fillId="0" borderId="0" xfId="16" applyNumberFormat="1"/>
    <xf numFmtId="43" fontId="6" fillId="0" borderId="0" xfId="17" applyFont="1"/>
    <xf numFmtId="0" fontId="6" fillId="0" borderId="0" xfId="16" applyFont="1" applyAlignment="1">
      <alignment vertical="center"/>
    </xf>
    <xf numFmtId="3" fontId="6" fillId="0" borderId="0" xfId="16" applyNumberFormat="1" applyFont="1" applyAlignment="1">
      <alignment horizontal="right" vertical="center"/>
    </xf>
    <xf numFmtId="0" fontId="6" fillId="0" borderId="0" xfId="16" applyFont="1" applyAlignment="1">
      <alignment horizontal="right" vertical="center"/>
    </xf>
    <xf numFmtId="0" fontId="6" fillId="0" borderId="0" xfId="16" applyFont="1" applyAlignment="1">
      <alignment horizontal="center" vertical="center"/>
    </xf>
    <xf numFmtId="0" fontId="6" fillId="0" borderId="0" xfId="16" applyFont="1" applyAlignment="1">
      <alignment horizontal="centerContinuous" vertical="center"/>
    </xf>
    <xf numFmtId="0" fontId="10" fillId="0" borderId="0" xfId="16" applyFont="1" applyAlignment="1">
      <alignment horizontal="center" vertical="center"/>
    </xf>
    <xf numFmtId="174" fontId="11" fillId="0" borderId="0" xfId="16" applyNumberFormat="1" applyFont="1" applyAlignment="1">
      <alignment horizontal="center" vertical="center"/>
    </xf>
    <xf numFmtId="174" fontId="6" fillId="0" borderId="0" xfId="16" applyNumberFormat="1" applyFont="1" applyAlignment="1">
      <alignment horizontal="center" vertical="center"/>
    </xf>
    <xf numFmtId="171" fontId="6" fillId="0" borderId="0" xfId="16" applyNumberFormat="1" applyFont="1" applyAlignment="1">
      <alignment horizontal="center" vertical="center"/>
    </xf>
    <xf numFmtId="0" fontId="6" fillId="0" borderId="0" xfId="16" applyFont="1" applyAlignment="1">
      <alignment horizontal="left" vertical="center"/>
    </xf>
    <xf numFmtId="174" fontId="14" fillId="0" borderId="0" xfId="16" quotePrefix="1" applyNumberFormat="1" applyFont="1" applyAlignment="1">
      <alignment horizontal="center" vertical="center"/>
    </xf>
    <xf numFmtId="174" fontId="14" fillId="0" borderId="0" xfId="16" applyNumberFormat="1" applyFont="1" applyAlignment="1">
      <alignment horizontal="center" vertical="center"/>
    </xf>
    <xf numFmtId="0" fontId="11" fillId="0" borderId="0" xfId="16" applyFont="1" applyAlignment="1">
      <alignment vertical="center"/>
    </xf>
    <xf numFmtId="174" fontId="11" fillId="0" borderId="0" xfId="16" quotePrefix="1" applyNumberFormat="1" applyFont="1" applyAlignment="1">
      <alignment horizontal="center" vertical="center"/>
    </xf>
    <xf numFmtId="0" fontId="15" fillId="0" borderId="0" xfId="16" applyFont="1" applyAlignment="1">
      <alignment vertical="center"/>
    </xf>
    <xf numFmtId="7" fontId="6" fillId="0" borderId="0" xfId="16" applyNumberFormat="1" applyFont="1" applyAlignment="1">
      <alignment vertical="center"/>
    </xf>
    <xf numFmtId="170" fontId="6" fillId="0" borderId="0" xfId="16" applyNumberFormat="1" applyFont="1" applyAlignment="1">
      <alignment vertical="center"/>
    </xf>
    <xf numFmtId="170" fontId="10" fillId="0" borderId="0" xfId="16" applyNumberFormat="1" applyFont="1" applyAlignment="1">
      <alignment vertical="center"/>
    </xf>
    <xf numFmtId="7" fontId="10" fillId="0" borderId="0" xfId="16" applyNumberFormat="1" applyFont="1" applyAlignment="1">
      <alignment vertical="center"/>
    </xf>
    <xf numFmtId="7" fontId="6" fillId="0" borderId="0" xfId="20" applyNumberFormat="1" applyFont="1" applyFill="1" applyBorder="1" applyAlignment="1">
      <alignment vertical="center"/>
    </xf>
    <xf numFmtId="170" fontId="11" fillId="0" borderId="0" xfId="20" applyNumberFormat="1" applyFont="1" applyFill="1" applyBorder="1" applyAlignment="1">
      <alignment vertical="center"/>
    </xf>
    <xf numFmtId="7" fontId="16" fillId="0" borderId="0" xfId="16" applyNumberFormat="1" applyFont="1" applyAlignment="1">
      <alignment vertical="center"/>
    </xf>
    <xf numFmtId="175" fontId="6" fillId="0" borderId="0" xfId="16" applyNumberFormat="1" applyFont="1" applyAlignment="1">
      <alignment vertical="center"/>
    </xf>
    <xf numFmtId="9" fontId="6" fillId="0" borderId="0" xfId="18" applyFont="1" applyAlignment="1">
      <alignment vertical="center"/>
    </xf>
    <xf numFmtId="176" fontId="10" fillId="0" borderId="0" xfId="16" applyNumberFormat="1" applyFont="1" applyAlignment="1">
      <alignment vertical="center"/>
    </xf>
    <xf numFmtId="176" fontId="6" fillId="0" borderId="0" xfId="16" applyNumberFormat="1" applyFont="1" applyAlignment="1">
      <alignment vertical="center"/>
    </xf>
    <xf numFmtId="170" fontId="6" fillId="0" borderId="0" xfId="20" quotePrefix="1" applyNumberFormat="1" applyFont="1" applyFill="1" applyAlignment="1">
      <alignment vertical="center"/>
    </xf>
    <xf numFmtId="37" fontId="6" fillId="2" borderId="0" xfId="3" applyNumberFormat="1" applyFont="1" applyFill="1" applyAlignment="1">
      <alignment horizontal="right"/>
    </xf>
    <xf numFmtId="0" fontId="6" fillId="0" borderId="0" xfId="3" applyFont="1" applyAlignment="1">
      <alignment horizontal="right"/>
    </xf>
    <xf numFmtId="0" fontId="13" fillId="0" borderId="0" xfId="16" applyFont="1" applyAlignment="1">
      <alignment horizontal="center"/>
    </xf>
    <xf numFmtId="0" fontId="13" fillId="0" borderId="0" xfId="16" applyFont="1"/>
    <xf numFmtId="9" fontId="6" fillId="0" borderId="0" xfId="16" applyNumberFormat="1" applyFont="1" applyAlignment="1">
      <alignment vertical="center"/>
    </xf>
    <xf numFmtId="0" fontId="12" fillId="0" borderId="0" xfId="21" applyFont="1"/>
    <xf numFmtId="0" fontId="17" fillId="0" borderId="0" xfId="21" applyFont="1"/>
    <xf numFmtId="172" fontId="18" fillId="0" borderId="0" xfId="22" applyNumberFormat="1" applyFont="1" applyFill="1" applyAlignment="1"/>
    <xf numFmtId="172" fontId="12" fillId="0" borderId="0" xfId="21" applyNumberFormat="1" applyFont="1"/>
    <xf numFmtId="172" fontId="18" fillId="0" borderId="0" xfId="23" applyNumberFormat="1" applyFont="1"/>
    <xf numFmtId="172" fontId="20" fillId="0" borderId="0" xfId="21" applyNumberFormat="1" applyFont="1"/>
    <xf numFmtId="172" fontId="12" fillId="0" borderId="0" xfId="22" applyNumberFormat="1" applyFont="1" applyFill="1" applyAlignment="1"/>
    <xf numFmtId="172" fontId="12" fillId="0" borderId="0" xfId="22" applyNumberFormat="1" applyFont="1" applyAlignment="1"/>
    <xf numFmtId="172" fontId="12" fillId="0" borderId="0" xfId="22" applyNumberFormat="1" applyFont="1"/>
    <xf numFmtId="172" fontId="6" fillId="0" borderId="0" xfId="1" applyNumberFormat="1" applyFont="1"/>
    <xf numFmtId="172" fontId="6" fillId="0" borderId="0" xfId="0" applyNumberFormat="1" applyFont="1"/>
    <xf numFmtId="172" fontId="6" fillId="0" borderId="2" xfId="0" applyNumberFormat="1" applyFont="1" applyBorder="1"/>
    <xf numFmtId="172" fontId="6" fillId="0" borderId="2" xfId="1" applyNumberFormat="1" applyFont="1" applyBorder="1"/>
    <xf numFmtId="0" fontId="6" fillId="0" borderId="2" xfId="0" applyFont="1" applyBorder="1"/>
    <xf numFmtId="172" fontId="12" fillId="0" borderId="0" xfId="22" applyNumberFormat="1" applyFont="1" applyBorder="1" applyAlignment="1"/>
    <xf numFmtId="172" fontId="6" fillId="0" borderId="0" xfId="1" applyNumberFormat="1" applyFont="1" applyBorder="1"/>
    <xf numFmtId="9" fontId="6" fillId="0" borderId="0" xfId="15" applyFont="1"/>
    <xf numFmtId="43" fontId="6" fillId="0" borderId="1" xfId="1" applyFont="1" applyBorder="1"/>
    <xf numFmtId="174" fontId="6" fillId="0" borderId="0" xfId="16" quotePrefix="1" applyNumberFormat="1" applyFont="1" applyAlignment="1">
      <alignment horizontal="center" vertical="center"/>
    </xf>
    <xf numFmtId="171" fontId="6" fillId="0" borderId="0" xfId="17" quotePrefix="1" applyNumberFormat="1" applyFont="1" applyAlignment="1">
      <alignment horizontal="center"/>
    </xf>
    <xf numFmtId="0" fontId="21" fillId="0" borderId="0" xfId="0" applyFont="1"/>
    <xf numFmtId="169" fontId="11" fillId="0" borderId="0" xfId="0" applyNumberFormat="1" applyFont="1"/>
    <xf numFmtId="169" fontId="11" fillId="0" borderId="1" xfId="0" applyNumberFormat="1" applyFont="1" applyBorder="1"/>
    <xf numFmtId="44" fontId="6" fillId="0" borderId="0" xfId="2" applyFont="1"/>
    <xf numFmtId="164" fontId="6" fillId="0" borderId="0" xfId="2" applyNumberFormat="1" applyFont="1"/>
    <xf numFmtId="164" fontId="6" fillId="0" borderId="2" xfId="2" applyNumberFormat="1" applyFont="1" applyBorder="1"/>
    <xf numFmtId="177" fontId="6" fillId="0" borderId="0" xfId="2" applyNumberFormat="1" applyFont="1" applyFill="1"/>
    <xf numFmtId="10" fontId="6" fillId="0" borderId="0" xfId="15" applyNumberFormat="1" applyFont="1"/>
    <xf numFmtId="0" fontId="22" fillId="0" borderId="0" xfId="0" applyFont="1" applyAlignment="1">
      <alignment horizontal="left"/>
    </xf>
    <xf numFmtId="43" fontId="22" fillId="0" borderId="0" xfId="1" applyFont="1"/>
    <xf numFmtId="0" fontId="23" fillId="0" borderId="0" xfId="0" applyFont="1"/>
    <xf numFmtId="44" fontId="8" fillId="0" borderId="0" xfId="2" applyFont="1"/>
    <xf numFmtId="43" fontId="8" fillId="0" borderId="0" xfId="0" applyNumberFormat="1" applyFont="1"/>
    <xf numFmtId="165" fontId="7" fillId="0" borderId="0" xfId="0" applyNumberFormat="1" applyFont="1"/>
    <xf numFmtId="164" fontId="6" fillId="0" borderId="0" xfId="0" applyNumberFormat="1" applyFont="1"/>
    <xf numFmtId="165" fontId="7" fillId="0" borderId="0" xfId="2" applyNumberFormat="1" applyFont="1"/>
    <xf numFmtId="172" fontId="6" fillId="0" borderId="0" xfId="1" applyNumberFormat="1" applyFont="1" applyFill="1" applyBorder="1"/>
    <xf numFmtId="9" fontId="6" fillId="0" borderId="0" xfId="15" applyFont="1" applyFill="1" applyBorder="1"/>
    <xf numFmtId="170" fontId="6" fillId="4" borderId="0" xfId="16" applyNumberFormat="1" applyFont="1" applyFill="1" applyAlignment="1">
      <alignment vertical="center"/>
    </xf>
    <xf numFmtId="170" fontId="6" fillId="0" borderId="0" xfId="16" applyNumberFormat="1" applyFont="1"/>
    <xf numFmtId="0" fontId="10" fillId="0" borderId="0" xfId="0" applyFont="1" applyAlignment="1">
      <alignment horizontal="center" wrapText="1"/>
    </xf>
    <xf numFmtId="172" fontId="6" fillId="0" borderId="2" xfId="1" applyNumberFormat="1" applyFont="1" applyFill="1" applyBorder="1"/>
    <xf numFmtId="178" fontId="6" fillId="0" borderId="2" xfId="0" applyNumberFormat="1" applyFont="1" applyBorder="1"/>
    <xf numFmtId="43" fontId="6" fillId="0" borderId="2" xfId="0" applyNumberFormat="1" applyFont="1" applyBorder="1"/>
    <xf numFmtId="164" fontId="6" fillId="0" borderId="2" xfId="0" applyNumberFormat="1" applyFont="1" applyBorder="1"/>
    <xf numFmtId="43" fontId="6" fillId="0" borderId="0" xfId="1" applyFont="1" applyAlignment="1">
      <alignment horizontal="center"/>
    </xf>
    <xf numFmtId="2" fontId="12" fillId="0" borderId="0" xfId="16" applyNumberFormat="1"/>
    <xf numFmtId="0" fontId="6" fillId="0" borderId="0" xfId="16" applyFont="1" applyAlignment="1">
      <alignment horizontal="center"/>
    </xf>
    <xf numFmtId="0" fontId="6" fillId="0" borderId="1" xfId="16" applyFont="1" applyBorder="1" applyAlignment="1">
      <alignment horizontal="center"/>
    </xf>
    <xf numFmtId="0" fontId="6" fillId="0" borderId="0" xfId="16" applyFont="1" applyAlignment="1">
      <alignment horizontal="center" vertical="center"/>
    </xf>
    <xf numFmtId="0" fontId="6" fillId="0" borderId="1" xfId="16" applyFont="1" applyBorder="1" applyAlignment="1">
      <alignment horizontal="center" vertical="center"/>
    </xf>
  </cellXfs>
  <cellStyles count="26">
    <cellStyle name="Comma" xfId="1" builtinId="3"/>
    <cellStyle name="Comma 2" xfId="11" xr:uid="{8F41DF9E-2036-4761-B5D1-5AE69F6EE0A5}"/>
    <cellStyle name="Comma 2 2" xfId="17" xr:uid="{57432944-1BDB-4A17-80E0-4B6E410889B8}"/>
    <cellStyle name="Comma 3" xfId="23" xr:uid="{89A93C77-93A1-4C96-A290-4C23425A68DF}"/>
    <cellStyle name="Comma 5" xfId="22" xr:uid="{9054C27B-4D44-4DB5-A71A-0A5492F06E38}"/>
    <cellStyle name="Currency" xfId="2" builtinId="4"/>
    <cellStyle name="Currency 2" xfId="20" xr:uid="{93190D5B-5981-420C-93FC-0D0BE67CB005}"/>
    <cellStyle name="Normal" xfId="0" builtinId="0"/>
    <cellStyle name="Normal 10" xfId="24" xr:uid="{2923DF43-825F-44F7-BDCC-3725D38890DB}"/>
    <cellStyle name="Normal 116" xfId="6" xr:uid="{2CE62462-13A1-40C3-A8AF-2713C20FBB62}"/>
    <cellStyle name="Normal 2" xfId="3" xr:uid="{724DD5D5-4243-4C06-B3BF-E03CB5F9B245}"/>
    <cellStyle name="Normal 2 2" xfId="10" xr:uid="{7672B446-E411-4AEE-ACD4-84CA22A694A5}"/>
    <cellStyle name="Normal 2 3" xfId="16" xr:uid="{B38DA5FC-201E-4B61-ABF2-3C54EE273B5D}"/>
    <cellStyle name="Normal 2 6" xfId="4" xr:uid="{9720D4C6-4E13-48BF-9AF1-7BBB7A1A226B}"/>
    <cellStyle name="Normal 27" xfId="5" xr:uid="{E3688D74-C783-44A0-9D21-3F4471969F35}"/>
    <cellStyle name="Normal 27 2" xfId="7" xr:uid="{7CBA9CEA-F368-4392-A9DF-8EF1D1009A0E}"/>
    <cellStyle name="Normal 3" xfId="8" xr:uid="{0AF79FDA-B5D2-45B7-82D2-E9AAB0579B36}"/>
    <cellStyle name="Normal 3 2" xfId="9" xr:uid="{E77842CE-A337-4607-A38F-FBA7D49DB815}"/>
    <cellStyle name="Normal 3 3" xfId="14" xr:uid="{355C0F4A-DA0E-46A5-A293-409D7ABC922B}"/>
    <cellStyle name="Normal 4" xfId="13" xr:uid="{B1334628-EDA6-4EE3-816D-DB91907A5F9B}"/>
    <cellStyle name="Normal 5" xfId="21" xr:uid="{8D9CFD89-8F2E-4C2D-9A35-9500BBF98168}"/>
    <cellStyle name="Per cent" xfId="15" builtinId="5"/>
    <cellStyle name="Percent 2" xfId="12" xr:uid="{34AB446E-A167-4185-B3D1-C6ECD3EA389E}"/>
    <cellStyle name="Percent 2 2" xfId="18" xr:uid="{EF9A79F9-0AB8-426D-B967-807505F32771}"/>
    <cellStyle name="Percent 3" xfId="19" xr:uid="{C3FED5B9-EE33-4E33-A85D-946A455E761C}"/>
    <cellStyle name="Percent 5 2" xfId="25" xr:uid="{7F65466B-3ECD-423C-8148-829674AA2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styles" Target="styles.xml"/><Relationship Id="rId12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18" Type="http://schemas.openxmlformats.org/officeDocument/2006/relationships/externalLink" Target="externalLinks/externalLink108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24" Type="http://schemas.openxmlformats.org/officeDocument/2006/relationships/sharedStrings" Target="sharedStrings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44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2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116" Type="http://schemas.openxmlformats.org/officeDocument/2006/relationships/externalLink" Target="externalLinks/externalLink10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2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P\Ellen\JOURNALS\Direct%20Journals\2005\direct%20jv%20%2011-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INKEL\LOCALS~1\TEMP\DPS%20Staff%20Appendix%203%20KEDLI%206-29-07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halsu\Desktop\Copy%20of%20KEDLI%202008%20GAC%20IMBALANCE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sex\0105%20opp%20esse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5%20ri%20gas\FY%202016%20ISR%20Plan\Division%20filing\Revenue%20Requirement\RI%20Ptax%20analysis%20for%20FY16%20expens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mkt\library\Ss\2003\NetMgnAnalysis\Temp_Ytd-Apr03-graph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May\TEMP\SUM00B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09\12-%20Forecast%20Dec%2009\MCG_Forecast_Jan_2010_Dec_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Monthly\NANTUCKET\1Monthly\Before%20Closing\OverUnder\FY06\0505basic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NH%20Fund%20Balance%2012%2031%202006%20from%20Rate%20De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49\1Monthly\beforeclosing\overunders\2001-2002\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j\Local%20Settings\Temporary%20Internet%20Files\OLK1FF\Nimo_Normaliz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GAF\Op2009\National%20Grid%20CGA%20&amp;%20LDAF%20OffPeak%202009%20updated%20for%20RAA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LEARY\LOCALS~1\TEMP\Keyspan%20CGA%20&amp;%20LDAF%20Pk%2007-08%20ael%20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DUKE\Prov-stg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BS%20Recs%20-%20std%20format\Dec%2005%20Co%2049%20Blank%20Reconciliations%20-%20Liabiliti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1-MA-planning\Winter-2010-11\NENY-DailyForecast-2010-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xclusions\Accounting\NE%20Gas\2006\May\TEMP\Exclusions\Schedule\Storage\WSS-BU%20%202005%20Storage%20Activ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Ruebenacker\RFP_2009_05_08%20(MA%20NH%20ICG)\FRS-NEv2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han\Local%20Settings\Temporary%20Internet%20Files\OLKED\BUPSCSUPP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ergyNorth\0105%20Opp%20EnergyNorth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ton\0105%20Boston%20OP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Documents%20and%20Settings\transco\Local%20Settings\Temporary%20Internet%20Files\OLK30\2006%207\Orderbook%20Main%2006_10_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2%20meco\Solar\Revised%20Revenue%20Requirement%20Calcs\Solar%2020%20year%20RR%20May%202012\RADATA1\NECO%20COS\NECO\2002COS_SavngsProof\NeccosTe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imjin\Local%20Settings\Temporary%20Internet%20Files\OLKA\EDG%20Opex%20Template%20-%20Aug%2020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plan\2007-2011%20Business%20Plan\Ofgem%20submission\Appendix%202%20-%20The%20tables%20-%20NGG%20Only%20-%20Ent%20Linked%20NGTPLAN05%20v9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tionalgridplc.sharepoint.com/sites/GRP-INT-GLOBAL-US-Policy-and-Reg-Strategy/Shared%20Documents/Rate%20Design/2023-2024%20Rate%20Design%20Strategy%20Refresh/Data/Copy%20of%20MA-23%20ACOS_REV4._SHARE.xlsm" TargetMode="External"/><Relationship Id="rId1" Type="http://schemas.openxmlformats.org/officeDocument/2006/relationships/externalLinkPath" Target="https://nationalgridplc-my.sharepoint.com/sites/GRP-INT-GLOBAL-US-Policy-and-Reg-Strategy/Shared%20Documents/Rate%20Design/2023-2024%20Rate%20Design%20Strategy%20Refresh/Data/Copy%20of%20MA-23%20ACOS_REV4._SHARE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Hedging\2009-10%20Program\monthly%20hedge%20data%20updated%2008-01-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FT%20102098_v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My%20Documents\work\Orderbook%200708\Capital%20Plan\Orderbook%20Main%2026_10_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MA%20Elec\MECO_COS_20090403.XLS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ationalgridplc.sharepoint.com/sites/GRP-INT-GLOBAL-US-Policy-and-Reg-Strategy/Shared%20Documents/Rate%20Design/2023-2024%20Rate%20Design%20Strategy%20Refresh/Quantitative%20Analysis/Innovative%20Rate%20Quantitative%20Analysis_updated_scaling%20v3.xlsx" TargetMode="External"/><Relationship Id="rId2" Type="http://schemas.microsoft.com/office/2019/04/relationships/externalLinkLongPath" Target="https://nationalgridplc-my.sharepoint.com/sites/GRP-INT-GLOBAL-US-Policy-and-Reg-Strategy/Shared%20Documents/Rate%20Design/2023-2024%20Rate%20Design%20Strategy%20Refresh/Quantitative%20Analysis/Innovative%20Rate%20Quantitative%20Analysis_updated_scaling%20v3.xlsx?CF0516AE" TargetMode="External"/><Relationship Id="rId1" Type="http://schemas.openxmlformats.org/officeDocument/2006/relationships/externalLinkPath" Target="file:///\\CF0516AE\Innovative%20Rate%20Quantitative%20Analysis_updated_scaling%20v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Bridge2000_032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2\Combined%20RD_BosEsx%2011-5-1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z-LoadForecasting\2012Q2-2012_13_LoadForecasting\11-RI-QuantForecast\RIC_2012_Forecast_Update_v5.1_EFF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3A\RIC_2012_Forecast_Update_v5.1_EF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6\Forecast\NY\RateCase\Ref_R19\BaseCase\01nygrm\MSV_gca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0204\Rhode%20Island%20(TGP)%20Feb-04%20Pricing%20Shee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4-2009\Case_01\Glen\Glenwood%20PPA%20Exhibit%20rev%20capex-taxexempt%20model%20from%20larr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FFCAST\Fiscal%202009\Finance%20Brief\Full%20Year\ED&amp;G%20IFRS%20P&amp;L%20Master%20for%20OF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April%202009\NIMO%20Estimated%20Gain(Loss)%20for%20Apr%202009%20as%20of%2003252009%20Clos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iness%20Shares\RIG\Finance\pricshar\Classified%20Sales%20Reports\Historic\RI%20Classified%20Sales%20Dat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Oct%2009\NIMO%20Estimated%20Gain(Loss)%20for%20Oct%202009%20as%20of%2009252009%20Clos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3-NY-planning\01-NY-Downstate-planning\2010-11-Planning-A\04-Gen-cust-requirements\PSC\Winter%20Filings\06-07%20Winter\Backup\2000-2004%20KEDLI%20Hist%20Elec%20Balancing%20Need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und%20Balance%202006\Granite\Jan_NH_06_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OGRADY\LOCALS~1\TEMP\LI%20Models\KED_LI_2005_Rudden_JT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\2011\Forecast\NE\121510(FromAnn)_Compliance%20Filing_COL%20Rate%20Design%20Workpaper%20JDS%20RDM%20Monthly%20Breakdown%20for%20Yvon%20(3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6\07%20Jul\Transaction%20Ticket%20Daily%200703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5%20meco\General%20Rate%20Case%20(15-155)\7-COS\COS%20model\MECO_NANT%20RATE%20CASE%20COS%2012mos%20June%202015%20-%20Pdf%20Version%2011_2_15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OAD%20FORECASTING\Load%20Forecasts\2012\Quant%20Forecast\Output\CAP_2012_Forecast%20(LS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gionis\Local%20Settings\Temp\Rhode%20Island%20(AGT)%20Jan-04%20Pricing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NetMgnRpt\Temp\NY_Dat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Finance%20Distribution%20MI\Way%20Ahead%20Reporting\Operations\P10%20January\EMS%20workloa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09%20neco\General%20Rate%20Case\Financials\Income%20Statement\December%202008\6886%20REG%20IS-12%20MO%20ROLL%20Run%2001-13-0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ardc\AppData\Local\Microsoft\Windows\Temporary%20Internet%20Files\Content.Outlook\RW17QZ9M\RHC%20Program%20BCA_14MAR17_mwm_sensitivity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Frgc0103\Fall_River_jan_pric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1202\RI_dec_pr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7\12%20Dec\Transaction%20Ticket%20Daily%201222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CAST\Fiscal%202010\Finance%20Brief\Half%20Year%20Sep%202009\EDG%20IFRS%20PL%20Master%20for%20Brief%2009-10-09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uhuna\Local%20Settings\Temporary%20Internet%20Files\OLKBC\NGUSA%20Supermodel%20FY12%20PD1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18%20meco\General%20Rate%20Case%20(18-150)\7-COS\Illustrative%20RR%20for%20EV%20and%20Storage\Siegal%20-%20EV%20Program%20Budget%2001-17-2019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%20Model\MA%20&amp;%20NH\RFP-2009_10_30_%20NGRID_DS_TES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Dispatch%20Order\NE%20Gas%202004%20November%20Dispatch%20Order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CustomerService\CustomerBilling\BILLC\Banner\Monthly%20Reports\Fiscal%202005\03%20September%202004\Account%20reconciliations%20September%20200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NAG\NagMarch02\NAG-Mar0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102\NAGGC110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202\NAGGC120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5\Forecast\LI\012605_GCA-2005-2009-earnings-plan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SUTTON\LOCALS~1\TEMP\Exclusions\Accounting\Gas\2006\Jan2006\OSJAN06%20Fuel%20Mgmt%20Rev-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LOHQFS02\Group\FinControl\07_08\06%20Sep\Release\Workings\06%20Discontinued%20Operations\Discontinued%20operations%20-%20Sep%20200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ellet\Local%20Settings\Temporary%20Internet%20Files\OLKF6\MECO%20Jan_200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%20Transportation\SC8_D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Merchant%20Function%20Charge\2008-09%20GAC%20Yr\MFC%20February%202009\Nov%2008%20Updated%20Storage%20as%20of%20Oct%2017\Copy%20of%200808COG%20Financials%20GB%20(2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TES_&amp;_REGULAT\library\Ss\2010\Forecast\LI\LI_ForeData_FY11_V6(R2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yewi\Documents\Bills%20Work\Solution%20Delivery\Cost%20Center%202735\FY17%20Budget%20Template%20Model%20P1%20-%20V1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Mawbrfsv03\RADATA1\2009%20meco\General%20Rate%20Case\Financials\Income%20Statement\MECO\December%202008\6886%20REG%20IS-12%20MO%20ROLL%20Run%2001-13-0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KGPL%20Basis%203.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Energy%20North-Dec%2006%20Commodity%20and%20Deman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Temp\Test_NY_SalesFore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FRGC-0702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Invoicing\Rhode%20Island\Rhode%20Island%20(AGT)%20November-04%20Pricing%20Shee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Forecast%20June%2009\NIMO%20MTM%20Summary%20as%20of%2005282009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Nov%2009\NIMO%20MTM%20as%20of%2010282009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_2014_02_07%20(MA)\RFP-2014_02_07_%20NGRID_DS_RFP%20Model_M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10\8-%20Forecast%20Aug%2010\5+7Update\NIMO%20MTM%20as%20of%2007282010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cil\AppData\Local\Microsoft\Windows\INetCache\Content.Outlook\5QXHDCCN\MA-23%20Rev_Rates(C).xlsm" TargetMode="External"/><Relationship Id="rId1" Type="http://schemas.openxmlformats.org/officeDocument/2006/relationships/externalLinkPath" Target="file:///C:\Users\mancil\AppData\Local\Microsoft\Windows\INetCache\Content.Outlook\5QXHDCCN\MA-23%20Rev_Rates(C)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ACCTG\PGCGASCOST\PGCNOV00\PGCDEC0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MECO\MECO%20DSM%20Fund%20Balance%2012%202006%20NEW%20-%20V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Transaction%20Ticket%20Daily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ampagne\Local%20Settings\Temporary%20Internet%20Files\OLK5C8\KEDLI%2008\LIPSCSUPP08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chedule\Nom%20Set%20Up%20sheets\2008\04%20Apr\Dominion%20-%20NIMO%20-%20April%2008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Ops\Data\Lo\Eastern\MA%20Spot%20June%202000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5-2010\Case_01\Ema\C_EM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HARED\RATES\OPP\Oper%20Meeting\Keyspan%20Nov00%20boston%20rev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bu%20case%207%209%2026%2007\KEDNY%20no%20excess%20or%20si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ol\Control\Storage\Imd\Storage%20Model\East%20Models\Nicor%20April%200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RETAIL\Monthly\NANTUCKET\1Monthly\Before%20Closing\OverUnder\FY06\0505basic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6%20meco\Solar%20Phase%20II%20Filing%20%231%20(16-33)\EXHIBITS\Exhibit%20MHK-4%20-%202015%20SIP%20II%20Revenue%20Requirement%20-%20438%20Richardson%20Ave.%20Attleboro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GGASRATES\COMMON\Rate%20Case%20Filing%2005012008\Embedded_COS\COS%20TME%201207\Gas%201207-8.31%25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RI%20Elec\2005_COS_Projec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10\Forecast\Data\NY\061609_NY_S1_ForeDataAnalysi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OUP\Busplan\2008-2012%20Business%20Plan\Interest\Treasury%20Databook%20080307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CGA\filings\PK%2009-10\COG\PK%2009-10_kjb%20081109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Revenue%20Forecasts\LI_ForeData_FY11_V6%20with%20Net%20Unbilled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C\Winter%20Filings\05-06%20Winter\Backup\Electric%20Study%2002-0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GASUPPLY\Acctg%2003_04\Monthly%20Summary\Aug%2004\ColonialAug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tygate\New%20Citygate%20Memos\NEW_Rt100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corpacct\Documents%20and%20Settings\maddet\Local%20Settings\Temporary%20Internet%20Files\OLK3D\RE%20Taxes%202003-2008%20Forecast%20-%20kjb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b_Tenaglia\2008\Asset%20Managenement\aNew%20Assessments\New%20assessment%20Critearia\US%20GDX%202010%20Capital%20Reliability%205%20Year%20Pla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10%20neco\General%20Rate%20Case\Revenue%20Requirements\COS\Rate%20Base%20-%20Capex\Schedule%20NG-MDL-2%20-%20COS%204-12-1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ATES_&amp;_REGULAT\library\Ss\2009\Forecast\NY\DataSet\NY_SalesVolFore(S7d_w.MkgGrowth,NetLock&amp;Con)_Sher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 Worksheet"/>
      <sheetName val="PS JV"/>
      <sheetName val="Module1"/>
      <sheetName val="Drop Downs"/>
      <sheetName val="Drop Down Lists"/>
      <sheetName val="Calc"/>
      <sheetName val="Pivot Summary"/>
      <sheetName val=""/>
      <sheetName val="Appendix 2 - Reference Fields B"/>
      <sheetName val="Key"/>
      <sheetName val="Adjusting Entries"/>
      <sheetName val="SAP BS 5-31"/>
      <sheetName val="Presentation Reclasses"/>
      <sheetName val="SAP IS 5-31"/>
      <sheetName val="Unit of Measures"/>
      <sheetName val="Appendix 1 - Reference Fields A"/>
      <sheetName val="My_Worksheet"/>
      <sheetName val="Appendix 1 - Reference Fields"/>
      <sheetName val="SAP BS - Consolidat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ffAdjs"/>
      <sheetName val="LIUpdateAdjs "/>
      <sheetName val="LI-JPAdjs"/>
      <sheetName val="LIIncSt"/>
      <sheetName val="LIMerger"/>
      <sheetName val="LIO&amp;M"/>
      <sheetName val="LIDepr"/>
      <sheetName val="LIAmort"/>
      <sheetName val="LIOtherTxs"/>
      <sheetName val="LISIT-FIT"/>
      <sheetName val="LI Rate Base"/>
      <sheetName val="LIEB-Cap"/>
      <sheetName val="LICWCap"/>
      <sheetName val="LICapStructure"/>
      <sheetName val="LIRevReq"/>
      <sheetName val="LIConstrTrgts"/>
      <sheetName val="E"/>
      <sheetName val="F"/>
      <sheetName val="G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Input"/>
      <sheetName val="InputN"/>
      <sheetName val="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ization"/>
      <sheetName val="Rate Table"/>
      <sheetName val="Ld. Grth"/>
      <sheetName val="Weather"/>
      <sheetName val="Data Entry"/>
      <sheetName val="Var. Anal."/>
      <sheetName val="Historical Data"/>
      <sheetName val="H"/>
      <sheetName val="Forecast Data"/>
      <sheetName val="Historical Data (04'sPriorYr)"/>
      <sheetName val="Forecast Data (0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Y 12_FY13 Elec_Gas"/>
      <sheetName val="CY 13 pivot"/>
      <sheetName val="FYTD 12 Elec "/>
      <sheetName val="FYTD 12 Gas"/>
      <sheetName val="PPS G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vs 1998 data"/>
      <sheetName val="FY2000"/>
      <sheetName val="Page 4"/>
      <sheetName val="Page 5"/>
      <sheetName val="Page 6"/>
      <sheetName val="Page 7"/>
      <sheetName val="Page 8"/>
      <sheetName val="Page 9"/>
      <sheetName val="Not in Use"/>
      <sheetName val="Year-to-Date Data"/>
      <sheetName val="Monthly Analysis"/>
      <sheetName val="NEP"/>
      <sheetName val="GL Activity"/>
      <sheetName val="Info"/>
      <sheetName val="Summary"/>
      <sheetName val="LI"/>
      <sheetName val="Sheet1"/>
      <sheetName val="RAPL"/>
      <sheetName val="RAPL Jan"/>
      <sheetName val="MAPL"/>
      <sheetName val="MAPL Jan"/>
      <sheetName val="RABS Jan"/>
      <sheetName val="RABS"/>
      <sheetName val="LI Plan"/>
      <sheetName val="LI PY"/>
      <sheetName val="Forecast"/>
      <sheetName val="KEDLI Budget"/>
      <sheetName val="PSA3 Summary"/>
      <sheetName val="A"/>
      <sheetName val="Liabilities Rec List"/>
      <sheetName val="1999_vs_1998_data"/>
      <sheetName val="Page_4"/>
      <sheetName val="Page_5"/>
      <sheetName val="Page_6"/>
      <sheetName val="Page_7"/>
      <sheetName val="Page_8"/>
      <sheetName val="Page_9"/>
      <sheetName val="Not_in_Use"/>
      <sheetName val="Year-to-Date_Data"/>
      <sheetName val="Monthly_Analysis"/>
      <sheetName val="GL_Activity"/>
      <sheetName val="RAPL_Jan"/>
      <sheetName val="MAPL_Jan"/>
      <sheetName val="RABS_Jan"/>
      <sheetName val="LI_Plan"/>
      <sheetName val="LI_PY"/>
      <sheetName val="KEDLI_Budget"/>
      <sheetName val="PSA3_Summary"/>
      <sheetName val="2nd q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INTAKE"/>
      <sheetName val="Drop Down Lists"/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pr"/>
      <sheetName val="Appendix 1 - Reference Fields"/>
      <sheetName val="Drop_Down_Lists"/>
    </sheetNames>
    <sheetDataSet>
      <sheetData sheetId="0">
        <row r="12">
          <cell r="Q12" t="str">
            <v>SPP TRANSCO 2000 SUMMER INJECTION STRATEGY</v>
          </cell>
        </row>
        <row r="244">
          <cell r="D244" t="str">
            <v>APR</v>
          </cell>
          <cell r="E244" t="str">
            <v>MAY</v>
          </cell>
          <cell r="F244" t="str">
            <v>JUN</v>
          </cell>
          <cell r="G244" t="str">
            <v>JUL</v>
          </cell>
          <cell r="H244" t="str">
            <v>AUG</v>
          </cell>
          <cell r="I244" t="str">
            <v>SEP</v>
          </cell>
          <cell r="J244" t="str">
            <v>OCT</v>
          </cell>
          <cell r="K244" t="str">
            <v>NOV</v>
          </cell>
        </row>
        <row r="246">
          <cell r="D246">
            <v>376350</v>
          </cell>
          <cell r="E246">
            <v>225897.06451612903</v>
          </cell>
          <cell r="F246">
            <v>170791.8</v>
          </cell>
          <cell r="G246">
            <v>137667.93548387094</v>
          </cell>
          <cell r="H246">
            <v>142345.35483870967</v>
          </cell>
          <cell r="I246">
            <v>154975.79999999999</v>
          </cell>
          <cell r="J246">
            <v>263617.74193548388</v>
          </cell>
        </row>
        <row r="247">
          <cell r="D247">
            <v>5186.666666666667</v>
          </cell>
          <cell r="E247">
            <v>5896.7741935483873</v>
          </cell>
          <cell r="F247">
            <v>5126.666666666667</v>
          </cell>
          <cell r="G247">
            <v>4112.9032258064517</v>
          </cell>
          <cell r="H247">
            <v>5619.3548387096771</v>
          </cell>
          <cell r="I247">
            <v>5373.333333333333</v>
          </cell>
          <cell r="J247">
            <v>5512.9032258064517</v>
          </cell>
        </row>
        <row r="248">
          <cell r="D248">
            <v>21000</v>
          </cell>
          <cell r="E248">
            <v>21000</v>
          </cell>
          <cell r="F248">
            <v>21000</v>
          </cell>
          <cell r="G248">
            <v>21000</v>
          </cell>
          <cell r="H248">
            <v>21000</v>
          </cell>
          <cell r="I248">
            <v>21000</v>
          </cell>
          <cell r="J248">
            <v>21000</v>
          </cell>
        </row>
        <row r="258">
          <cell r="BA258">
            <v>35900</v>
          </cell>
          <cell r="BB258">
            <v>416536.66666666669</v>
          </cell>
          <cell r="BC258">
            <v>54110</v>
          </cell>
          <cell r="BD258">
            <v>11128.333333333314</v>
          </cell>
        </row>
        <row r="259">
          <cell r="O259">
            <v>7000</v>
          </cell>
          <cell r="P259">
            <v>7000</v>
          </cell>
          <cell r="Q259">
            <v>7000</v>
          </cell>
          <cell r="R259">
            <v>7000</v>
          </cell>
          <cell r="S259">
            <v>7000</v>
          </cell>
          <cell r="T259">
            <v>7000</v>
          </cell>
          <cell r="U259">
            <v>7000</v>
          </cell>
          <cell r="BA259">
            <v>35930</v>
          </cell>
          <cell r="BB259">
            <v>266793.83870967745</v>
          </cell>
          <cell r="BC259">
            <v>183933</v>
          </cell>
          <cell r="BD259">
            <v>31048.161290322547</v>
          </cell>
        </row>
        <row r="260">
          <cell r="O260">
            <v>7000</v>
          </cell>
          <cell r="P260">
            <v>7000</v>
          </cell>
          <cell r="Q260">
            <v>7000</v>
          </cell>
          <cell r="R260">
            <v>7000</v>
          </cell>
          <cell r="S260">
            <v>7000</v>
          </cell>
          <cell r="T260">
            <v>7000</v>
          </cell>
          <cell r="U260">
            <v>7000</v>
          </cell>
          <cell r="BA260">
            <v>35960</v>
          </cell>
          <cell r="BB260">
            <v>210918.46666666665</v>
          </cell>
          <cell r="BC260">
            <v>183933</v>
          </cell>
          <cell r="BD260">
            <v>86923.533333333326</v>
          </cell>
        </row>
        <row r="261">
          <cell r="BA261">
            <v>35990</v>
          </cell>
          <cell r="BB261">
            <v>176780.83870967739</v>
          </cell>
          <cell r="BC261">
            <v>171862.00000000003</v>
          </cell>
          <cell r="BD261">
            <v>133132.16129032258</v>
          </cell>
        </row>
        <row r="262">
          <cell r="BA262">
            <v>36020</v>
          </cell>
          <cell r="BB262">
            <v>182964.70967741933</v>
          </cell>
          <cell r="BC262">
            <v>171862.00000000003</v>
          </cell>
          <cell r="BD262">
            <v>126948.29032258064</v>
          </cell>
        </row>
        <row r="263">
          <cell r="BA263">
            <v>36050</v>
          </cell>
          <cell r="BB263">
            <v>195349.13333333333</v>
          </cell>
          <cell r="BC263">
            <v>171862.00000000003</v>
          </cell>
          <cell r="BD263">
            <v>114563.86666666667</v>
          </cell>
        </row>
        <row r="264">
          <cell r="O264">
            <v>416536.66666666669</v>
          </cell>
          <cell r="P264">
            <v>266793.83870967745</v>
          </cell>
          <cell r="Q264">
            <v>210918.46666666665</v>
          </cell>
          <cell r="R264">
            <v>176780.83870967739</v>
          </cell>
          <cell r="S264">
            <v>182964.70967741933</v>
          </cell>
          <cell r="T264">
            <v>195349.13333333333</v>
          </cell>
          <cell r="U264">
            <v>304130.6451612903</v>
          </cell>
          <cell r="V264">
            <v>514650</v>
          </cell>
          <cell r="BA264">
            <v>36080</v>
          </cell>
          <cell r="BB264">
            <v>304130.6451612903</v>
          </cell>
          <cell r="BC264">
            <v>169544.90322580645</v>
          </cell>
          <cell r="BD264">
            <v>8099</v>
          </cell>
        </row>
        <row r="276">
          <cell r="D276">
            <v>54110</v>
          </cell>
          <cell r="E276">
            <v>183933</v>
          </cell>
          <cell r="F276">
            <v>183933</v>
          </cell>
          <cell r="G276">
            <v>171862.00000000003</v>
          </cell>
          <cell r="H276">
            <v>171862.00000000003</v>
          </cell>
          <cell r="I276">
            <v>171862.00000000003</v>
          </cell>
          <cell r="J276">
            <v>169544.90322580645</v>
          </cell>
          <cell r="K276">
            <v>78000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5">
          <cell r="D385">
            <v>-391413.25856697821</v>
          </cell>
          <cell r="E385">
            <v>-544434.77504855755</v>
          </cell>
          <cell r="F385">
            <v>-600310.14709156833</v>
          </cell>
          <cell r="G385">
            <v>-634447.77504855767</v>
          </cell>
          <cell r="H385">
            <v>-628263.90408081561</v>
          </cell>
          <cell r="I385">
            <v>-615879.4804249017</v>
          </cell>
          <cell r="J385">
            <v>-507097.9685969447</v>
          </cell>
          <cell r="K385">
            <v>-342106</v>
          </cell>
        </row>
        <row r="431">
          <cell r="D431">
            <v>25860</v>
          </cell>
          <cell r="E431">
            <v>90672</v>
          </cell>
          <cell r="F431">
            <v>90672</v>
          </cell>
          <cell r="G431">
            <v>83872</v>
          </cell>
          <cell r="H431">
            <v>83872</v>
          </cell>
          <cell r="I431">
            <v>83872</v>
          </cell>
          <cell r="J431">
            <v>83852</v>
          </cell>
        </row>
        <row r="432">
          <cell r="D432">
            <v>18600</v>
          </cell>
          <cell r="E432">
            <v>46286</v>
          </cell>
          <cell r="F432">
            <v>46286</v>
          </cell>
          <cell r="G432">
            <v>46286</v>
          </cell>
          <cell r="H432">
            <v>46286</v>
          </cell>
          <cell r="I432">
            <v>46286</v>
          </cell>
          <cell r="J432">
            <v>44576</v>
          </cell>
        </row>
        <row r="433">
          <cell r="D433">
            <v>0</v>
          </cell>
          <cell r="E433">
            <v>13800</v>
          </cell>
          <cell r="F433">
            <v>13800</v>
          </cell>
          <cell r="G433">
            <v>13800</v>
          </cell>
          <cell r="H433">
            <v>13800</v>
          </cell>
          <cell r="I433">
            <v>13800</v>
          </cell>
          <cell r="J433">
            <v>13212.903225806456</v>
          </cell>
        </row>
        <row r="434">
          <cell r="D434">
            <v>9650</v>
          </cell>
          <cell r="E434">
            <v>33175</v>
          </cell>
          <cell r="F434">
            <v>33175</v>
          </cell>
          <cell r="G434">
            <v>27904</v>
          </cell>
          <cell r="H434">
            <v>27904</v>
          </cell>
          <cell r="I434">
            <v>27904</v>
          </cell>
          <cell r="J434">
            <v>27904</v>
          </cell>
        </row>
        <row r="437">
          <cell r="N437">
            <v>78294</v>
          </cell>
          <cell r="O437">
            <v>13482</v>
          </cell>
          <cell r="P437">
            <v>13482</v>
          </cell>
          <cell r="Q437">
            <v>13412.5</v>
          </cell>
          <cell r="R437">
            <v>6543</v>
          </cell>
          <cell r="S437">
            <v>6543</v>
          </cell>
          <cell r="T437">
            <v>6563</v>
          </cell>
        </row>
        <row r="438">
          <cell r="N438">
            <v>27751</v>
          </cell>
          <cell r="O438">
            <v>65</v>
          </cell>
          <cell r="P438">
            <v>65</v>
          </cell>
          <cell r="Q438">
            <v>65</v>
          </cell>
          <cell r="R438">
            <v>65</v>
          </cell>
          <cell r="S438">
            <v>65</v>
          </cell>
          <cell r="T438">
            <v>1775</v>
          </cell>
        </row>
        <row r="439">
          <cell r="N439">
            <v>23446</v>
          </cell>
          <cell r="O439">
            <v>9646</v>
          </cell>
          <cell r="P439">
            <v>9646</v>
          </cell>
          <cell r="Q439">
            <v>9646</v>
          </cell>
          <cell r="R439">
            <v>9646</v>
          </cell>
          <cell r="S439">
            <v>9646</v>
          </cell>
          <cell r="T439">
            <v>10233.096774193544</v>
          </cell>
        </row>
        <row r="440">
          <cell r="N440">
            <v>23525</v>
          </cell>
          <cell r="O440">
            <v>0</v>
          </cell>
          <cell r="P440">
            <v>0</v>
          </cell>
          <cell r="Q440">
            <v>2635.5</v>
          </cell>
          <cell r="R440">
            <v>0</v>
          </cell>
          <cell r="S440">
            <v>0</v>
          </cell>
          <cell r="T440">
            <v>0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E11_2010"/>
      <sheetName val="Historic MCG"/>
      <sheetName val="Chart_Historic Prices"/>
      <sheetName val="Hist Chart "/>
      <sheetName val="NYMEX STRIP_FMCG11-2010"/>
      <sheetName val="Historic_MCG"/>
      <sheetName val="Chart_Historic_Prices"/>
      <sheetName val="Hist_Chart_"/>
      <sheetName val="NYMEX_STRIP_FMCG11-2010"/>
      <sheetName val="Indicies"/>
      <sheetName val="Historic_MCG1"/>
      <sheetName val="Chart_Historic_Prices1"/>
      <sheetName val="Hist_Chart_1"/>
      <sheetName val="NYMEX_STRIP_FMCG11-20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trans"/>
      <sheetName val="My Worksheet"/>
      <sheetName val="Drop Down Lists"/>
      <sheetName val="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Projections"/>
      <sheetName val="kWh"/>
      <sheetName val="Expenses"/>
      <sheetName val="Revenue"/>
      <sheetName val="Alloc"/>
      <sheetName val="REPORTS"/>
      <sheetName val="Prime Rate"/>
      <sheetName val="REC"/>
      <sheetName val="328330"/>
      <sheetName val="Basic"/>
      <sheetName val="trans"/>
      <sheetName val=""/>
      <sheetName val="Download_B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s"/>
      <sheetName val="stdoff"/>
      <sheetName val="trans"/>
      <sheetName val="trans_detail"/>
      <sheetName val="dsm"/>
      <sheetName val="last resort"/>
      <sheetName val="172"/>
      <sheetName val="Basic-Default"/>
      <sheetName val="Start Balanc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C(actual)"/>
      <sheetName val="UPC(Normal)"/>
      <sheetName val="Cust"/>
      <sheetName val="Act"/>
      <sheetName val="Nor"/>
      <sheetName val="Nor_work"/>
      <sheetName val="NM1111C"/>
      <sheetName val="nm2011thm"/>
      <sheetName val="nm2011cus"/>
      <sheetName val="Charts=&gt;"/>
      <sheetName val="Cht_DD"/>
      <sheetName val="Cht_Vol"/>
      <sheetName val="Cht_Cust"/>
      <sheetName val="Cht_UPC"/>
      <sheetName val="chart_Input"/>
      <sheetName val="chart_InputNC"/>
      <sheetName val="=inputs=&gt;"/>
      <sheetName val="Weather11-12"/>
      <sheetName val="System"/>
      <sheetName val="Weather09-10"/>
      <sheetName val="Weather10-11"/>
      <sheetName val="BDD1211"/>
      <sheetName val="DD"/>
      <sheetName val="HDD&amp;BDD (3)"/>
      <sheetName val="Frcst_Cust"/>
      <sheetName val="Frcst_Vol"/>
      <sheetName val="nm2009thm_6D"/>
      <sheetName val="nm2009cus_6D"/>
      <sheetName val="nm2010thm_6D"/>
      <sheetName val="nm2010cus_6D"/>
      <sheetName val="nm2011thm_6D"/>
      <sheetName val="nm2011cus_6D"/>
      <sheetName val="nm2008cus"/>
      <sheetName val="nm2009cus"/>
      <sheetName val="nm2008thm"/>
      <sheetName val="nm2009thm"/>
      <sheetName val="nm2010thm"/>
      <sheetName val="nm2010cus"/>
      <sheetName val="Transpose(PHA)"/>
      <sheetName val="Transpose"/>
      <sheetName val="Transpose(org)"/>
      <sheetName val="Transpose_CUST"/>
      <sheetName val="Therms Including Efficiency_09"/>
      <sheetName val="Customers_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MA DOA 07-08 Winter "/>
      <sheetName val="MA DOA Mar 08"/>
      <sheetName val="Delegation of Authority Orig"/>
      <sheetName val="Input CGA  Page"/>
      <sheetName val="Page 24 Input backup"/>
      <sheetName val="Demand Input"/>
      <sheetName val="Gas Supply Input"/>
      <sheetName val="MDQ Input"/>
      <sheetName val="Bad Debt Input"/>
      <sheetName val="Hedging Input"/>
      <sheetName val="OverUnder Forecast Summary"/>
      <sheetName val="Forecast DGC for Acct."/>
      <sheetName val="LDAF Reconciliation"/>
      <sheetName val="Working Capital Reconciliation"/>
      <sheetName val="Act DGC Balances"/>
      <sheetName val="DCG update CGA"/>
      <sheetName val=" DGC No Change to CGA"/>
      <sheetName val="PBR Exogenous Cost"/>
      <sheetName val="Check CGA  Page"/>
      <sheetName val="Page 1-Peak"/>
      <sheetName val="Attachment A - Page 1"/>
      <sheetName val="Attachment A Page 2"/>
      <sheetName val="T O C"/>
      <sheetName val="Page 1-Off 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1-Peak 09-10"/>
      <sheetName val="Page 2 09-10"/>
      <sheetName val="Page 3 09-10"/>
      <sheetName val="Page 4 09-10"/>
      <sheetName val="Page 5 09-10"/>
      <sheetName val="Page 9 09-10"/>
      <sheetName val="Page 10 09-10"/>
      <sheetName val="Page 11 09-10"/>
      <sheetName val="Page 12 09-10"/>
      <sheetName val="Page 13 09-10"/>
      <sheetName val="Page 14 09-10"/>
      <sheetName val="Page 15 09-10"/>
      <sheetName val="Page 16 09-10"/>
      <sheetName val="Page 17 09-10"/>
      <sheetName val="Page 18 09-10"/>
      <sheetName val="Page 19 09-10"/>
      <sheetName val="Page 20 09-10"/>
      <sheetName val="Page 21 09-10"/>
      <sheetName val="Page 22 09-10"/>
      <sheetName val="Page 23 09-10"/>
      <sheetName val="Page 24 09-10"/>
      <sheetName val="Page 25 09-10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econ 08-09"/>
      <sheetName val="LDAF Pg 21 Boston RAAF 06-07"/>
      <sheetName val="LDAF Pg 22 Boston  RAAF 07-08"/>
      <sheetName val="LDAF Pg 23 Boston  RAAF 08-09"/>
      <sheetName val="LDAF Pg24 Boston RAAF 09-10"/>
      <sheetName val="LDAC Pg 25 Essex  Recon 05-06"/>
      <sheetName val="LDAF Pg 26 Essex Recon 06- 07"/>
      <sheetName val="LDAF Pg 27 Essex Recon 07-08"/>
      <sheetName val="LDAF Pg 28 Essex Recon 08-09"/>
      <sheetName val="LDAF Pg 29 Essex RAAF 06- 07"/>
      <sheetName val="LDAF Pg 30 Essex  RAAF 07-08"/>
      <sheetName val="LDAF Pg 31 Essex  RAAF 08-09"/>
      <sheetName val="LDAF Pg 32 Essex RAAF 09-10"/>
      <sheetName val="LDAC Pg 33 Lowell Recon 05-06"/>
      <sheetName val="LDAF Pg 34 Lowell Recon 06-07"/>
      <sheetName val="LDAF Pg 35 Lowell Recon 07-08"/>
      <sheetName val="LDAF Pg 36 Lowell Recon 08-09"/>
      <sheetName val="LDAF Pg 37 Lowell RAAF 06- 07"/>
      <sheetName val="LDAF Pg 38 Lowell  RAAF 07-08"/>
      <sheetName val="LDAF Pg 39 Lowell  RAAF 08-09"/>
      <sheetName val="LDAF Pg 40 Lowell RAAF 09-10"/>
      <sheetName val="LDAC Pg 41 Cape Recon 05-06"/>
      <sheetName val="LDAF Pg 42 Cape Recon 06-07"/>
      <sheetName val="LDAF Pg 43 Cape Recon 07-08"/>
      <sheetName val="LDAF Pg 44 Cape Recon 08-09"/>
      <sheetName val="LDAF Pg 45 Cape RAAF 06- 07 "/>
      <sheetName val="LDAF Pg 46 Cape  RAAF 07-08"/>
      <sheetName val="LDAF Pg 47 Cape  RAAF 08-09"/>
      <sheetName val="LDAF Pg48 Cape RAAF 09-10"/>
      <sheetName val="Summary  Arrearage Costs  08-09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7 Boston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Input CGA  Page"/>
      <sheetName val="Page 24 Input backup"/>
      <sheetName val="Demand Input"/>
      <sheetName val="Gas Supply Input"/>
      <sheetName val="MDQ Input"/>
      <sheetName val="Bad Debt Input"/>
      <sheetName val="Act DGC Balances"/>
      <sheetName val="DCG update CGA"/>
      <sheetName val=" DGC No Change to CGA"/>
      <sheetName val="Sales vs Sendout"/>
      <sheetName val="PBR Exogenous Cost"/>
      <sheetName val="Hedging Input"/>
      <sheetName val="Check CGA  Page"/>
      <sheetName val="Page 1-Off Peak"/>
      <sheetName val="Attachment A - Page 1"/>
      <sheetName val="Attachment A Page 2"/>
      <sheetName val="T O C"/>
      <sheetName val="Page 1-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AAF 06-07"/>
      <sheetName val="LDAF Pg 21 Boston  RAAF 07-08"/>
      <sheetName val="LDAF Pg 22 Boston  RAAF 08-09"/>
      <sheetName val="LDAC Pg 23 Essex  Recon 05-06"/>
      <sheetName val="LDAF Pg 24 Essex Recon 06- 07"/>
      <sheetName val="LDAF Pg 25 Essex Recon 07-08"/>
      <sheetName val="LDAF Pg 26 Essex RAAF 06- 07"/>
      <sheetName val="LDAF Pg 27 Essex  RAAF 07-08"/>
      <sheetName val="LDAF Pg 28 Essex  RAAF 08-09"/>
      <sheetName val="LDAC Pg 29 Lowell Recon 05-06"/>
      <sheetName val="LDAF Pg 30 Lowell Recon 06-07"/>
      <sheetName val="LDAF Pg 31 Lowell Recon 07-08"/>
      <sheetName val="LDAF Pg 32 Lowell RAAF 06- 07"/>
      <sheetName val="LDAF Pg 33 Lowell  RAAF 07-08"/>
      <sheetName val="LDAF Pg 34 Lowell  RAAF 08-09"/>
      <sheetName val="LDAC Pg 35 Cape Recon 05-06"/>
      <sheetName val="LDAF Pg 36 Cape Recon 06-07"/>
      <sheetName val="LDAF Pg 37 Cape Recon 07-08"/>
      <sheetName val="LDAF Pg 38 Cape RAAF 06- 07 "/>
      <sheetName val="LDAF Pg 39 Cape  RAAF 07-08"/>
      <sheetName val="LDAF Pg 40 Cape  RAAF 07-08"/>
      <sheetName val="Summary  Arrearage Costs  07-08"/>
      <sheetName val="LDAF Page 17 Boston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/>
      <sheetData sheetId="83"/>
      <sheetData sheetId="84" refreshError="1"/>
      <sheetData sheetId="85"/>
      <sheetData sheetId="86" refreshError="1"/>
      <sheetData sheetId="87" refreshError="1"/>
      <sheetData sheetId="88"/>
      <sheetData sheetId="89"/>
      <sheetData sheetId="90" refreshError="1"/>
      <sheetData sheetId="91"/>
      <sheetData sheetId="92" refreshError="1"/>
      <sheetData sheetId="93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G"/>
      <sheetName val="COLGAS"/>
      <sheetName val="TGP"/>
      <sheetName val="TETCO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abilities Rec List"/>
      <sheetName val="Co 49, Scd#na,204000"/>
      <sheetName val="Co 49, Scd#na,204900"/>
      <sheetName val="Co 49, Scd#na,204901"/>
      <sheetName val="Co 49, Scd#46,224000"/>
      <sheetName val="Co 49, Scd#46,224100"/>
      <sheetName val="Co 49, Scd#46,226000"/>
      <sheetName val="Co 49, Scd#na,232102"/>
      <sheetName val="Co 49, Scd#na,232104"/>
      <sheetName val="Co 49, Scd#46,232119"/>
      <sheetName val="Co 49, Scd#na,232300"/>
      <sheetName val="Co 49, Scd#na,232301"/>
      <sheetName val="Co 49, Scd#na,232302"/>
      <sheetName val="Co 49, Scd#na,232303"/>
      <sheetName val="Co 49, Scd#na,232305"/>
      <sheetName val="Co 49, Scd#na,232306"/>
      <sheetName val="Co 49, Scd#na,232308"/>
      <sheetName val="Co 49, Scd#na,232309"/>
      <sheetName val="Co 49, Scd#na,232310"/>
      <sheetName val="Co 49, Scd#na,232401"/>
      <sheetName val="Co 49, Scd#na,232411"/>
      <sheetName val="Co 49, Scd#na,232412"/>
      <sheetName val="Co 49, Scd#na,232430"/>
      <sheetName val="Co 49, Scd#100,232438"/>
      <sheetName val="Co 49, Scd#na,232450"/>
      <sheetName val="Co 49, Scd#na,232451"/>
      <sheetName val="Co 49, Scd#na,232455"/>
      <sheetName val="Co 49, Scd#na,233001-233164"/>
      <sheetName val="Co 49, Scd#46,234001-234703"/>
      <sheetName val="Co 49, Scd#na,236310"/>
      <sheetName val="Co 49, Scd#na,236500"/>
      <sheetName val="Co 49, Scd#na,236501"/>
      <sheetName val="Co 49, Scd#na,236550"/>
      <sheetName val="Co 49, Scd#na,236600"/>
      <sheetName val="Co 49, Scd#46,237002"/>
      <sheetName val="Co 49, Scd#na,237003"/>
      <sheetName val="Co 49, Scd#na,237004"/>
      <sheetName val="Co 49, Scd#na,238010"/>
      <sheetName val="Co 49, Scd#na,241000"/>
      <sheetName val="Co 49, Scd#na,241002"/>
      <sheetName val="Co 49, Scd#na,241003"/>
      <sheetName val="Co 49, Scd#na,241007"/>
      <sheetName val="Co 49, Scd#na,241008"/>
      <sheetName val="Co 49, Scd#na,241009"/>
      <sheetName val="Co 49, Scd#na,242000"/>
      <sheetName val="Co 49, Scd#na,242001"/>
      <sheetName val="Co 49, Scd#na,242002"/>
      <sheetName val="Co 49, Scd#na,242005"/>
      <sheetName val="Co 49, Scd#na,242200"/>
      <sheetName val="Co 49, Scd#na,242210"/>
      <sheetName val="Co 49, Scd#na,242215"/>
      <sheetName val="Co 49, Scd#na,242300"/>
      <sheetName val="Co 49, Scd#na,242301"/>
      <sheetName val="Co 49, Scd#na,242302"/>
      <sheetName val="Co 49, Scd#na,242303"/>
      <sheetName val="Co 49, Scd#na,242304"/>
      <sheetName val="Co 49, Scd#na,242307"/>
      <sheetName val="Co 49, Scd#na,253000"/>
      <sheetName val="Co 49, Scd#na,253001"/>
      <sheetName val="Co 49, Scd#na,253006 (2)"/>
      <sheetName val="Co 49, Scd#na,253006"/>
      <sheetName val="Co 49, Scd#na,253002"/>
      <sheetName val="Co 49, Scd#na,253008"/>
      <sheetName val="Co 49, Scd#na,2530011"/>
      <sheetName val="Co 49, Scd#na,253941-253944"/>
      <sheetName val="Co 49, Scd#na,254020"/>
      <sheetName val="Co 49, Scd#na,254022"/>
      <sheetName val="Co 49, Scd#na,254033"/>
      <sheetName val="Co 49, Scd#na,254070"/>
      <sheetName val="Co 49, Scd#na,254105"/>
      <sheetName val="Co 49, Scd#na,254106"/>
      <sheetName val="Co 49, Scd#na,254315"/>
      <sheetName val="Co 49, Scd#na,255000"/>
      <sheetName val="Sheet3"/>
      <sheetName val="KS Jan 2011"/>
      <sheetName val="mar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_LI"/>
      <sheetName val="NY_FSO"/>
      <sheetName val="NY_HDD"/>
      <sheetName val="(c) NYFTC-PredAct-xy"/>
      <sheetName val="(c) LIFITC-PredAct-xy"/>
      <sheetName val="NYCWklySumm"/>
      <sheetName val="LIWklySumm"/>
      <sheetName val="(c)NYC-CumPredAct"/>
      <sheetName val="(c)LI-CumPredAct"/>
      <sheetName val="NYLastYear"/>
      <sheetName val="(c)NYComp"/>
      <sheetName val="(c)LIComp"/>
      <sheetName val="(c)NYLIPredVsAct"/>
      <sheetName val="(c)NYFTCvsHDD"/>
      <sheetName val="(c)LIFITCvsHDD"/>
      <sheetName val="NEW_ENGLAND"/>
      <sheetName val="NEWklySumm"/>
      <sheetName val="FSO Data"/>
      <sheetName val="EDD Data"/>
      <sheetName val="(c) MANH-PredAct-xy"/>
      <sheetName val="NELastYear"/>
      <sheetName val="(c)CumMANHPredAct"/>
      <sheetName val="(c)NEComp"/>
      <sheetName val="(c)LIA_EDD_Data"/>
      <sheetName val="(c)Bar_chart_EDD_1011"/>
      <sheetName val="(c)NEPredVsAct-OctMay"/>
      <sheetName val="(c)FSOvEDD"/>
      <sheetName val="SupportingSheets"/>
      <sheetName val="NYLI_BaseYearNormal0607"/>
      <sheetName val="NYLI_BaseYearNormal0708"/>
      <sheetName val="NYLI_BaseYearNormal0809"/>
      <sheetName val="NYLI_BaseYearNormal0910"/>
      <sheetName val="BOSFcast"/>
      <sheetName val="ESXFcast"/>
      <sheetName val="LOWFcast"/>
      <sheetName val="CAPFcast"/>
      <sheetName val="ENGFcast"/>
      <sheetName val="SummaryFS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Transco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Summary1"/>
      <sheetName val="Summary2"/>
      <sheetName val="SummaryRI"/>
      <sheetName val="Compare"/>
      <sheetName val="RFP_Bids"/>
      <sheetName val="Market"/>
      <sheetName val="MARes"/>
      <sheetName val="MACom"/>
      <sheetName val="MAInd"/>
      <sheetName val="NH"/>
      <sheetName val="RI"/>
      <sheetName val="DataMR"/>
      <sheetName val="DataMC"/>
      <sheetName val="DataMI"/>
      <sheetName val="DataNHSm"/>
      <sheetName val="DataNHLg"/>
      <sheetName val="DataRIR"/>
      <sheetName val="DataRI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18"/>
      <sheetName val="19"/>
      <sheetName val="20"/>
      <sheetName val="21"/>
      <sheetName val="22"/>
      <sheetName val="23"/>
      <sheetName val="24"/>
      <sheetName val="25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"/>
      <sheetName val="80"/>
      <sheetName val="81"/>
      <sheetName val="82"/>
      <sheetName val="83 "/>
      <sheetName val="84 "/>
      <sheetName val="85"/>
      <sheetName val="86"/>
      <sheetName val="8788"/>
      <sheetName val="8990 "/>
      <sheetName val="89ATT"/>
      <sheetName val="90 Supp ("/>
      <sheetName val="9192 "/>
      <sheetName val="93"/>
      <sheetName val="94"/>
      <sheetName val="Verify"/>
      <sheetName val="Index"/>
      <sheetName val="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Normalization"/>
      <sheetName val="Unbilled"/>
      <sheetName val="Rate Table"/>
      <sheetName val="Ld. Grth"/>
      <sheetName val="New Load"/>
      <sheetName val="Weather"/>
      <sheetName val="Var. Anal."/>
      <sheetName val="New Var. Anal."/>
      <sheetName val="Historical"/>
      <sheetName val="JE10310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 Sales"/>
      <sheetName val="Data Entry Transp"/>
      <sheetName val="Data EntryS&amp;T"/>
      <sheetName val="UNBILLED"/>
      <sheetName val="Normalization"/>
      <sheetName val="Rate Table"/>
      <sheetName val="Actual BF-S"/>
      <sheetName val="Ld. Grth"/>
      <sheetName val="Weather"/>
      <sheetName val="Var. Anal."/>
      <sheetName val="Forecast"/>
      <sheetName val="Non-Core"/>
      <sheetName val="Sales vs Unbilled"/>
      <sheetName val="CY2002 Actual"/>
      <sheetName val="1"/>
      <sheetName val="10"/>
      <sheetName val="2627"/>
      <sheetName val="2829"/>
      <sheetName val="43"/>
      <sheetName val="47"/>
      <sheetName val="7071"/>
      <sheetName val="85"/>
      <sheetName val="8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tailed "/>
      <sheetName val="NS Supported Opex&amp;Special Opex"/>
      <sheetName val="Other "/>
      <sheetName val="Risk Matrix"/>
      <sheetName val="Consequence Matrix"/>
      <sheetName val="Workings 1"/>
      <sheetName val="E Chin's Extract"/>
      <sheetName val="Department List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COS p1"/>
      <sheetName val="O and M"/>
      <sheetName val="salary split"/>
      <sheetName val="OandM sal"/>
      <sheetName val="Healthcare"/>
      <sheetName val="Group Ins"/>
      <sheetName val="Actvgrphlth"/>
      <sheetName val="Pensions"/>
      <sheetName val="FAS106"/>
      <sheetName val="Attrition"/>
      <sheetName val="Intra Depr"/>
      <sheetName val="Ex 2c"/>
      <sheetName val="Mun Tax"/>
      <sheetName val="FICA"/>
      <sheetName val="FIT"/>
      <sheetName val="Def FIT"/>
      <sheetName val="unfunded"/>
      <sheetName val="Ratebase"/>
      <sheetName val="Plant"/>
      <sheetName val="Depr Res"/>
      <sheetName val="Ratebase Adj"/>
      <sheetName val="Ratebase DFIT"/>
      <sheetName val="CWC"/>
      <sheetName val="Cap Struct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TD Actual vs. Budget &amp; PY"/>
      <sheetName val="Actual0910 £"/>
      <sheetName val="Actual0910 $"/>
      <sheetName val="Budget0910 £"/>
      <sheetName val="Budget0910 $"/>
      <sheetName val="Actual0809 £"/>
      <sheetName val="Actual0809 $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5.1.1 NGG - P&amp;L"/>
      <sheetName val="5.2.1 NGG - Balance Sheet"/>
      <sheetName val="5.3.1a NGG Interest Costs"/>
      <sheetName val="5.3.1b NGG Debt Balance Sheet"/>
      <sheetName val="5.3.1c NGG Debt CF"/>
      <sheetName val="5.3.1d NGG Existing Debt"/>
      <sheetName val="5.4.1 NGG-CashFlow "/>
      <sheetName val="5.5.1 NGG - Cap Allowances"/>
      <sheetName val="5.6.1 NGG -Tax Comp"/>
      <sheetName val="IFRS Rec"/>
      <sheetName val="Wkgs - 2004 05 UKGAAP vs IFRS"/>
      <sheetName val="Wkgs - MB UKGAAP IFRS Wkgs"/>
      <sheetName val="Wkgs - IFRS BS Diffs"/>
      <sheetName val="Wgks - IFRS PL Diffs"/>
      <sheetName val="UKREP to NGTPLAN05"/>
      <sheetName val="Net Debt Analysis"/>
      <sheetName val="Transmission Rec"/>
      <sheetName val="Cashflow Wrkg"/>
      <sheetName val="Cashflow Wrkg 2"/>
      <sheetName val="Cashflow Wrkg 3"/>
      <sheetName val="PM Cashflow"/>
      <sheetName val="Cashflow Table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um"/>
      <sheetName val="Functions"/>
      <sheetName val="Classify"/>
      <sheetName val="SubTDem"/>
      <sheetName val="PrimDem"/>
      <sheetName val="PrimCus"/>
      <sheetName val="SecnDem"/>
      <sheetName val="SecnCus"/>
      <sheetName val="BillCus"/>
      <sheetName val="SuppCom"/>
      <sheetName val="CompCus"/>
      <sheetName val="OpenCus"/>
      <sheetName val="Total"/>
      <sheetName val="FuncClass"/>
      <sheetName val="HVDP"/>
      <sheetName val="HVDT"/>
      <sheetName val="SL"/>
      <sheetName val="Assigned"/>
      <sheetName val="FuncFctr"/>
      <sheetName val="ClassFctr"/>
      <sheetName val="AllocFctr"/>
      <sheetName val="Registry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08"/>
      <sheetName val="Dec 08"/>
      <sheetName val="Jan 09"/>
      <sheetName val="Feb 09"/>
      <sheetName val="Mar 09"/>
      <sheetName val="Apr 09"/>
      <sheetName val="pk Hedge"/>
      <sheetName val="May 09"/>
      <sheetName val="Jun 09"/>
      <sheetName val="Jul 09"/>
      <sheetName val="Aug 09"/>
      <sheetName val="Sep 09"/>
      <sheetName val="Oct 09"/>
      <sheetName val="OP Hedge"/>
      <sheetName val="Nov 09"/>
      <sheetName val="Dec 09"/>
      <sheetName val="Jan 10"/>
      <sheetName val="Feb 10"/>
      <sheetName val="Mar 10"/>
      <sheetName val="Apr 10"/>
      <sheetName val="PK 09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Macros"/>
      <sheetName val="Basis &amp; Index Initial"/>
      <sheetName val="B &amp; I Curves"/>
      <sheetName val="Price Curve"/>
      <sheetName val="Discount"/>
      <sheetName val="FT Basis"/>
      <sheetName val="FT Basis Report"/>
      <sheetName val="FT Index"/>
      <sheetName val="FT Index Report"/>
      <sheetName val="Utilization"/>
      <sheetName val="Fuel"/>
      <sheetName val="Sheet1"/>
      <sheetName val="Sheet2"/>
      <sheetName val="Basis Pivot"/>
      <sheetName val="Index Pivot"/>
      <sheetName val="Basis Detail"/>
      <sheetName val="Index Detail"/>
      <sheetName val="Basis Report"/>
      <sheetName val="Index Report"/>
      <sheetName val="Arrays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rrays"/>
      <sheetName val="Nucleus Trade Detail_Futur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 Components"/>
      <sheetName val="Savings Proof"/>
      <sheetName val="Changes"/>
      <sheetName val="Index"/>
      <sheetName val="Increase"/>
      <sheetName val="OpExp"/>
      <sheetName val="Known Oper Exp Adjust"/>
      <sheetName val="PF OpExp Adj"/>
      <sheetName val="Labor_MECO"/>
      <sheetName val="Labor_Service"/>
      <sheetName val="Labor_Keyspan"/>
      <sheetName val="Health Care"/>
      <sheetName val="Group Ins"/>
      <sheetName val="Pension"/>
      <sheetName val="FAS106 "/>
      <sheetName val="Employee Thrift"/>
      <sheetName val="NewHires"/>
      <sheetName val="Postage"/>
      <sheetName val="Rate Case Exp"/>
      <sheetName val="Inflation"/>
      <sheetName val="Inflation Data"/>
      <sheetName val="Payroll Tax"/>
      <sheetName val="Deprec Exp"/>
      <sheetName val="Muni Taxes"/>
      <sheetName val="MEC"/>
      <sheetName val="Storm Fund"/>
      <sheetName val="Uncollectible"/>
      <sheetName val="NGRID Synergies"/>
      <sheetName val="Rate Base"/>
      <sheetName val="Accum Def Taxes"/>
      <sheetName val="Holdharmless"/>
      <sheetName val="IncTax"/>
      <sheetName val="Cap Struct"/>
      <sheetName val="CWC"/>
      <sheetName val="Balance Sheet"/>
      <sheetName val="Income Statement"/>
      <sheetName val="DistRev"/>
      <sheetName val="Dist IncSt"/>
      <sheetName val="RB Adjust"/>
      <sheetName val="5 Year Capital Plan RI"/>
      <sheetName val="Capital Mnthly Spend"/>
      <sheetName val="Cap Adds"/>
      <sheetName val="Cap Track"/>
      <sheetName val="CSS Levelized Net Synergies"/>
      <sheetName val="Customer impact 10 Yr NPV"/>
      <sheetName val="Summary"/>
      <sheetName val="Incremental Costs Input"/>
      <sheetName val="Savings Input"/>
      <sheetName val="Revised CSS Support Costs"/>
      <sheetName val="Estimated CSS Costs"/>
      <sheetName val="Depreciation"/>
      <sheetName val="Instructions"/>
      <sheetName val="11,11a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xecutive Summary"/>
      <sheetName val="Summary Bill Impacts"/>
      <sheetName val="Summary Bill Impacts_updated"/>
      <sheetName val="Bill Imp Rel to Current _update"/>
      <sheetName val="Bill Impact Relative to Current"/>
      <sheetName val="Graphs_updated"/>
      <sheetName val="Graphs"/>
      <sheetName val="Heat Pump Analysis"/>
      <sheetName val="Rate 0"/>
      <sheetName val="Rate 1"/>
      <sheetName val="Rate 2"/>
      <sheetName val="Rate 2B"/>
      <sheetName val="Rate 3"/>
      <sheetName val="Revenue Requirement -2018 ACOSS"/>
      <sheetName val="RR 23-150 ACOSS"/>
      <sheetName val="TOU Rate Design"/>
      <sheetName val="TOU Rate Design_update"/>
      <sheetName val="Residential Hourly Data"/>
      <sheetName val="Elec. Rate Cost Impact"/>
      <sheetName val="Customer Load Shapes"/>
      <sheetName val="R1R2 Total Usage"/>
      <sheetName val="Holidays"/>
      <sheetName val="MECO Delivery Rates"/>
      <sheetName val="MECO Supply Rates"/>
      <sheetName val="Scaling Inputs -&gt;"/>
      <sheetName val="Input Scaling"/>
      <sheetName val="Customer Load Shapes_2030"/>
      <sheetName val="Customer Load Shapes_2035"/>
    </sheetNames>
    <sheetDataSet>
      <sheetData sheetId="0"/>
      <sheetData sheetId="1">
        <row r="4">
          <cell r="D4">
            <v>0.18213000000000001</v>
          </cell>
        </row>
        <row r="5">
          <cell r="D5">
            <v>0.16055</v>
          </cell>
        </row>
        <row r="6">
          <cell r="D6">
            <v>15</v>
          </cell>
        </row>
        <row r="7">
          <cell r="D7">
            <v>19</v>
          </cell>
        </row>
        <row r="8">
          <cell r="D8">
            <v>14</v>
          </cell>
        </row>
        <row r="9">
          <cell r="D9">
            <v>21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4">
          <cell r="A64">
            <v>44197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Steps"/>
      <sheetName val="Bridge Summary"/>
      <sheetName val="P&amp;LSummary"/>
      <sheetName val="MTM Summary"/>
      <sheetName val="Index Detail"/>
      <sheetName val="Index Pivot"/>
      <sheetName val="Basis Detail"/>
      <sheetName val="Basis Pivot"/>
      <sheetName val="indexcurve"/>
      <sheetName val="B &amp; I Curves"/>
      <sheetName val="PBCURVE"/>
      <sheetName val="Bridge_Summary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3"/>
      <sheetName val="Module2"/>
      <sheetName val="Module4"/>
      <sheetName val="Module6"/>
      <sheetName val="Drop 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.Boston"/>
      <sheetName val="Input.Essex"/>
      <sheetName val="Input_Rates.Other"/>
      <sheetName val="CGA"/>
      <sheetName val="LDAF"/>
      <sheetName val="CGA LDAF Adj"/>
      <sheetName val="Input.Boston.BFT"/>
      <sheetName val="Input.Essex.BFT"/>
      <sheetName val="MIA Edits"/>
      <sheetName val="RateDesign"/>
      <sheetName val="Schedule 11"/>
      <sheetName val="RDM"/>
      <sheetName val="Sched11Detail"/>
      <sheetName val="Schedule 10 (excl imputed FT)"/>
      <sheetName val="GAF Revenue Detail (Sales)"/>
      <sheetName val="GAF Revenue Detail (FT)"/>
      <sheetName val="LDAF Revenue Detail"/>
      <sheetName val="G7"/>
      <sheetName val="G17"/>
      <sheetName val="LowInc.Boston"/>
      <sheetName val="LowInc.Ess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RI_BUB_postEE_nor"/>
      <sheetName val="check"/>
      <sheetName val="MC_charts"/>
      <sheetName val="vol(N)_charts"/>
      <sheetName val="RhodeIsland_Fin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check"/>
      <sheetName val="MC_charts"/>
      <sheetName val="vol(N)_charts"/>
      <sheetName val="RhodeIsland_FinE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Summary"/>
      <sheetName val="MarginSummary"/>
      <sheetName val="Basis Data 03312008"/>
      <sheetName val="Retrieval"/>
      <sheetName val="RI_VOL_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heet"/>
      <sheetName val="TableOfContents"/>
      <sheetName val="Inputs"/>
      <sheetName val="AFUDC"/>
      <sheetName val="Invest-WorkCap-Cap Calcs"/>
      <sheetName val="ActualCapEx_Inputs"/>
      <sheetName val="InventoryInput"/>
      <sheetName val="Depreciation"/>
      <sheetName val="Capital Recovery"/>
      <sheetName val="O&amp;M"/>
      <sheetName val="Drop Down Lists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inuing Operations"/>
      <sheetName val="OFR"/>
      <sheetName val="Profit Summary"/>
      <sheetName val="Stranded adj"/>
      <sheetName val="FY09 P&amp;L"/>
      <sheetName val="FY08 P&amp;L"/>
      <sheetName val="OFR (Continuing Ops)"/>
      <sheetName val="Stranded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ucleus Trade Detail_Swaps"/>
      <sheetName val="Invest-WorkCap-Cap Calcs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ollars"/>
      <sheetName val="Therms"/>
      <sheetName val="Customers"/>
      <sheetName val="Chart-med"/>
      <sheetName val="Chart1"/>
      <sheetName val="Chart2"/>
      <sheetName val="$ per Cust"/>
      <sheetName val="Therms per Cust"/>
      <sheetName val="$ per Therm"/>
      <sheetName val="Sheet1"/>
      <sheetName val="Classified-Apr09"/>
      <sheetName val="Classified-Mar09"/>
      <sheetName val="Classified-Mar09prelim"/>
      <sheetName val="Classified-Feb09"/>
      <sheetName val="Classified-Jan09"/>
      <sheetName val="Classified-Dec"/>
      <sheetName val="DAC summary "/>
      <sheetName val="Sys Pressure "/>
      <sheetName val="AGT Interest Calc. for FY09 "/>
      <sheetName val="ERC factor "/>
      <sheetName val="ERC amortization "/>
      <sheetName val="ERC Detail "/>
      <sheetName val="P&amp;PBOP"/>
      <sheetName val="Pens Reconc Proposal"/>
      <sheetName val="PBOP Reconc Proposal"/>
      <sheetName val="Capital Tracker"/>
      <sheetName val="Rate Base"/>
      <sheetName val="5 Quarter Average Net Plant"/>
      <sheetName val="Est.Data for Quarter Sep 09"/>
      <sheetName val="Margin"/>
      <sheetName val="Jul 08-Oct 08 Margin"/>
      <sheetName val="Nov 08-Jun 09 Margin"/>
      <sheetName val="July08-Oct08"/>
      <sheetName val="Nov08-Jun09 (Firm)"/>
      <sheetName val="Nov08-Jun09 (Non-firm)"/>
      <sheetName val="WNA"/>
      <sheetName val="Recon Summary"/>
      <sheetName val="Base Rate Components"/>
      <sheetName val="recon 08-09"/>
      <sheetName val="True-up"/>
      <sheetName val="Lost Revenue)"/>
      <sheetName val=" Summary"/>
      <sheetName val="As of Feb12"/>
      <sheetName val="Dollars1"/>
      <sheetName val="Therms1"/>
      <sheetName val="Customers1"/>
      <sheetName val="Before Feb12"/>
      <sheetName val="RI Classified Sale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yme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ibit 9"/>
      <sheetName val="Chart Data"/>
      <sheetName val="E Chin's Extract"/>
      <sheetName val="Cogens"/>
      <sheetName val="Marketing Data"/>
      <sheetName val="2002-03 Chart"/>
      <sheetName val="2003-04 Chart"/>
      <sheetName val="KEDLI Data "/>
      <sheetName val="Updated Chart"/>
      <sheetName val="7-1-05 on SCADA Coge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Estimates"/>
      <sheetName val="kWh"/>
      <sheetName val="Expenses"/>
      <sheetName val="Revenue"/>
      <sheetName val="Alloc"/>
      <sheetName val="REPORTS"/>
      <sheetName val="Prime Rate"/>
      <sheetName val="REC"/>
      <sheetName val="Rpt 6256 as of Jan 11"/>
      <sheetName val="Liabilities Rec List"/>
      <sheetName val=""/>
      <sheetName val="ANE Deals"/>
      <sheetName val="GasActivity"/>
      <sheetName val="Central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Supp Demand"/>
      <sheetName val="Supp Comm"/>
      <sheetName val="Supp Cust"/>
      <sheetName val="Coll Demand"/>
      <sheetName val="Coll Comm"/>
      <sheetName val="Coll Cust"/>
      <sheetName val="Tran Demand"/>
      <sheetName val="Tran Comm"/>
      <sheetName val="Tran Cust"/>
      <sheetName val="Dist Demand"/>
      <sheetName val="Dist Comm"/>
      <sheetName val="Dist Cust"/>
      <sheetName val="BillPay Demand"/>
      <sheetName val="BillPay Comm"/>
      <sheetName val="BillPay Cust"/>
      <sheetName val="EnSvc Demand"/>
      <sheetName val="EnSvc Comm"/>
      <sheetName val="EnSvc Cust"/>
      <sheetName val="Total"/>
      <sheetName val="Quick List"/>
      <sheetName val="SumGas"/>
      <sheetName val="SumDist"/>
      <sheetName val="SumBill"/>
      <sheetName val="SumColl"/>
      <sheetName val="SumTotal"/>
      <sheetName val="MinSys"/>
      <sheetName val="Factors"/>
      <sheetName val="Unit Cost"/>
      <sheetName val="Open"/>
      <sheetName val="Registry"/>
      <sheetName val="Specific Customer"/>
      <sheetName val="BillBack"/>
      <sheetName val="Verify"/>
      <sheetName val="Inputs"/>
      <sheetName val="LOG"/>
      <sheetName val="MSS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_Rates.Other"/>
      <sheetName val="CGA"/>
      <sheetName val="LDAF"/>
      <sheetName val="CGA LDAF Adj"/>
      <sheetName val="Input.Cape"/>
      <sheetName val="Input.Lowell"/>
      <sheetName val="Input.Cape.BFT"/>
      <sheetName val="Input.Lowell.BFT"/>
      <sheetName val="Monthly RDM"/>
      <sheetName val="Monthly Vol Spread"/>
      <sheetName val="Breakdown for Yvon"/>
      <sheetName val="RateDesign"/>
      <sheetName val="Schedule 11"/>
      <sheetName val="Sched11Detail"/>
      <sheetName val="LowInc.Cape"/>
      <sheetName val="LowInc.Lowe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"/>
      <sheetName val="Rich Kunz"/>
      <sheetName val="Mary Brolly"/>
      <sheetName val="Patti Hoeler"/>
      <sheetName val="Rashi Dahl"/>
      <sheetName val="AJ"/>
      <sheetName val="Steve McCauley"/>
      <sheetName val="NYMEX"/>
      <sheetName val="Data"/>
      <sheetName val="Input_Rates.Base.New"/>
      <sheetName val="Project Resources"/>
      <sheetName val="Start Balance"/>
      <sheetName val="Capital Categorization"/>
      <sheetName val="Rich_Kunz"/>
      <sheetName val="Mary_Brolly"/>
      <sheetName val="Patti_Hoeler"/>
      <sheetName val="Rashi_Dahl"/>
      <sheetName val="Steve_McCauley"/>
      <sheetName val="Input_Rates_Base_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Increase"/>
      <sheetName val="Revenue"/>
      <sheetName val="OpExp"/>
      <sheetName val="Normalization"/>
      <sheetName val="Known_Meas"/>
      <sheetName val="IFA"/>
      <sheetName val="Labor_Utility"/>
      <sheetName val="Labor_Service"/>
      <sheetName val="Labor_Affiliates"/>
      <sheetName val="Health Care"/>
      <sheetName val="Group Ins"/>
      <sheetName val="Employee Thrift"/>
      <sheetName val="FAS 112-ASC 712"/>
      <sheetName val="IS-Fac Rents"/>
      <sheetName val="Claims"/>
      <sheetName val="Ins Premiums"/>
      <sheetName val="Reg Assessments"/>
      <sheetName val="Uncollectible"/>
      <sheetName val="Overnite Pers"/>
      <sheetName val="Paperless Bill"/>
      <sheetName val="Rate Case Exp"/>
      <sheetName val="Inflation"/>
      <sheetName val="Hardships"/>
      <sheetName val="Environmental"/>
      <sheetName val="Storm Fund"/>
      <sheetName val="Deprec Exp"/>
      <sheetName val="Muni Taxes"/>
      <sheetName val="Payroll Tax"/>
      <sheetName val="Rate Base"/>
      <sheetName val="IncTax"/>
      <sheetName val="Amort of Net Tax Liability"/>
      <sheetName val="Cap Struct"/>
      <sheetName val="CWC"/>
      <sheetName val="FERC (AG 29-6-1)"/>
      <sheetName val="FERC"/>
      <sheetName val="DPU 1"/>
      <sheetName val="DPU 2"/>
      <sheetName val="DPU 3"/>
      <sheetName val="DPU 4"/>
      <sheetName val="DPU 5"/>
      <sheetName val="DPU 6"/>
      <sheetName val="DPU 7"/>
      <sheetName val="DPU 8"/>
      <sheetName val="DPU 9"/>
      <sheetName val="IncSt"/>
      <sheetName val="BalSheet"/>
      <sheetName val="Inflation Data"/>
      <sheetName val="Other O&amp;M"/>
      <sheetName val="Solar PhII"/>
      <sheetName val="Summary of Rev Req"/>
      <sheetName val="Comparison of Rev Req vs 09-39"/>
      <sheetName val="DPU 09-39"/>
      <sheetName val="ADIT"/>
      <sheetName val="Seasonal Em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_MC"/>
      <sheetName val="CP_Vol(act)"/>
      <sheetName val="CP_Vol(nor)"/>
      <sheetName val="CP_MC_A"/>
      <sheetName val="CP_Vol_A"/>
      <sheetName val="CP_Vol_N"/>
      <sheetName val="CP_MC_F"/>
      <sheetName val="CP_Vol_F"/>
      <sheetName val="CP_Billed_F"/>
      <sheetName val="CP_Unbilled_F"/>
      <sheetName val="CP_fctMC"/>
      <sheetName val="CP_fctMC (2)"/>
      <sheetName val="CP_fctVol"/>
      <sheetName val="CP_Billed"/>
      <sheetName val="CP_Unbilled"/>
      <sheetName val="CP_rawCus"/>
      <sheetName val="CP_Inp_MC"/>
      <sheetName val="CP_His_MC"/>
      <sheetName val="CP_His_Vol"/>
      <sheetName val="CP_NorVol"/>
      <sheetName val="CP_NorBld"/>
      <sheetName val="CP_NorUBD"/>
      <sheetName val="CP_rawVol"/>
      <sheetName val="CP_ActBld"/>
      <sheetName val="CP_ActUBD"/>
      <sheetName val="Cont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"/>
      <sheetName val="TRADES"/>
      <sheetName val="Broker Input"/>
      <sheetName val="T_NYM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Total"/>
      <sheetName val="BW"/>
      <sheetName val="TWA"/>
      <sheetName val="Tot"/>
      <sheetName val="tot graph"/>
      <sheetName val="lon graph"/>
      <sheetName val="ScotGraph"/>
      <sheetName val="NWGraph"/>
      <sheetName val="WMGraph"/>
      <sheetName val="EofEGraph"/>
      <sheetName val="Wales&amp;SWGraph"/>
      <sheetName val="SofEGraph"/>
      <sheetName val="NofEGraph"/>
      <sheetName val="LO"/>
      <sheetName val="London"/>
      <sheetName val="SC"/>
      <sheetName val="Scotland"/>
      <sheetName val="NO"/>
      <sheetName val="North of England"/>
      <sheetName val="SO"/>
      <sheetName val="South of England"/>
      <sheetName val="WA"/>
      <sheetName val="Wales &amp; West"/>
      <sheetName val="EA"/>
      <sheetName val="East of England"/>
      <sheetName val="WM"/>
      <sheetName val="West Midlands"/>
      <sheetName val="NW"/>
      <sheetName val="North West"/>
      <sheetName val="Wales &amp; South West"/>
      <sheetName val="List of Adjustments"/>
      <sheetName val="Ind Bar Chart Inputs"/>
      <sheetName val=" "/>
      <sheetName val="LI Apr 04 Cal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o Print View"/>
      <sheetName val="12mo Print View"/>
      <sheetName val="Classified-Dec"/>
    </sheetNames>
    <sheetDataSet>
      <sheetData sheetId="0" refreshError="1"/>
      <sheetData sheetId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heet2"/>
      <sheetName val="Sheet5"/>
      <sheetName val="Measure Input Data"/>
      <sheetName val="General Inputs"/>
      <sheetName val="NIMO North - Hourly Energy"/>
      <sheetName val="NIMO West - Hourly Energy"/>
      <sheetName val="Peak Timing and Pricing"/>
      <sheetName val="Lost Utility Revenue"/>
      <sheetName val="Other Fuel Prices"/>
      <sheetName val="SO2 &amp; NOx Emissions"/>
      <sheetName val="Measure Calculations"/>
      <sheetName val="Energy Calculations"/>
      <sheetName val="Benefits"/>
      <sheetName val="Costs"/>
      <sheetName val="BCA Summary - Traditional"/>
      <sheetName val="BCA Summary - Adjusted"/>
      <sheetName val="Sensitivity"/>
      <sheetName val="Admin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Fall River D1"/>
      <sheetName val="Fall River D2"/>
      <sheetName val="Fall River D3"/>
      <sheetName val="Fall River D4"/>
      <sheetName val="Fall River D5"/>
      <sheetName val="Fall River D6"/>
      <sheetName val="Fall River D7"/>
      <sheetName val="Fall River D8"/>
      <sheetName val="Fall River D9"/>
      <sheetName val="Fall River D10"/>
      <sheetName val="Fall River D11"/>
      <sheetName val="Fall River D12"/>
      <sheetName val="Fall River D13"/>
      <sheetName val="Fall River D14"/>
      <sheetName val="Fall River D15"/>
      <sheetName val="Fall River D16"/>
      <sheetName val="Fall River D17"/>
      <sheetName val="Fall River D18"/>
      <sheetName val="Fall River D19"/>
      <sheetName val="Fall River D20"/>
      <sheetName val="Fall River D21"/>
      <sheetName val="Fall River D22"/>
      <sheetName val="Fall River D23"/>
      <sheetName val="Fall River D24"/>
      <sheetName val="Fall River D25"/>
      <sheetName val="Fall River D26"/>
      <sheetName val="Fall River D27"/>
      <sheetName val="Fall River D28"/>
      <sheetName val="Fall River D29"/>
      <sheetName val="Fall River D30"/>
      <sheetName val="Fall River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RI D1"/>
      <sheetName val="RI D2"/>
      <sheetName val="RI D3"/>
      <sheetName val="RI D4"/>
      <sheetName val="RI D5"/>
      <sheetName val="RI D6"/>
      <sheetName val="RI D7"/>
      <sheetName val="RI D8"/>
      <sheetName val="RI D9"/>
      <sheetName val="RI D10"/>
      <sheetName val="RI D11"/>
      <sheetName val="RI D12"/>
      <sheetName val="RI D13"/>
      <sheetName val="RI D14"/>
      <sheetName val="RI D15"/>
      <sheetName val="RI D16"/>
      <sheetName val="RI D17"/>
      <sheetName val="RI D18"/>
      <sheetName val="RI D19"/>
      <sheetName val="RI D20"/>
      <sheetName val="RI D21"/>
      <sheetName val="RI D22"/>
      <sheetName val="RI D23"/>
      <sheetName val="RI D24"/>
      <sheetName val="RI D25"/>
      <sheetName val="RI D26"/>
      <sheetName val="RI D27"/>
      <sheetName val="RI D28"/>
      <sheetName val="RI D29"/>
      <sheetName val="RI D30"/>
      <sheetName val="RI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Winter 07-08 Peakers"/>
      <sheetName val="Schedulers"/>
      <sheetName val="NYMEX"/>
      <sheetName val="Data"/>
      <sheetName val="BGC 23734-18117"/>
      <sheetName val="Transaction Ticket Daily 122207"/>
      <sheetName val="Winter_07-08_Peak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9 HY"/>
      <sheetName val="P&amp;L retrieve"/>
      <sheetName val="UOP retrieve"/>
      <sheetName val="Input"/>
      <sheetName val="OFR"/>
      <sheetName val="Continuing Ops"/>
      <sheetName val="NE&amp;NY"/>
      <sheetName val="T&amp;D"/>
      <sheetName val="GEN"/>
      <sheetName val="ED&amp;G"/>
      <sheetName val="P&amp;L"/>
      <sheetName val="Total Opex"/>
      <sheetName val="IR oper prof"/>
      <sheetName val="Stranded"/>
      <sheetName val="Capex"/>
      <sheetName val="Sales(gWh) weather impact"/>
      <sheetName val="Exceptional Items"/>
      <sheetName val="Exceptionals"/>
      <sheetName val="ControllableCosts"/>
      <sheetName val="Consol CC UK Format "/>
      <sheetName val="Controllable Costs"/>
      <sheetName val="LI &amp; Gen CC"/>
      <sheetName val="New Elect Dist Summ"/>
      <sheetName val="Control Total Elect Dist Summ"/>
      <sheetName val="Other Dir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 a Glance"/>
      <sheetName val="Brief Retrieve"/>
      <sheetName val="Elim Retrieve"/>
      <sheetName val="FY Brief"/>
      <sheetName val="PSA1 (GAAP-IFRS)"/>
      <sheetName val="NGUSA (IFRS)"/>
      <sheetName val="NGUSA (IFRS) (2)"/>
      <sheetName val="NGUSA (GAAP)"/>
      <sheetName val="Variance MAP (IFRS)"/>
      <sheetName val="Variance MAP (GAAP)"/>
      <sheetName val="Details"/>
      <sheetName val="FORECAST"/>
      <sheetName val="PL Report (IFRS)"/>
      <sheetName val="PL Report (ADJ)"/>
      <sheetName val="PL Report (GAAP)"/>
      <sheetName val="PL Analysis (IFRS)"/>
      <sheetName val="PL Analysis (ADJ)"/>
      <sheetName val="PL Analysis (GAAP)"/>
      <sheetName val="PL Summary (IFRS)"/>
      <sheetName val="PL Summary (ADJ)"/>
      <sheetName val="PL Summary (GAAP)"/>
      <sheetName val="OM Summary (GAAP)"/>
      <sheetName val="18A"/>
      <sheetName val="NonControllable (1)"/>
      <sheetName val="NonControllable (2)"/>
      <sheetName val="Controllable (1)"/>
      <sheetName val="Controllable (2)"/>
      <sheetName val="ENV"/>
      <sheetName val="LIPA"/>
      <sheetName val="COR"/>
      <sheetName val="OM Retrieve (Stranded)"/>
      <sheetName val="OM Retrieve (1)"/>
      <sheetName val="OM Retrieve (2)"/>
      <sheetName val="PL Retrieve (Stranded)"/>
      <sheetName val="PL Retrieve (Stranded) (2)"/>
      <sheetName val="PL Retrieve (1)"/>
      <sheetName val="PL Retrieve (2)"/>
      <sheetName val="PL Retrieve (ADJ)"/>
      <sheetName val="PL Retrieve (IFRS)"/>
      <sheetName val="GAAP-IFRS (Actual)"/>
      <sheetName val="Control Data (IFRS)"/>
      <sheetName val="Control Data (IFRS) (PSA1)"/>
      <sheetName val="Control Data (ADJ)"/>
      <sheetName val="Control Data"/>
      <sheetName val="Cover"/>
      <sheetName val="Elim Retrieve (2)"/>
      <sheetName val="CAPEX"/>
      <sheetName val="CAPEX (FY12 Budget)"/>
      <sheetName val="NonReg (GAAP-IFRS)"/>
      <sheetName val="NonReg"/>
      <sheetName val="NonReg (CCC)"/>
      <sheetName val="Exp by Company"/>
      <sheetName val="Reg to N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MSanction"/>
      <sheetName val="3MRR"/>
      <sheetName val="3MSum"/>
      <sheetName val="3MEduc"/>
      <sheetName val="3MCPSum"/>
      <sheetName val="3MCPDetail"/>
      <sheetName val="RI Notes"/>
      <sheetName val="MA-RI-NY OpEx Expense Summary"/>
      <sheetName val="MA"/>
      <sheetName val="NIMO-2MRR"/>
      <sheetName val="NIMO-2MSum"/>
      <sheetName val="NIMO-2MEduc"/>
      <sheetName val="NIMO-2MCPSum"/>
      <sheetName val="NIMO-2MCPDetail"/>
      <sheetName val="RI-ETCostSummary_forAmended"/>
      <sheetName val="RI-ProposedSettlement"/>
      <sheetName val="RI-Off-Peak Rebate"/>
      <sheetName val="RI-ChargingStationCostPerPort"/>
      <sheetName val="RI-ChargingStations (2)rev"/>
      <sheetName val="RI-DCFC Discount (2)"/>
      <sheetName val="RI-Educ Outreach (2)rev"/>
      <sheetName val="RI-Fleet Adv"/>
      <sheetName val="RI-Eval (2)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Bid Day"/>
      <sheetName val="Table of Contents"/>
      <sheetName val="Bidders"/>
      <sheetName val="Data"/>
      <sheetName val="PriceForecast"/>
      <sheetName val="Purchases "/>
      <sheetName val="IndicPriceFcst"/>
      <sheetName val="IndicBidder"/>
      <sheetName val="IndicBidsPTF"/>
      <sheetName val="IndicBidsRetail"/>
      <sheetName val="IndicRates"/>
      <sheetName val="FinalPriceFcst"/>
      <sheetName val="FinalBidder"/>
      <sheetName val="FinalBidsPTF"/>
      <sheetName val="FinalBidsRetail"/>
      <sheetName val="FinalRates"/>
      <sheetName val="FinalPurch"/>
      <sheetName val="Nucleus Input"/>
      <sheetName val="Bid Factor Input"/>
      <sheetName val="New Nucleus"/>
      <sheetName val="MALoads"/>
      <sheetName val="NHLoads"/>
      <sheetName val="RPS-RES"/>
      <sheetName val="Security"/>
      <sheetName val="NH Summary Ind"/>
      <sheetName val="NH Summary Final"/>
      <sheetName val="SEMA_NCPC"/>
      <sheetName val="MA RPS-APS"/>
      <sheetName val="NH-RPS Adder Calc"/>
      <sheetName val="Summary of IndicBids"/>
      <sheetName val="NH Exibit"/>
      <sheetName val="NH Exibit (2)"/>
      <sheetName val="Do Not Use"/>
      <sheetName val="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Rhode Island AGT"/>
      <sheetName val="Rhode Island TGP"/>
      <sheetName val="Lead Sheet"/>
      <sheetName val="Data"/>
      <sheetName val="Rates"/>
      <sheetName val="CurrentQ_Derivatives Inventory"/>
      <sheetName val="NH Summary Ind"/>
      <sheetName val="NHLoads"/>
      <sheetName val="MALo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Gas AR on ledger"/>
      <sheetName val="Gas RI"/>
      <sheetName val="Gas Prov"/>
      <sheetName val="Gas Cumb"/>
      <sheetName val="Recon items - in Lawson"/>
      <sheetName val="Recon items - Lawson"/>
      <sheetName val="Cumb recon items-conv"/>
      <sheetName val="Gas FR"/>
      <sheetName val="Gas NAG"/>
      <sheetName val="Gas Loan AR "/>
      <sheetName val="Gas Adjustments AR"/>
      <sheetName val="Gas Reserve"/>
      <sheetName val="CustDep"/>
      <sheetName val="RISE"/>
      <sheetName val="Type F"/>
      <sheetName val="Serv WO's"/>
      <sheetName val="Sundries"/>
      <sheetName val="CIAC "/>
      <sheetName val="Balance Due Cust"/>
      <sheetName val="Unpaid Refunds"/>
      <sheetName val="Rentals"/>
      <sheetName val="NonGas Reserve"/>
      <sheetName val="Sheet4"/>
      <sheetName val="Overpayments (2)"/>
      <sheetName val="Overpayments"/>
      <sheetName val="LIHEAP  "/>
      <sheetName val="Replacements"/>
      <sheetName val="Work Order Clearing"/>
      <sheetName val="Gift Cert."/>
      <sheetName val="Bad Check-SS"/>
      <sheetName val="Telemeter CIAC"/>
      <sheetName val="Interco 142060"/>
      <sheetName val="Interco 142080"/>
      <sheetName val="Interco 142085 "/>
      <sheetName val="Interco 142090 "/>
      <sheetName val="Accounts"/>
      <sheetName val="Allowance (SU)"/>
      <sheetName val="Deposit Roll (SU)"/>
      <sheetName val="Variables"/>
      <sheetName val="ISO JLL-2 Pg 1"/>
      <sheetName val="ISO ADMIN JLL-2 Pg 2"/>
      <sheetName val="NEPSch 21 JLL-5"/>
      <sheetName val="ISO Scheds 2 &amp; 16 JLL-4"/>
      <sheetName val="Summary JLL-1 Pg 1"/>
      <sheetName val="Play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 LOG (2)"/>
      <sheetName val="INVOICE LOG"/>
      <sheetName val="03-02 EST. NAG GC"/>
      <sheetName val="02-02 VAR"/>
      <sheetName val="JE (1)"/>
      <sheetName val="SENDOUT-GAS COST"/>
      <sheetName val="NAG DETM PURCHASES 01-02"/>
      <sheetName val="DB GL FILE"/>
      <sheetName val="CR GL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AG DEMAND"/>
      <sheetName val="10-02 VARIANCE"/>
      <sheetName val="11-02 EST. NAG GC"/>
      <sheetName val="JE (1)"/>
      <sheetName val="Cost of Gas"/>
      <sheetName val="Invoice Support"/>
      <sheetName val="Storage Plan"/>
      <sheetName val="NAG NOV  2002 GAS DAY FORECAST"/>
      <sheetName val="SENDOUT-GAS COST"/>
      <sheetName val="DB GL"/>
      <sheetName val="CR GL"/>
      <sheetName val="11-02 NAG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-02 invoice not rec'd"/>
      <sheetName val="Inv PRELIM 11-02"/>
      <sheetName val="12-02 Inv Support "/>
      <sheetName val="11-02 NAG VAR "/>
      <sheetName val="12-02 EST. NAG GC"/>
      <sheetName val="GCR"/>
      <sheetName val="DB GL"/>
      <sheetName val="JE (1)"/>
      <sheetName val="CR GL"/>
      <sheetName val="SEND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 Summary"/>
      <sheetName val="FinPlanLI"/>
      <sheetName val="FinPlanNY"/>
      <sheetName val="2003"/>
      <sheetName val="2004"/>
      <sheetName val="2005"/>
      <sheetName val="2006"/>
      <sheetName val="2007"/>
      <sheetName val="2008"/>
      <sheetName val="2009"/>
      <sheetName val="Sheet3"/>
      <sheetName val="DB 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NY"/>
      <sheetName val="NYPA-Holtsvile"/>
      <sheetName val="TRIGEN"/>
      <sheetName val="SCADA Cogen Meter Data"/>
      <sheetName val="BNY Balance Acct"/>
      <sheetName val="BNY Swaps-Remarketing"/>
      <sheetName val="BNY Cap Release"/>
      <sheetName val="Jan 06 KED-LI  "/>
      <sheetName val="Parameters"/>
      <sheetName val="Parameter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gain on disposal"/>
      <sheetName val="Module1"/>
      <sheetName val="BS Acq Table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kWh"/>
      <sheetName val="Estimates"/>
      <sheetName val="Revenue"/>
      <sheetName val="Expenses"/>
      <sheetName val="Reconciliation"/>
      <sheetName val="AnnRpt"/>
      <sheetName val="Report"/>
      <sheetName val="REPORTS"/>
      <sheetName val="Alloc"/>
      <sheetName val="Inc"/>
      <sheetName val="LIIncSt"/>
      <sheetName val="Liabilities Rec List"/>
      <sheetName val="FY15 PSA JE Upload Template"/>
      <sheetName val="Unbilled file"/>
      <sheetName val="Summary"/>
      <sheetName val="PSA Support"/>
      <sheetName val="Manual input"/>
      <sheetName val="Drop-Down Values"/>
      <sheetName val="Increase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Mar06"/>
      <sheetName val="Mar07"/>
      <sheetName val="Mar08"/>
      <sheetName val="Mar09"/>
      <sheetName val="Mar10"/>
      <sheetName val="Mar1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ge 12"/>
      <sheetName val="Page 13"/>
      <sheetName val="Page 13.1"/>
      <sheetName val="Page 13.A"/>
      <sheetName val="Mar09"/>
      <sheetName val="Page_12"/>
      <sheetName val="Page_13"/>
      <sheetName val="Page_13_1"/>
      <sheetName val="Page_13_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Contracts with codes"/>
      <sheetName val="Points"/>
      <sheetName val="LI_FY11_V6(R2)_w_GrossUB"/>
      <sheetName val="LI_FY11_V6(R2)_w_NetUB"/>
      <sheetName val="Men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Tab"/>
      <sheetName val="Instructions"/>
      <sheetName val="Assumptions"/>
      <sheetName val="To Do List"/>
      <sheetName val="BPC-3.13.15"/>
      <sheetName val="BPC-3.5.15"/>
      <sheetName val="Employee Consolidation Tab"/>
      <sheetName val="Summary-Reg &amp; Non-Reg"/>
      <sheetName val="Cost Types"/>
      <sheetName val="JUR by CC"/>
      <sheetName val=" HC"/>
      <sheetName val="Employee"/>
      <sheetName val="Transfers"/>
      <sheetName val="Range Lists"/>
      <sheetName val="Audit of EE cc's"/>
      <sheetName val="Reporting formats"/>
      <sheetName val="By Opco"/>
      <sheetName val="Risks &amp; Ops"/>
      <sheetName val="Non-Employee"/>
      <sheetName val="CAPEX"/>
      <sheetName val="Jurisdiction Allocs"/>
      <sheetName val="Alloc Codes"/>
      <sheetName val="WBS"/>
      <sheetName val="WBS-ORIG"/>
      <sheetName val="General Ledger Acc'ts"/>
      <sheetName val="Backup"/>
      <sheetName val="Sheet1"/>
      <sheetName val="IS 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mo Print View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"/>
      <sheetName val="#BusinessQuery#"/>
      <sheetName val="Macros"/>
      <sheetName val="Detail"/>
      <sheetName val="Arr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CommodityPayableAccrual"/>
      <sheetName val="1_2_07_1730_TieOutToKap"/>
      <sheetName val="Summary"/>
      <sheetName val="Demand"/>
      <sheetName val="CommodityPayableAcc"/>
      <sheetName val="Nuc Companies"/>
      <sheetName val="DecOSS"/>
      <sheetName val="PROPANE_LNG"/>
      <sheetName val="DecStorage"/>
      <sheetName val="Sendout"/>
      <sheetName val="EN EndUse"/>
      <sheetName val="CURRENT CONTRACT MASTER FILE"/>
      <sheetName val="SalesCredits"/>
      <sheetName val="NovSupplier"/>
      <sheetName val="Pivot Table -12-31-06"/>
      <sheetName val="Earnings Category Summary"/>
      <sheetName val="ACCRUAL SUMMARY"/>
      <sheetName val="COMMODITY"/>
      <sheetName val="MASS OSS"/>
      <sheetName val="LNG_STORAGE_PROPANE"/>
      <sheetName val="Merrill kse2"/>
      <sheetName val="June 07 Proxy"/>
      <sheetName val="Storage WACOG Wrksht"/>
      <sheetName val="LNG WACOG Wrksht"/>
      <sheetName val="PIVOT"/>
      <sheetName val="Bos AGT"/>
      <sheetName val="Bos TGP"/>
      <sheetName val="Col AGT"/>
      <sheetName val="Col TGP"/>
      <sheetName val="Essex TGP"/>
      <sheetName val="Pivots"/>
      <sheetName val="Inc_stmt.as_of_200901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Output"/>
      <sheetName val="Rate1A"/>
      <sheetName val="RateT1A"/>
      <sheetName val="Rate1B"/>
      <sheetName val="RateT1B"/>
      <sheetName val="Rate2-1"/>
      <sheetName val="RateT2-1"/>
      <sheetName val="Rate2-2"/>
      <sheetName val="RateT2-2"/>
      <sheetName val="Rate3"/>
      <sheetName val="RateT3"/>
      <sheetName val="Rate4A"/>
      <sheetName val="RateT4A"/>
      <sheetName val="Rate4B"/>
      <sheetName val="RateT4B"/>
      <sheetName val="Rate7"/>
      <sheetName val="RateT7"/>
      <sheetName val="Rate14(CNG)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2 GC ESTIMATE"/>
      <sheetName val="Jul02 Index"/>
      <sheetName val="SENDOUT-GAS COST"/>
      <sheetName val="JE"/>
      <sheetName val="JE # 301917"/>
      <sheetName val="JE301919"/>
      <sheetName val="DB GL"/>
      <sheetName val="CR GL"/>
      <sheetName val="GL AC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minations"/>
      <sheetName val="Nomination Summary"/>
      <sheetName val="Price Feed"/>
      <sheetName val="Details"/>
      <sheetName val="Dispatch"/>
      <sheetName val="Variables"/>
      <sheetName val="EDQs"/>
      <sheetName val="Report"/>
      <sheetName val="Summary"/>
      <sheetName val="Storage"/>
      <sheetName val="TP Inputs"/>
      <sheetName val="Releases"/>
      <sheetName val="JE301919"/>
      <sheetName val="YTD P&amp;L Prepayment 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Dispatch"/>
    </sheetNames>
    <sheetDataSet>
      <sheetData sheetId="0"/>
      <sheetData sheetId="1" refreshError="1"/>
      <sheetData sheetId="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s_Swaps Breakout"/>
      <sheetName val="Summary"/>
      <sheetName val="Raw Data"/>
      <sheetName val="NYMEX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Data"/>
      <sheetName val="Bidders"/>
      <sheetName val="MA Loads Forecast"/>
      <sheetName val="MA Loads Confirms"/>
      <sheetName val="PriceFcst 6mos"/>
      <sheetName val="PriceFcst 3mos"/>
      <sheetName val="Purchases"/>
      <sheetName val="IndicBidder"/>
      <sheetName val="IndicPriceFcst 6mos"/>
      <sheetName val="IndicPriceFcst 3mos"/>
      <sheetName val="IndicPTF 6mos"/>
      <sheetName val="IndicPTF 3mos"/>
      <sheetName val="IndicRetail 6mos"/>
      <sheetName val="IndicRetail 3mos"/>
      <sheetName val="IndicRates 6mos"/>
      <sheetName val="IndicRates 3mos"/>
      <sheetName val="FinalBidder"/>
      <sheetName val="FinalPriceFcst 6mos"/>
      <sheetName val="FinalPriceFcst 3mos"/>
      <sheetName val="MJ"/>
      <sheetName val="FinalPTF 6mos"/>
      <sheetName val="FinalPTF 3mos"/>
      <sheetName val="FinalRetail 6mos"/>
      <sheetName val="FinalRetail 3mos"/>
      <sheetName val="FinalRates 6mos"/>
      <sheetName val="FinalRates 3mos"/>
      <sheetName val="FinalPurch 6mos"/>
      <sheetName val="FinalPurch 3mos"/>
      <sheetName val="Nucleus 3mos"/>
      <sheetName val="Allegro 3mos"/>
      <sheetName val="Nucleus 6mos"/>
      <sheetName val="Allegro 6mos"/>
      <sheetName val="Award 3mos"/>
      <sheetName val="Award 6mos"/>
      <sheetName val="Bid Premium"/>
      <sheetName val="Confirm 6mos"/>
      <sheetName val="Confirm 3mos"/>
      <sheetName val="RPS Comp"/>
      <sheetName val="MA RPS-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PTIONS"/>
      <sheetName val="SWAPS&amp;FUTUREs"/>
      <sheetName val="NYMEX"/>
      <sheetName val="Raw Data"/>
    </sheetNames>
    <sheetDataSet>
      <sheetData sheetId="0"/>
      <sheetData sheetId="1" refreshError="1"/>
      <sheetData sheetId="2" refreshError="1"/>
      <sheetData sheetId="3"/>
      <sheetData sheetId="4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"/>
      <sheetName val="RevAlloc=&gt;"/>
      <sheetName val="4_RevAlloc"/>
      <sheetName val="Schedule 10"/>
      <sheetName val="5Sum=&gt;"/>
      <sheetName val="5_SumRates"/>
      <sheetName val="RateDesign=&gt;"/>
      <sheetName val="6P1_Index"/>
      <sheetName val="6P2_R1R2"/>
      <sheetName val="6P3_Blank"/>
      <sheetName val="6P3_R5_OLD"/>
      <sheetName val="6P3_HP"/>
      <sheetName val="6P3_HP_kW"/>
      <sheetName val="6P4_G1"/>
      <sheetName val="6P5_G2"/>
      <sheetName val="6P6_G2_EV_A"/>
      <sheetName val="6P7_G2_EV_B"/>
      <sheetName val="6P8_G2_EV_C"/>
      <sheetName val="6P9_G3"/>
      <sheetName val="6P10_G3_EV_A"/>
      <sheetName val="6P11_G3_EV_B"/>
      <sheetName val="6P12_G3_EV_C"/>
      <sheetName val="6P13_SL_Sum"/>
      <sheetName val="6P14_SL_S1"/>
      <sheetName val="6P18_SL_S3"/>
      <sheetName val="6P19_SL_S5"/>
      <sheetName val="6P20_SL_S6"/>
      <sheetName val="XX6P21_SL"/>
      <sheetName val="XXX_6P14-15_SL"/>
      <sheetName val="G3 Temp=&gt;"/>
      <sheetName val="Temp_6P6_G3_SamekWh"/>
      <sheetName val="Temp_6P6_G3ZerokWh"/>
      <sheetName val="Revenue"/>
      <sheetName val="6P17_SL_S2"/>
      <sheetName val="Inputs SL"/>
      <sheetName val="HVD=&gt;"/>
      <sheetName val="7_HVD"/>
    </sheetNames>
    <sheetDataSet>
      <sheetData sheetId="0">
        <row r="4">
          <cell r="C4" t="str">
            <v>Massachusetts Electric Company</v>
          </cell>
        </row>
        <row r="5">
          <cell r="C5" t="str">
            <v>Nantucket Electric Company</v>
          </cell>
        </row>
        <row r="6">
          <cell r="C6" t="str">
            <v>each d/b/a National Grid</v>
          </cell>
        </row>
        <row r="7">
          <cell r="C7" t="str">
            <v>D.P.U. 23-150</v>
          </cell>
        </row>
        <row r="9">
          <cell r="C9" t="str">
            <v>Exhibit NG-PP-4 (C)</v>
          </cell>
        </row>
        <row r="10">
          <cell r="C10" t="str">
            <v>Exhibit NG-PP-5 (C)</v>
          </cell>
        </row>
        <row r="11">
          <cell r="C11" t="str">
            <v>Exhibit NG-PP-6 (C)</v>
          </cell>
        </row>
        <row r="14">
          <cell r="C14" t="str">
            <v>Exhibit NG-RRP-5 (C)</v>
          </cell>
        </row>
        <row r="16">
          <cell r="C16">
            <v>45566</v>
          </cell>
        </row>
        <row r="18">
          <cell r="C18" t="str">
            <v>H.O. Tassone</v>
          </cell>
        </row>
        <row r="20">
          <cell r="C20" t="str">
            <v>Massachusetts Electric Company</v>
          </cell>
        </row>
        <row r="21">
          <cell r="C21" t="str">
            <v>Nantucket Electric Company</v>
          </cell>
        </row>
        <row r="23">
          <cell r="C23" t="str">
            <v>Massachusetts Electric Company and Nantucket Electric Company each d/b/a National Grid</v>
          </cell>
        </row>
      </sheetData>
      <sheetData sheetId="1"/>
      <sheetData sheetId="2">
        <row r="81">
          <cell r="D81">
            <v>670471683.06010211</v>
          </cell>
        </row>
      </sheetData>
      <sheetData sheetId="3"/>
      <sheetData sheetId="4"/>
      <sheetData sheetId="5"/>
      <sheetData sheetId="6"/>
      <sheetData sheetId="7">
        <row r="2">
          <cell r="H2" t="str">
            <v xml:space="preserve"> of 20</v>
          </cell>
        </row>
        <row r="5">
          <cell r="J5">
            <v>20</v>
          </cell>
        </row>
        <row r="14">
          <cell r="B14" t="str">
            <v>Rate Design</v>
          </cell>
          <cell r="E14" t="str">
            <v>Page 1 of 20</v>
          </cell>
          <cell r="F14">
            <v>1</v>
          </cell>
        </row>
        <row r="16">
          <cell r="B16" t="str">
            <v>Rate Design for Rate R-1 / R-2</v>
          </cell>
          <cell r="E16" t="str">
            <v>Page 2 of 20</v>
          </cell>
          <cell r="F16">
            <v>2</v>
          </cell>
        </row>
        <row r="18">
          <cell r="B18" t="str">
            <v>THIS PAGE LEFT BLANK</v>
          </cell>
          <cell r="E18" t="str">
            <v>Page 3 of 20</v>
          </cell>
          <cell r="F18">
            <v>3</v>
          </cell>
        </row>
        <row r="20">
          <cell r="B20" t="str">
            <v>Rate Design for Rate G-1</v>
          </cell>
          <cell r="E20" t="str">
            <v>Page 4 of 20</v>
          </cell>
          <cell r="F20">
            <v>4</v>
          </cell>
        </row>
        <row r="22">
          <cell r="B22" t="str">
            <v>Rate Design for Rate G-2 and G-2 EV Price Schedule D: LF &gt; 15%</v>
          </cell>
          <cell r="E22" t="str">
            <v>Page 5 of 20</v>
          </cell>
          <cell r="F22">
            <v>5</v>
          </cell>
        </row>
        <row r="24">
          <cell r="B24" t="str">
            <v xml:space="preserve">Rate Design for G-2 EV Price Schedule A: 0% ≤ LF ≤ 5% </v>
          </cell>
          <cell r="E24" t="str">
            <v>Page 6 of 20</v>
          </cell>
          <cell r="F24">
            <v>6</v>
          </cell>
        </row>
        <row r="26">
          <cell r="B26" t="str">
            <v>Rate Design for G-2 EV Price Schedule B: 5% &lt; LF ≤ 10%</v>
          </cell>
          <cell r="E26" t="str">
            <v>Page 7 of 20</v>
          </cell>
          <cell r="F26">
            <v>7</v>
          </cell>
        </row>
        <row r="28">
          <cell r="B28" t="str">
            <v>Rate Design for G-2 EV Price Schedule C: 10% &lt; LF ≤ 15%</v>
          </cell>
          <cell r="E28" t="str">
            <v>Page 8 of 20</v>
          </cell>
          <cell r="F28">
            <v>8</v>
          </cell>
        </row>
        <row r="30">
          <cell r="B30" t="str">
            <v>Rate Design for G-3 and Rate Design G-3 EV Price Schedule D: LF &gt; 15%</v>
          </cell>
          <cell r="E30" t="str">
            <v>Page 9 of 20</v>
          </cell>
          <cell r="F30">
            <v>9</v>
          </cell>
        </row>
        <row r="32">
          <cell r="B32" t="str">
            <v xml:space="preserve">Rate Design for G-3 EV Price Schedule A: 0% ≤ LF ≤ 5% </v>
          </cell>
          <cell r="E32" t="str">
            <v>Page 10 of 20</v>
          </cell>
          <cell r="F32">
            <v>10</v>
          </cell>
        </row>
        <row r="34">
          <cell r="B34" t="str">
            <v>Rate Design for G-3 EV Price Schedule B: 5% &lt; LF ≤ 10%</v>
          </cell>
          <cell r="E34" t="str">
            <v>Page 11 of 20</v>
          </cell>
          <cell r="F34">
            <v>11</v>
          </cell>
        </row>
        <row r="36">
          <cell r="B36" t="str">
            <v>Rate Design for G-3 EV Price Schedule C: 10% &lt; LF ≤ 15%</v>
          </cell>
          <cell r="E36" t="str">
            <v>Page 12 of 20</v>
          </cell>
          <cell r="F36">
            <v>12</v>
          </cell>
        </row>
        <row r="38">
          <cell r="B38" t="str">
            <v>Rate Design for Rate Street Lighting - Summary</v>
          </cell>
          <cell r="E38" t="str">
            <v>Page 13 of 20</v>
          </cell>
          <cell r="F38">
            <v>13</v>
          </cell>
        </row>
        <row r="40">
          <cell r="B40" t="str">
            <v>Streetlighting - Full Service (Rate S-1)- Part 1</v>
          </cell>
          <cell r="E40" t="str">
            <v>Page 14 of 20</v>
          </cell>
          <cell r="F40">
            <v>14</v>
          </cell>
        </row>
        <row r="41">
          <cell r="B41" t="str">
            <v>Streetlighting - Full Service (Rate S-1)- Part 2</v>
          </cell>
          <cell r="E41" t="str">
            <v>Page 15 of 20</v>
          </cell>
          <cell r="F41">
            <v>15</v>
          </cell>
        </row>
        <row r="42">
          <cell r="B42" t="str">
            <v>Streetlighting - Full Service (Rate S-1)- Part 3</v>
          </cell>
          <cell r="E42" t="str">
            <v>Page 16 of 20</v>
          </cell>
          <cell r="F42">
            <v>16</v>
          </cell>
        </row>
        <row r="44">
          <cell r="B44" t="str">
            <v>Streetlighting - Full Service (Rate S-2)</v>
          </cell>
          <cell r="E44" t="str">
            <v>Page 17 of 20</v>
          </cell>
          <cell r="F44">
            <v>17</v>
          </cell>
        </row>
        <row r="46">
          <cell r="B46" t="str">
            <v>Streetlighting - Full Service (Rate S-3)</v>
          </cell>
          <cell r="E46" t="str">
            <v>Page 18 of 20</v>
          </cell>
          <cell r="F46">
            <v>18</v>
          </cell>
        </row>
        <row r="48">
          <cell r="B48" t="str">
            <v>Streetlighting - Energy Only (Rate S-5)</v>
          </cell>
          <cell r="E48" t="str">
            <v>Page 19 of 20</v>
          </cell>
          <cell r="F48">
            <v>19</v>
          </cell>
        </row>
        <row r="50">
          <cell r="B50" t="str">
            <v>Streetlighting - Street and Area Decorative Lighting (S-6)</v>
          </cell>
          <cell r="E50" t="str">
            <v>Page 20 of 20</v>
          </cell>
          <cell r="F50">
            <v>20</v>
          </cell>
        </row>
        <row r="55">
          <cell r="B55" t="str">
            <v>Streetlighting Capital Tracker, Solar Cost Recovery and Smart Grid Cost Recovery Factors</v>
          </cell>
          <cell r="E55" t="str">
            <v>Page 21 of 20</v>
          </cell>
          <cell r="F55">
            <v>21</v>
          </cell>
        </row>
      </sheetData>
      <sheetData sheetId="8">
        <row r="19">
          <cell r="D19">
            <v>10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6">
          <cell r="D6">
            <v>14180780</v>
          </cell>
        </row>
      </sheetData>
      <sheetData sheetId="33"/>
      <sheetData sheetId="34">
        <row r="2">
          <cell r="B2" t="e">
            <v>#REF!</v>
          </cell>
        </row>
        <row r="3">
          <cell r="B3" t="e">
            <v>#REF!</v>
          </cell>
        </row>
        <row r="4">
          <cell r="B4" t="e">
            <v>#REF!</v>
          </cell>
        </row>
        <row r="10">
          <cell r="B10">
            <v>0.17779820432730034</v>
          </cell>
        </row>
        <row r="12">
          <cell r="B12">
            <v>-570.16665795445442</v>
          </cell>
        </row>
        <row r="15">
          <cell r="B15">
            <v>1.1777982043273003</v>
          </cell>
        </row>
      </sheetData>
      <sheetData sheetId="35"/>
      <sheetData sheetId="36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Entry (2)"/>
      <sheetName val="Dec 00 DUKE"/>
      <sheetName val="DEC 00 PGC"/>
      <sheetName val="VARIANCE"/>
      <sheetName val=" COST OF GAS"/>
      <sheetName val="AGT CAP REL"/>
      <sheetName val="Sheet1"/>
      <sheetName val="GLEntry"/>
      <sheetName val="TENNE SWING"/>
      <sheetName val="VALLEY"/>
      <sheetName val="VOLUMES"/>
      <sheetName val="oba history"/>
      <sheetName val="BLANK 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Start"/>
      <sheetName val="Revenue"/>
      <sheetName val="Co-Pays"/>
      <sheetName val="Expenses"/>
      <sheetName val="Projections"/>
      <sheetName val="Reports"/>
      <sheetName val="overview"/>
      <sheetName val="Table 1 - All"/>
      <sheetName val="Table 2 - Residential"/>
      <sheetName val="Table 3 - Low Income"/>
      <sheetName val="Table 4 - C I"/>
      <sheetName val="Table 5 - SL"/>
      <sheetName val="Single Acct Recon Lead Sheet"/>
      <sheetName val="IS"/>
      <sheetName val="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Planning"/>
      <sheetName val="Winter 07-08 Peakers"/>
      <sheetName val="Schedulers"/>
      <sheetName val="NYMEX"/>
      <sheetName val="Data"/>
      <sheetName val="NE"/>
      <sheetName val="Rich Kunz"/>
      <sheetName val="Mary Brolly"/>
      <sheetName val="Patti Hoeler"/>
      <sheetName val="Rashi Dahl"/>
      <sheetName val="AJ"/>
      <sheetName val="Steve McCauley"/>
      <sheetName val="NIMO"/>
      <sheetName val="Winter 08-09 Peakers"/>
      <sheetName val="Dave"/>
      <sheetName val="Sheet1"/>
      <sheetName val="Start"/>
      <sheetName val="Assumptions"/>
      <sheetName val=""/>
      <sheetName val="Winter_07-08_Peakers"/>
      <sheetName val="Rich_Kunz"/>
      <sheetName val="Mary_Brolly"/>
      <sheetName val="Patti_Hoeler"/>
      <sheetName val="Rashi_Dahl"/>
      <sheetName val="Steve_McCauley"/>
      <sheetName val="Winter_08-09_Peak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 18"/>
      <sheetName val="19"/>
      <sheetName val="20"/>
      <sheetName val="21"/>
      <sheetName val="22"/>
      <sheetName val="23"/>
      <sheetName val=" 24"/>
      <sheetName val="Pg 25 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 "/>
      <sheetName val="80"/>
      <sheetName val="8181a"/>
      <sheetName val="82"/>
      <sheetName val="83 "/>
      <sheetName val=" 84"/>
      <sheetName val="84A"/>
      <sheetName val=" 84-1"/>
      <sheetName val=" 84-2"/>
      <sheetName val="85 "/>
      <sheetName val=" 85-1"/>
      <sheetName val="86"/>
      <sheetName val="8788"/>
      <sheetName val="8990"/>
      <sheetName val=" 89 Att"/>
      <sheetName val="9192"/>
      <sheetName val="93"/>
      <sheetName val="94"/>
      <sheetName val="Verify"/>
      <sheetName val="Index"/>
      <sheetName val="Book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#"/>
      <sheetName val="Points"/>
      <sheetName val="Fue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8181a"/>
      <sheetName val="Mar09"/>
      <sheetName val="Two Step Revenue Testing Master"/>
      <sheetName val="Data"/>
      <sheetName val="Area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KSPREAD"/>
      <sheetName val="MARKET"/>
      <sheetName val="POSITION SUMMARY"/>
      <sheetName val="MTM"/>
      <sheetName val="PROFIT"/>
      <sheetName val="BASISOPTION"/>
      <sheetName val="BASISOPTGRID"/>
      <sheetName val="NYMEXOPTGRID"/>
      <sheetName val="COMPOSITE"/>
      <sheetName val="STORAGEDEMAND"/>
      <sheetName val="GAS"/>
      <sheetName val="IBS"/>
      <sheetName val="SPREAD_OPTIONS"/>
      <sheetName val="NYMEX_OPTIONS"/>
      <sheetName val="INDEX_TPORT"/>
      <sheetName val="TPOR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Case 2"/>
      <sheetName val="2004 case 5"/>
      <sheetName val="check"/>
      <sheetName val="Compare to 04 ep and Act"/>
      <sheetName val="IS"/>
      <sheetName val="CF"/>
      <sheetName val="BS"/>
      <sheetName val="P&amp;OPEB"/>
      <sheetName val="TAX"/>
      <sheetName val="Allocations"/>
      <sheetName val="PushDownDebt"/>
      <sheetName val="TAX STATUS &amp; PMT SCH"/>
      <sheetName val="TaxCalc"/>
      <sheetName val="summary"/>
      <sheetName val="Detail BS"/>
      <sheetName val="Revenues"/>
      <sheetName val="Synergies"/>
      <sheetName val="Depreciation"/>
      <sheetName val="Money Pool"/>
      <sheetName val="General Taxes"/>
      <sheetName val="Direct O&amp;M"/>
      <sheetName val="Direct Capital"/>
      <sheetName val="Misc Net"/>
      <sheetName val="Other Interest"/>
      <sheetName val="WC"/>
      <sheetName val="notes"/>
      <sheetName val="Compare to 03 ep and Act"/>
      <sheetName val="Working Capital"/>
      <sheetName val="Inc Tax"/>
      <sheetName val="Comparison_5yrs(LI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Graphs"/>
      <sheetName val="Program Scaling Factors"/>
      <sheetName val="PrevQ_Derivative Inventory"/>
      <sheetName val="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pcase7case1"/>
      <sheetName val="AndyIS"/>
      <sheetName val="Summary"/>
      <sheetName val="Consolidated IS"/>
      <sheetName val="Consolidated BS"/>
      <sheetName val="Consolidated CF"/>
      <sheetName val="IS Before Incr"/>
      <sheetName val="IS Incr"/>
      <sheetName val="Detailed BS"/>
      <sheetName val="Detailed CF"/>
      <sheetName val="Oracle "/>
      <sheetName val="co 23 alloc"/>
      <sheetName val="oracldetailbs"/>
      <sheetName val="oracledetis"/>
      <sheetName val="HYPBS"/>
      <sheetName val="hypis"/>
      <sheetName val="Dividends "/>
      <sheetName val="TAX"/>
      <sheetName val="TAX STATUS &amp; PMT SCH"/>
      <sheetName val="TaxCalc"/>
      <sheetName val="NonCashCharges"/>
      <sheetName val="FIT BL"/>
      <sheetName val="Deferred SIT"/>
      <sheetName val="P&amp;OPEB"/>
      <sheetName val="Net Revenues"/>
      <sheetName val="RCadj"/>
      <sheetName val="RCadj1"/>
      <sheetName val="Revenue check"/>
      <sheetName val="Other Revenues"/>
      <sheetName val="Inflationincrease"/>
      <sheetName val="Direct O&amp;M"/>
      <sheetName val="SYN"/>
      <sheetName val="CTA"/>
      <sheetName val="CTACap"/>
      <sheetName val="Direct Capital"/>
      <sheetName val="Allocations"/>
      <sheetName val="Environ details"/>
      <sheetName val="New Depreciation"/>
      <sheetName val="software"/>
      <sheetName val="Cost Sum Reserv"/>
      <sheetName val="Costsum"/>
      <sheetName val="jancapsof"/>
      <sheetName val="cost sum Jan"/>
      <sheetName val="costresjan"/>
      <sheetName val="Amortization"/>
      <sheetName val="PdwnDebt"/>
      <sheetName val="LTD Interest"/>
      <sheetName val="ST Financing"/>
      <sheetName val="OtherInterest"/>
      <sheetName val="Misc Net"/>
      <sheetName val="AR"/>
      <sheetName val="General Taxes"/>
      <sheetName val="CheckList&amp;Notes"/>
      <sheetName val="BS Trend Calculations"/>
      <sheetName val="NCAL"/>
      <sheetName val="WC"/>
      <sheetName val="Working Capital"/>
      <sheetName val="Assumptions"/>
      <sheetName val="Depreciation"/>
      <sheetName val="AR Working Capital"/>
      <sheetName val="AR History"/>
      <sheetName val="FIT Above"/>
      <sheetName val="Peri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corecard Inputs"/>
      <sheetName val="Nicor Aggregate"/>
      <sheetName val="Nicor Aggregate 2001"/>
      <sheetName val="ACTIVE"/>
      <sheetName val="NSS"/>
      <sheetName val="DSS"/>
      <sheetName val="S01"/>
      <sheetName val="STG 01-02"/>
      <sheetName val="NSS TRN 01-02"/>
      <sheetName val="Optimals"/>
      <sheetName val="COF-NSS"/>
      <sheetName val="COF-DSS"/>
      <sheetName val="COF-NSS STG"/>
      <sheetName val="NYMEX"/>
      <sheetName val="P&amp;L Summary (Master)"/>
      <sheetName val="Onsystem 01-02"/>
      <sheetName val="POA 01-02"/>
      <sheetName val="Pricing"/>
      <sheetName val="Module1"/>
      <sheetName val="Module2"/>
      <sheetName val="Module4"/>
      <sheetName val="Module3"/>
      <sheetName val="Module5"/>
      <sheetName val="Instructions"/>
      <sheetName val="General Taxes"/>
      <sheetName val="BS 6891"/>
      <sheetName val="Scorecard_Inputs"/>
      <sheetName val="Nicor_Aggregate"/>
      <sheetName val="Nicor_Aggregate_2001"/>
      <sheetName val="STG_01-02"/>
      <sheetName val="NSS_TRN_01-02"/>
      <sheetName val="COF-NSS_STG"/>
      <sheetName val="P&amp;L_Summary_(Master)"/>
      <sheetName val="Onsystem_01-02"/>
      <sheetName val="POA_01-02"/>
      <sheetName val="General_Taxes"/>
      <sheetName val="BS_689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Income Statement"/>
      <sheetName val="trans"/>
      <sheetName val="My Worksheet"/>
      <sheetName val="Drop Down Lists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s"/>
      <sheetName val="CY 2015 - SIP"/>
      <sheetName val="Book Depr"/>
      <sheetName val="Tax Depr"/>
      <sheetName val="O&amp;M Exp"/>
      <sheetName val="Cap Structure"/>
      <sheetName val="Macrs Rate Table"/>
      <sheetName val="Investment Tax Credit "/>
      <sheetName val="ITC Tax Effec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C_Supp Demand"/>
      <sheetName val="C_Supp Comm"/>
      <sheetName val="C_Supp Cust"/>
      <sheetName val="C_Stor Demand"/>
      <sheetName val="C_Stor Comm"/>
      <sheetName val="C_Stor Cust"/>
      <sheetName val="Tran Demand"/>
      <sheetName val="Tran Comm"/>
      <sheetName val="Tran Cust"/>
      <sheetName val="Dist Demand"/>
      <sheetName val="Dist Comm"/>
      <sheetName val="Dist Cust"/>
      <sheetName val="BILL_PP Demand"/>
      <sheetName val="BILL_PP Comm"/>
      <sheetName val="BILL_PP Cust"/>
      <sheetName val="CommPT Demand"/>
      <sheetName val="CommPT Comm"/>
      <sheetName val="CommPT Cust"/>
      <sheetName val="CommColl Demand"/>
      <sheetName val="CommColl Comm"/>
      <sheetName val="CommColl Cust"/>
      <sheetName val="Func8 Demand"/>
      <sheetName val="Func8 Comm"/>
      <sheetName val="Func8 Cust"/>
      <sheetName val="Total"/>
      <sheetName val="Quick List"/>
      <sheetName val="Factors"/>
      <sheetName val="Unit Cost"/>
      <sheetName val="Open"/>
      <sheetName val="Registry"/>
      <sheetName val="Specific Customer"/>
      <sheetName val="Verify"/>
      <sheetName val="LOG"/>
      <sheetName val="Input"/>
      <sheetName val="Contract 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avings Proof"/>
      <sheetName val="COS p1"/>
      <sheetName val="O and M"/>
      <sheetName val="O and M Adjust"/>
      <sheetName val="Salary Split"/>
      <sheetName val="O&amp;MSalaries"/>
      <sheetName val="Health Care"/>
      <sheetName val="Group Ins"/>
      <sheetName val="Pensions"/>
      <sheetName val="FAS106"/>
      <sheetName val="SUMM VERO adj"/>
      <sheetName val="O&amp;M Attrition"/>
      <sheetName val="Cap Adds"/>
      <sheetName val="Depr Exp"/>
      <sheetName val="Net Salv"/>
      <sheetName val="Muni Taxes"/>
      <sheetName val="FICA"/>
      <sheetName val="Rate Base"/>
      <sheetName val="Plant In Svc"/>
      <sheetName val="Depr Res"/>
      <sheetName val="Return and Tax"/>
      <sheetName val="FIT"/>
      <sheetName val="Def Tax Expense"/>
      <sheetName val="unfunded"/>
      <sheetName val="Cap Struct"/>
      <sheetName val="RB Adjust"/>
      <sheetName val="Sheet17"/>
      <sheetName val="Sheet1"/>
      <sheetName val="Ratebase"/>
      <sheetName val="Def FIT"/>
      <sheetName val="Loss on  Dbt"/>
      <sheetName val="CWC"/>
      <sheetName val="Sheet18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  <sheetName val="allocation 5 by ferc"/>
      <sheetName val="Mapping"/>
      <sheetName val="Total"/>
      <sheetName val="D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-SalesVol(NY)"/>
      <sheetName val="Graph-AvCust(NY)"/>
      <sheetName val="Graph-UsePerCust(NY)"/>
      <sheetName val="LI Contracts Data Inpu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e to Forecast"/>
      <sheetName val="Forecast &amp; Plan Trace Summary"/>
      <sheetName val="Sheet1"/>
      <sheetName val="Statutory Structure - Unwind"/>
      <sheetName val="Statutory Structure - Cap Int"/>
      <sheetName val="Statutory Structure - Tot Int"/>
      <sheetName val="Analysis of effective rates"/>
      <sheetName val="Int Rec for Moodys"/>
      <sheetName val="Int Rec for JP"/>
      <sheetName val="P&amp;L Interest Breakdown"/>
      <sheetName val="Sheet3"/>
      <sheetName val="Int Model New PM 4% all yr infl"/>
      <sheetName val="Int Model FINAL"/>
      <sheetName val="Int Model FINAL Sens -1% "/>
      <sheetName val="Int Model FINAL Sens +1%"/>
      <sheetName val="US"/>
      <sheetName val="Int Model New PM adj 4% inf rev"/>
      <sheetName val="Opening Debt (Mar 07)"/>
      <sheetName val="Int Model New PM adj"/>
      <sheetName val="Other"/>
      <sheetName val="NGElec"/>
      <sheetName val="Int Model New"/>
      <sheetName val="Opening Debt - BS"/>
      <sheetName val="Int Model"/>
      <sheetName val="NG"/>
      <sheetName val="NGGas plc"/>
      <sheetName val="NGGas Holdings plc Consol"/>
      <sheetName val="NGGas Holding plc Standalone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OA vs Pk 07-08"/>
      <sheetName val="DOA vs Prior Month"/>
      <sheetName val="Forecast Summary"/>
      <sheetName val="Input Info and Rates"/>
      <sheetName val="Filed Tariff Sheets"/>
      <sheetName val="Pages 1, 3, 5"/>
      <sheetName val="Page 76"/>
      <sheetName val="Page 86 Peak"/>
      <sheetName val="Page 86 Off Peak"/>
      <sheetName val="Page 87 Off Peak"/>
      <sheetName val="Page 87 Peak"/>
      <sheetName val="Page 88"/>
      <sheetName val="Page 89"/>
      <sheetName val="Page 91"/>
      <sheetName val="Page 92"/>
      <sheetName val="Page 94"/>
      <sheetName val="Page 155"/>
      <sheetName val="Page 156"/>
      <sheetName val="Page 76 Redlined"/>
      <sheetName val="Page 86 Redlined"/>
      <sheetName val="Page 87 Redlined I"/>
      <sheetName val="Page 88 Redlined I"/>
      <sheetName val="Page 89 Redlined I"/>
      <sheetName val="Page 91 Redline I"/>
      <sheetName val="Page 92 Redline"/>
      <sheetName val="Page 94 Redline I"/>
      <sheetName val="Page 155 Redline I"/>
      <sheetName val="Page 156 Redline I"/>
      <sheetName val="PK Trigger"/>
      <sheetName val="OP Trigger"/>
      <sheetName val="Under or Over Collection"/>
      <sheetName val="Backup Check Page"/>
      <sheetName val="Trigger Analysis"/>
      <sheetName val="Changes"/>
      <sheetName val="Index"/>
      <sheetName val="Summary"/>
      <sheetName val="Schedule 1"/>
      <sheetName val="Schedule 2"/>
      <sheetName val="Schedule 3 PEAK"/>
      <sheetName val="Schedule 3 Off Peak"/>
      <sheetName val="Schedule 4"/>
      <sheetName val="Schedule 5A"/>
      <sheetName val="Schedule 5B"/>
      <sheetName val="Schedule 5C"/>
      <sheetName val="Schedule 6"/>
      <sheetName val="Schedule 7"/>
      <sheetName val="Schedule 7 Off Peak"/>
      <sheetName val="Sch 7 Nov-Mar 2010"/>
      <sheetName val="NYMEX"/>
      <sheetName val="Schedule 8"/>
      <sheetName val="Schedule 9"/>
      <sheetName val="PK 08-09 RECON"/>
      <sheetName val="PK 08-09 Recon Summary Pg4"/>
      <sheetName val="Schedule 10A p1-2"/>
      <sheetName val="Sched 10 Worksheet"/>
      <sheetName val="Schedule 10A p3"/>
      <sheetName val="Schedule 10B"/>
      <sheetName val="Schedule 11A-B"/>
      <sheetName val="Schedule 11C"/>
      <sheetName val="Schedule 11D (Poe)"/>
      <sheetName val="Schedule 12"/>
      <sheetName val="Schedule 13pk"/>
      <sheetName val="Schedule 14"/>
      <sheetName val="Pipeline Supplies"/>
      <sheetName val="Schedule 15"/>
      <sheetName val="Schedule 16"/>
      <sheetName val="Money Pool Rates (Bill Donoghue"/>
      <sheetName val="Schedule 17"/>
      <sheetName val="Tab 19 Page 94"/>
      <sheetName val="Tab 19 Page 92"/>
      <sheetName val="Tab 19 RLIAP Page 1"/>
      <sheetName val="Tab 19 RLIAP Page 2"/>
      <sheetName val="Tab 19  Conservation Charge CC"/>
      <sheetName val="Tab 19 CC page 2 "/>
      <sheetName val="Tab 19 CC page 3"/>
      <sheetName val="Tab 19 CC page 4"/>
      <sheetName val="Tab 19 CC page 5"/>
      <sheetName val="Tab 19 CC Page 6"/>
      <sheetName val="Tab 19 EE Page 1 (May Lissa)"/>
      <sheetName val="Tab 19 EE page 2 (May Lissa)"/>
      <sheetName val="Tab 19 EE page 3 (May Lissa)"/>
      <sheetName val="Tab 19 EE page 4 budget (EE Grp"/>
      <sheetName val="Ta 19 EE page 5 budget(EE grp)"/>
      <sheetName val="Tab 19 EE pg 6 Incentive (EEGrp"/>
      <sheetName val="Worksheet EE Therm (May Lissa) "/>
      <sheetName val="Tab 20 Page 88 "/>
      <sheetName val="Tab 21 Page 155"/>
      <sheetName val="Tab 21 Bal Charge p1 ( Poe)"/>
      <sheetName val="Tab 21 Balance Charge p2 (Poe)"/>
      <sheetName val="Tab 21 Bal Charge P3-P6 (Poe)"/>
      <sheetName val="Tab 21 Peak Demand Rate"/>
      <sheetName val="Tab21 Attach A"/>
      <sheetName val="Tab 21 Attach B"/>
      <sheetName val="Tab 22 Page 156"/>
      <sheetName val="Tab 22 P1 (May Lissa)"/>
      <sheetName val="Tab 22 p2 (May Lissa)"/>
      <sheetName val="Tab 22 p3 (May Lissa)"/>
      <sheetName val="Tab 22 p4-6 (May Lissa)"/>
      <sheetName val="Tab 22 Worksheet (May Lissa)"/>
      <sheetName val=" Tab  23 FPO"/>
      <sheetName val="Tab 24 SHORT TERM DEBT LIMITS"/>
      <sheetName val="Short Term Backup (Leary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 refreshError="1"/>
      <sheetData sheetId="65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Mo_Thru_Put_2"/>
      <sheetName val="Summary"/>
      <sheetName val="LI_FY11_V6(R2)_w_GrossUB"/>
      <sheetName val="LI_FY11_V6(R2)_w_NetUB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Chart 02-03"/>
      <sheetName val="LI Chart 02-03"/>
      <sheetName val="NY Chart 02-04"/>
      <sheetName val="LI Chart 02-04"/>
      <sheetName val="KEDNY Data"/>
      <sheetName val="Sheet1"/>
      <sheetName val="KEDLI Data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KEDNY July Data"/>
      <sheetName val="KEDLI July Data"/>
      <sheetName val="Chart1"/>
      <sheetName val="Chart2"/>
      <sheetName val="Comparison_5yrs(LI)"/>
      <sheetName val="Tax"/>
      <sheetName val="report"/>
      <sheetName val="#REF!#REF! 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mand"/>
      <sheetName val="NG Commodity"/>
      <sheetName val="Storage"/>
      <sheetName val="LNG"/>
      <sheetName val="PivotTable"/>
      <sheetName val="Supplier"/>
      <sheetName val="725"/>
      <sheetName val="726"/>
      <sheetName val="Nov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Contract Info DELETE"/>
      <sheetName val="CanadianMarkBasket ProGas,PMark"/>
      <sheetName val="Canadian Market Basket AEC"/>
      <sheetName val="CGM-NY Sterling KEPCO"/>
      <sheetName val="Tariff Links"/>
      <sheetName val="NY City Gate Memo"/>
      <sheetName val="LI City Gate Memo"/>
      <sheetName val="NY Contracts Data Inputs"/>
      <sheetName val="LI Contracts Data Inputs"/>
      <sheetName val="NY Demand $"/>
      <sheetName val="LI Demand $"/>
      <sheetName val="Calc NY Iroq RTS"/>
      <sheetName val="Calc NY Landfill, BNY"/>
      <sheetName val="Calc NY Transco FT"/>
      <sheetName val="Calc NY Tenn FT-A"/>
      <sheetName val="Calc NY TETCO CDS"/>
      <sheetName val="Calc LI Iroq RTS"/>
      <sheetName val="Calc LI Transco FT"/>
      <sheetName val="Calc LI Tenn FT-A"/>
      <sheetName val="Calc LI TETCO CDS"/>
      <sheetName val="Published Gas Costs"/>
      <sheetName val="Pipeline Tariff Rates_Dominion"/>
      <sheetName val="Pipeline Tariff Rates_Equitrans"/>
      <sheetName val="Pipeline Tariff Rates_Hattiesbg"/>
      <sheetName val="Pipeline Tariff Rates_Honeoye"/>
      <sheetName val="Pipeline Tariff Rates_Iroquois"/>
      <sheetName val="Pipeline Tariff Rates_Tennessee"/>
      <sheetName val="Pipeline Tariff Rates_Tetco"/>
      <sheetName val="Pipeline Tariff Rates_Texas Gas"/>
      <sheetName val="Pipeline Tariff Rates_Transco"/>
      <sheetName val="CGM-NY Dominion Restructuring"/>
      <sheetName val="Old CGM-NY Tenn, Iroquois"/>
      <sheetName val="NY Firm Gas Purchase Contracts"/>
      <sheetName val="LI Firm Gas Purchase Contracts"/>
      <sheetName val="Pipeline and Storage Capacity"/>
      <sheetName val="Lookup Tables, Misc."/>
      <sheetName val="NY Monthly Set-up"/>
      <sheetName val="SC16 Unbundling Costs"/>
      <sheetName val="RDM Unbil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2002 Actual"/>
      <sheetName val="FY2003Forecast"/>
      <sheetName val="FY2004Forecast"/>
      <sheetName val="FY2005Forecast"/>
      <sheetName val="FY2006Forecast"/>
      <sheetName val="FY2007Forecast"/>
      <sheetName val="FY2008Forecast"/>
      <sheetName val="Inflation factors"/>
      <sheetName val="T&amp;D%split"/>
      <sheetName val="T&amp;D$allocation"/>
      <sheetName val="Variables"/>
      <sheetName val="Type Code Map Table"/>
      <sheetName val="Lookup Tables, Misc."/>
      <sheetName val="PeakDay"/>
      <sheetName val="HC Summ"/>
      <sheetName val="NY Statement 1A,1B"/>
      <sheetName val="CY2002_Actual"/>
      <sheetName val="Inflation_factors"/>
      <sheetName val="Type_Code_Map_Table"/>
      <sheetName val="Lookup_Tables,_Misc_"/>
      <sheetName val="PositionID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Work Plan Summary"/>
      <sheetName val="Reliability Plan"/>
      <sheetName val="Reliability Change Tracking"/>
      <sheetName val="NE Unit Costs"/>
      <sheetName val="Spending Summary By Year"/>
      <sheetName val="Spending Summary By Legacy Co."/>
      <sheetName val="Spending Summary By State"/>
      <sheetName val="MA Rate Case"/>
      <sheetName val="Regulator S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03 vs Sep 09"/>
      <sheetName val="Increase Components"/>
      <sheetName val="Savings Proof"/>
      <sheetName val="Pending"/>
      <sheetName val="SchList"/>
      <sheetName val="Changes"/>
      <sheetName val="PF Inc &amp; Incr"/>
      <sheetName val="Known Oper Exp Adjust"/>
      <sheetName val="IFA OtherExp"/>
      <sheetName val="PF Oper Exp Adj - O&amp;M"/>
      <sheetName val="PF Oper Exp Adj - Other"/>
      <sheetName val="Labor_NECO"/>
      <sheetName val="Labor NGSC"/>
      <sheetName val="Labor KSC"/>
      <sheetName val="Health Care"/>
      <sheetName val="Group Ins"/>
      <sheetName val="Pensions"/>
      <sheetName val="FAS106"/>
      <sheetName val="Empl Thrift"/>
      <sheetName val="IS Lease"/>
      <sheetName val="FacilRent"/>
      <sheetName val="MSR"/>
      <sheetName val="CAA Adj"/>
      <sheetName val="Postage"/>
      <sheetName val="Rate Case Exp"/>
      <sheetName val="Inflation"/>
      <sheetName val="SeasonEmp"/>
      <sheetName val="Uncoll MitPlan"/>
      <sheetName val="EconDev"/>
      <sheetName val="Veg Mgmt"/>
      <sheetName val="Insp &amp; Maint"/>
      <sheetName val="Uncollectible (2)"/>
      <sheetName val="Uncollectible"/>
      <sheetName val="Muni Taxes"/>
      <sheetName val="Payroll Tax"/>
      <sheetName val="Depr Exp (2)"/>
      <sheetName val="FIT"/>
      <sheetName val="Rate Base"/>
      <sheetName val="TY RB Dist"/>
      <sheetName val="TY RB IFA"/>
      <sheetName val="TY RB Combine"/>
      <sheetName val="Test Year Rate Base Distibu (2)"/>
      <sheetName val="Plant in Service Adj (2)"/>
      <sheetName val="Plant Adj"/>
      <sheetName val="Depr Res"/>
      <sheetName val="Depr Exp"/>
      <sheetName val="RB Adjust"/>
      <sheetName val="ADIT"/>
      <sheetName val="CWC"/>
      <sheetName val="Cap Struct"/>
      <sheetName val="CPIU Monthly"/>
      <sheetName val="Balance Sheet 2009"/>
      <sheetName val="2009 Income Statement"/>
      <sheetName val="Revenue"/>
      <sheetName val="Expenses"/>
      <sheetName val="Other O&amp;M"/>
      <sheetName val="Rate Base Detail Input"/>
      <sheetName val="Inflation Data - New"/>
      <sheetName val="Detail 101 &amp; 106"/>
      <sheetName val="Balance Sheet"/>
      <sheetName val="Inflation Adjustment"/>
      <sheetName val="Inflation Data - Old"/>
      <sheetName val="Depreciation"/>
      <sheetName val="Income Statement"/>
      <sheetName val="RY S&amp;W Adj - Trans Portion"/>
      <sheetName val="Inflation Adj - Trans Salaries"/>
      <sheetName val="COSS Input"/>
      <sheetName val="COSS Plt Devel"/>
      <sheetName val="COSS Exp Dev"/>
      <sheetName val="Start"/>
      <sheetName val="Reliability Change Track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(w.AddedLoad)"/>
      <sheetName val="Input"/>
      <sheetName val="Rate1A"/>
      <sheetName val="Rate1A(AddedLoad)"/>
      <sheetName val="RateT1A"/>
      <sheetName val="RateT1A(AddedLoad)"/>
      <sheetName val="Rate1B"/>
      <sheetName val="Rate1B(AddedLoad)"/>
      <sheetName val="RateT1B"/>
      <sheetName val="RateT1B(AddedLoad)"/>
      <sheetName val="Rate2-1"/>
      <sheetName val="Rate2-1(AddedLoad)"/>
      <sheetName val="RateT2-1"/>
      <sheetName val="RateT2-1(AddedLoad)"/>
      <sheetName val="Rate2-2"/>
      <sheetName val="Rate2-2(AddedLoad)"/>
      <sheetName val="RateT2-2"/>
      <sheetName val="RateT2-2(AddedLoad)"/>
      <sheetName val="Rate3"/>
      <sheetName val="RateT3"/>
      <sheetName val="RateT3(Switching)"/>
      <sheetName val="Rate4A"/>
      <sheetName val="RateT4A"/>
      <sheetName val="Rate4B"/>
      <sheetName val="RateT4B"/>
      <sheetName val="Rate7"/>
      <sheetName val="RateT7"/>
      <sheetName val="Rate14(C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3A45-072D-4168-94C6-B6AE5F7CA0C7}">
  <dimension ref="A1:Q83"/>
  <sheetViews>
    <sheetView showGridLines="0" view="pageBreakPreview" zoomScale="80" zoomScaleNormal="90" zoomScaleSheetLayoutView="80" workbookViewId="0">
      <selection activeCell="B11" sqref="B11"/>
    </sheetView>
  </sheetViews>
  <sheetFormatPr defaultColWidth="9.1328125" defaultRowHeight="14" x14ac:dyDescent="0.45"/>
  <cols>
    <col min="1" max="1" width="12.59765625" style="1" customWidth="1"/>
    <col min="2" max="2" width="79.265625" style="1" customWidth="1"/>
    <col min="3" max="3" width="18.265625" style="1" customWidth="1"/>
    <col min="4" max="4" width="25.3984375" style="1" customWidth="1"/>
    <col min="5" max="5" width="24.86328125" style="1" customWidth="1"/>
    <col min="6" max="6" width="17.73046875" style="1" customWidth="1"/>
    <col min="7" max="7" width="17.59765625" style="1" bestFit="1" customWidth="1"/>
    <col min="8" max="8" width="10.3984375" style="1" bestFit="1" customWidth="1"/>
    <col min="9" max="9" width="16.3984375" style="1" customWidth="1"/>
    <col min="10" max="10" width="18.1328125" style="1" customWidth="1"/>
    <col min="11" max="13" width="12.1328125" style="1" customWidth="1"/>
    <col min="14" max="14" width="9.1328125" style="1"/>
    <col min="15" max="15" width="14.265625" style="1" customWidth="1"/>
    <col min="16" max="16" width="13.86328125" style="1" customWidth="1"/>
    <col min="17" max="17" width="13.3984375" style="1" customWidth="1"/>
    <col min="18" max="16384" width="9.1328125" style="1"/>
  </cols>
  <sheetData>
    <row r="1" spans="1:17" x14ac:dyDescent="0.45">
      <c r="I1" s="76" t="s">
        <v>0</v>
      </c>
    </row>
    <row r="2" spans="1:17" x14ac:dyDescent="0.45">
      <c r="I2" s="76" t="s">
        <v>1</v>
      </c>
    </row>
    <row r="3" spans="1:17" x14ac:dyDescent="0.45">
      <c r="I3" s="76" t="s">
        <v>2</v>
      </c>
    </row>
    <row r="4" spans="1:17" x14ac:dyDescent="0.45">
      <c r="I4" s="76" t="s">
        <v>247</v>
      </c>
    </row>
    <row r="5" spans="1:17" x14ac:dyDescent="0.45">
      <c r="I5" s="77" t="s">
        <v>3</v>
      </c>
    </row>
    <row r="6" spans="1:17" x14ac:dyDescent="0.45">
      <c r="I6" s="23" t="s">
        <v>4</v>
      </c>
    </row>
    <row r="7" spans="1:17" x14ac:dyDescent="0.45">
      <c r="D7" s="2" t="s">
        <v>5</v>
      </c>
      <c r="I7" s="1" t="s">
        <v>6</v>
      </c>
    </row>
    <row r="9" spans="1:17" ht="16" x14ac:dyDescent="0.75">
      <c r="A9" s="3" t="s">
        <v>7</v>
      </c>
    </row>
    <row r="10" spans="1:17" x14ac:dyDescent="0.45">
      <c r="A10" s="4">
        <v>1</v>
      </c>
      <c r="B10" s="5" t="s">
        <v>8</v>
      </c>
    </row>
    <row r="11" spans="1:17" x14ac:dyDescent="0.45">
      <c r="A11" s="4" t="str">
        <f>IF(ISBLANK(B11),"",MAX($A$9:A10)+1)</f>
        <v/>
      </c>
      <c r="E11" s="6"/>
    </row>
    <row r="12" spans="1:17" ht="16" x14ac:dyDescent="0.75">
      <c r="A12" s="4">
        <f>IF(ISBLANK(B12),"",MAX($A$9:A11)+1)</f>
        <v>2</v>
      </c>
      <c r="B12" s="7" t="s">
        <v>9</v>
      </c>
      <c r="C12" s="3" t="s">
        <v>10</v>
      </c>
    </row>
    <row r="13" spans="1:17" x14ac:dyDescent="0.45">
      <c r="A13" s="4">
        <f>IF(ISBLANK(B13),"",MAX($A$9:A12)+1)</f>
        <v>3</v>
      </c>
      <c r="B13" s="8" t="s">
        <v>11</v>
      </c>
      <c r="C13" s="11">
        <v>5.4640000000000001E-2</v>
      </c>
      <c r="E13" s="10"/>
      <c r="F13" s="101"/>
    </row>
    <row r="14" spans="1:17" x14ac:dyDescent="0.45">
      <c r="A14" s="4" t="str">
        <f>IF(ISBLANK(B14),"",MAX($A$9:A13)+1)</f>
        <v/>
      </c>
      <c r="E14" s="12"/>
      <c r="Q14" s="25"/>
    </row>
    <row r="15" spans="1:17" ht="66.75" customHeight="1" x14ac:dyDescent="0.45">
      <c r="A15" s="4">
        <f>IF(ISBLANK(B15),"",MAX($A$9:A14)+1)</f>
        <v>4</v>
      </c>
      <c r="B15" s="13" t="s">
        <v>12</v>
      </c>
      <c r="C15" s="14" t="s">
        <v>13</v>
      </c>
      <c r="D15" s="15" t="s">
        <v>14</v>
      </c>
      <c r="E15" s="15" t="s">
        <v>15</v>
      </c>
      <c r="F15" s="15" t="s">
        <v>16</v>
      </c>
      <c r="G15" s="15" t="s">
        <v>17</v>
      </c>
      <c r="H15" s="15" t="s">
        <v>18</v>
      </c>
      <c r="I15" s="15" t="s">
        <v>19</v>
      </c>
    </row>
    <row r="16" spans="1:17" x14ac:dyDescent="0.45">
      <c r="A16" s="4">
        <f>IF(ISBLANK(B16),"",MAX($A$9:A15)+1)</f>
        <v>5</v>
      </c>
      <c r="B16" s="16" t="s">
        <v>20</v>
      </c>
      <c r="C16" s="17">
        <v>610.63540923487062</v>
      </c>
      <c r="D16" s="19">
        <v>132</v>
      </c>
      <c r="E16" s="18">
        <f>D16-$E$29</f>
        <v>114</v>
      </c>
      <c r="F16" s="102">
        <v>2.6071487455282236</v>
      </c>
      <c r="G16" s="19">
        <f>E16*$E$30</f>
        <v>3340.2000000000003</v>
      </c>
      <c r="H16" s="19">
        <f>G16/F16</f>
        <v>1281.1697091426429</v>
      </c>
      <c r="I16" s="18">
        <f t="shared" ref="I16:I27" si="0">C16+H16</f>
        <v>1891.8051183775135</v>
      </c>
      <c r="P16" s="20"/>
      <c r="Q16" s="20"/>
    </row>
    <row r="17" spans="1:17" x14ac:dyDescent="0.45">
      <c r="A17" s="4">
        <f>IF(ISBLANK(B17),"",MAX($A$9:A16)+1)</f>
        <v>6</v>
      </c>
      <c r="B17" s="16" t="s">
        <v>21</v>
      </c>
      <c r="C17" s="17">
        <v>530.69347714609728</v>
      </c>
      <c r="D17" s="19">
        <v>149</v>
      </c>
      <c r="E17" s="18">
        <f>D17-$E$29</f>
        <v>131</v>
      </c>
      <c r="F17" s="102">
        <v>2.6612301587440492</v>
      </c>
      <c r="G17" s="19">
        <f>E17*$E$30</f>
        <v>3838.3</v>
      </c>
      <c r="H17" s="19">
        <f t="shared" ref="H17:H19" si="1">G17/F17</f>
        <v>1442.3029091972494</v>
      </c>
      <c r="I17" s="18">
        <f t="shared" si="0"/>
        <v>1972.9963863433468</v>
      </c>
      <c r="P17" s="20"/>
      <c r="Q17" s="20"/>
    </row>
    <row r="18" spans="1:17" x14ac:dyDescent="0.45">
      <c r="A18" s="4">
        <f>IF(ISBLANK(B18),"",MAX($A$9:A17)+1)</f>
        <v>7</v>
      </c>
      <c r="B18" s="16" t="s">
        <v>22</v>
      </c>
      <c r="C18" s="17">
        <v>530.1180955141532</v>
      </c>
      <c r="D18" s="19">
        <v>133</v>
      </c>
      <c r="E18" s="18">
        <f>D18-$E$29</f>
        <v>115</v>
      </c>
      <c r="F18" s="102">
        <v>2.8506093189973125</v>
      </c>
      <c r="G18" s="19">
        <f>E18*$E$30</f>
        <v>3369.5</v>
      </c>
      <c r="H18" s="19">
        <f t="shared" si="1"/>
        <v>1182.0279887337226</v>
      </c>
      <c r="I18" s="18">
        <f t="shared" si="0"/>
        <v>1712.1460842478759</v>
      </c>
      <c r="P18" s="20"/>
      <c r="Q18" s="20"/>
    </row>
    <row r="19" spans="1:17" x14ac:dyDescent="0.45">
      <c r="A19" s="4">
        <f>IF(ISBLANK(B19),"",MAX($A$9:A18)+1)</f>
        <v>8</v>
      </c>
      <c r="B19" s="16" t="s">
        <v>23</v>
      </c>
      <c r="C19" s="17">
        <v>454.90082336761122</v>
      </c>
      <c r="D19" s="19">
        <v>90</v>
      </c>
      <c r="E19" s="18">
        <f>D19-$E$29</f>
        <v>72</v>
      </c>
      <c r="F19" s="102">
        <v>3.119185185172225</v>
      </c>
      <c r="G19" s="19">
        <f>E19*$E$30</f>
        <v>2109.6</v>
      </c>
      <c r="H19" s="19">
        <f t="shared" si="1"/>
        <v>676.33047567309438</v>
      </c>
      <c r="I19" s="18">
        <f t="shared" si="0"/>
        <v>1131.2312990407056</v>
      </c>
      <c r="P19" s="20"/>
      <c r="Q19" s="20"/>
    </row>
    <row r="20" spans="1:17" x14ac:dyDescent="0.45">
      <c r="A20" s="4">
        <f>IF(ISBLANK(B20),"",MAX($A$9:A19)+1)</f>
        <v>9</v>
      </c>
      <c r="B20" s="16" t="s">
        <v>24</v>
      </c>
      <c r="C20" s="17">
        <v>484.52770209028228</v>
      </c>
      <c r="D20" s="19">
        <v>46</v>
      </c>
      <c r="E20" s="18"/>
      <c r="F20" s="102"/>
      <c r="G20" s="19"/>
      <c r="H20" s="19"/>
      <c r="I20" s="18">
        <f t="shared" si="0"/>
        <v>484.52770209028228</v>
      </c>
      <c r="P20" s="20"/>
      <c r="Q20" s="20"/>
    </row>
    <row r="21" spans="1:17" x14ac:dyDescent="0.45">
      <c r="A21" s="4">
        <f>IF(ISBLANK(B21),"",MAX($A$9:A20)+1)</f>
        <v>10</v>
      </c>
      <c r="B21" s="16" t="s">
        <v>25</v>
      </c>
      <c r="C21" s="17">
        <v>586.91619412867135</v>
      </c>
      <c r="D21" s="19">
        <v>23</v>
      </c>
      <c r="E21" s="18"/>
      <c r="F21" s="102"/>
      <c r="G21" s="19"/>
      <c r="H21" s="19"/>
      <c r="I21" s="18">
        <f t="shared" si="0"/>
        <v>586.91619412867135</v>
      </c>
      <c r="P21" s="20"/>
      <c r="Q21" s="20"/>
    </row>
    <row r="22" spans="1:17" x14ac:dyDescent="0.45">
      <c r="A22" s="4">
        <f>IF(ISBLANK(B22),"",MAX($A$9:A21)+1)</f>
        <v>11</v>
      </c>
      <c r="B22" s="16" t="s">
        <v>26</v>
      </c>
      <c r="C22" s="17">
        <v>770.4636315739715</v>
      </c>
      <c r="D22" s="19">
        <v>18</v>
      </c>
      <c r="E22" s="18"/>
      <c r="F22" s="102"/>
      <c r="G22" s="19"/>
      <c r="H22" s="19"/>
      <c r="I22" s="18">
        <f t="shared" si="0"/>
        <v>770.4636315739715</v>
      </c>
      <c r="P22" s="20"/>
      <c r="Q22" s="20"/>
    </row>
    <row r="23" spans="1:17" x14ac:dyDescent="0.45">
      <c r="A23" s="4">
        <f>IF(ISBLANK(B23),"",MAX($A$9:A22)+1)</f>
        <v>12</v>
      </c>
      <c r="B23" s="16" t="s">
        <v>27</v>
      </c>
      <c r="C23" s="17">
        <v>762.80176543434391</v>
      </c>
      <c r="D23" s="19">
        <v>15</v>
      </c>
      <c r="E23" s="18"/>
      <c r="F23" s="102"/>
      <c r="G23" s="19"/>
      <c r="H23" s="19"/>
      <c r="I23" s="18">
        <f t="shared" si="0"/>
        <v>762.80176543434391</v>
      </c>
      <c r="P23" s="20"/>
      <c r="Q23" s="20"/>
    </row>
    <row r="24" spans="1:17" x14ac:dyDescent="0.45">
      <c r="A24" s="4">
        <f>IF(ISBLANK(B24),"",MAX($A$9:A23)+1)</f>
        <v>13</v>
      </c>
      <c r="B24" s="16" t="s">
        <v>28</v>
      </c>
      <c r="C24" s="17">
        <v>536.15882292668857</v>
      </c>
      <c r="D24" s="19">
        <v>16</v>
      </c>
      <c r="E24" s="18"/>
      <c r="F24" s="102"/>
      <c r="G24" s="19"/>
      <c r="H24" s="19"/>
      <c r="I24" s="18">
        <f t="shared" si="0"/>
        <v>536.15882292668857</v>
      </c>
      <c r="P24" s="20"/>
      <c r="Q24" s="20"/>
    </row>
    <row r="25" spans="1:17" x14ac:dyDescent="0.45">
      <c r="A25" s="4">
        <f>IF(ISBLANK(B25),"",MAX($A$9:A24)+1)</f>
        <v>14</v>
      </c>
      <c r="B25" s="16" t="s">
        <v>29</v>
      </c>
      <c r="C25" s="17">
        <v>457.55933222335221</v>
      </c>
      <c r="D25" s="19">
        <v>20</v>
      </c>
      <c r="E25" s="18"/>
      <c r="F25" s="102"/>
      <c r="G25" s="19"/>
      <c r="H25" s="19"/>
      <c r="I25" s="18">
        <f t="shared" si="0"/>
        <v>457.55933222335221</v>
      </c>
      <c r="P25" s="20"/>
      <c r="Q25" s="20"/>
    </row>
    <row r="26" spans="1:17" x14ac:dyDescent="0.45">
      <c r="A26" s="4">
        <f>IF(ISBLANK(B26),"",MAX($A$9:A25)+1)</f>
        <v>15</v>
      </c>
      <c r="B26" s="16" t="s">
        <v>30</v>
      </c>
      <c r="C26" s="17">
        <v>494.26229777958986</v>
      </c>
      <c r="D26" s="19">
        <v>47</v>
      </c>
      <c r="E26" s="18">
        <f>D26-$E$29</f>
        <v>29</v>
      </c>
      <c r="F26" s="102">
        <v>2.9989999999916717</v>
      </c>
      <c r="G26" s="19">
        <f>E26*$E$30</f>
        <v>849.7</v>
      </c>
      <c r="H26" s="19">
        <f t="shared" ref="H26:H27" si="2">G26/F26</f>
        <v>283.32777592609528</v>
      </c>
      <c r="I26" s="18">
        <f t="shared" si="0"/>
        <v>777.5900737056852</v>
      </c>
      <c r="P26" s="20"/>
      <c r="Q26" s="20"/>
    </row>
    <row r="27" spans="1:17" x14ac:dyDescent="0.45">
      <c r="A27" s="4">
        <f>IF(ISBLANK(B27),"",MAX($A$9:A26)+1)</f>
        <v>16</v>
      </c>
      <c r="B27" s="16" t="s">
        <v>31</v>
      </c>
      <c r="C27" s="21">
        <v>641.4787355928089</v>
      </c>
      <c r="D27" s="98">
        <v>93</v>
      </c>
      <c r="E27" s="22">
        <f>D27-$E$29</f>
        <v>75</v>
      </c>
      <c r="F27" s="103">
        <v>2.7641308243790292</v>
      </c>
      <c r="G27" s="98">
        <f>E27*$E$30</f>
        <v>2197.5</v>
      </c>
      <c r="H27" s="98">
        <f t="shared" si="2"/>
        <v>795.00578649119302</v>
      </c>
      <c r="I27" s="22">
        <f t="shared" si="0"/>
        <v>1436.484522084002</v>
      </c>
      <c r="P27" s="20"/>
      <c r="Q27" s="20"/>
    </row>
    <row r="28" spans="1:17" x14ac:dyDescent="0.45">
      <c r="A28" s="4">
        <f>IF(ISBLANK(C28),"",MAX($A$9:A27)+1)</f>
        <v>17</v>
      </c>
      <c r="C28" s="18">
        <f>SUM(C16:C27)</f>
        <v>6860.5162870124414</v>
      </c>
      <c r="G28" s="18"/>
      <c r="H28" s="18">
        <f>SUM(H16:H27)</f>
        <v>5660.1646451639981</v>
      </c>
      <c r="I28" s="18">
        <f>SUM(I16:I27)</f>
        <v>12520.680932176439</v>
      </c>
      <c r="J28" s="90"/>
    </row>
    <row r="29" spans="1:17" x14ac:dyDescent="0.45">
      <c r="A29" s="4">
        <f>IF(ISBLANK(E29),"",MAX($A$9:A28)+1)</f>
        <v>18</v>
      </c>
      <c r="D29" s="23" t="s">
        <v>32</v>
      </c>
      <c r="E29" s="18">
        <f>AVERAGE(D21:D24)</f>
        <v>18</v>
      </c>
      <c r="F29" s="20"/>
      <c r="J29" s="91"/>
      <c r="K29" s="108"/>
      <c r="P29" s="20"/>
      <c r="Q29" s="20"/>
    </row>
    <row r="30" spans="1:17" x14ac:dyDescent="0.45">
      <c r="A30" s="4">
        <f>IF(ISBLANK(B30),"",MAX($A$9:A29)+1)</f>
        <v>19</v>
      </c>
      <c r="B30" s="7" t="s">
        <v>33</v>
      </c>
      <c r="D30" s="23" t="s">
        <v>34</v>
      </c>
      <c r="E30" s="18">
        <v>29.3</v>
      </c>
    </row>
    <row r="31" spans="1:17" x14ac:dyDescent="0.45">
      <c r="A31" s="4">
        <f>IF(ISBLANK(#REF!),"",MAX($A$9:A30)+1)</f>
        <v>20</v>
      </c>
    </row>
    <row r="32" spans="1:17" x14ac:dyDescent="0.45">
      <c r="A32" s="4">
        <f>IF(ISBLANK(B33),"",MAX($A$9:A31)+1)</f>
        <v>21</v>
      </c>
      <c r="B32" s="24" t="s">
        <v>35</v>
      </c>
      <c r="C32" s="19">
        <f>SUM(I20:I25)/SUM(C20:C25)</f>
        <v>1</v>
      </c>
    </row>
    <row r="33" spans="1:9" x14ac:dyDescent="0.45">
      <c r="A33" s="4">
        <f>IF(ISBLANK(B32),"",MAX($A$9:A32)+1)</f>
        <v>22</v>
      </c>
      <c r="B33" s="24" t="s">
        <v>36</v>
      </c>
      <c r="C33" s="19">
        <f>SUM(I16:I19,I26:I27)/SUM(C16:C19,C26:C27)</f>
        <v>2.7351350392812201</v>
      </c>
    </row>
    <row r="34" spans="1:9" x14ac:dyDescent="0.45">
      <c r="A34" s="4"/>
      <c r="B34" s="109"/>
      <c r="C34" s="110"/>
      <c r="D34" s="111"/>
    </row>
    <row r="35" spans="1:9" x14ac:dyDescent="0.45">
      <c r="A35" s="4"/>
      <c r="B35" s="109"/>
      <c r="C35" s="126" t="s">
        <v>239</v>
      </c>
      <c r="I35" s="126" t="s">
        <v>240</v>
      </c>
    </row>
    <row r="36" spans="1:9" ht="70" x14ac:dyDescent="0.45">
      <c r="A36" s="4" t="str">
        <f>IF(ISBLANK(B36),"",MAX($A$9:A33)+1)</f>
        <v/>
      </c>
      <c r="C36" s="121" t="s">
        <v>236</v>
      </c>
      <c r="I36" s="121" t="s">
        <v>237</v>
      </c>
    </row>
    <row r="37" spans="1:9" x14ac:dyDescent="0.45">
      <c r="A37" s="4"/>
    </row>
    <row r="38" spans="1:9" x14ac:dyDescent="0.45">
      <c r="A38" s="4">
        <f>IF(ISBLANK(B38),"",MAX($A$9:A35)+1)</f>
        <v>23</v>
      </c>
      <c r="B38" s="1" t="s">
        <v>37</v>
      </c>
      <c r="C38" s="90">
        <f>SUM('Exhibit 1, Page 2'!C43:D44)</f>
        <v>1355657791</v>
      </c>
    </row>
    <row r="39" spans="1:9" x14ac:dyDescent="0.45">
      <c r="A39" s="4">
        <f>IF(ISBLANK(B39),"",MAX($A$9:A38)+1)</f>
        <v>24</v>
      </c>
      <c r="B39" s="1" t="s">
        <v>38</v>
      </c>
      <c r="C39" s="90">
        <f>SUM('Exhibit 1, Page 2'!C45:D50)</f>
        <v>4011473697</v>
      </c>
      <c r="E39" s="1" t="s">
        <v>233</v>
      </c>
      <c r="I39" s="91">
        <f>C39</f>
        <v>4011473697</v>
      </c>
    </row>
    <row r="40" spans="1:9" x14ac:dyDescent="0.45">
      <c r="A40" s="4">
        <f>IF(ISBLANK(B40),"",MAX($A$9:A39)+1)</f>
        <v>25</v>
      </c>
      <c r="B40" s="1" t="s">
        <v>39</v>
      </c>
      <c r="C40" s="96">
        <f>SUM('Exhibit 1, Page 2'!C51:D54)</f>
        <v>3088811862</v>
      </c>
      <c r="E40" s="1" t="s">
        <v>234</v>
      </c>
      <c r="F40" s="118"/>
      <c r="G40" s="118"/>
      <c r="I40" s="91">
        <f>C40+C38</f>
        <v>4444469653</v>
      </c>
    </row>
    <row r="41" spans="1:9" x14ac:dyDescent="0.45">
      <c r="A41" s="4">
        <f>IF(ISBLANK(B41),"",MAX($A$9:A40)+1)</f>
        <v>26</v>
      </c>
      <c r="B41" s="94" t="s">
        <v>40</v>
      </c>
      <c r="C41" s="93">
        <f>SUM(C38:C40)</f>
        <v>8455943350</v>
      </c>
      <c r="E41" s="94" t="s">
        <v>40</v>
      </c>
      <c r="F41" s="122"/>
      <c r="G41" s="94"/>
      <c r="H41" s="94"/>
      <c r="I41" s="92">
        <f>SUM(I39:I40)</f>
        <v>8455943350</v>
      </c>
    </row>
    <row r="42" spans="1:9" x14ac:dyDescent="0.45">
      <c r="A42" s="4">
        <f>IF(ISBLANK(B42),"",MAX($A$9:A41)+1)</f>
        <v>27</v>
      </c>
      <c r="B42" s="1" t="s">
        <v>230</v>
      </c>
      <c r="C42" s="117">
        <f>C38*C33</f>
        <v>3707907125.4386773</v>
      </c>
      <c r="I42" s="9"/>
    </row>
    <row r="43" spans="1:9" x14ac:dyDescent="0.45">
      <c r="A43" s="4">
        <f>IF(ISBLANK(B43),"",MAX($A$9:A42)+1)</f>
        <v>28</v>
      </c>
      <c r="B43" s="1" t="s">
        <v>41</v>
      </c>
      <c r="C43" s="96">
        <f>C32*C39</f>
        <v>4011473697</v>
      </c>
      <c r="E43" s="1" t="s">
        <v>41</v>
      </c>
      <c r="I43" s="91">
        <f>I39*C32</f>
        <v>4011473697</v>
      </c>
    </row>
    <row r="44" spans="1:9" x14ac:dyDescent="0.45">
      <c r="A44" s="4">
        <f>IF(ISBLANK(B44),"",MAX($A$9:A43)+1)</f>
        <v>29</v>
      </c>
      <c r="B44" s="1" t="s">
        <v>231</v>
      </c>
      <c r="C44" s="96">
        <f>C33*C40</f>
        <v>8448317553.5036688</v>
      </c>
      <c r="E44" s="1" t="s">
        <v>235</v>
      </c>
      <c r="I44" s="91">
        <f>I40*C33</f>
        <v>12156224678.942347</v>
      </c>
    </row>
    <row r="45" spans="1:9" x14ac:dyDescent="0.45">
      <c r="A45" s="4">
        <f>IF(ISBLANK(B45),"",MAX($A$9:A44)+1)</f>
        <v>30</v>
      </c>
      <c r="B45" s="94" t="s">
        <v>42</v>
      </c>
      <c r="C45" s="92">
        <f>SUM(C42:C44)</f>
        <v>16167698375.942345</v>
      </c>
      <c r="E45" s="94" t="s">
        <v>42</v>
      </c>
      <c r="F45" s="123"/>
      <c r="G45" s="124"/>
      <c r="H45" s="124"/>
      <c r="I45" s="92">
        <f>SUM(I43:I44)</f>
        <v>16167698375.942347</v>
      </c>
    </row>
    <row r="46" spans="1:9" x14ac:dyDescent="0.45">
      <c r="A46" s="4" t="str">
        <f>IF(ISBLANK(B46),"",MAX($A$9:A45)+1)</f>
        <v/>
      </c>
      <c r="C46" s="91"/>
      <c r="I46" s="9"/>
    </row>
    <row r="47" spans="1:9" x14ac:dyDescent="0.45">
      <c r="A47" s="4">
        <f>IF(ISBLANK(B47),"",MAX($A$9:A46)+1)</f>
        <v>31</v>
      </c>
      <c r="B47" s="1" t="s">
        <v>44</v>
      </c>
      <c r="C47" s="105">
        <f>+C42*C55</f>
        <v>202600045.33396932</v>
      </c>
      <c r="F47" s="91"/>
      <c r="I47" s="104"/>
    </row>
    <row r="48" spans="1:9" x14ac:dyDescent="0.45">
      <c r="A48" s="4">
        <f>IF(ISBLANK(B48),"",MAX($A$9:A47)+1)</f>
        <v>32</v>
      </c>
      <c r="B48" s="1" t="s">
        <v>43</v>
      </c>
      <c r="C48" s="105">
        <f>C43*C55</f>
        <v>219186922.80408001</v>
      </c>
      <c r="E48" s="1" t="s">
        <v>43</v>
      </c>
      <c r="F48" s="91"/>
      <c r="I48" s="105">
        <f>I43*I55</f>
        <v>219186922.80408001</v>
      </c>
    </row>
    <row r="49" spans="1:12" x14ac:dyDescent="0.45">
      <c r="A49" s="4">
        <f>IF(ISBLANK(B49),"",MAX($A$9:A48)+1)</f>
        <v>33</v>
      </c>
      <c r="B49" s="1" t="s">
        <v>45</v>
      </c>
      <c r="C49" s="105">
        <f>+C50-C48-C47</f>
        <v>40262029.824674755</v>
      </c>
      <c r="E49" s="1" t="s">
        <v>238</v>
      </c>
      <c r="I49" s="105">
        <f>I44*I56</f>
        <v>242862075.15864411</v>
      </c>
    </row>
    <row r="50" spans="1:12" x14ac:dyDescent="0.45">
      <c r="A50" s="4">
        <f>IF(ISBLANK(B50),"",MAX($A$9:A49)+1)</f>
        <v>34</v>
      </c>
      <c r="B50" s="94" t="s">
        <v>46</v>
      </c>
      <c r="C50" s="106">
        <f>+C51</f>
        <v>462048997.96272409</v>
      </c>
      <c r="E50" s="94" t="s">
        <v>46</v>
      </c>
      <c r="F50" s="94"/>
      <c r="G50" s="125"/>
      <c r="H50" s="94"/>
      <c r="I50" s="125">
        <f>SUM(I48:I49)</f>
        <v>462048997.96272409</v>
      </c>
    </row>
    <row r="51" spans="1:12" x14ac:dyDescent="0.45">
      <c r="A51" s="4">
        <f>IF(ISBLANK(B51),"",MAX($A$9:A50)+1)</f>
        <v>35</v>
      </c>
      <c r="B51" s="1" t="s">
        <v>47</v>
      </c>
      <c r="C51" s="105">
        <v>462048997.96272409</v>
      </c>
      <c r="E51" s="1" t="s">
        <v>47</v>
      </c>
      <c r="F51" s="91"/>
      <c r="I51" s="115">
        <f>C51</f>
        <v>462048997.96272409</v>
      </c>
    </row>
    <row r="52" spans="1:12" x14ac:dyDescent="0.45">
      <c r="A52" s="4"/>
      <c r="C52" s="97"/>
      <c r="E52" s="118"/>
    </row>
    <row r="53" spans="1:12" x14ac:dyDescent="0.45">
      <c r="A53" s="4">
        <f>IF(ISBLANK(B53),"",MAX($A$9:A52)+1)</f>
        <v>36</v>
      </c>
      <c r="B53" s="7" t="s">
        <v>48</v>
      </c>
      <c r="E53" s="7" t="s">
        <v>48</v>
      </c>
    </row>
    <row r="54" spans="1:12" x14ac:dyDescent="0.45">
      <c r="A54" s="4">
        <f>IF(ISBLANK(B54),"",MAX($A$9:A53)+1)</f>
        <v>37</v>
      </c>
      <c r="B54" s="7" t="s">
        <v>49</v>
      </c>
      <c r="E54" s="7" t="s">
        <v>232</v>
      </c>
      <c r="F54" s="114"/>
    </row>
    <row r="55" spans="1:12" x14ac:dyDescent="0.45">
      <c r="A55" s="4">
        <f>IF(ISBLANK(B55),"",MAX($A$9:A54)+1)</f>
        <v>38</v>
      </c>
      <c r="B55" s="8" t="s">
        <v>51</v>
      </c>
      <c r="C55" s="114">
        <f>C13</f>
        <v>5.4640000000000001E-2</v>
      </c>
      <c r="D55" s="11"/>
      <c r="E55" s="8" t="s">
        <v>51</v>
      </c>
      <c r="I55" s="114">
        <f>C55</f>
        <v>5.4640000000000001E-2</v>
      </c>
      <c r="J55" s="18"/>
      <c r="K55" s="104"/>
    </row>
    <row r="56" spans="1:12" ht="16" x14ac:dyDescent="0.75">
      <c r="A56" s="4">
        <f>IF(ISBLANK(B56),"",MAX($A$9:A55)+1)</f>
        <v>39</v>
      </c>
      <c r="B56" s="8" t="s">
        <v>52</v>
      </c>
      <c r="C56" s="114">
        <f>+C49/C44</f>
        <v>4.765686134510577E-3</v>
      </c>
      <c r="D56" s="11"/>
      <c r="E56" s="8" t="s">
        <v>52</v>
      </c>
      <c r="F56" s="114"/>
      <c r="G56" s="104"/>
      <c r="I56" s="114">
        <f>(I51-I48)/I44</f>
        <v>1.9978412835634948E-2</v>
      </c>
      <c r="J56" s="113"/>
      <c r="K56" s="112"/>
    </row>
    <row r="57" spans="1:12" ht="16" x14ac:dyDescent="0.75">
      <c r="A57" s="4" t="str">
        <f>IF(ISBLANK(B57),"",MAX($A$9:A56)+1)</f>
        <v/>
      </c>
      <c r="B57" s="8"/>
      <c r="C57" s="114"/>
      <c r="D57" s="11"/>
      <c r="E57" s="116"/>
      <c r="F57" s="113"/>
      <c r="G57" s="112"/>
      <c r="I57" s="116"/>
      <c r="J57" s="113"/>
      <c r="K57" s="112"/>
    </row>
    <row r="58" spans="1:12" x14ac:dyDescent="0.45">
      <c r="A58" s="4" t="str">
        <f>IF(ISBLANK(B58),"",MAX($A$9:A57)+1)</f>
        <v/>
      </c>
      <c r="C58" s="97"/>
      <c r="D58" s="97"/>
      <c r="E58" s="97"/>
      <c r="F58" s="18"/>
      <c r="G58" s="104"/>
      <c r="I58" s="18"/>
      <c r="J58" s="18"/>
      <c r="K58" s="104"/>
      <c r="L58" s="9"/>
    </row>
    <row r="59" spans="1:12" x14ac:dyDescent="0.45">
      <c r="B59" s="1" t="s">
        <v>53</v>
      </c>
      <c r="C59" s="107"/>
      <c r="E59" s="26"/>
      <c r="F59" s="26"/>
    </row>
    <row r="60" spans="1:12" x14ac:dyDescent="0.45">
      <c r="B60" s="1" t="s">
        <v>54</v>
      </c>
      <c r="C60" s="27"/>
      <c r="E60" s="9"/>
      <c r="F60" s="28"/>
    </row>
    <row r="61" spans="1:12" x14ac:dyDescent="0.45">
      <c r="B61" s="1" t="s">
        <v>55</v>
      </c>
      <c r="C61" s="27"/>
      <c r="E61" s="9"/>
      <c r="F61" s="28"/>
    </row>
    <row r="62" spans="1:12" x14ac:dyDescent="0.45">
      <c r="B62" s="1" t="s">
        <v>56</v>
      </c>
      <c r="C62" s="27"/>
      <c r="E62" s="9"/>
      <c r="F62" s="28"/>
    </row>
    <row r="63" spans="1:12" x14ac:dyDescent="0.45">
      <c r="B63" s="1" t="s">
        <v>57</v>
      </c>
      <c r="E63" s="9"/>
      <c r="F63" s="28"/>
    </row>
    <row r="64" spans="1:12" x14ac:dyDescent="0.45">
      <c r="B64" s="1" t="s">
        <v>58</v>
      </c>
      <c r="C64" s="29"/>
      <c r="E64" s="9"/>
      <c r="F64" s="28"/>
    </row>
    <row r="65" spans="2:6" x14ac:dyDescent="0.45">
      <c r="B65" s="1" t="s">
        <v>59</v>
      </c>
      <c r="E65" s="9"/>
      <c r="F65" s="28"/>
    </row>
    <row r="66" spans="2:6" x14ac:dyDescent="0.45">
      <c r="B66" s="24" t="s">
        <v>60</v>
      </c>
      <c r="E66" s="9"/>
      <c r="F66" s="28"/>
    </row>
    <row r="67" spans="2:6" x14ac:dyDescent="0.45">
      <c r="B67" s="1" t="s">
        <v>61</v>
      </c>
      <c r="E67" s="9"/>
      <c r="F67" s="28"/>
    </row>
    <row r="68" spans="2:6" x14ac:dyDescent="0.45">
      <c r="B68" s="24" t="s">
        <v>62</v>
      </c>
      <c r="E68" s="9"/>
      <c r="F68" s="28"/>
    </row>
    <row r="69" spans="2:6" x14ac:dyDescent="0.45">
      <c r="B69" s="1" t="s">
        <v>63</v>
      </c>
    </row>
    <row r="70" spans="2:6" x14ac:dyDescent="0.45">
      <c r="B70" s="1" t="s">
        <v>64</v>
      </c>
    </row>
    <row r="71" spans="2:6" x14ac:dyDescent="0.45">
      <c r="B71" s="1" t="s">
        <v>221</v>
      </c>
    </row>
    <row r="72" spans="2:6" x14ac:dyDescent="0.45">
      <c r="B72" s="1" t="s">
        <v>222</v>
      </c>
    </row>
    <row r="73" spans="2:6" x14ac:dyDescent="0.45">
      <c r="B73" s="1" t="s">
        <v>223</v>
      </c>
    </row>
    <row r="74" spans="2:6" x14ac:dyDescent="0.45">
      <c r="B74" s="1" t="s">
        <v>224</v>
      </c>
    </row>
    <row r="75" spans="2:6" x14ac:dyDescent="0.45">
      <c r="B75" s="1" t="s">
        <v>241</v>
      </c>
    </row>
    <row r="76" spans="2:6" x14ac:dyDescent="0.45">
      <c r="B76" s="1" t="s">
        <v>225</v>
      </c>
    </row>
    <row r="77" spans="2:6" x14ac:dyDescent="0.45">
      <c r="B77" s="1" t="s">
        <v>227</v>
      </c>
    </row>
    <row r="78" spans="2:6" x14ac:dyDescent="0.45">
      <c r="B78" s="1" t="s">
        <v>228</v>
      </c>
    </row>
    <row r="79" spans="2:6" x14ac:dyDescent="0.45">
      <c r="B79" s="1" t="s">
        <v>242</v>
      </c>
    </row>
    <row r="80" spans="2:6" x14ac:dyDescent="0.45">
      <c r="B80" s="1" t="s">
        <v>243</v>
      </c>
    </row>
    <row r="81" spans="2:2" x14ac:dyDescent="0.45">
      <c r="B81" s="1" t="s">
        <v>226</v>
      </c>
    </row>
    <row r="82" spans="2:2" x14ac:dyDescent="0.45">
      <c r="B82" s="1" t="s">
        <v>229</v>
      </c>
    </row>
    <row r="83" spans="2:2" x14ac:dyDescent="0.45">
      <c r="B83" s="1" t="s">
        <v>244</v>
      </c>
    </row>
  </sheetData>
  <pageMargins left="0.7" right="0.7" top="0.75" bottom="0.75" header="0.3" footer="0.3"/>
  <pageSetup scale="45" orientation="portrait" horizontalDpi="1200" verticalDpi="1200" r:id="rId1"/>
  <headerFooter scaleWithDoc="0"/>
  <colBreaks count="1" manualBreakCount="1">
    <brk id="9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58FA-0D9B-41D1-B438-A87AB568F8EF}">
  <dimension ref="A1:M57"/>
  <sheetViews>
    <sheetView showGridLines="0" view="pageBreakPreview" zoomScale="60" zoomScaleNormal="100" workbookViewId="0">
      <selection activeCell="M1" sqref="M1:M4"/>
    </sheetView>
  </sheetViews>
  <sheetFormatPr defaultColWidth="11.86328125" defaultRowHeight="12.7" x14ac:dyDescent="0.4"/>
  <cols>
    <col min="1" max="2" width="11.86328125" style="81"/>
    <col min="3" max="3" width="14.1328125" style="81" customWidth="1"/>
    <col min="4" max="4" width="13.73046875" style="81" bestFit="1" customWidth="1"/>
    <col min="5" max="7" width="14.86328125" style="81" bestFit="1" customWidth="1"/>
    <col min="8" max="8" width="13.265625" style="81" bestFit="1" customWidth="1"/>
    <col min="9" max="9" width="16.265625" style="81" bestFit="1" customWidth="1"/>
    <col min="10" max="10" width="14.73046875" style="81" bestFit="1" customWidth="1"/>
    <col min="11" max="11" width="5.1328125" style="81" bestFit="1" customWidth="1"/>
    <col min="12" max="16384" width="11.86328125" style="81"/>
  </cols>
  <sheetData>
    <row r="1" spans="1:13" s="1" customFormat="1" ht="14" x14ac:dyDescent="0.45">
      <c r="M1" s="76" t="str">
        <f>'Exhibit 1, Page 1'!I1</f>
        <v>Massachusetts Electric Company</v>
      </c>
    </row>
    <row r="2" spans="1:13" s="1" customFormat="1" ht="14" x14ac:dyDescent="0.45">
      <c r="M2" s="76" t="str">
        <f>'Exhibit 1, Page 1'!I2</f>
        <v>Nantucket Electric Company</v>
      </c>
    </row>
    <row r="3" spans="1:13" s="1" customFormat="1" ht="14" x14ac:dyDescent="0.45">
      <c r="M3" s="76" t="str">
        <f>'Exhibit 1, Page 1'!I3</f>
        <v>d/b/a National Grid</v>
      </c>
    </row>
    <row r="4" spans="1:13" s="1" customFormat="1" ht="14" x14ac:dyDescent="0.45">
      <c r="M4" s="76" t="str">
        <f>'Exhibit 1, Page 1'!I4</f>
        <v>D.P.U 26-71</v>
      </c>
    </row>
    <row r="5" spans="1:13" s="1" customFormat="1" ht="14" x14ac:dyDescent="0.45">
      <c r="M5" s="77" t="s">
        <v>3</v>
      </c>
    </row>
    <row r="6" spans="1:13" s="1" customFormat="1" ht="14" x14ac:dyDescent="0.45">
      <c r="M6" s="23" t="s">
        <v>65</v>
      </c>
    </row>
    <row r="7" spans="1:13" s="1" customFormat="1" ht="14" x14ac:dyDescent="0.45">
      <c r="D7" s="2" t="s">
        <v>5</v>
      </c>
      <c r="M7" s="1" t="s">
        <v>6</v>
      </c>
    </row>
    <row r="8" spans="1:13" x14ac:dyDescent="0.4">
      <c r="A8" s="81" t="s">
        <v>66</v>
      </c>
    </row>
    <row r="11" spans="1:13" x14ac:dyDescent="0.4">
      <c r="A11" s="81" t="s">
        <v>67</v>
      </c>
    </row>
    <row r="12" spans="1:13" x14ac:dyDescent="0.4">
      <c r="A12" s="81" t="s">
        <v>68</v>
      </c>
      <c r="B12" s="81" t="s">
        <v>69</v>
      </c>
      <c r="C12" s="81" t="s">
        <v>70</v>
      </c>
      <c r="D12" s="81" t="s">
        <v>71</v>
      </c>
      <c r="E12" s="81" t="s">
        <v>72</v>
      </c>
      <c r="F12" s="81" t="s">
        <v>73</v>
      </c>
      <c r="G12" s="81" t="s">
        <v>74</v>
      </c>
      <c r="H12" s="81" t="s">
        <v>75</v>
      </c>
      <c r="I12" s="81" t="s">
        <v>76</v>
      </c>
    </row>
    <row r="13" spans="1:13" x14ac:dyDescent="0.4">
      <c r="A13" s="82">
        <v>2026</v>
      </c>
      <c r="B13" s="81">
        <v>3</v>
      </c>
      <c r="C13" s="83">
        <v>601415111</v>
      </c>
      <c r="D13" s="83">
        <v>121486303</v>
      </c>
      <c r="E13" s="83">
        <v>185095846</v>
      </c>
      <c r="F13" s="83">
        <v>224906754</v>
      </c>
      <c r="G13" s="83">
        <v>542158392</v>
      </c>
      <c r="H13" s="83">
        <v>5649475</v>
      </c>
      <c r="I13" s="84">
        <f>SUM(C13:H13)</f>
        <v>1680711881</v>
      </c>
      <c r="J13" s="85">
        <v>1680711881</v>
      </c>
      <c r="K13" s="84">
        <f>I13-J13</f>
        <v>0</v>
      </c>
    </row>
    <row r="14" spans="1:13" x14ac:dyDescent="0.4">
      <c r="A14" s="81">
        <f>+A13</f>
        <v>2026</v>
      </c>
      <c r="B14" s="81">
        <v>4</v>
      </c>
      <c r="C14" s="83">
        <v>509433879</v>
      </c>
      <c r="D14" s="83">
        <v>103086996</v>
      </c>
      <c r="E14" s="83">
        <v>174845611</v>
      </c>
      <c r="F14" s="83">
        <v>213378135</v>
      </c>
      <c r="G14" s="83">
        <v>523016918</v>
      </c>
      <c r="H14" s="83">
        <v>5232654</v>
      </c>
      <c r="I14" s="84">
        <f t="shared" ref="I14:I24" si="0">SUM(C14:H14)</f>
        <v>1528994193</v>
      </c>
      <c r="J14" s="85">
        <v>1528994193</v>
      </c>
      <c r="K14" s="84">
        <f t="shared" ref="K14:K24" si="1">I14-J14</f>
        <v>0</v>
      </c>
    </row>
    <row r="15" spans="1:13" x14ac:dyDescent="0.4">
      <c r="A15" s="81">
        <f t="shared" ref="A15:A22" si="2">+A14</f>
        <v>2026</v>
      </c>
      <c r="B15" s="81">
        <v>5</v>
      </c>
      <c r="C15" s="83">
        <v>435617451</v>
      </c>
      <c r="D15" s="83">
        <v>88272701</v>
      </c>
      <c r="E15" s="83">
        <v>172374281</v>
      </c>
      <c r="F15" s="83">
        <v>210386314</v>
      </c>
      <c r="G15" s="83">
        <v>511310793</v>
      </c>
      <c r="H15" s="83">
        <v>4707992</v>
      </c>
      <c r="I15" s="84">
        <f t="shared" si="0"/>
        <v>1422669532</v>
      </c>
      <c r="J15" s="85">
        <v>1422669532</v>
      </c>
      <c r="K15" s="84">
        <f t="shared" si="1"/>
        <v>0</v>
      </c>
    </row>
    <row r="16" spans="1:13" x14ac:dyDescent="0.4">
      <c r="A16" s="81">
        <f t="shared" si="2"/>
        <v>2026</v>
      </c>
      <c r="B16" s="81">
        <v>6</v>
      </c>
      <c r="C16" s="83">
        <v>487462853</v>
      </c>
      <c r="D16" s="83">
        <v>99071158</v>
      </c>
      <c r="E16" s="83">
        <v>178574363</v>
      </c>
      <c r="F16" s="83">
        <v>217460365</v>
      </c>
      <c r="G16" s="83">
        <v>524157078</v>
      </c>
      <c r="H16" s="83">
        <v>4770497</v>
      </c>
      <c r="I16" s="84">
        <f t="shared" si="0"/>
        <v>1511496314</v>
      </c>
      <c r="J16" s="85">
        <v>1511496314</v>
      </c>
      <c r="K16" s="84">
        <f t="shared" si="1"/>
        <v>0</v>
      </c>
    </row>
    <row r="17" spans="1:11" x14ac:dyDescent="0.4">
      <c r="A17" s="81">
        <f t="shared" si="2"/>
        <v>2026</v>
      </c>
      <c r="B17" s="81">
        <v>7</v>
      </c>
      <c r="C17" s="83">
        <v>620701494</v>
      </c>
      <c r="D17" s="83">
        <v>126566348</v>
      </c>
      <c r="E17" s="83">
        <v>197825755</v>
      </c>
      <c r="F17" s="83">
        <v>239865967</v>
      </c>
      <c r="G17" s="83">
        <v>569406738</v>
      </c>
      <c r="H17" s="83">
        <v>4909711</v>
      </c>
      <c r="I17" s="84">
        <f t="shared" si="0"/>
        <v>1759276013</v>
      </c>
      <c r="J17" s="85">
        <v>1759276013</v>
      </c>
      <c r="K17" s="84">
        <f t="shared" si="1"/>
        <v>0</v>
      </c>
    </row>
    <row r="18" spans="1:11" x14ac:dyDescent="0.4">
      <c r="A18" s="81">
        <f t="shared" si="2"/>
        <v>2026</v>
      </c>
      <c r="B18" s="81">
        <v>8</v>
      </c>
      <c r="C18" s="83">
        <v>671831574</v>
      </c>
      <c r="D18" s="83">
        <v>137383428</v>
      </c>
      <c r="E18" s="83">
        <v>197832779</v>
      </c>
      <c r="F18" s="83">
        <v>240307094</v>
      </c>
      <c r="G18" s="83">
        <v>580150990</v>
      </c>
      <c r="H18" s="83">
        <v>5222756</v>
      </c>
      <c r="I18" s="84">
        <f t="shared" si="0"/>
        <v>1832728621</v>
      </c>
      <c r="J18" s="85">
        <v>1832728621</v>
      </c>
      <c r="K18" s="84">
        <f t="shared" si="1"/>
        <v>0</v>
      </c>
    </row>
    <row r="19" spans="1:11" x14ac:dyDescent="0.4">
      <c r="A19" s="81">
        <f t="shared" si="2"/>
        <v>2026</v>
      </c>
      <c r="B19" s="81">
        <v>9</v>
      </c>
      <c r="C19" s="83">
        <v>598283927</v>
      </c>
      <c r="D19" s="83">
        <v>122552371</v>
      </c>
      <c r="E19" s="83">
        <v>196215282</v>
      </c>
      <c r="F19" s="83">
        <v>238311745</v>
      </c>
      <c r="G19" s="83">
        <v>570108857</v>
      </c>
      <c r="H19" s="83">
        <v>5654291</v>
      </c>
      <c r="I19" s="84">
        <f t="shared" si="0"/>
        <v>1731126473</v>
      </c>
      <c r="J19" s="85">
        <v>1731126473</v>
      </c>
      <c r="K19" s="84">
        <f t="shared" si="1"/>
        <v>0</v>
      </c>
    </row>
    <row r="20" spans="1:11" x14ac:dyDescent="0.4">
      <c r="A20" s="81">
        <f t="shared" si="2"/>
        <v>2026</v>
      </c>
      <c r="B20" s="81">
        <v>10</v>
      </c>
      <c r="C20" s="83">
        <v>456992432</v>
      </c>
      <c r="D20" s="83">
        <v>93739131</v>
      </c>
      <c r="E20" s="83">
        <v>172867405</v>
      </c>
      <c r="F20" s="83">
        <v>210431456</v>
      </c>
      <c r="G20" s="83">
        <v>505157969</v>
      </c>
      <c r="H20" s="83">
        <v>5797043</v>
      </c>
      <c r="I20" s="84">
        <f t="shared" si="0"/>
        <v>1444985436</v>
      </c>
      <c r="J20" s="85">
        <v>1444985436</v>
      </c>
      <c r="K20" s="84">
        <f t="shared" si="1"/>
        <v>0</v>
      </c>
    </row>
    <row r="21" spans="1:11" x14ac:dyDescent="0.4">
      <c r="A21" s="81">
        <f t="shared" si="2"/>
        <v>2026</v>
      </c>
      <c r="B21" s="81">
        <v>11</v>
      </c>
      <c r="C21" s="83">
        <v>497450176</v>
      </c>
      <c r="D21" s="83">
        <v>102340273</v>
      </c>
      <c r="E21" s="83">
        <v>172248168</v>
      </c>
      <c r="F21" s="83">
        <v>209875859</v>
      </c>
      <c r="G21" s="83">
        <v>509698364</v>
      </c>
      <c r="H21" s="83">
        <v>6318337</v>
      </c>
      <c r="I21" s="84">
        <f t="shared" si="0"/>
        <v>1497931177</v>
      </c>
      <c r="J21" s="85">
        <v>1497931177</v>
      </c>
      <c r="K21" s="84">
        <f t="shared" si="1"/>
        <v>0</v>
      </c>
    </row>
    <row r="22" spans="1:11" x14ac:dyDescent="0.4">
      <c r="A22" s="81">
        <f t="shared" si="2"/>
        <v>2026</v>
      </c>
      <c r="B22" s="81">
        <v>12</v>
      </c>
      <c r="C22" s="83">
        <v>632761312</v>
      </c>
      <c r="D22" s="83">
        <v>130608702</v>
      </c>
      <c r="E22" s="83">
        <v>186255139</v>
      </c>
      <c r="F22" s="83">
        <v>225731174</v>
      </c>
      <c r="G22" s="83">
        <v>537993174</v>
      </c>
      <c r="H22" s="83">
        <v>6710687</v>
      </c>
      <c r="I22" s="84">
        <f t="shared" si="0"/>
        <v>1720060188</v>
      </c>
      <c r="J22" s="85">
        <v>1720060188</v>
      </c>
      <c r="K22" s="84">
        <f t="shared" si="1"/>
        <v>0</v>
      </c>
    </row>
    <row r="23" spans="1:11" x14ac:dyDescent="0.4">
      <c r="A23" s="82">
        <v>2027</v>
      </c>
      <c r="B23" s="81">
        <v>1</v>
      </c>
      <c r="C23" s="83">
        <v>718806634</v>
      </c>
      <c r="D23" s="83">
        <v>148778526</v>
      </c>
      <c r="E23" s="83">
        <v>194660260</v>
      </c>
      <c r="F23" s="83">
        <v>235299905</v>
      </c>
      <c r="G23" s="83">
        <v>556258482</v>
      </c>
      <c r="H23" s="83">
        <v>6686784</v>
      </c>
      <c r="I23" s="84">
        <f t="shared" si="0"/>
        <v>1860490591</v>
      </c>
      <c r="J23" s="85">
        <v>1860490591</v>
      </c>
      <c r="K23" s="84">
        <f t="shared" si="1"/>
        <v>0</v>
      </c>
    </row>
    <row r="24" spans="1:11" ht="13.7" x14ac:dyDescent="0.55000000000000004">
      <c r="A24" s="81">
        <f>+A23</f>
        <v>2027</v>
      </c>
      <c r="B24" s="81">
        <v>2</v>
      </c>
      <c r="C24" s="83">
        <v>675146768</v>
      </c>
      <c r="D24" s="83">
        <v>140022937</v>
      </c>
      <c r="E24" s="83">
        <v>192648310</v>
      </c>
      <c r="F24" s="83">
        <v>232976589</v>
      </c>
      <c r="G24" s="83">
        <v>549835303</v>
      </c>
      <c r="H24" s="83">
        <v>6550583</v>
      </c>
      <c r="I24" s="86">
        <f t="shared" si="0"/>
        <v>1797180490</v>
      </c>
      <c r="J24" s="85">
        <v>1797180490</v>
      </c>
      <c r="K24" s="84">
        <f t="shared" si="1"/>
        <v>0</v>
      </c>
    </row>
    <row r="25" spans="1:11" x14ac:dyDescent="0.4">
      <c r="I25" s="84">
        <f>SUM(I13:I24)</f>
        <v>19787650909</v>
      </c>
    </row>
    <row r="26" spans="1:11" x14ac:dyDescent="0.4">
      <c r="A26" s="81" t="s">
        <v>77</v>
      </c>
    </row>
    <row r="27" spans="1:11" x14ac:dyDescent="0.4">
      <c r="A27" s="81" t="s">
        <v>68</v>
      </c>
      <c r="B27" s="81" t="s">
        <v>69</v>
      </c>
      <c r="C27" s="81" t="s">
        <v>70</v>
      </c>
      <c r="D27" s="81" t="s">
        <v>71</v>
      </c>
      <c r="E27" s="81" t="s">
        <v>72</v>
      </c>
      <c r="F27" s="81" t="s">
        <v>73</v>
      </c>
      <c r="G27" s="81" t="s">
        <v>74</v>
      </c>
      <c r="H27" s="81" t="s">
        <v>75</v>
      </c>
    </row>
    <row r="28" spans="1:11" x14ac:dyDescent="0.4">
      <c r="A28" s="81">
        <f>A13</f>
        <v>2026</v>
      </c>
      <c r="B28" s="81">
        <f>B13</f>
        <v>3</v>
      </c>
      <c r="C28" s="83">
        <v>10692813</v>
      </c>
      <c r="D28" s="83">
        <v>195690</v>
      </c>
      <c r="E28" s="83">
        <v>2057221</v>
      </c>
      <c r="F28" s="83">
        <v>1589669</v>
      </c>
      <c r="G28" s="83">
        <v>996991</v>
      </c>
      <c r="H28" s="83">
        <v>22229</v>
      </c>
      <c r="I28" s="84">
        <f>SUM(C28:H28)</f>
        <v>15554613</v>
      </c>
      <c r="J28" s="85">
        <v>15554613</v>
      </c>
      <c r="K28" s="84">
        <f>I28-J28</f>
        <v>0</v>
      </c>
    </row>
    <row r="29" spans="1:11" x14ac:dyDescent="0.4">
      <c r="A29" s="81">
        <f t="shared" ref="A29:B39" si="3">A14</f>
        <v>2026</v>
      </c>
      <c r="B29" s="81">
        <f t="shared" si="3"/>
        <v>4</v>
      </c>
      <c r="C29" s="83">
        <v>9179045</v>
      </c>
      <c r="D29" s="83">
        <v>167954</v>
      </c>
      <c r="E29" s="83">
        <v>1891768</v>
      </c>
      <c r="F29" s="83">
        <v>1462749</v>
      </c>
      <c r="G29" s="83">
        <v>907290</v>
      </c>
      <c r="H29" s="83">
        <v>21392</v>
      </c>
      <c r="I29" s="84">
        <f t="shared" ref="I29:I39" si="4">SUM(C29:H29)</f>
        <v>13630198</v>
      </c>
      <c r="J29" s="85">
        <v>13630198</v>
      </c>
      <c r="K29" s="84">
        <f t="shared" ref="K29:K39" si="5">I29-J29</f>
        <v>0</v>
      </c>
    </row>
    <row r="30" spans="1:11" x14ac:dyDescent="0.4">
      <c r="A30" s="81">
        <f t="shared" si="3"/>
        <v>2026</v>
      </c>
      <c r="B30" s="81">
        <f t="shared" si="3"/>
        <v>5</v>
      </c>
      <c r="C30" s="83">
        <v>8077094</v>
      </c>
      <c r="D30" s="83">
        <v>147786</v>
      </c>
      <c r="E30" s="83">
        <v>1682466</v>
      </c>
      <c r="F30" s="83">
        <v>1300276</v>
      </c>
      <c r="G30" s="83">
        <v>796802</v>
      </c>
      <c r="H30" s="83">
        <v>17164</v>
      </c>
      <c r="I30" s="84">
        <f t="shared" si="4"/>
        <v>12021588</v>
      </c>
      <c r="J30" s="85">
        <v>12021588</v>
      </c>
      <c r="K30" s="84">
        <f t="shared" si="5"/>
        <v>0</v>
      </c>
    </row>
    <row r="31" spans="1:11" x14ac:dyDescent="0.4">
      <c r="A31" s="81">
        <f t="shared" si="3"/>
        <v>2026</v>
      </c>
      <c r="B31" s="81">
        <f t="shared" si="3"/>
        <v>6</v>
      </c>
      <c r="C31" s="83">
        <v>9275305</v>
      </c>
      <c r="D31" s="83">
        <v>169700</v>
      </c>
      <c r="E31" s="83">
        <v>1970608</v>
      </c>
      <c r="F31" s="83">
        <v>1523670</v>
      </c>
      <c r="G31" s="83">
        <v>935727</v>
      </c>
      <c r="H31" s="83">
        <v>17185</v>
      </c>
      <c r="I31" s="84">
        <f t="shared" si="4"/>
        <v>13892195</v>
      </c>
      <c r="J31" s="85">
        <v>13892195</v>
      </c>
      <c r="K31" s="84">
        <f t="shared" si="5"/>
        <v>0</v>
      </c>
    </row>
    <row r="32" spans="1:11" x14ac:dyDescent="0.4">
      <c r="A32" s="81">
        <f t="shared" si="3"/>
        <v>2026</v>
      </c>
      <c r="B32" s="81">
        <f t="shared" si="3"/>
        <v>7</v>
      </c>
      <c r="C32" s="83">
        <v>13634352</v>
      </c>
      <c r="D32" s="83">
        <v>249497</v>
      </c>
      <c r="E32" s="83">
        <v>2726370</v>
      </c>
      <c r="F32" s="83">
        <v>2105955</v>
      </c>
      <c r="G32" s="83">
        <v>1295455</v>
      </c>
      <c r="H32" s="83">
        <v>17078</v>
      </c>
      <c r="I32" s="84">
        <f t="shared" si="4"/>
        <v>20028707</v>
      </c>
      <c r="J32" s="85">
        <v>20028707</v>
      </c>
      <c r="K32" s="84">
        <f t="shared" si="5"/>
        <v>0</v>
      </c>
    </row>
    <row r="33" spans="1:11" x14ac:dyDescent="0.4">
      <c r="A33" s="81">
        <f t="shared" si="3"/>
        <v>2026</v>
      </c>
      <c r="B33" s="81">
        <f t="shared" si="3"/>
        <v>8</v>
      </c>
      <c r="C33" s="83">
        <v>16478793</v>
      </c>
      <c r="D33" s="83">
        <v>301661</v>
      </c>
      <c r="E33" s="83">
        <v>2861230</v>
      </c>
      <c r="F33" s="83">
        <v>2203851</v>
      </c>
      <c r="G33" s="83">
        <v>1353987</v>
      </c>
      <c r="H33" s="83">
        <v>18305</v>
      </c>
      <c r="I33" s="84">
        <f t="shared" si="4"/>
        <v>23217827</v>
      </c>
      <c r="J33" s="85">
        <v>23217827</v>
      </c>
      <c r="K33" s="84">
        <f t="shared" si="5"/>
        <v>0</v>
      </c>
    </row>
    <row r="34" spans="1:11" x14ac:dyDescent="0.4">
      <c r="A34" s="81">
        <f t="shared" si="3"/>
        <v>2026</v>
      </c>
      <c r="B34" s="81">
        <f t="shared" si="3"/>
        <v>9</v>
      </c>
      <c r="C34" s="83">
        <v>14223164</v>
      </c>
      <c r="D34" s="83">
        <v>260347</v>
      </c>
      <c r="E34" s="83">
        <v>2555361</v>
      </c>
      <c r="F34" s="83">
        <v>1969759</v>
      </c>
      <c r="G34" s="83">
        <v>1211361</v>
      </c>
      <c r="H34" s="83">
        <v>20942</v>
      </c>
      <c r="I34" s="84">
        <f t="shared" si="4"/>
        <v>20240934</v>
      </c>
      <c r="J34" s="85">
        <v>20240934</v>
      </c>
      <c r="K34" s="84">
        <f t="shared" si="5"/>
        <v>0</v>
      </c>
    </row>
    <row r="35" spans="1:11" x14ac:dyDescent="0.4">
      <c r="A35" s="81">
        <f t="shared" si="3"/>
        <v>2026</v>
      </c>
      <c r="B35" s="81">
        <f t="shared" si="3"/>
        <v>10</v>
      </c>
      <c r="C35" s="83">
        <v>9998299</v>
      </c>
      <c r="D35" s="83">
        <v>182831</v>
      </c>
      <c r="E35" s="83">
        <v>2495782</v>
      </c>
      <c r="F35" s="83">
        <v>1935566</v>
      </c>
      <c r="G35" s="83">
        <v>1198610</v>
      </c>
      <c r="H35" s="83">
        <v>23827</v>
      </c>
      <c r="I35" s="84">
        <f t="shared" si="4"/>
        <v>15834915</v>
      </c>
      <c r="J35" s="85">
        <v>15834915</v>
      </c>
      <c r="K35" s="84">
        <f t="shared" si="5"/>
        <v>0</v>
      </c>
    </row>
    <row r="36" spans="1:11" x14ac:dyDescent="0.4">
      <c r="A36" s="81">
        <f t="shared" si="3"/>
        <v>2026</v>
      </c>
      <c r="B36" s="81">
        <f t="shared" si="3"/>
        <v>11</v>
      </c>
      <c r="C36" s="83">
        <v>8030252</v>
      </c>
      <c r="D36" s="83">
        <v>146877</v>
      </c>
      <c r="E36" s="83">
        <v>1873972</v>
      </c>
      <c r="F36" s="83">
        <v>1453117</v>
      </c>
      <c r="G36" s="83">
        <v>913778</v>
      </c>
      <c r="H36" s="83">
        <v>25383</v>
      </c>
      <c r="I36" s="84">
        <f t="shared" si="4"/>
        <v>12443379</v>
      </c>
      <c r="J36" s="85">
        <v>12443379</v>
      </c>
      <c r="K36" s="84">
        <f t="shared" si="5"/>
        <v>0</v>
      </c>
    </row>
    <row r="37" spans="1:11" x14ac:dyDescent="0.4">
      <c r="A37" s="81">
        <f t="shared" si="3"/>
        <v>2026</v>
      </c>
      <c r="B37" s="81">
        <f t="shared" si="3"/>
        <v>12</v>
      </c>
      <c r="C37" s="83">
        <v>10348253</v>
      </c>
      <c r="D37" s="83">
        <v>189362</v>
      </c>
      <c r="E37" s="83">
        <v>2075669</v>
      </c>
      <c r="F37" s="83">
        <v>1606022</v>
      </c>
      <c r="G37" s="83">
        <v>1016660</v>
      </c>
      <c r="H37" s="83">
        <v>28473</v>
      </c>
      <c r="I37" s="84">
        <f t="shared" si="4"/>
        <v>15264439</v>
      </c>
      <c r="J37" s="85">
        <v>15264439</v>
      </c>
      <c r="K37" s="84">
        <f t="shared" si="5"/>
        <v>0</v>
      </c>
    </row>
    <row r="38" spans="1:11" x14ac:dyDescent="0.4">
      <c r="A38" s="81">
        <f t="shared" si="3"/>
        <v>2027</v>
      </c>
      <c r="B38" s="81">
        <f t="shared" si="3"/>
        <v>1</v>
      </c>
      <c r="C38" s="83">
        <v>11970387</v>
      </c>
      <c r="D38" s="83">
        <v>219099</v>
      </c>
      <c r="E38" s="83">
        <v>2196485</v>
      </c>
      <c r="F38" s="83">
        <v>1696359</v>
      </c>
      <c r="G38" s="83">
        <v>1070966</v>
      </c>
      <c r="H38" s="83">
        <v>29818</v>
      </c>
      <c r="I38" s="84">
        <f t="shared" si="4"/>
        <v>17183114</v>
      </c>
      <c r="J38" s="85">
        <v>17183114</v>
      </c>
      <c r="K38" s="84">
        <f t="shared" si="5"/>
        <v>0</v>
      </c>
    </row>
    <row r="39" spans="1:11" ht="13.7" x14ac:dyDescent="0.55000000000000004">
      <c r="A39" s="81">
        <f t="shared" si="3"/>
        <v>2027</v>
      </c>
      <c r="B39" s="81">
        <f t="shared" si="3"/>
        <v>2</v>
      </c>
      <c r="C39" s="83">
        <v>11776698</v>
      </c>
      <c r="D39" s="83">
        <v>215606</v>
      </c>
      <c r="E39" s="83">
        <v>1962699</v>
      </c>
      <c r="F39" s="83">
        <v>1512342</v>
      </c>
      <c r="G39" s="83">
        <v>950278</v>
      </c>
      <c r="H39" s="83">
        <v>25515</v>
      </c>
      <c r="I39" s="86">
        <f t="shared" si="4"/>
        <v>16443138</v>
      </c>
      <c r="J39" s="85">
        <v>16443138</v>
      </c>
      <c r="K39" s="84">
        <f t="shared" si="5"/>
        <v>0</v>
      </c>
    </row>
    <row r="40" spans="1:11" x14ac:dyDescent="0.4">
      <c r="C40" s="87">
        <f>SUM(F23:F26,F33:F34)/SUM(C23:C26,C33:C34)</f>
        <v>0.33162413703453453</v>
      </c>
      <c r="D40" s="87"/>
      <c r="E40" s="87"/>
      <c r="F40" s="87"/>
      <c r="G40" s="87"/>
      <c r="H40" s="87"/>
      <c r="I40" s="84">
        <f>SUM(I28:I39)</f>
        <v>195755047</v>
      </c>
    </row>
    <row r="42" spans="1:11" x14ac:dyDescent="0.4">
      <c r="A42" s="81" t="s">
        <v>78</v>
      </c>
      <c r="C42" s="81" t="s">
        <v>70</v>
      </c>
      <c r="D42" s="81" t="s">
        <v>71</v>
      </c>
      <c r="E42" s="81" t="s">
        <v>72</v>
      </c>
      <c r="F42" s="81" t="s">
        <v>73</v>
      </c>
      <c r="G42" s="81" t="s">
        <v>74</v>
      </c>
      <c r="H42" s="81" t="s">
        <v>75</v>
      </c>
      <c r="I42" s="81" t="s">
        <v>76</v>
      </c>
    </row>
    <row r="43" spans="1:11" x14ac:dyDescent="0.4">
      <c r="A43" s="81">
        <f t="shared" ref="A43:B54" si="6">A28</f>
        <v>2026</v>
      </c>
      <c r="B43" s="81">
        <f t="shared" si="6"/>
        <v>3</v>
      </c>
      <c r="C43" s="95">
        <f t="shared" ref="C43:H54" si="7">C28+C13</f>
        <v>612107924</v>
      </c>
      <c r="D43" s="88">
        <f t="shared" si="7"/>
        <v>121681993</v>
      </c>
      <c r="E43" s="88">
        <f t="shared" si="7"/>
        <v>187153067</v>
      </c>
      <c r="F43" s="88">
        <f t="shared" si="7"/>
        <v>226496423</v>
      </c>
      <c r="G43" s="88">
        <f t="shared" si="7"/>
        <v>543155383</v>
      </c>
      <c r="H43" s="88">
        <f t="shared" si="7"/>
        <v>5671704</v>
      </c>
      <c r="I43" s="88">
        <f>SUM(C43:H43)</f>
        <v>1696266494</v>
      </c>
      <c r="J43" s="89">
        <f>I43-I28-I13</f>
        <v>0</v>
      </c>
    </row>
    <row r="44" spans="1:11" x14ac:dyDescent="0.4">
      <c r="A44" s="81">
        <f t="shared" si="6"/>
        <v>2026</v>
      </c>
      <c r="B44" s="81">
        <f t="shared" si="6"/>
        <v>4</v>
      </c>
      <c r="C44" s="95">
        <f t="shared" si="7"/>
        <v>518612924</v>
      </c>
      <c r="D44" s="88">
        <f t="shared" si="7"/>
        <v>103254950</v>
      </c>
      <c r="E44" s="88">
        <f t="shared" si="7"/>
        <v>176737379</v>
      </c>
      <c r="F44" s="88">
        <f t="shared" si="7"/>
        <v>214840884</v>
      </c>
      <c r="G44" s="88">
        <f t="shared" si="7"/>
        <v>523924208</v>
      </c>
      <c r="H44" s="88">
        <f t="shared" si="7"/>
        <v>5254046</v>
      </c>
      <c r="I44" s="88">
        <f t="shared" ref="I44:I54" si="8">SUM(C44:H44)</f>
        <v>1542624391</v>
      </c>
      <c r="J44" s="89">
        <f t="shared" ref="J44:J54" si="9">I44-I29-I14</f>
        <v>0</v>
      </c>
    </row>
    <row r="45" spans="1:11" x14ac:dyDescent="0.4">
      <c r="A45" s="81">
        <f t="shared" si="6"/>
        <v>2026</v>
      </c>
      <c r="B45" s="81">
        <f t="shared" si="6"/>
        <v>5</v>
      </c>
      <c r="C45" s="95">
        <f t="shared" si="7"/>
        <v>443694545</v>
      </c>
      <c r="D45" s="88">
        <f t="shared" si="7"/>
        <v>88420487</v>
      </c>
      <c r="E45" s="88">
        <f t="shared" si="7"/>
        <v>174056747</v>
      </c>
      <c r="F45" s="88">
        <f t="shared" si="7"/>
        <v>211686590</v>
      </c>
      <c r="G45" s="88">
        <f t="shared" si="7"/>
        <v>512107595</v>
      </c>
      <c r="H45" s="88">
        <f t="shared" si="7"/>
        <v>4725156</v>
      </c>
      <c r="I45" s="88">
        <f t="shared" si="8"/>
        <v>1434691120</v>
      </c>
      <c r="J45" s="89">
        <f t="shared" si="9"/>
        <v>0</v>
      </c>
    </row>
    <row r="46" spans="1:11" x14ac:dyDescent="0.4">
      <c r="A46" s="81">
        <f t="shared" si="6"/>
        <v>2026</v>
      </c>
      <c r="B46" s="81">
        <f t="shared" si="6"/>
        <v>6</v>
      </c>
      <c r="C46" s="95">
        <f t="shared" si="7"/>
        <v>496738158</v>
      </c>
      <c r="D46" s="88">
        <f t="shared" si="7"/>
        <v>99240858</v>
      </c>
      <c r="E46" s="88">
        <f t="shared" si="7"/>
        <v>180544971</v>
      </c>
      <c r="F46" s="88">
        <f t="shared" si="7"/>
        <v>218984035</v>
      </c>
      <c r="G46" s="88">
        <f t="shared" si="7"/>
        <v>525092805</v>
      </c>
      <c r="H46" s="88">
        <f t="shared" si="7"/>
        <v>4787682</v>
      </c>
      <c r="I46" s="88">
        <f t="shared" si="8"/>
        <v>1525388509</v>
      </c>
      <c r="J46" s="89">
        <f t="shared" si="9"/>
        <v>0</v>
      </c>
    </row>
    <row r="47" spans="1:11" x14ac:dyDescent="0.4">
      <c r="A47" s="81">
        <f t="shared" si="6"/>
        <v>2026</v>
      </c>
      <c r="B47" s="81">
        <f t="shared" si="6"/>
        <v>7</v>
      </c>
      <c r="C47" s="95">
        <f t="shared" si="7"/>
        <v>634335846</v>
      </c>
      <c r="D47" s="88">
        <f t="shared" si="7"/>
        <v>126815845</v>
      </c>
      <c r="E47" s="88">
        <f t="shared" si="7"/>
        <v>200552125</v>
      </c>
      <c r="F47" s="88">
        <f t="shared" si="7"/>
        <v>241971922</v>
      </c>
      <c r="G47" s="88">
        <f t="shared" si="7"/>
        <v>570702193</v>
      </c>
      <c r="H47" s="88">
        <f t="shared" si="7"/>
        <v>4926789</v>
      </c>
      <c r="I47" s="88">
        <f t="shared" si="8"/>
        <v>1779304720</v>
      </c>
      <c r="J47" s="89">
        <f t="shared" si="9"/>
        <v>0</v>
      </c>
    </row>
    <row r="48" spans="1:11" x14ac:dyDescent="0.4">
      <c r="A48" s="81">
        <f t="shared" si="6"/>
        <v>2026</v>
      </c>
      <c r="B48" s="81">
        <f t="shared" si="6"/>
        <v>8</v>
      </c>
      <c r="C48" s="95">
        <f t="shared" si="7"/>
        <v>688310367</v>
      </c>
      <c r="D48" s="88">
        <f t="shared" si="7"/>
        <v>137685089</v>
      </c>
      <c r="E48" s="88">
        <f t="shared" si="7"/>
        <v>200694009</v>
      </c>
      <c r="F48" s="88">
        <f t="shared" si="7"/>
        <v>242510945</v>
      </c>
      <c r="G48" s="88">
        <f t="shared" si="7"/>
        <v>581504977</v>
      </c>
      <c r="H48" s="88">
        <f t="shared" si="7"/>
        <v>5241061</v>
      </c>
      <c r="I48" s="88">
        <f t="shared" si="8"/>
        <v>1855946448</v>
      </c>
      <c r="J48" s="89">
        <f t="shared" si="9"/>
        <v>0</v>
      </c>
    </row>
    <row r="49" spans="1:10" x14ac:dyDescent="0.4">
      <c r="A49" s="81">
        <f t="shared" si="6"/>
        <v>2026</v>
      </c>
      <c r="B49" s="81">
        <f t="shared" si="6"/>
        <v>9</v>
      </c>
      <c r="C49" s="95">
        <f t="shared" ref="C49" si="10">C34+C19</f>
        <v>612507091</v>
      </c>
      <c r="D49" s="88">
        <f t="shared" si="7"/>
        <v>122812718</v>
      </c>
      <c r="E49" s="88">
        <f t="shared" si="7"/>
        <v>198770643</v>
      </c>
      <c r="F49" s="88">
        <f t="shared" si="7"/>
        <v>240281504</v>
      </c>
      <c r="G49" s="88">
        <f t="shared" si="7"/>
        <v>571320218</v>
      </c>
      <c r="H49" s="88">
        <f t="shared" si="7"/>
        <v>5675233</v>
      </c>
      <c r="I49" s="88">
        <f t="shared" si="8"/>
        <v>1751367407</v>
      </c>
      <c r="J49" s="89">
        <f t="shared" si="9"/>
        <v>0</v>
      </c>
    </row>
    <row r="50" spans="1:10" x14ac:dyDescent="0.4">
      <c r="A50" s="81">
        <f t="shared" si="6"/>
        <v>2026</v>
      </c>
      <c r="B50" s="81">
        <f t="shared" si="6"/>
        <v>10</v>
      </c>
      <c r="C50" s="95">
        <f t="shared" ref="C50" si="11">C35+C20</f>
        <v>466990731</v>
      </c>
      <c r="D50" s="88">
        <f t="shared" si="7"/>
        <v>93921962</v>
      </c>
      <c r="E50" s="88">
        <f t="shared" si="7"/>
        <v>175363187</v>
      </c>
      <c r="F50" s="88">
        <f t="shared" si="7"/>
        <v>212367022</v>
      </c>
      <c r="G50" s="88">
        <f t="shared" si="7"/>
        <v>506356579</v>
      </c>
      <c r="H50" s="88">
        <f t="shared" si="7"/>
        <v>5820870</v>
      </c>
      <c r="I50" s="88">
        <f t="shared" si="8"/>
        <v>1460820351</v>
      </c>
      <c r="J50" s="89">
        <f t="shared" si="9"/>
        <v>0</v>
      </c>
    </row>
    <row r="51" spans="1:10" x14ac:dyDescent="0.4">
      <c r="A51" s="81">
        <f t="shared" si="6"/>
        <v>2026</v>
      </c>
      <c r="B51" s="81">
        <f t="shared" si="6"/>
        <v>11</v>
      </c>
      <c r="C51" s="95">
        <f t="shared" ref="C51:C52" si="12">C36+C21</f>
        <v>505480428</v>
      </c>
      <c r="D51" s="88">
        <f t="shared" si="7"/>
        <v>102487150</v>
      </c>
      <c r="E51" s="88">
        <f t="shared" si="7"/>
        <v>174122140</v>
      </c>
      <c r="F51" s="88">
        <f t="shared" si="7"/>
        <v>211328976</v>
      </c>
      <c r="G51" s="88">
        <f t="shared" si="7"/>
        <v>510612142</v>
      </c>
      <c r="H51" s="88">
        <f t="shared" si="7"/>
        <v>6343720</v>
      </c>
      <c r="I51" s="88">
        <f t="shared" si="8"/>
        <v>1510374556</v>
      </c>
      <c r="J51" s="89">
        <f t="shared" si="9"/>
        <v>0</v>
      </c>
    </row>
    <row r="52" spans="1:10" x14ac:dyDescent="0.4">
      <c r="A52" s="81">
        <f t="shared" si="6"/>
        <v>2026</v>
      </c>
      <c r="B52" s="81">
        <f t="shared" si="6"/>
        <v>12</v>
      </c>
      <c r="C52" s="95">
        <f t="shared" si="12"/>
        <v>643109565</v>
      </c>
      <c r="D52" s="88">
        <f t="shared" si="7"/>
        <v>130798064</v>
      </c>
      <c r="E52" s="88">
        <f t="shared" si="7"/>
        <v>188330808</v>
      </c>
      <c r="F52" s="88">
        <f t="shared" si="7"/>
        <v>227337196</v>
      </c>
      <c r="G52" s="88">
        <f t="shared" si="7"/>
        <v>539009834</v>
      </c>
      <c r="H52" s="88">
        <f t="shared" si="7"/>
        <v>6739160</v>
      </c>
      <c r="I52" s="88">
        <f t="shared" si="8"/>
        <v>1735324627</v>
      </c>
      <c r="J52" s="89">
        <f t="shared" si="9"/>
        <v>0</v>
      </c>
    </row>
    <row r="53" spans="1:10" x14ac:dyDescent="0.4">
      <c r="A53" s="81">
        <f t="shared" si="6"/>
        <v>2027</v>
      </c>
      <c r="B53" s="81">
        <f t="shared" si="6"/>
        <v>1</v>
      </c>
      <c r="C53" s="88">
        <f t="shared" ref="C53" si="13">C38+C23</f>
        <v>730777021</v>
      </c>
      <c r="D53" s="88">
        <f t="shared" si="7"/>
        <v>148997625</v>
      </c>
      <c r="E53" s="88">
        <f t="shared" si="7"/>
        <v>196856745</v>
      </c>
      <c r="F53" s="88">
        <f t="shared" si="7"/>
        <v>236996264</v>
      </c>
      <c r="G53" s="88">
        <f t="shared" si="7"/>
        <v>557329448</v>
      </c>
      <c r="H53" s="88">
        <f t="shared" si="7"/>
        <v>6716602</v>
      </c>
      <c r="I53" s="88">
        <f t="shared" si="8"/>
        <v>1877673705</v>
      </c>
      <c r="J53" s="89">
        <f t="shared" si="9"/>
        <v>0</v>
      </c>
    </row>
    <row r="54" spans="1:10" x14ac:dyDescent="0.4">
      <c r="A54" s="81">
        <f t="shared" si="6"/>
        <v>2027</v>
      </c>
      <c r="B54" s="81">
        <f t="shared" si="6"/>
        <v>2</v>
      </c>
      <c r="C54" s="88">
        <f t="shared" ref="C54" si="14">C39+C24</f>
        <v>686923466</v>
      </c>
      <c r="D54" s="88">
        <f t="shared" si="7"/>
        <v>140238543</v>
      </c>
      <c r="E54" s="88">
        <f t="shared" si="7"/>
        <v>194611009</v>
      </c>
      <c r="F54" s="88">
        <f t="shared" si="7"/>
        <v>234488931</v>
      </c>
      <c r="G54" s="88">
        <f t="shared" si="7"/>
        <v>550785581</v>
      </c>
      <c r="H54" s="88">
        <f t="shared" si="7"/>
        <v>6576098</v>
      </c>
      <c r="I54" s="88">
        <f t="shared" si="8"/>
        <v>1813623628</v>
      </c>
      <c r="J54" s="89">
        <f t="shared" si="9"/>
        <v>0</v>
      </c>
    </row>
    <row r="55" spans="1:10" x14ac:dyDescent="0.4">
      <c r="C55" s="88"/>
      <c r="D55" s="88"/>
      <c r="E55" s="88"/>
      <c r="F55" s="88"/>
      <c r="G55" s="88"/>
      <c r="H55" s="88"/>
      <c r="I55" s="88"/>
      <c r="J55" s="89"/>
    </row>
    <row r="56" spans="1:10" x14ac:dyDescent="0.4">
      <c r="A56" s="81" t="s">
        <v>79</v>
      </c>
      <c r="B56" s="81" t="s">
        <v>49</v>
      </c>
      <c r="C56" s="88">
        <f>SUM(C43:C54)</f>
        <v>7039588066</v>
      </c>
      <c r="D56" s="88">
        <f t="shared" ref="D56:I56" si="15">SUM(D43:D54)</f>
        <v>1416355284</v>
      </c>
      <c r="E56" s="88">
        <f t="shared" si="15"/>
        <v>2247792830</v>
      </c>
      <c r="F56" s="88">
        <f t="shared" si="15"/>
        <v>2719290692</v>
      </c>
      <c r="G56" s="88">
        <f t="shared" si="15"/>
        <v>6491900963</v>
      </c>
      <c r="H56" s="88">
        <f t="shared" si="15"/>
        <v>68478121</v>
      </c>
      <c r="I56" s="88">
        <f t="shared" si="15"/>
        <v>19983405956</v>
      </c>
      <c r="J56" s="89">
        <f>I56-I40-I25</f>
        <v>0</v>
      </c>
    </row>
    <row r="57" spans="1:10" x14ac:dyDescent="0.4">
      <c r="C57" s="89"/>
      <c r="D57" s="89"/>
      <c r="E57" s="89"/>
      <c r="F57" s="89"/>
      <c r="G57" s="89"/>
      <c r="H57" s="89"/>
      <c r="I57" s="89"/>
      <c r="J57" s="89"/>
    </row>
  </sheetData>
  <pageMargins left="0.7" right="0.7" top="0.75" bottom="0.75" header="0.3" footer="0.3"/>
  <pageSetup scale="5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7552-114E-46E1-9FE3-64907AF229F0}">
  <dimension ref="A1:G45"/>
  <sheetViews>
    <sheetView showGridLines="0" view="pageBreakPreview" zoomScaleNormal="100" zoomScaleSheetLayoutView="100" workbookViewId="0">
      <selection activeCell="G1" sqref="G1"/>
    </sheetView>
  </sheetViews>
  <sheetFormatPr defaultColWidth="9.265625" defaultRowHeight="12.7" x14ac:dyDescent="0.4"/>
  <cols>
    <col min="1" max="1" width="9" style="31" customWidth="1"/>
    <col min="2" max="2" width="68.86328125" style="31" customWidth="1"/>
    <col min="3" max="4" width="29.265625" style="31" bestFit="1" customWidth="1"/>
    <col min="5" max="5" width="3.1328125" style="31" customWidth="1"/>
    <col min="6" max="6" width="26.86328125" style="31" customWidth="1"/>
    <col min="7" max="7" width="29.265625" style="31" bestFit="1" customWidth="1"/>
    <col min="8" max="16384" width="9.265625" style="31"/>
  </cols>
  <sheetData>
    <row r="1" spans="1:7" ht="14" x14ac:dyDescent="0.45">
      <c r="A1" s="30"/>
      <c r="B1" s="30"/>
      <c r="G1" s="32" t="str">
        <f>'Exhibit 1, Page 2'!M1</f>
        <v>Massachusetts Electric Company</v>
      </c>
    </row>
    <row r="2" spans="1:7" ht="14" x14ac:dyDescent="0.45">
      <c r="A2" s="30"/>
      <c r="B2" s="30"/>
      <c r="G2" s="32" t="str">
        <f>'Exhibit 1, Page 2'!M2</f>
        <v>Nantucket Electric Company</v>
      </c>
    </row>
    <row r="3" spans="1:7" ht="14" x14ac:dyDescent="0.45">
      <c r="A3" s="30"/>
      <c r="B3" s="30"/>
      <c r="G3" s="32" t="str">
        <f>'Exhibit 1, Page 2'!M3</f>
        <v>d/b/a National Grid</v>
      </c>
    </row>
    <row r="4" spans="1:7" ht="14" x14ac:dyDescent="0.45">
      <c r="A4" s="30"/>
      <c r="B4" s="30"/>
      <c r="G4" s="32" t="str">
        <f>'Exhibit 1, Page 2'!M4</f>
        <v>D.P.U 26-71</v>
      </c>
    </row>
    <row r="5" spans="1:7" ht="14" x14ac:dyDescent="0.45">
      <c r="A5" s="30"/>
      <c r="B5" s="30"/>
      <c r="G5" s="32" t="s">
        <v>80</v>
      </c>
    </row>
    <row r="6" spans="1:7" ht="14" x14ac:dyDescent="0.45">
      <c r="A6" s="30"/>
      <c r="B6" s="30"/>
      <c r="G6" s="32" t="s">
        <v>81</v>
      </c>
    </row>
    <row r="7" spans="1:7" ht="14" x14ac:dyDescent="0.45">
      <c r="A7" s="30"/>
      <c r="B7" s="30"/>
      <c r="G7" s="32" t="str">
        <f>'Exhibit 1, Page 2'!M7</f>
        <v>H.O. _______</v>
      </c>
    </row>
    <row r="8" spans="1:7" ht="14" x14ac:dyDescent="0.45">
      <c r="A8" s="30"/>
      <c r="B8" s="30"/>
      <c r="C8" s="33"/>
    </row>
    <row r="9" spans="1:7" ht="14" x14ac:dyDescent="0.45">
      <c r="A9" s="30"/>
      <c r="B9" s="30"/>
      <c r="C9" s="33"/>
    </row>
    <row r="10" spans="1:7" ht="14" x14ac:dyDescent="0.45">
      <c r="A10" s="128" t="s">
        <v>0</v>
      </c>
      <c r="B10" s="128"/>
      <c r="C10" s="128"/>
      <c r="D10" s="128"/>
      <c r="E10" s="128"/>
      <c r="F10" s="128"/>
      <c r="G10" s="128"/>
    </row>
    <row r="11" spans="1:7" ht="14" x14ac:dyDescent="0.45">
      <c r="A11" s="128" t="s">
        <v>1</v>
      </c>
      <c r="B11" s="128"/>
      <c r="C11" s="128"/>
      <c r="D11" s="128"/>
      <c r="E11" s="128"/>
      <c r="F11" s="128"/>
      <c r="G11" s="128"/>
    </row>
    <row r="12" spans="1:7" ht="14" x14ac:dyDescent="0.45">
      <c r="A12" s="128" t="s">
        <v>82</v>
      </c>
      <c r="B12" s="128"/>
      <c r="C12" s="128"/>
      <c r="D12" s="128"/>
      <c r="E12" s="128"/>
      <c r="F12" s="128"/>
      <c r="G12" s="128"/>
    </row>
    <row r="13" spans="1:7" ht="14" x14ac:dyDescent="0.45">
      <c r="A13" s="34"/>
      <c r="B13" s="34"/>
      <c r="C13" s="34"/>
      <c r="D13" s="34"/>
      <c r="E13" s="34"/>
      <c r="F13" s="34"/>
      <c r="G13" s="34"/>
    </row>
    <row r="14" spans="1:7" ht="14" x14ac:dyDescent="0.45">
      <c r="A14" s="34"/>
      <c r="B14" s="34"/>
      <c r="C14" s="129" t="s">
        <v>83</v>
      </c>
      <c r="D14" s="129"/>
      <c r="E14" s="34"/>
      <c r="F14" s="129" t="s">
        <v>84</v>
      </c>
      <c r="G14" s="129"/>
    </row>
    <row r="15" spans="1:7" ht="14" x14ac:dyDescent="0.45">
      <c r="A15" s="35"/>
      <c r="B15" s="35"/>
      <c r="C15" s="78" t="s">
        <v>85</v>
      </c>
      <c r="D15" s="79" t="s">
        <v>86</v>
      </c>
      <c r="E15" s="79"/>
      <c r="F15" s="78" t="s">
        <v>87</v>
      </c>
      <c r="G15" s="79" t="s">
        <v>88</v>
      </c>
    </row>
    <row r="16" spans="1:7" ht="14" x14ac:dyDescent="0.45">
      <c r="A16" s="30"/>
      <c r="B16" s="30"/>
      <c r="C16" s="36" t="s">
        <v>89</v>
      </c>
      <c r="D16" s="36" t="s">
        <v>90</v>
      </c>
      <c r="E16" s="36"/>
      <c r="F16" s="36" t="s">
        <v>91</v>
      </c>
      <c r="G16" s="36" t="s">
        <v>92</v>
      </c>
    </row>
    <row r="17" spans="1:7" ht="14" x14ac:dyDescent="0.45">
      <c r="A17" s="30"/>
      <c r="B17" s="30"/>
      <c r="C17" s="36"/>
      <c r="D17" s="36"/>
      <c r="E17" s="36"/>
    </row>
    <row r="18" spans="1:7" ht="14" x14ac:dyDescent="0.45">
      <c r="A18" s="37">
        <v>-1</v>
      </c>
      <c r="B18" s="30" t="s">
        <v>93</v>
      </c>
      <c r="C18" s="38">
        <f>'Exhibit 2, Page 3'!$H$56</f>
        <v>583.11</v>
      </c>
      <c r="D18" s="38">
        <f>'Exhibit 2, Page 3'!$I$56</f>
        <v>797.16000000000008</v>
      </c>
      <c r="E18" s="38"/>
      <c r="F18" s="38">
        <f>'Exhibit 2, Page 4'!$H$56</f>
        <v>857.52</v>
      </c>
      <c r="G18" s="38">
        <f>'Exhibit 2, Page 4'!$I$56</f>
        <v>1169.06</v>
      </c>
    </row>
    <row r="19" spans="1:7" ht="14" x14ac:dyDescent="0.45">
      <c r="A19" s="37"/>
      <c r="B19" s="30"/>
      <c r="C19" s="30"/>
      <c r="D19" s="30"/>
      <c r="E19" s="30"/>
      <c r="F19" s="30"/>
      <c r="G19" s="30"/>
    </row>
    <row r="20" spans="1:7" ht="14" x14ac:dyDescent="0.45">
      <c r="A20" s="37">
        <f>A18-1</f>
        <v>-2</v>
      </c>
      <c r="B20" s="30" t="s">
        <v>94</v>
      </c>
      <c r="C20" s="38">
        <f>'Exhibit 2, Page 3'!$D$56</f>
        <v>640.38</v>
      </c>
      <c r="D20" s="38">
        <f>'Exhibit 2, Page 3'!$E$56</f>
        <v>875.81</v>
      </c>
      <c r="E20" s="38"/>
      <c r="F20" s="38">
        <f>'Exhibit 2, Page 4'!$D$56</f>
        <v>942.2</v>
      </c>
      <c r="G20" s="38">
        <f>'Exhibit 2, Page 4'!$E$56</f>
        <v>1284.8599999999999</v>
      </c>
    </row>
    <row r="21" spans="1:7" ht="14" x14ac:dyDescent="0.45">
      <c r="A21" s="37"/>
      <c r="B21" s="30"/>
      <c r="C21" s="30"/>
      <c r="D21" s="30"/>
      <c r="E21" s="30"/>
      <c r="F21" s="30"/>
      <c r="G21" s="30"/>
    </row>
    <row r="22" spans="1:7" ht="14" x14ac:dyDescent="0.45">
      <c r="A22" s="37">
        <f>A20-1</f>
        <v>-3</v>
      </c>
      <c r="B22" s="30" t="s">
        <v>95</v>
      </c>
      <c r="C22" s="39">
        <f>C18-C20</f>
        <v>-57.269999999999982</v>
      </c>
      <c r="D22" s="39">
        <f>D18-D20</f>
        <v>-78.649999999999864</v>
      </c>
      <c r="E22" s="40"/>
      <c r="F22" s="39">
        <f>F18-F20</f>
        <v>-84.680000000000064</v>
      </c>
      <c r="G22" s="39">
        <f>G18-G20</f>
        <v>-115.79999999999995</v>
      </c>
    </row>
    <row r="23" spans="1:7" ht="14" x14ac:dyDescent="0.45">
      <c r="A23" s="41"/>
      <c r="B23" s="30"/>
      <c r="C23" s="42"/>
      <c r="D23" s="42"/>
      <c r="E23" s="43"/>
      <c r="F23" s="42"/>
      <c r="G23" s="42"/>
    </row>
    <row r="24" spans="1:7" ht="14" x14ac:dyDescent="0.45">
      <c r="A24" s="37">
        <f>A22-1</f>
        <v>-4</v>
      </c>
      <c r="B24" s="30" t="s">
        <v>96</v>
      </c>
      <c r="C24" s="44">
        <f>C22/C20</f>
        <v>-8.9431275180361633E-2</v>
      </c>
      <c r="D24" s="44">
        <f>D22/D20</f>
        <v>-8.9802582751966606E-2</v>
      </c>
      <c r="E24" s="45"/>
      <c r="F24" s="44">
        <f>F22/F20</f>
        <v>-8.9874761197198116E-2</v>
      </c>
      <c r="G24" s="44">
        <f>G22/G20</f>
        <v>-9.0126550752611154E-2</v>
      </c>
    </row>
    <row r="25" spans="1:7" ht="14" x14ac:dyDescent="0.45">
      <c r="A25" s="41"/>
      <c r="B25" s="30"/>
    </row>
    <row r="26" spans="1:7" ht="14" x14ac:dyDescent="0.45">
      <c r="A26" s="41"/>
      <c r="B26" s="30"/>
      <c r="C26" s="46"/>
      <c r="D26" s="46"/>
      <c r="F26" s="46"/>
      <c r="G26" s="46"/>
    </row>
    <row r="27" spans="1:7" ht="14" x14ac:dyDescent="0.45">
      <c r="A27" s="41"/>
      <c r="B27" s="30"/>
    </row>
    <row r="28" spans="1:7" ht="14" x14ac:dyDescent="0.45">
      <c r="A28" s="37" t="s">
        <v>97</v>
      </c>
      <c r="B28" s="30" t="s">
        <v>98</v>
      </c>
    </row>
    <row r="29" spans="1:7" ht="14" x14ac:dyDescent="0.45">
      <c r="A29" s="37" t="s">
        <v>99</v>
      </c>
      <c r="B29" s="30" t="s">
        <v>100</v>
      </c>
    </row>
    <row r="30" spans="1:7" ht="14" x14ac:dyDescent="0.45">
      <c r="A30" s="37" t="s">
        <v>101</v>
      </c>
      <c r="B30" s="30" t="s">
        <v>102</v>
      </c>
    </row>
    <row r="31" spans="1:7" ht="14" x14ac:dyDescent="0.45">
      <c r="A31" s="37" t="s">
        <v>103</v>
      </c>
      <c r="B31" s="30" t="s">
        <v>104</v>
      </c>
    </row>
    <row r="32" spans="1:7" ht="14" x14ac:dyDescent="0.45">
      <c r="A32" s="37" t="s">
        <v>105</v>
      </c>
      <c r="B32" s="30" t="s">
        <v>106</v>
      </c>
    </row>
    <row r="33" spans="1:2" ht="14" x14ac:dyDescent="0.45">
      <c r="A33" s="37" t="s">
        <v>107</v>
      </c>
      <c r="B33" s="30" t="s">
        <v>108</v>
      </c>
    </row>
    <row r="34" spans="1:2" ht="14" x14ac:dyDescent="0.45">
      <c r="A34" s="37" t="s">
        <v>109</v>
      </c>
      <c r="B34" s="30" t="s">
        <v>110</v>
      </c>
    </row>
    <row r="35" spans="1:2" ht="14" x14ac:dyDescent="0.45">
      <c r="A35" s="37" t="s">
        <v>111</v>
      </c>
      <c r="B35" s="30" t="s">
        <v>112</v>
      </c>
    </row>
    <row r="36" spans="1:2" ht="14" x14ac:dyDescent="0.45">
      <c r="A36" s="37">
        <v>-3</v>
      </c>
      <c r="B36" s="30" t="s">
        <v>113</v>
      </c>
    </row>
    <row r="37" spans="1:2" ht="14" x14ac:dyDescent="0.45">
      <c r="A37" s="37">
        <f t="shared" ref="A37" si="0">A36-1</f>
        <v>-4</v>
      </c>
      <c r="B37" s="30" t="s">
        <v>114</v>
      </c>
    </row>
    <row r="38" spans="1:2" x14ac:dyDescent="0.4">
      <c r="A38" s="31" t="s">
        <v>115</v>
      </c>
      <c r="B38" s="31" t="s">
        <v>116</v>
      </c>
    </row>
    <row r="39" spans="1:2" x14ac:dyDescent="0.4">
      <c r="A39" s="31" t="s">
        <v>117</v>
      </c>
      <c r="B39" s="31" t="s">
        <v>118</v>
      </c>
    </row>
    <row r="40" spans="1:2" x14ac:dyDescent="0.4">
      <c r="A40" s="31" t="s">
        <v>119</v>
      </c>
      <c r="B40" s="31" t="s">
        <v>120</v>
      </c>
    </row>
    <row r="41" spans="1:2" x14ac:dyDescent="0.4">
      <c r="A41" s="31" t="s">
        <v>121</v>
      </c>
      <c r="B41" s="31" t="s">
        <v>122</v>
      </c>
    </row>
    <row r="42" spans="1:2" x14ac:dyDescent="0.4">
      <c r="B42" s="127"/>
    </row>
    <row r="43" spans="1:2" x14ac:dyDescent="0.4">
      <c r="B43" s="127"/>
    </row>
    <row r="44" spans="1:2" x14ac:dyDescent="0.4">
      <c r="B44" s="127"/>
    </row>
    <row r="45" spans="1:2" x14ac:dyDescent="0.4">
      <c r="B45" s="127"/>
    </row>
  </sheetData>
  <mergeCells count="5">
    <mergeCell ref="A10:G10"/>
    <mergeCell ref="A11:G11"/>
    <mergeCell ref="A12:G12"/>
    <mergeCell ref="C14:D14"/>
    <mergeCell ref="F14:G14"/>
  </mergeCells>
  <pageMargins left="0.7" right="0.7" top="0.75" bottom="0.75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E3D2-0CEB-4481-9C1A-E71740333F0A}">
  <dimension ref="A1:M57"/>
  <sheetViews>
    <sheetView showGridLines="0" view="pageBreakPreview" zoomScale="80" zoomScaleNormal="100" zoomScaleSheetLayoutView="80" workbookViewId="0">
      <selection activeCell="C29" sqref="C29"/>
    </sheetView>
  </sheetViews>
  <sheetFormatPr defaultColWidth="9.265625" defaultRowHeight="12.7" x14ac:dyDescent="0.4"/>
  <cols>
    <col min="1" max="1" width="9" style="31" customWidth="1"/>
    <col min="2" max="2" width="82.3984375" style="31" customWidth="1"/>
    <col min="3" max="4" width="29.265625" style="31" bestFit="1" customWidth="1"/>
    <col min="5" max="5" width="3.3984375" style="31" customWidth="1"/>
    <col min="6" max="6" width="34.1328125" style="31" customWidth="1"/>
    <col min="7" max="7" width="28" style="31" customWidth="1"/>
    <col min="8" max="16384" width="9.265625" style="31"/>
  </cols>
  <sheetData>
    <row r="1" spans="1:7" ht="14" x14ac:dyDescent="0.45">
      <c r="A1" s="30"/>
      <c r="B1" s="30"/>
      <c r="G1" s="32" t="str">
        <f>'Exhibit 2, Page 1'!G1</f>
        <v>Massachusetts Electric Company</v>
      </c>
    </row>
    <row r="2" spans="1:7" ht="14" x14ac:dyDescent="0.45">
      <c r="A2" s="30"/>
      <c r="B2" s="30"/>
      <c r="G2" s="32" t="str">
        <f>'Exhibit 2, Page 1'!G2</f>
        <v>Nantucket Electric Company</v>
      </c>
    </row>
    <row r="3" spans="1:7" ht="14" x14ac:dyDescent="0.45">
      <c r="A3" s="30"/>
      <c r="B3" s="30"/>
      <c r="G3" s="32" t="str">
        <f>'Exhibit 2, Page 1'!G3</f>
        <v>d/b/a National Grid</v>
      </c>
    </row>
    <row r="4" spans="1:7" ht="14" x14ac:dyDescent="0.45">
      <c r="A4" s="30"/>
      <c r="B4" s="30"/>
      <c r="G4" s="32" t="str">
        <f>'Exhibit 2, Page 1'!G4</f>
        <v>D.P.U 26-71</v>
      </c>
    </row>
    <row r="5" spans="1:7" ht="14" x14ac:dyDescent="0.45">
      <c r="A5" s="30"/>
      <c r="B5" s="30"/>
      <c r="G5" s="32" t="str">
        <f>'Exhibit 2, Page 1'!G5</f>
        <v>Exhibit 2</v>
      </c>
    </row>
    <row r="6" spans="1:7" ht="14" x14ac:dyDescent="0.45">
      <c r="A6" s="30"/>
      <c r="B6" s="30"/>
      <c r="G6" s="32" t="s">
        <v>123</v>
      </c>
    </row>
    <row r="7" spans="1:7" ht="14" x14ac:dyDescent="0.45">
      <c r="A7" s="30"/>
      <c r="B7" s="30"/>
      <c r="G7" s="32" t="str">
        <f>'Exhibit 2, Page 1'!G7</f>
        <v>H.O. _______</v>
      </c>
    </row>
    <row r="8" spans="1:7" ht="14" x14ac:dyDescent="0.45">
      <c r="A8" s="30"/>
      <c r="B8" s="30"/>
      <c r="C8" s="33"/>
    </row>
    <row r="9" spans="1:7" ht="14" x14ac:dyDescent="0.45">
      <c r="A9" s="30"/>
      <c r="B9" s="30"/>
      <c r="C9" s="33"/>
    </row>
    <row r="10" spans="1:7" ht="14" x14ac:dyDescent="0.45">
      <c r="A10" s="128" t="s">
        <v>0</v>
      </c>
      <c r="B10" s="128"/>
      <c r="C10" s="128"/>
      <c r="D10" s="128"/>
      <c r="E10" s="128"/>
      <c r="F10" s="128"/>
      <c r="G10" s="128"/>
    </row>
    <row r="11" spans="1:7" ht="14" x14ac:dyDescent="0.45">
      <c r="A11" s="128" t="s">
        <v>1</v>
      </c>
      <c r="B11" s="128"/>
      <c r="C11" s="128"/>
      <c r="D11" s="128"/>
      <c r="E11" s="128"/>
      <c r="F11" s="128"/>
      <c r="G11" s="128"/>
    </row>
    <row r="12" spans="1:7" ht="14" x14ac:dyDescent="0.45">
      <c r="A12" s="128" t="s">
        <v>124</v>
      </c>
      <c r="B12" s="128"/>
      <c r="C12" s="128"/>
      <c r="D12" s="128"/>
      <c r="E12" s="128"/>
      <c r="F12" s="128"/>
      <c r="G12" s="128"/>
    </row>
    <row r="13" spans="1:7" ht="14" x14ac:dyDescent="0.45">
      <c r="A13" s="34"/>
      <c r="B13" s="34"/>
      <c r="C13" s="34"/>
      <c r="D13" s="34"/>
      <c r="E13" s="34"/>
      <c r="F13" s="34"/>
      <c r="G13" s="34"/>
    </row>
    <row r="14" spans="1:7" ht="14" x14ac:dyDescent="0.45">
      <c r="A14" s="35"/>
      <c r="B14" s="35"/>
      <c r="C14" s="129" t="s">
        <v>83</v>
      </c>
      <c r="D14" s="129"/>
      <c r="E14" s="34"/>
      <c r="F14" s="129" t="s">
        <v>84</v>
      </c>
      <c r="G14" s="129"/>
    </row>
    <row r="15" spans="1:7" ht="14" x14ac:dyDescent="0.45">
      <c r="A15" s="30"/>
      <c r="B15" s="30"/>
      <c r="C15" s="78" t="s">
        <v>85</v>
      </c>
      <c r="D15" s="79" t="s">
        <v>86</v>
      </c>
      <c r="E15" s="79"/>
      <c r="F15" s="78" t="s">
        <v>87</v>
      </c>
      <c r="G15" s="79" t="s">
        <v>88</v>
      </c>
    </row>
    <row r="16" spans="1:7" ht="14" x14ac:dyDescent="0.45">
      <c r="A16" s="30"/>
      <c r="B16" s="30"/>
      <c r="C16" s="36" t="s">
        <v>89</v>
      </c>
      <c r="D16" s="36" t="s">
        <v>90</v>
      </c>
      <c r="E16" s="36"/>
      <c r="F16" s="36" t="s">
        <v>91</v>
      </c>
      <c r="G16" s="36" t="s">
        <v>92</v>
      </c>
    </row>
    <row r="17" spans="1:13" ht="14" x14ac:dyDescent="0.45">
      <c r="A17" s="30"/>
      <c r="B17" s="30"/>
      <c r="C17" s="36"/>
      <c r="D17" s="36"/>
    </row>
    <row r="18" spans="1:13" ht="14" x14ac:dyDescent="0.45">
      <c r="A18" s="30"/>
      <c r="B18" s="30"/>
      <c r="C18" s="36"/>
      <c r="D18" s="36"/>
    </row>
    <row r="19" spans="1:13" ht="14" x14ac:dyDescent="0.45">
      <c r="A19" s="37">
        <v>-1</v>
      </c>
      <c r="B19" s="30" t="s">
        <v>125</v>
      </c>
      <c r="C19" s="38">
        <f>'Exhibit 2, Page 3'!H60</f>
        <v>396.51480000000004</v>
      </c>
      <c r="D19" s="38">
        <f>'Exhibit 2, Page 3'!I60</f>
        <v>542.06880000000001</v>
      </c>
      <c r="F19" s="38">
        <f>'Exhibit 2, Page 4'!H60</f>
        <v>583.11359999999991</v>
      </c>
      <c r="G19" s="47">
        <f>'Exhibit 2, Page 4'!I60</f>
        <v>794.96079999999995</v>
      </c>
    </row>
    <row r="20" spans="1:13" ht="14" x14ac:dyDescent="0.45">
      <c r="A20" s="37"/>
      <c r="B20" s="30"/>
      <c r="C20" s="30"/>
      <c r="F20" s="30"/>
    </row>
    <row r="21" spans="1:13" ht="14" x14ac:dyDescent="0.45">
      <c r="A21" s="37">
        <f>A19-1</f>
        <v>-2</v>
      </c>
      <c r="B21" s="30" t="s">
        <v>126</v>
      </c>
      <c r="C21" s="38">
        <f>'Exhibit 2, Page 3'!D60</f>
        <v>435.45839999999998</v>
      </c>
      <c r="D21" s="38">
        <f>'Exhibit 2, Page 3'!E60</f>
        <v>595.55079999999998</v>
      </c>
      <c r="F21" s="38">
        <f>'Exhibit 2, Page 4'!D60</f>
        <v>640.69600000000003</v>
      </c>
      <c r="G21" s="47">
        <f>'Exhibit 2, Page 4'!E60</f>
        <v>873.70479999999998</v>
      </c>
    </row>
    <row r="22" spans="1:13" ht="14" x14ac:dyDescent="0.45">
      <c r="A22" s="37"/>
      <c r="B22" s="30"/>
      <c r="C22" s="30"/>
      <c r="F22" s="30"/>
    </row>
    <row r="23" spans="1:13" ht="14" x14ac:dyDescent="0.45">
      <c r="A23" s="37">
        <f>A21-1</f>
        <v>-3</v>
      </c>
      <c r="B23" s="30" t="s">
        <v>127</v>
      </c>
      <c r="C23" s="39">
        <f>C19-C21</f>
        <v>-38.943599999999947</v>
      </c>
      <c r="D23" s="48">
        <f>D19-D21</f>
        <v>-53.481999999999971</v>
      </c>
      <c r="F23" s="39">
        <f>F19-F21</f>
        <v>-57.582400000000121</v>
      </c>
      <c r="G23" s="48">
        <f>G19-G21</f>
        <v>-78.744000000000028</v>
      </c>
    </row>
    <row r="24" spans="1:13" ht="14" x14ac:dyDescent="0.45">
      <c r="A24" s="41"/>
      <c r="B24" s="30"/>
      <c r="C24" s="42"/>
      <c r="D24" s="42"/>
      <c r="F24" s="42"/>
      <c r="G24" s="42"/>
    </row>
    <row r="25" spans="1:13" ht="14" x14ac:dyDescent="0.45">
      <c r="A25" s="37">
        <f>A23-1</f>
        <v>-4</v>
      </c>
      <c r="B25" s="30" t="s">
        <v>128</v>
      </c>
      <c r="C25" s="44">
        <f>C23/C21</f>
        <v>-8.9431275180361536E-2</v>
      </c>
      <c r="D25" s="44">
        <f>D23/D21</f>
        <v>-8.9802582751966703E-2</v>
      </c>
      <c r="F25" s="44">
        <f>F23/F21</f>
        <v>-8.9874761197198227E-2</v>
      </c>
      <c r="G25" s="44">
        <f>G23/G21</f>
        <v>-9.0126550752611209E-2</v>
      </c>
    </row>
    <row r="26" spans="1:13" ht="14" x14ac:dyDescent="0.45">
      <c r="A26" s="37"/>
      <c r="B26" s="30"/>
      <c r="C26" s="44"/>
      <c r="D26" s="44"/>
      <c r="F26" s="44"/>
      <c r="G26" s="44"/>
    </row>
    <row r="27" spans="1:13" ht="14" x14ac:dyDescent="0.45">
      <c r="A27" s="37">
        <f>A25-1</f>
        <v>-5</v>
      </c>
      <c r="B27" s="30" t="s">
        <v>129</v>
      </c>
      <c r="C27" s="38">
        <f>'Exhibit 2, Page 3'!H64</f>
        <v>52.47989999999993</v>
      </c>
      <c r="D27" s="38">
        <f>'Exhibit 2, Page 3'!I64</f>
        <v>71.744399999999928</v>
      </c>
      <c r="E27" s="38"/>
      <c r="F27" s="38">
        <f>'Exhibit 2, Page 4'!H64</f>
        <v>77.176799999999957</v>
      </c>
      <c r="G27" s="38">
        <f>'Exhibit 2, Page 4'!I64</f>
        <v>105.21540000000005</v>
      </c>
      <c r="H27" s="38"/>
      <c r="I27" s="38"/>
      <c r="J27" s="38"/>
      <c r="K27" s="38"/>
      <c r="L27" s="38"/>
      <c r="M27" s="38"/>
    </row>
    <row r="28" spans="1:13" ht="14" x14ac:dyDescent="0.45">
      <c r="A28" s="37"/>
      <c r="B28" s="30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ht="14" x14ac:dyDescent="0.45">
      <c r="A29" s="37">
        <f>A27-1</f>
        <v>-6</v>
      </c>
      <c r="B29" s="30" t="s">
        <v>130</v>
      </c>
      <c r="C29" s="38">
        <f>'Exhibit 2, Page 3'!D64</f>
        <v>57.634199999999964</v>
      </c>
      <c r="D29" s="38">
        <f>'Exhibit 2, Page 3'!E64</f>
        <v>78.822900000000004</v>
      </c>
      <c r="E29" s="38"/>
      <c r="F29" s="38">
        <f>'Exhibit 2, Page 4'!D64</f>
        <v>84.798000000000002</v>
      </c>
      <c r="G29" s="38">
        <f>'Exhibit 2, Page 4'!E64</f>
        <v>115.63739999999984</v>
      </c>
      <c r="H29" s="38"/>
      <c r="I29" s="38"/>
      <c r="J29" s="38"/>
      <c r="K29" s="38"/>
      <c r="L29" s="38"/>
      <c r="M29" s="38"/>
    </row>
    <row r="30" spans="1:13" ht="14" x14ac:dyDescent="0.45">
      <c r="A30" s="37"/>
      <c r="B30" s="30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4" x14ac:dyDescent="0.45">
      <c r="A31" s="37">
        <f>A29-1</f>
        <v>-7</v>
      </c>
      <c r="B31" s="30" t="s">
        <v>131</v>
      </c>
      <c r="C31" s="39">
        <f>C27-C29</f>
        <v>-5.1543000000000347</v>
      </c>
      <c r="D31" s="39">
        <f>D27-D29</f>
        <v>-7.0785000000000764</v>
      </c>
      <c r="E31" s="39"/>
      <c r="F31" s="39">
        <f>F27-F29</f>
        <v>-7.6212000000000444</v>
      </c>
      <c r="G31" s="39">
        <f>G27-G29</f>
        <v>-10.421999999999798</v>
      </c>
      <c r="H31" s="39"/>
      <c r="I31" s="39"/>
      <c r="J31" s="39"/>
      <c r="K31" s="39"/>
      <c r="L31" s="39"/>
      <c r="M31" s="39"/>
    </row>
    <row r="32" spans="1:13" ht="14" x14ac:dyDescent="0.45">
      <c r="A32" s="37"/>
      <c r="B32" s="30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4" x14ac:dyDescent="0.45">
      <c r="A33" s="37">
        <f>A31-1</f>
        <v>-8</v>
      </c>
      <c r="B33" s="30" t="s">
        <v>132</v>
      </c>
      <c r="C33" s="44">
        <f>C31/C29</f>
        <v>-8.9431275180362313E-2</v>
      </c>
      <c r="D33" s="44">
        <f>D31/D29</f>
        <v>-8.9802582751967716E-2</v>
      </c>
      <c r="E33" s="44"/>
      <c r="F33" s="44">
        <f>F31/F29</f>
        <v>-8.9874761197198574E-2</v>
      </c>
      <c r="G33" s="44">
        <f>G31/G29</f>
        <v>-9.0126550752609558E-2</v>
      </c>
      <c r="H33" s="44"/>
      <c r="I33" s="44"/>
      <c r="J33" s="44"/>
      <c r="K33" s="44"/>
      <c r="L33" s="44"/>
      <c r="M33" s="44"/>
    </row>
    <row r="34" spans="1:13" ht="14" x14ac:dyDescent="0.45">
      <c r="A34" s="41"/>
      <c r="B34" s="30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 ht="14" x14ac:dyDescent="0.45">
      <c r="A35" s="41"/>
      <c r="B35" s="30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4" x14ac:dyDescent="0.45">
      <c r="A36" s="37" t="s">
        <v>97</v>
      </c>
      <c r="B36" s="30" t="s">
        <v>133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1:13" ht="14" x14ac:dyDescent="0.45">
      <c r="A37" s="37" t="s">
        <v>99</v>
      </c>
      <c r="B37" s="30" t="s">
        <v>134</v>
      </c>
    </row>
    <row r="38" spans="1:13" ht="14" x14ac:dyDescent="0.45">
      <c r="A38" s="37" t="s">
        <v>101</v>
      </c>
      <c r="B38" s="30" t="s">
        <v>135</v>
      </c>
    </row>
    <row r="39" spans="1:13" ht="14" x14ac:dyDescent="0.45">
      <c r="A39" s="37" t="s">
        <v>103</v>
      </c>
      <c r="B39" s="30" t="s">
        <v>136</v>
      </c>
    </row>
    <row r="40" spans="1:13" ht="14" x14ac:dyDescent="0.45">
      <c r="A40" s="37" t="s">
        <v>105</v>
      </c>
      <c r="B40" s="30" t="s">
        <v>137</v>
      </c>
    </row>
    <row r="41" spans="1:13" ht="14" x14ac:dyDescent="0.45">
      <c r="A41" s="37" t="s">
        <v>107</v>
      </c>
      <c r="B41" s="30" t="s">
        <v>138</v>
      </c>
    </row>
    <row r="42" spans="1:13" ht="14" x14ac:dyDescent="0.45">
      <c r="A42" s="37" t="s">
        <v>109</v>
      </c>
      <c r="B42" s="30" t="s">
        <v>139</v>
      </c>
    </row>
    <row r="43" spans="1:13" ht="14" x14ac:dyDescent="0.45">
      <c r="A43" s="37" t="s">
        <v>111</v>
      </c>
      <c r="B43" s="30" t="s">
        <v>140</v>
      </c>
    </row>
    <row r="44" spans="1:13" ht="14" x14ac:dyDescent="0.45">
      <c r="A44" s="37">
        <v>-3</v>
      </c>
      <c r="B44" s="30" t="s">
        <v>113</v>
      </c>
    </row>
    <row r="45" spans="1:13" ht="14" x14ac:dyDescent="0.45">
      <c r="A45" s="37">
        <f t="shared" ref="A45" si="0">A44-1</f>
        <v>-4</v>
      </c>
      <c r="B45" s="30" t="s">
        <v>114</v>
      </c>
    </row>
    <row r="46" spans="1:13" ht="14" x14ac:dyDescent="0.45">
      <c r="A46" s="100" t="s">
        <v>141</v>
      </c>
      <c r="B46" s="30" t="s">
        <v>142</v>
      </c>
    </row>
    <row r="47" spans="1:13" ht="14" x14ac:dyDescent="0.45">
      <c r="A47" s="100" t="s">
        <v>143</v>
      </c>
      <c r="B47" s="30" t="s">
        <v>144</v>
      </c>
    </row>
    <row r="48" spans="1:13" ht="14" x14ac:dyDescent="0.45">
      <c r="A48" s="100" t="s">
        <v>145</v>
      </c>
      <c r="B48" s="30" t="s">
        <v>146</v>
      </c>
    </row>
    <row r="49" spans="1:2" ht="14" x14ac:dyDescent="0.45">
      <c r="A49" s="100" t="s">
        <v>147</v>
      </c>
      <c r="B49" s="30" t="s">
        <v>148</v>
      </c>
    </row>
    <row r="50" spans="1:2" ht="14" x14ac:dyDescent="0.45">
      <c r="A50" s="37" t="s">
        <v>149</v>
      </c>
      <c r="B50" s="30" t="s">
        <v>150</v>
      </c>
    </row>
    <row r="51" spans="1:2" ht="14" x14ac:dyDescent="0.45">
      <c r="A51" s="37" t="s">
        <v>151</v>
      </c>
      <c r="B51" s="30" t="s">
        <v>152</v>
      </c>
    </row>
    <row r="52" spans="1:2" ht="14" x14ac:dyDescent="0.45">
      <c r="A52" s="37" t="s">
        <v>153</v>
      </c>
      <c r="B52" s="30" t="s">
        <v>154</v>
      </c>
    </row>
    <row r="53" spans="1:2" ht="14" x14ac:dyDescent="0.45">
      <c r="A53" s="37" t="s">
        <v>155</v>
      </c>
      <c r="B53" s="30" t="s">
        <v>156</v>
      </c>
    </row>
    <row r="54" spans="1:2" x14ac:dyDescent="0.4">
      <c r="A54" s="31" t="s">
        <v>115</v>
      </c>
      <c r="B54" s="31" t="s">
        <v>116</v>
      </c>
    </row>
    <row r="55" spans="1:2" x14ac:dyDescent="0.4">
      <c r="A55" s="31" t="s">
        <v>117</v>
      </c>
      <c r="B55" s="31" t="s">
        <v>118</v>
      </c>
    </row>
    <row r="56" spans="1:2" x14ac:dyDescent="0.4">
      <c r="A56" s="31" t="s">
        <v>119</v>
      </c>
      <c r="B56" s="31" t="s">
        <v>120</v>
      </c>
    </row>
    <row r="57" spans="1:2" x14ac:dyDescent="0.4">
      <c r="A57" s="31" t="s">
        <v>121</v>
      </c>
      <c r="B57" s="31" t="s">
        <v>122</v>
      </c>
    </row>
  </sheetData>
  <mergeCells count="5">
    <mergeCell ref="A10:G10"/>
    <mergeCell ref="A11:G11"/>
    <mergeCell ref="A12:G12"/>
    <mergeCell ref="C14:D14"/>
    <mergeCell ref="F14:G14"/>
  </mergeCells>
  <pageMargins left="0.7" right="0.7" top="0.75" bottom="0.75" header="0.3" footer="0.3"/>
  <pageSetup scale="4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F163-5C70-42BC-A394-A9D9F53A6322}">
  <dimension ref="A1:J74"/>
  <sheetViews>
    <sheetView showGridLines="0" view="pageBreakPreview" zoomScale="80" zoomScaleNormal="80" zoomScaleSheetLayoutView="80" workbookViewId="0">
      <pane xSplit="1" ySplit="16" topLeftCell="B17" activePane="bottomRight" state="frozen"/>
      <selection activeCell="C29" sqref="C29"/>
      <selection pane="topRight" activeCell="C29" sqref="C29"/>
      <selection pane="bottomLeft" activeCell="C29" sqref="C29"/>
      <selection pane="bottomRight" activeCell="C29" sqref="C29"/>
    </sheetView>
  </sheetViews>
  <sheetFormatPr defaultColWidth="9.265625" defaultRowHeight="14" x14ac:dyDescent="0.45"/>
  <cols>
    <col min="1" max="1" width="15.1328125" style="30" customWidth="1"/>
    <col min="2" max="2" width="62.86328125" style="30" bestFit="1" customWidth="1"/>
    <col min="3" max="3" width="16.59765625" style="30" bestFit="1" customWidth="1"/>
    <col min="4" max="4" width="34.73046875" style="30" bestFit="1" customWidth="1"/>
    <col min="5" max="5" width="34.73046875" style="30" customWidth="1"/>
    <col min="6" max="6" width="2.265625" style="30" customWidth="1"/>
    <col min="7" max="7" width="17.86328125" style="30" customWidth="1"/>
    <col min="8" max="8" width="44.1328125" style="30" bestFit="1" customWidth="1"/>
    <col min="9" max="9" width="31.73046875" style="30" bestFit="1" customWidth="1"/>
    <col min="10" max="16384" width="9.265625" style="30"/>
  </cols>
  <sheetData>
    <row r="1" spans="1:9" x14ac:dyDescent="0.45">
      <c r="A1" s="49"/>
      <c r="B1" s="49"/>
      <c r="C1" s="49"/>
      <c r="E1" s="50"/>
      <c r="F1" s="50"/>
      <c r="G1" s="50"/>
      <c r="I1" s="32" t="str">
        <f>'Exhibit 2, Page 2'!G1</f>
        <v>Massachusetts Electric Company</v>
      </c>
    </row>
    <row r="2" spans="1:9" x14ac:dyDescent="0.45">
      <c r="A2" s="49"/>
      <c r="B2" s="49"/>
      <c r="C2" s="49"/>
      <c r="E2" s="50"/>
      <c r="F2" s="50"/>
      <c r="G2" s="50"/>
      <c r="I2" s="32" t="str">
        <f>'Exhibit 2, Page 2'!G2</f>
        <v>Nantucket Electric Company</v>
      </c>
    </row>
    <row r="3" spans="1:9" x14ac:dyDescent="0.45">
      <c r="A3" s="49"/>
      <c r="B3" s="49"/>
      <c r="C3" s="49"/>
      <c r="E3" s="50"/>
      <c r="F3" s="50"/>
      <c r="G3" s="50"/>
      <c r="I3" s="32" t="str">
        <f>'Exhibit 2, Page 2'!G3</f>
        <v>d/b/a National Grid</v>
      </c>
    </row>
    <row r="4" spans="1:9" x14ac:dyDescent="0.45">
      <c r="A4" s="49"/>
      <c r="B4" s="49"/>
      <c r="C4" s="49"/>
      <c r="E4" s="50"/>
      <c r="F4" s="50"/>
      <c r="G4" s="50"/>
      <c r="I4" s="32" t="str">
        <f>'Exhibit 2, Page 2'!G4</f>
        <v>D.P.U 26-71</v>
      </c>
    </row>
    <row r="5" spans="1:9" x14ac:dyDescent="0.45">
      <c r="A5" s="49"/>
      <c r="B5" s="49"/>
      <c r="C5" s="49"/>
      <c r="E5" s="50"/>
      <c r="F5" s="50"/>
      <c r="G5" s="50"/>
      <c r="I5" s="32" t="str">
        <f>'Exhibit 2, Page 2'!G5</f>
        <v>Exhibit 2</v>
      </c>
    </row>
    <row r="6" spans="1:9" x14ac:dyDescent="0.45">
      <c r="A6" s="49"/>
      <c r="B6" s="49"/>
      <c r="C6" s="49"/>
      <c r="E6" s="50"/>
      <c r="F6" s="50"/>
      <c r="G6" s="50"/>
      <c r="I6" s="50" t="s">
        <v>157</v>
      </c>
    </row>
    <row r="7" spans="1:9" x14ac:dyDescent="0.45">
      <c r="A7" s="49"/>
      <c r="B7" s="49"/>
      <c r="C7" s="49"/>
      <c r="E7" s="50"/>
      <c r="F7" s="50"/>
      <c r="G7" s="50"/>
      <c r="I7" s="50" t="str">
        <f>'Exhibit 2, Page 2'!G7</f>
        <v>H.O. _______</v>
      </c>
    </row>
    <row r="8" spans="1:9" x14ac:dyDescent="0.45">
      <c r="A8" s="49"/>
      <c r="B8" s="49"/>
      <c r="C8" s="49"/>
      <c r="D8" s="51"/>
      <c r="E8" s="51"/>
      <c r="F8" s="51"/>
      <c r="G8" s="51"/>
    </row>
    <row r="9" spans="1:9" x14ac:dyDescent="0.45">
      <c r="A9" s="130" t="s">
        <v>0</v>
      </c>
      <c r="B9" s="130"/>
      <c r="C9" s="130"/>
      <c r="D9" s="130"/>
      <c r="E9" s="130"/>
      <c r="F9" s="130"/>
      <c r="G9" s="130"/>
      <c r="H9" s="130"/>
      <c r="I9" s="130"/>
    </row>
    <row r="10" spans="1:9" x14ac:dyDescent="0.45">
      <c r="A10" s="130" t="s">
        <v>1</v>
      </c>
      <c r="B10" s="130"/>
      <c r="C10" s="130"/>
      <c r="D10" s="130"/>
      <c r="E10" s="130"/>
      <c r="F10" s="130"/>
      <c r="G10" s="130"/>
      <c r="H10" s="130"/>
      <c r="I10" s="130"/>
    </row>
    <row r="11" spans="1:9" x14ac:dyDescent="0.45">
      <c r="A11" s="130" t="s">
        <v>158</v>
      </c>
      <c r="B11" s="130"/>
      <c r="C11" s="130"/>
      <c r="D11" s="130"/>
      <c r="E11" s="130"/>
      <c r="F11" s="130"/>
      <c r="G11" s="130"/>
      <c r="H11" s="130"/>
      <c r="I11" s="130"/>
    </row>
    <row r="12" spans="1:9" x14ac:dyDescent="0.45">
      <c r="A12" s="53"/>
      <c r="B12" s="53"/>
      <c r="C12" s="53"/>
      <c r="D12" s="53"/>
      <c r="E12" s="53"/>
      <c r="F12" s="53"/>
      <c r="G12" s="53"/>
    </row>
    <row r="13" spans="1:9" x14ac:dyDescent="0.45">
      <c r="A13" s="49"/>
      <c r="B13" s="49"/>
      <c r="C13" s="131" t="s">
        <v>159</v>
      </c>
      <c r="D13" s="131"/>
      <c r="E13" s="131"/>
      <c r="F13" s="54"/>
      <c r="G13" s="131" t="s">
        <v>160</v>
      </c>
      <c r="H13" s="131"/>
      <c r="I13" s="131"/>
    </row>
    <row r="14" spans="1:9" x14ac:dyDescent="0.45">
      <c r="A14" s="49"/>
      <c r="B14" s="49"/>
      <c r="C14" s="55" t="s">
        <v>161</v>
      </c>
      <c r="D14" s="56"/>
      <c r="E14" s="56"/>
      <c r="F14" s="56"/>
      <c r="G14" s="55" t="s">
        <v>161</v>
      </c>
      <c r="H14" s="56"/>
    </row>
    <row r="15" spans="1:9" x14ac:dyDescent="0.45">
      <c r="A15" s="57"/>
      <c r="B15" s="58"/>
      <c r="C15" s="59" t="s">
        <v>50</v>
      </c>
      <c r="D15" s="60" t="s">
        <v>162</v>
      </c>
      <c r="E15" s="60" t="s">
        <v>163</v>
      </c>
      <c r="F15" s="60"/>
      <c r="G15" s="59" t="s">
        <v>50</v>
      </c>
      <c r="H15" s="60" t="s">
        <v>162</v>
      </c>
      <c r="I15" s="60" t="s">
        <v>163</v>
      </c>
    </row>
    <row r="16" spans="1:9" x14ac:dyDescent="0.45">
      <c r="A16" s="57"/>
      <c r="B16" s="61"/>
      <c r="C16" s="62" t="s">
        <v>89</v>
      </c>
      <c r="D16" s="55" t="s">
        <v>90</v>
      </c>
      <c r="E16" s="55" t="s">
        <v>91</v>
      </c>
      <c r="F16" s="55"/>
      <c r="G16" s="55" t="s">
        <v>92</v>
      </c>
      <c r="H16" s="55" t="s">
        <v>164</v>
      </c>
      <c r="I16" s="55" t="s">
        <v>165</v>
      </c>
    </row>
    <row r="17" spans="1:9" x14ac:dyDescent="0.45">
      <c r="A17" s="57"/>
      <c r="B17" s="61"/>
      <c r="C17" s="59"/>
      <c r="D17" s="60"/>
      <c r="E17" s="60"/>
      <c r="F17" s="60"/>
      <c r="G17" s="60"/>
    </row>
    <row r="18" spans="1:9" x14ac:dyDescent="0.45">
      <c r="A18" s="57"/>
      <c r="B18" s="63" t="s">
        <v>166</v>
      </c>
      <c r="C18" s="49"/>
      <c r="D18" s="49"/>
      <c r="E18" s="49"/>
      <c r="F18" s="49"/>
      <c r="G18" s="49"/>
    </row>
    <row r="19" spans="1:9" x14ac:dyDescent="0.45">
      <c r="A19" s="57">
        <v>-1</v>
      </c>
      <c r="B19" s="49" t="s">
        <v>167</v>
      </c>
      <c r="C19" s="49"/>
      <c r="D19" s="64">
        <v>10</v>
      </c>
      <c r="E19" s="64">
        <f>D19</f>
        <v>10</v>
      </c>
      <c r="F19" s="64"/>
      <c r="G19" s="64"/>
      <c r="H19" s="38">
        <f>D19</f>
        <v>10</v>
      </c>
      <c r="I19" s="64">
        <f>H19</f>
        <v>10</v>
      </c>
    </row>
    <row r="20" spans="1:9" x14ac:dyDescent="0.45">
      <c r="A20" s="57">
        <f>+A19-1</f>
        <v>-2</v>
      </c>
      <c r="B20" s="49" t="s">
        <v>168</v>
      </c>
      <c r="C20" s="65">
        <v>6.6769999999999996E-2</v>
      </c>
      <c r="D20" s="64"/>
      <c r="E20" s="64"/>
      <c r="F20" s="64"/>
      <c r="G20" s="65">
        <f>C20</f>
        <v>6.6769999999999996E-2</v>
      </c>
      <c r="I20" s="64"/>
    </row>
    <row r="21" spans="1:9" x14ac:dyDescent="0.45">
      <c r="A21" s="57">
        <f>+A20-1</f>
        <v>-3</v>
      </c>
      <c r="B21" s="49" t="s">
        <v>169</v>
      </c>
      <c r="C21" s="65">
        <v>5.1000000000000004E-4</v>
      </c>
      <c r="D21" s="64"/>
      <c r="E21" s="64"/>
      <c r="F21" s="64"/>
      <c r="G21" s="65">
        <f t="shared" ref="G21:G35" si="0">C21</f>
        <v>5.1000000000000004E-4</v>
      </c>
      <c r="I21" s="64"/>
    </row>
    <row r="22" spans="1:9" x14ac:dyDescent="0.45">
      <c r="A22" s="57">
        <f t="shared" ref="A22:A37" si="1">+A21-1</f>
        <v>-4</v>
      </c>
      <c r="B22" s="49" t="s">
        <v>170</v>
      </c>
      <c r="C22" s="65">
        <v>2.3890000000000002E-2</v>
      </c>
      <c r="D22" s="64"/>
      <c r="E22" s="64"/>
      <c r="F22" s="64"/>
      <c r="G22" s="65">
        <f t="shared" si="0"/>
        <v>2.3890000000000002E-2</v>
      </c>
      <c r="I22" s="64"/>
    </row>
    <row r="23" spans="1:9" x14ac:dyDescent="0.45">
      <c r="A23" s="57">
        <f t="shared" si="1"/>
        <v>-5</v>
      </c>
      <c r="B23" s="49" t="s">
        <v>171</v>
      </c>
      <c r="C23" s="65">
        <v>4.0600000000000002E-3</v>
      </c>
      <c r="D23" s="64"/>
      <c r="E23" s="64"/>
      <c r="F23" s="64"/>
      <c r="G23" s="65">
        <f t="shared" si="0"/>
        <v>4.0600000000000002E-3</v>
      </c>
      <c r="I23" s="64"/>
    </row>
    <row r="24" spans="1:9" x14ac:dyDescent="0.45">
      <c r="A24" s="57">
        <f t="shared" si="1"/>
        <v>-6</v>
      </c>
      <c r="B24" s="49" t="s">
        <v>172</v>
      </c>
      <c r="C24" s="65">
        <v>2.0000000000000001E-4</v>
      </c>
      <c r="D24" s="64"/>
      <c r="E24" s="64"/>
      <c r="F24" s="64"/>
      <c r="G24" s="65">
        <f t="shared" si="0"/>
        <v>2.0000000000000001E-4</v>
      </c>
      <c r="I24" s="64"/>
    </row>
    <row r="25" spans="1:9" x14ac:dyDescent="0.45">
      <c r="A25" s="57">
        <f t="shared" si="1"/>
        <v>-7</v>
      </c>
      <c r="B25" s="49" t="s">
        <v>173</v>
      </c>
      <c r="C25" s="65">
        <v>-2.81E-3</v>
      </c>
      <c r="D25" s="64"/>
      <c r="E25" s="64"/>
      <c r="F25" s="64"/>
      <c r="G25" s="65">
        <f t="shared" si="0"/>
        <v>-2.81E-3</v>
      </c>
      <c r="I25" s="64"/>
    </row>
    <row r="26" spans="1:9" x14ac:dyDescent="0.45">
      <c r="A26" s="57">
        <f t="shared" si="1"/>
        <v>-8</v>
      </c>
      <c r="B26" s="49" t="s">
        <v>174</v>
      </c>
      <c r="C26" s="65">
        <v>2.0000000000000002E-5</v>
      </c>
      <c r="D26" s="64"/>
      <c r="E26" s="64"/>
      <c r="F26" s="64"/>
      <c r="G26" s="65">
        <f t="shared" si="0"/>
        <v>2.0000000000000002E-5</v>
      </c>
      <c r="I26" s="64"/>
    </row>
    <row r="27" spans="1:9" x14ac:dyDescent="0.45">
      <c r="A27" s="57">
        <f t="shared" si="1"/>
        <v>-9</v>
      </c>
      <c r="B27" s="49" t="s">
        <v>175</v>
      </c>
      <c r="C27" s="65">
        <v>-3.5E-4</v>
      </c>
      <c r="D27" s="64"/>
      <c r="E27" s="64"/>
      <c r="F27" s="64"/>
      <c r="G27" s="65">
        <f t="shared" si="0"/>
        <v>-3.5E-4</v>
      </c>
      <c r="I27" s="64"/>
    </row>
    <row r="28" spans="1:9" x14ac:dyDescent="0.45">
      <c r="A28" s="57">
        <f t="shared" si="1"/>
        <v>-10</v>
      </c>
      <c r="B28" s="49" t="s">
        <v>176</v>
      </c>
      <c r="C28" s="65">
        <v>0</v>
      </c>
      <c r="D28" s="64"/>
      <c r="E28" s="64"/>
      <c r="F28" s="64"/>
      <c r="G28" s="65">
        <f t="shared" si="0"/>
        <v>0</v>
      </c>
      <c r="I28" s="64"/>
    </row>
    <row r="29" spans="1:9" x14ac:dyDescent="0.45">
      <c r="A29" s="57">
        <f>A28-1</f>
        <v>-11</v>
      </c>
      <c r="B29" s="49" t="s">
        <v>177</v>
      </c>
      <c r="C29" s="65">
        <v>2.2000000000000001E-4</v>
      </c>
      <c r="D29" s="64"/>
      <c r="E29" s="64"/>
      <c r="F29" s="64"/>
      <c r="G29" s="65">
        <f t="shared" si="0"/>
        <v>2.2000000000000001E-4</v>
      </c>
      <c r="I29" s="64"/>
    </row>
    <row r="30" spans="1:9" x14ac:dyDescent="0.45">
      <c r="A30" s="57">
        <f t="shared" si="1"/>
        <v>-12</v>
      </c>
      <c r="B30" s="49" t="s">
        <v>178</v>
      </c>
      <c r="C30" s="65">
        <v>0</v>
      </c>
      <c r="D30" s="64"/>
      <c r="E30" s="64"/>
      <c r="F30" s="64"/>
      <c r="G30" s="65">
        <f t="shared" si="0"/>
        <v>0</v>
      </c>
      <c r="I30" s="64"/>
    </row>
    <row r="31" spans="1:9" x14ac:dyDescent="0.45">
      <c r="A31" s="57">
        <f t="shared" si="1"/>
        <v>-13</v>
      </c>
      <c r="B31" s="49" t="s">
        <v>179</v>
      </c>
      <c r="C31" s="65">
        <v>6.0000000000000002E-5</v>
      </c>
      <c r="D31" s="64"/>
      <c r="E31" s="64"/>
      <c r="F31" s="64"/>
      <c r="G31" s="65">
        <f t="shared" si="0"/>
        <v>6.0000000000000002E-5</v>
      </c>
      <c r="I31" s="64"/>
    </row>
    <row r="32" spans="1:9" x14ac:dyDescent="0.45">
      <c r="A32" s="57">
        <f t="shared" si="1"/>
        <v>-14</v>
      </c>
      <c r="B32" s="49" t="s">
        <v>180</v>
      </c>
      <c r="C32" s="65">
        <v>3.9899999999999996E-3</v>
      </c>
      <c r="D32" s="64"/>
      <c r="E32" s="64"/>
      <c r="F32" s="64"/>
      <c r="G32" s="65">
        <f t="shared" si="0"/>
        <v>3.9899999999999996E-3</v>
      </c>
      <c r="I32" s="64"/>
    </row>
    <row r="33" spans="1:9" x14ac:dyDescent="0.45">
      <c r="A33" s="57">
        <f t="shared" si="1"/>
        <v>-15</v>
      </c>
      <c r="B33" s="49" t="s">
        <v>181</v>
      </c>
      <c r="C33" s="65">
        <v>2.14E-3</v>
      </c>
      <c r="D33" s="64"/>
      <c r="E33" s="64"/>
      <c r="F33" s="64"/>
      <c r="G33" s="65">
        <f t="shared" si="0"/>
        <v>2.14E-3</v>
      </c>
      <c r="I33" s="64"/>
    </row>
    <row r="34" spans="1:9" x14ac:dyDescent="0.45">
      <c r="A34" s="57">
        <f t="shared" si="1"/>
        <v>-16</v>
      </c>
      <c r="B34" s="49" t="s">
        <v>182</v>
      </c>
      <c r="C34" s="65">
        <v>3.1800000000000001E-3</v>
      </c>
      <c r="D34" s="64"/>
      <c r="E34" s="64"/>
      <c r="F34" s="64"/>
      <c r="G34" s="65">
        <f t="shared" si="0"/>
        <v>3.1800000000000001E-3</v>
      </c>
      <c r="I34" s="64"/>
    </row>
    <row r="35" spans="1:9" x14ac:dyDescent="0.45">
      <c r="A35" s="57">
        <f t="shared" si="1"/>
        <v>-17</v>
      </c>
      <c r="B35" s="49" t="s">
        <v>183</v>
      </c>
      <c r="C35" s="65">
        <v>2.5999999999999998E-4</v>
      </c>
      <c r="D35" s="64"/>
      <c r="E35" s="64"/>
      <c r="F35" s="64"/>
      <c r="G35" s="65">
        <f t="shared" si="0"/>
        <v>2.5999999999999998E-4</v>
      </c>
      <c r="I35" s="64"/>
    </row>
    <row r="36" spans="1:9" x14ac:dyDescent="0.45">
      <c r="A36" s="57">
        <f t="shared" si="1"/>
        <v>-18</v>
      </c>
      <c r="B36" s="49" t="s">
        <v>184</v>
      </c>
      <c r="C36" s="65">
        <v>1.56E-3</v>
      </c>
      <c r="D36" s="64"/>
      <c r="E36" s="64"/>
      <c r="F36" s="64"/>
      <c r="G36" s="65">
        <f>C36</f>
        <v>1.56E-3</v>
      </c>
      <c r="I36" s="64"/>
    </row>
    <row r="37" spans="1:9" x14ac:dyDescent="0.45">
      <c r="A37" s="57">
        <f t="shared" si="1"/>
        <v>-19</v>
      </c>
      <c r="B37" s="49" t="s">
        <v>185</v>
      </c>
      <c r="C37" s="65">
        <v>6.5799999999999999E-3</v>
      </c>
      <c r="D37" s="64"/>
      <c r="E37" s="64"/>
      <c r="F37" s="64"/>
      <c r="G37" s="65">
        <f>C37</f>
        <v>6.5799999999999999E-3</v>
      </c>
      <c r="I37" s="64"/>
    </row>
    <row r="38" spans="1:9" x14ac:dyDescent="0.45">
      <c r="A38" s="57">
        <f>A37-1</f>
        <v>-20</v>
      </c>
      <c r="B38" s="49" t="s">
        <v>186</v>
      </c>
      <c r="C38" s="65">
        <f>SUM(C20:C37)</f>
        <v>0.11028000000000002</v>
      </c>
      <c r="D38" s="64">
        <f>ROUND(C38*1652,2)</f>
        <v>182.18</v>
      </c>
      <c r="E38" s="64">
        <f>ROUND(C38*2269,2)</f>
        <v>250.23</v>
      </c>
      <c r="F38" s="64"/>
      <c r="G38" s="65">
        <f>SUM(G20:G37)</f>
        <v>0.11028000000000002</v>
      </c>
      <c r="H38" s="64">
        <f>ROUND(G38*1652,2)</f>
        <v>182.18</v>
      </c>
      <c r="I38" s="64">
        <f>ROUND(G38*2269,2)</f>
        <v>250.23</v>
      </c>
    </row>
    <row r="39" spans="1:9" x14ac:dyDescent="0.45">
      <c r="A39" s="49"/>
      <c r="B39" s="49"/>
      <c r="C39" s="65"/>
      <c r="D39" s="64"/>
      <c r="E39" s="64"/>
      <c r="F39" s="64"/>
      <c r="G39" s="65"/>
      <c r="I39" s="64"/>
    </row>
    <row r="40" spans="1:9" x14ac:dyDescent="0.45">
      <c r="A40" s="57">
        <f>+A38-1</f>
        <v>-21</v>
      </c>
      <c r="B40" s="49" t="s">
        <v>187</v>
      </c>
      <c r="C40" s="65">
        <v>9.3500000000000007E-3</v>
      </c>
      <c r="D40" s="64">
        <f t="shared" ref="D40:D47" si="2">ROUND(C40*1652,2)</f>
        <v>15.45</v>
      </c>
      <c r="E40" s="64">
        <f>ROUND(C40*2269,2)</f>
        <v>21.22</v>
      </c>
      <c r="F40" s="64"/>
      <c r="G40" s="65">
        <f t="shared" ref="G40:G46" si="3">C40</f>
        <v>9.3500000000000007E-3</v>
      </c>
      <c r="H40" s="64">
        <f t="shared" ref="H40:H47" si="4">ROUND(G40*1652,2)</f>
        <v>15.45</v>
      </c>
      <c r="I40" s="64">
        <f>ROUND(G40*2269,2)</f>
        <v>21.22</v>
      </c>
    </row>
    <row r="41" spans="1:9" x14ac:dyDescent="0.45">
      <c r="A41" s="57">
        <f t="shared" ref="A41:A54" si="5">+A40-1</f>
        <v>-22</v>
      </c>
      <c r="B41" s="49" t="s">
        <v>188</v>
      </c>
      <c r="C41" s="65">
        <v>1.74E-3</v>
      </c>
      <c r="D41" s="64">
        <f t="shared" si="2"/>
        <v>2.87</v>
      </c>
      <c r="E41" s="64">
        <f t="shared" ref="E41:E47" si="6">ROUND(C41*2269,2)</f>
        <v>3.95</v>
      </c>
      <c r="F41" s="64"/>
      <c r="G41" s="65">
        <f t="shared" si="3"/>
        <v>1.74E-3</v>
      </c>
      <c r="H41" s="64">
        <f t="shared" si="4"/>
        <v>2.87</v>
      </c>
      <c r="I41" s="64">
        <f t="shared" ref="I41:I47" si="7">ROUND(G41*2269,2)</f>
        <v>3.95</v>
      </c>
    </row>
    <row r="42" spans="1:9" x14ac:dyDescent="0.45">
      <c r="A42" s="57">
        <f t="shared" si="5"/>
        <v>-23</v>
      </c>
      <c r="B42" s="49" t="s">
        <v>189</v>
      </c>
      <c r="C42" s="65">
        <v>-2.9E-4</v>
      </c>
      <c r="D42" s="64">
        <f t="shared" si="2"/>
        <v>-0.48</v>
      </c>
      <c r="E42" s="64">
        <f t="shared" si="6"/>
        <v>-0.66</v>
      </c>
      <c r="F42" s="64"/>
      <c r="G42" s="65">
        <f t="shared" si="3"/>
        <v>-2.9E-4</v>
      </c>
      <c r="H42" s="64">
        <f t="shared" si="4"/>
        <v>-0.48</v>
      </c>
      <c r="I42" s="64">
        <f t="shared" si="7"/>
        <v>-0.66</v>
      </c>
    </row>
    <row r="43" spans="1:9" x14ac:dyDescent="0.45">
      <c r="A43" s="57">
        <f t="shared" si="5"/>
        <v>-24</v>
      </c>
      <c r="B43" s="49" t="s">
        <v>11</v>
      </c>
      <c r="C43" s="65">
        <f>'Exhibit 1, Page 1'!C13</f>
        <v>5.4640000000000001E-2</v>
      </c>
      <c r="D43" s="64">
        <f t="shared" si="2"/>
        <v>90.27</v>
      </c>
      <c r="E43" s="64">
        <f t="shared" si="6"/>
        <v>123.98</v>
      </c>
      <c r="F43" s="64"/>
      <c r="G43" s="119">
        <f>'Exhibit 1, Page 1'!I56</f>
        <v>1.9978412835634948E-2</v>
      </c>
      <c r="H43" s="64">
        <f t="shared" si="4"/>
        <v>33</v>
      </c>
      <c r="I43" s="64">
        <f t="shared" si="7"/>
        <v>45.33</v>
      </c>
    </row>
    <row r="44" spans="1:9" x14ac:dyDescent="0.45">
      <c r="A44" s="57">
        <f t="shared" si="5"/>
        <v>-25</v>
      </c>
      <c r="B44" s="49" t="s">
        <v>190</v>
      </c>
      <c r="C44" s="65">
        <v>2.7130000000000001E-2</v>
      </c>
      <c r="D44" s="64">
        <f t="shared" si="2"/>
        <v>44.82</v>
      </c>
      <c r="E44" s="64">
        <f t="shared" si="6"/>
        <v>61.56</v>
      </c>
      <c r="F44" s="64"/>
      <c r="G44" s="65">
        <f t="shared" si="3"/>
        <v>2.7130000000000001E-2</v>
      </c>
      <c r="H44" s="64">
        <f t="shared" si="4"/>
        <v>44.82</v>
      </c>
      <c r="I44" s="64">
        <f t="shared" si="7"/>
        <v>61.56</v>
      </c>
    </row>
    <row r="45" spans="1:9" x14ac:dyDescent="0.45">
      <c r="A45" s="57">
        <f t="shared" si="5"/>
        <v>-26</v>
      </c>
      <c r="B45" s="49" t="s">
        <v>191</v>
      </c>
      <c r="C45" s="65">
        <v>2.4510000000000001E-2</v>
      </c>
      <c r="D45" s="64">
        <f t="shared" si="2"/>
        <v>40.49</v>
      </c>
      <c r="E45" s="64">
        <f t="shared" si="6"/>
        <v>55.61</v>
      </c>
      <c r="F45" s="64"/>
      <c r="G45" s="65">
        <f t="shared" si="3"/>
        <v>2.4510000000000001E-2</v>
      </c>
      <c r="H45" s="64">
        <f t="shared" si="4"/>
        <v>40.49</v>
      </c>
      <c r="I45" s="64">
        <f t="shared" si="7"/>
        <v>55.61</v>
      </c>
    </row>
    <row r="46" spans="1:9" x14ac:dyDescent="0.45">
      <c r="A46" s="57">
        <f t="shared" si="5"/>
        <v>-27</v>
      </c>
      <c r="B46" s="61" t="s">
        <v>192</v>
      </c>
      <c r="C46" s="65">
        <v>5.0000000000000001E-4</v>
      </c>
      <c r="D46" s="64">
        <f t="shared" si="2"/>
        <v>0.83</v>
      </c>
      <c r="E46" s="64">
        <f t="shared" si="6"/>
        <v>1.1299999999999999</v>
      </c>
      <c r="F46" s="64"/>
      <c r="G46" s="65">
        <f t="shared" si="3"/>
        <v>5.0000000000000001E-4</v>
      </c>
      <c r="H46" s="64">
        <f t="shared" si="4"/>
        <v>0.83</v>
      </c>
      <c r="I46" s="64">
        <f t="shared" si="7"/>
        <v>1.1299999999999999</v>
      </c>
    </row>
    <row r="47" spans="1:9" x14ac:dyDescent="0.45">
      <c r="A47" s="57">
        <f t="shared" si="5"/>
        <v>-28</v>
      </c>
      <c r="B47" s="49" t="s">
        <v>193</v>
      </c>
      <c r="C47" s="66">
        <v>0</v>
      </c>
      <c r="D47" s="67">
        <f t="shared" si="2"/>
        <v>0</v>
      </c>
      <c r="E47" s="67">
        <f t="shared" si="6"/>
        <v>0</v>
      </c>
      <c r="F47" s="67"/>
      <c r="G47" s="66">
        <f>C47</f>
        <v>0</v>
      </c>
      <c r="H47" s="67">
        <f t="shared" si="4"/>
        <v>0</v>
      </c>
      <c r="I47" s="67">
        <f t="shared" si="7"/>
        <v>0</v>
      </c>
    </row>
    <row r="48" spans="1:9" x14ac:dyDescent="0.45">
      <c r="A48" s="57">
        <f t="shared" si="5"/>
        <v>-29</v>
      </c>
      <c r="B48" s="49" t="s">
        <v>194</v>
      </c>
      <c r="C48" s="49"/>
      <c r="D48" s="68">
        <f>SUM(D19:D47)</f>
        <v>386.43</v>
      </c>
      <c r="E48" s="68">
        <f>SUM(E19:E47)</f>
        <v>527.02</v>
      </c>
      <c r="F48" s="68"/>
      <c r="G48" s="65"/>
      <c r="H48" s="68">
        <f>SUM(H19:H47)</f>
        <v>329.16</v>
      </c>
      <c r="I48" s="68">
        <f>SUM(I19:I47)</f>
        <v>448.37</v>
      </c>
    </row>
    <row r="49" spans="1:10" x14ac:dyDescent="0.45">
      <c r="A49" s="57"/>
      <c r="B49" s="49"/>
      <c r="C49" s="49"/>
      <c r="D49" s="68"/>
      <c r="E49" s="68"/>
      <c r="F49" s="68"/>
      <c r="G49" s="65"/>
      <c r="I49" s="68"/>
    </row>
    <row r="50" spans="1:10" x14ac:dyDescent="0.45">
      <c r="A50" s="57"/>
      <c r="B50" s="63" t="s">
        <v>195</v>
      </c>
      <c r="C50" s="49"/>
      <c r="D50" s="49"/>
      <c r="E50" s="49"/>
      <c r="F50" s="49"/>
      <c r="G50" s="65"/>
      <c r="I50" s="49"/>
    </row>
    <row r="51" spans="1:10" x14ac:dyDescent="0.45">
      <c r="A51" s="57">
        <f>+A48-1</f>
        <v>-30</v>
      </c>
      <c r="B51" s="49" t="s">
        <v>196</v>
      </c>
      <c r="C51" s="65">
        <v>0.14751</v>
      </c>
      <c r="D51" s="64"/>
      <c r="E51" s="64"/>
      <c r="F51" s="64"/>
      <c r="G51" s="65">
        <f>C51</f>
        <v>0.14751</v>
      </c>
      <c r="I51" s="64"/>
    </row>
    <row r="52" spans="1:10" x14ac:dyDescent="0.45">
      <c r="A52" s="57">
        <f t="shared" si="5"/>
        <v>-31</v>
      </c>
      <c r="B52" s="49" t="s">
        <v>197</v>
      </c>
      <c r="C52" s="65">
        <v>6.2100000000000002E-3</v>
      </c>
      <c r="D52" s="64"/>
      <c r="E52" s="64"/>
      <c r="F52" s="64"/>
      <c r="G52" s="65">
        <f>C52</f>
        <v>6.2100000000000002E-3</v>
      </c>
      <c r="I52" s="64"/>
    </row>
    <row r="53" spans="1:10" x14ac:dyDescent="0.45">
      <c r="A53" s="57">
        <f t="shared" si="5"/>
        <v>-32</v>
      </c>
      <c r="B53" s="61" t="s">
        <v>198</v>
      </c>
      <c r="C53" s="66">
        <v>0</v>
      </c>
      <c r="D53" s="67"/>
      <c r="E53" s="67"/>
      <c r="F53" s="67"/>
      <c r="G53" s="65">
        <f>C53</f>
        <v>0</v>
      </c>
      <c r="I53" s="67"/>
    </row>
    <row r="54" spans="1:10" x14ac:dyDescent="0.45">
      <c r="A54" s="57">
        <f t="shared" si="5"/>
        <v>-33</v>
      </c>
      <c r="B54" s="49" t="s">
        <v>199</v>
      </c>
      <c r="C54" s="69">
        <f>SUM(C51:C53)</f>
        <v>0.15372</v>
      </c>
      <c r="D54" s="67">
        <f>ROUND(C54*1652,2)</f>
        <v>253.95</v>
      </c>
      <c r="E54" s="67">
        <f>ROUND(C54*2269,2)</f>
        <v>348.79</v>
      </c>
      <c r="F54" s="67"/>
      <c r="G54" s="65">
        <f>C54</f>
        <v>0.15372</v>
      </c>
      <c r="H54" s="67">
        <f>ROUND(G54*1652,2)</f>
        <v>253.95</v>
      </c>
      <c r="I54" s="67">
        <f>ROUND(G54*2269,2)</f>
        <v>348.79</v>
      </c>
    </row>
    <row r="55" spans="1:10" ht="16" x14ac:dyDescent="0.45">
      <c r="A55" s="57"/>
      <c r="B55" s="49"/>
      <c r="C55" s="69"/>
      <c r="D55" s="70"/>
      <c r="E55" s="70"/>
      <c r="F55" s="70"/>
      <c r="G55" s="70"/>
      <c r="H55" s="70"/>
      <c r="I55" s="70"/>
    </row>
    <row r="56" spans="1:10" x14ac:dyDescent="0.45">
      <c r="A56" s="57">
        <f>+A54-1</f>
        <v>-34</v>
      </c>
      <c r="B56" s="49" t="s">
        <v>200</v>
      </c>
      <c r="C56" s="49"/>
      <c r="D56" s="64">
        <f>D48+D54</f>
        <v>640.38</v>
      </c>
      <c r="E56" s="64">
        <f>E48+E54</f>
        <v>875.81</v>
      </c>
      <c r="F56" s="64"/>
      <c r="G56" s="64"/>
      <c r="H56" s="64">
        <f>H48+H54</f>
        <v>583.11</v>
      </c>
      <c r="I56" s="64">
        <f>I48+I54</f>
        <v>797.16000000000008</v>
      </c>
      <c r="J56" s="38"/>
    </row>
    <row r="57" spans="1:10" x14ac:dyDescent="0.45">
      <c r="A57" s="49"/>
      <c r="B57" s="49"/>
      <c r="C57" s="49"/>
      <c r="D57" s="71"/>
      <c r="E57" s="71"/>
      <c r="F57" s="71"/>
      <c r="G57" s="71"/>
      <c r="H57" s="71"/>
      <c r="I57" s="71"/>
    </row>
    <row r="58" spans="1:10" x14ac:dyDescent="0.45">
      <c r="A58" s="57">
        <f>A56-1</f>
        <v>-35</v>
      </c>
      <c r="B58" s="49" t="s">
        <v>201</v>
      </c>
      <c r="C58" s="72">
        <v>0.32</v>
      </c>
      <c r="D58" s="73">
        <f>D56*C58</f>
        <v>204.92160000000001</v>
      </c>
      <c r="E58" s="73">
        <f>E56*C58</f>
        <v>280.25919999999996</v>
      </c>
      <c r="F58" s="73"/>
      <c r="G58" s="73"/>
      <c r="H58" s="73">
        <f>H56*C58</f>
        <v>186.59520000000001</v>
      </c>
      <c r="I58" s="73">
        <f>I56*C58</f>
        <v>255.09120000000004</v>
      </c>
    </row>
    <row r="59" spans="1:10" x14ac:dyDescent="0.45">
      <c r="A59" s="52"/>
      <c r="B59" s="49"/>
      <c r="C59" s="49"/>
      <c r="D59" s="71"/>
      <c r="E59" s="71"/>
      <c r="F59" s="71"/>
      <c r="G59" s="71"/>
      <c r="H59" s="71"/>
      <c r="I59" s="71"/>
    </row>
    <row r="60" spans="1:10" x14ac:dyDescent="0.45">
      <c r="A60" s="57">
        <f>A58-1</f>
        <v>-36</v>
      </c>
      <c r="B60" s="49" t="s">
        <v>202</v>
      </c>
      <c r="C60" s="49"/>
      <c r="D60" s="74">
        <f>D56-D58</f>
        <v>435.45839999999998</v>
      </c>
      <c r="E60" s="74">
        <f>E56-E58</f>
        <v>595.55079999999998</v>
      </c>
      <c r="F60" s="74"/>
      <c r="G60" s="74"/>
      <c r="H60" s="74">
        <f>H56-H58</f>
        <v>396.51480000000004</v>
      </c>
      <c r="I60" s="74">
        <f>I56-I58</f>
        <v>542.06880000000001</v>
      </c>
      <c r="J60" s="19"/>
    </row>
    <row r="61" spans="1:10" x14ac:dyDescent="0.45">
      <c r="A61" s="57"/>
      <c r="B61" s="49"/>
      <c r="C61" s="49"/>
      <c r="D61" s="74"/>
      <c r="E61" s="74"/>
      <c r="F61" s="74"/>
      <c r="G61" s="74"/>
      <c r="H61" s="74"/>
      <c r="I61" s="74"/>
    </row>
    <row r="62" spans="1:10" x14ac:dyDescent="0.45">
      <c r="A62" s="57">
        <f>A60-1</f>
        <v>-37</v>
      </c>
      <c r="B62" s="49" t="s">
        <v>203</v>
      </c>
      <c r="C62" s="80">
        <v>0.91</v>
      </c>
      <c r="D62" s="73">
        <f>D56*C62</f>
        <v>582.74580000000003</v>
      </c>
      <c r="E62" s="73">
        <f>E56*C62</f>
        <v>796.98709999999994</v>
      </c>
      <c r="F62" s="74"/>
      <c r="G62" s="74"/>
      <c r="H62" s="73">
        <f>H56*C62</f>
        <v>530.63010000000008</v>
      </c>
      <c r="I62" s="73">
        <f>I56*C62</f>
        <v>725.41560000000015</v>
      </c>
    </row>
    <row r="63" spans="1:10" x14ac:dyDescent="0.45">
      <c r="A63" s="57"/>
      <c r="B63" s="49"/>
      <c r="C63" s="49"/>
      <c r="D63" s="74"/>
      <c r="E63" s="74"/>
      <c r="F63" s="74"/>
      <c r="G63" s="74"/>
      <c r="H63" s="74"/>
      <c r="I63" s="74"/>
    </row>
    <row r="64" spans="1:10" x14ac:dyDescent="0.45">
      <c r="A64" s="57">
        <f>A62-1</f>
        <v>-38</v>
      </c>
      <c r="B64" s="49" t="s">
        <v>204</v>
      </c>
      <c r="C64" s="49"/>
      <c r="D64" s="74">
        <f>D56-D62</f>
        <v>57.634199999999964</v>
      </c>
      <c r="E64" s="74">
        <f>E56-E62</f>
        <v>78.822900000000004</v>
      </c>
      <c r="F64" s="74"/>
      <c r="G64" s="74"/>
      <c r="H64" s="74">
        <f>H56-H62</f>
        <v>52.47989999999993</v>
      </c>
      <c r="I64" s="74">
        <f>I56-I62</f>
        <v>71.744399999999928</v>
      </c>
      <c r="J64" s="38"/>
    </row>
    <row r="65" spans="1:10" x14ac:dyDescent="0.45">
      <c r="A65" s="57"/>
      <c r="B65" s="49"/>
      <c r="C65" s="49"/>
      <c r="D65" s="74"/>
      <c r="E65" s="74"/>
      <c r="F65" s="74"/>
      <c r="G65" s="74"/>
      <c r="H65" s="74"/>
      <c r="I65" s="74"/>
    </row>
    <row r="66" spans="1:10" x14ac:dyDescent="0.45">
      <c r="A66" s="49"/>
      <c r="B66" s="49"/>
      <c r="C66" s="49"/>
      <c r="D66" s="64"/>
      <c r="E66" s="64"/>
      <c r="F66" s="64"/>
      <c r="G66" s="64"/>
      <c r="J66" s="38"/>
    </row>
    <row r="67" spans="1:10" x14ac:dyDescent="0.45">
      <c r="A67" s="99" t="s">
        <v>205</v>
      </c>
      <c r="B67" s="75" t="s">
        <v>245</v>
      </c>
      <c r="C67" s="65"/>
      <c r="D67" s="49"/>
      <c r="E67" s="49"/>
      <c r="F67" s="49"/>
      <c r="G67" s="49"/>
    </row>
    <row r="68" spans="1:10" x14ac:dyDescent="0.45">
      <c r="A68" s="56" t="s">
        <v>206</v>
      </c>
      <c r="B68" s="75" t="s">
        <v>207</v>
      </c>
      <c r="C68" s="66"/>
      <c r="D68" s="49"/>
      <c r="E68" s="49"/>
      <c r="F68" s="49"/>
      <c r="G68" s="49"/>
    </row>
    <row r="69" spans="1:10" x14ac:dyDescent="0.45">
      <c r="A69" s="56" t="s">
        <v>206</v>
      </c>
      <c r="B69" s="75" t="s">
        <v>208</v>
      </c>
    </row>
    <row r="70" spans="1:10" x14ac:dyDescent="0.45">
      <c r="A70" s="56" t="s">
        <v>206</v>
      </c>
      <c r="B70" s="75" t="s">
        <v>209</v>
      </c>
    </row>
    <row r="71" spans="1:10" x14ac:dyDescent="0.45">
      <c r="A71" s="56" t="s">
        <v>206</v>
      </c>
      <c r="B71" s="75" t="s">
        <v>210</v>
      </c>
    </row>
    <row r="72" spans="1:10" x14ac:dyDescent="0.45">
      <c r="A72" s="56" t="s">
        <v>206</v>
      </c>
      <c r="B72" s="75" t="s">
        <v>211</v>
      </c>
    </row>
    <row r="73" spans="1:10" x14ac:dyDescent="0.45">
      <c r="A73" s="56" t="s">
        <v>206</v>
      </c>
      <c r="B73" s="30" t="s">
        <v>212</v>
      </c>
    </row>
    <row r="74" spans="1:10" x14ac:dyDescent="0.45">
      <c r="A74" s="56"/>
    </row>
  </sheetData>
  <mergeCells count="5">
    <mergeCell ref="A9:I9"/>
    <mergeCell ref="A10:I10"/>
    <mergeCell ref="A11:I11"/>
    <mergeCell ref="C13:E13"/>
    <mergeCell ref="G13:I13"/>
  </mergeCells>
  <pageMargins left="0.7" right="0.7" top="0.75" bottom="0.75" header="0.3" footer="0.3"/>
  <pageSetup scale="3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5CCC-202D-4E34-A1A8-2D70C94F1DF6}">
  <dimension ref="A1:I74"/>
  <sheetViews>
    <sheetView showGridLines="0" view="pageBreakPreview" zoomScale="80" zoomScaleNormal="80" zoomScaleSheetLayoutView="80" workbookViewId="0">
      <pane xSplit="1" ySplit="16" topLeftCell="B17" activePane="bottomRight" state="frozen"/>
      <selection activeCell="C29" sqref="C29"/>
      <selection pane="topRight" activeCell="C29" sqref="C29"/>
      <selection pane="bottomLeft" activeCell="C29" sqref="C29"/>
      <selection pane="bottomRight" activeCell="C29" sqref="C29"/>
    </sheetView>
  </sheetViews>
  <sheetFormatPr defaultColWidth="9.265625" defaultRowHeight="14" x14ac:dyDescent="0.45"/>
  <cols>
    <col min="1" max="1" width="15.1328125" style="30" customWidth="1"/>
    <col min="2" max="2" width="62.86328125" style="30" bestFit="1" customWidth="1"/>
    <col min="3" max="3" width="16.59765625" style="30" bestFit="1" customWidth="1"/>
    <col min="4" max="4" width="34.73046875" style="30" bestFit="1" customWidth="1"/>
    <col min="5" max="5" width="34.73046875" style="30" customWidth="1"/>
    <col min="6" max="6" width="2" style="30" customWidth="1"/>
    <col min="7" max="7" width="16.3984375" style="30" customWidth="1"/>
    <col min="8" max="8" width="44.1328125" style="30" bestFit="1" customWidth="1"/>
    <col min="9" max="9" width="31.73046875" style="30" bestFit="1" customWidth="1"/>
    <col min="10" max="16384" width="9.265625" style="30"/>
  </cols>
  <sheetData>
    <row r="1" spans="1:9" x14ac:dyDescent="0.45">
      <c r="A1" s="49"/>
      <c r="B1" s="49"/>
      <c r="C1" s="49"/>
      <c r="E1" s="50"/>
      <c r="F1" s="50"/>
      <c r="G1" s="50"/>
      <c r="I1" s="50" t="str">
        <f>'Exhibit 2, Page 3'!I1</f>
        <v>Massachusetts Electric Company</v>
      </c>
    </row>
    <row r="2" spans="1:9" x14ac:dyDescent="0.45">
      <c r="A2" s="49"/>
      <c r="B2" s="49"/>
      <c r="C2" s="49"/>
      <c r="E2" s="50"/>
      <c r="F2" s="50"/>
      <c r="G2" s="50"/>
      <c r="I2" s="50" t="str">
        <f>'Exhibit 2, Page 3'!I2</f>
        <v>Nantucket Electric Company</v>
      </c>
    </row>
    <row r="3" spans="1:9" x14ac:dyDescent="0.45">
      <c r="A3" s="49"/>
      <c r="B3" s="49"/>
      <c r="C3" s="49"/>
      <c r="E3" s="50"/>
      <c r="F3" s="50"/>
      <c r="G3" s="50"/>
      <c r="I3" s="50" t="str">
        <f>'Exhibit 2, Page 3'!I3</f>
        <v>d/b/a National Grid</v>
      </c>
    </row>
    <row r="4" spans="1:9" x14ac:dyDescent="0.45">
      <c r="A4" s="49"/>
      <c r="B4" s="49"/>
      <c r="C4" s="49"/>
      <c r="E4" s="50"/>
      <c r="F4" s="50"/>
      <c r="G4" s="50"/>
      <c r="I4" s="50" t="str">
        <f>'Exhibit 2, Page 3'!I4</f>
        <v>D.P.U 26-71</v>
      </c>
    </row>
    <row r="5" spans="1:9" x14ac:dyDescent="0.45">
      <c r="A5" s="49"/>
      <c r="B5" s="49"/>
      <c r="C5" s="49"/>
      <c r="E5" s="50"/>
      <c r="F5" s="50"/>
      <c r="G5" s="50"/>
      <c r="I5" s="50" t="str">
        <f>'Exhibit 2, Page 3'!I5</f>
        <v>Exhibit 2</v>
      </c>
    </row>
    <row r="6" spans="1:9" x14ac:dyDescent="0.45">
      <c r="A6" s="49"/>
      <c r="B6" s="49"/>
      <c r="C6" s="49"/>
      <c r="E6" s="50"/>
      <c r="F6" s="50"/>
      <c r="G6" s="50"/>
      <c r="I6" s="50" t="s">
        <v>213</v>
      </c>
    </row>
    <row r="7" spans="1:9" x14ac:dyDescent="0.45">
      <c r="A7" s="49"/>
      <c r="B7" s="49"/>
      <c r="C7" s="49"/>
      <c r="E7" s="50"/>
      <c r="F7" s="50"/>
      <c r="G7" s="50"/>
      <c r="I7" s="50" t="str">
        <f>'Exhibit 2, Page 3'!I7</f>
        <v>H.O. _______</v>
      </c>
    </row>
    <row r="8" spans="1:9" x14ac:dyDescent="0.45">
      <c r="A8" s="49"/>
      <c r="B8" s="49"/>
      <c r="C8" s="49"/>
      <c r="D8" s="51"/>
      <c r="E8" s="51"/>
      <c r="F8" s="51"/>
      <c r="G8" s="51"/>
    </row>
    <row r="9" spans="1:9" x14ac:dyDescent="0.45">
      <c r="A9" s="130" t="s">
        <v>0</v>
      </c>
      <c r="B9" s="130"/>
      <c r="C9" s="130"/>
      <c r="D9" s="130"/>
      <c r="E9" s="130"/>
      <c r="F9" s="130"/>
      <c r="G9" s="130"/>
      <c r="H9" s="130"/>
      <c r="I9" s="130"/>
    </row>
    <row r="10" spans="1:9" x14ac:dyDescent="0.45">
      <c r="A10" s="130" t="s">
        <v>1</v>
      </c>
      <c r="B10" s="130"/>
      <c r="C10" s="130"/>
      <c r="D10" s="130"/>
      <c r="E10" s="130"/>
      <c r="F10" s="130"/>
      <c r="G10" s="130"/>
      <c r="H10" s="130"/>
      <c r="I10" s="130"/>
    </row>
    <row r="11" spans="1:9" x14ac:dyDescent="0.45">
      <c r="A11" s="130" t="s">
        <v>214</v>
      </c>
      <c r="B11" s="130"/>
      <c r="C11" s="130"/>
      <c r="D11" s="130"/>
      <c r="E11" s="130"/>
      <c r="F11" s="130"/>
      <c r="G11" s="130"/>
      <c r="H11" s="130"/>
      <c r="I11" s="130"/>
    </row>
    <row r="12" spans="1:9" x14ac:dyDescent="0.45">
      <c r="A12" s="53"/>
      <c r="B12" s="53"/>
      <c r="C12" s="53"/>
      <c r="D12" s="53"/>
      <c r="E12" s="53"/>
      <c r="F12" s="53"/>
      <c r="G12" s="53"/>
    </row>
    <row r="13" spans="1:9" x14ac:dyDescent="0.45">
      <c r="A13" s="49"/>
      <c r="B13" s="49"/>
      <c r="C13" s="131" t="s">
        <v>159</v>
      </c>
      <c r="D13" s="131"/>
      <c r="E13" s="131"/>
      <c r="F13" s="54"/>
      <c r="G13" s="131" t="s">
        <v>160</v>
      </c>
      <c r="H13" s="131"/>
      <c r="I13" s="131"/>
    </row>
    <row r="14" spans="1:9" x14ac:dyDescent="0.45">
      <c r="A14" s="49"/>
      <c r="B14" s="49"/>
      <c r="C14" s="55" t="s">
        <v>161</v>
      </c>
      <c r="D14" s="56"/>
      <c r="E14" s="56"/>
      <c r="F14" s="56"/>
      <c r="G14" s="55" t="s">
        <v>161</v>
      </c>
      <c r="H14" s="56"/>
    </row>
    <row r="15" spans="1:9" x14ac:dyDescent="0.45">
      <c r="A15" s="57"/>
      <c r="B15" s="58"/>
      <c r="C15" s="59" t="s">
        <v>50</v>
      </c>
      <c r="D15" s="60" t="s">
        <v>215</v>
      </c>
      <c r="E15" s="60" t="s">
        <v>216</v>
      </c>
      <c r="F15" s="60"/>
      <c r="G15" s="59" t="s">
        <v>50</v>
      </c>
      <c r="H15" s="60" t="s">
        <v>215</v>
      </c>
      <c r="I15" s="60" t="s">
        <v>216</v>
      </c>
    </row>
    <row r="16" spans="1:9" x14ac:dyDescent="0.45">
      <c r="A16" s="57"/>
      <c r="B16" s="61"/>
      <c r="C16" s="62" t="s">
        <v>89</v>
      </c>
      <c r="D16" s="55" t="s">
        <v>90</v>
      </c>
      <c r="E16" s="55" t="s">
        <v>91</v>
      </c>
      <c r="F16" s="55"/>
      <c r="G16" s="55" t="s">
        <v>92</v>
      </c>
      <c r="H16" s="55" t="s">
        <v>164</v>
      </c>
      <c r="I16" s="55" t="s">
        <v>165</v>
      </c>
    </row>
    <row r="17" spans="1:9" x14ac:dyDescent="0.45">
      <c r="A17" s="57"/>
      <c r="B17" s="61"/>
      <c r="C17" s="59"/>
      <c r="D17" s="60"/>
      <c r="E17" s="60"/>
      <c r="F17" s="60"/>
      <c r="G17" s="60"/>
    </row>
    <row r="18" spans="1:9" x14ac:dyDescent="0.45">
      <c r="A18" s="57"/>
      <c r="B18" s="63" t="s">
        <v>166</v>
      </c>
      <c r="C18" s="49"/>
      <c r="D18" s="49"/>
      <c r="E18" s="49"/>
      <c r="F18" s="49"/>
      <c r="G18" s="49"/>
    </row>
    <row r="19" spans="1:9" x14ac:dyDescent="0.45">
      <c r="A19" s="57">
        <v>-1</v>
      </c>
      <c r="B19" s="49" t="s">
        <v>167</v>
      </c>
      <c r="C19" s="49"/>
      <c r="D19" s="64">
        <v>10</v>
      </c>
      <c r="E19" s="64">
        <f>D19</f>
        <v>10</v>
      </c>
      <c r="F19" s="64"/>
      <c r="G19" s="64"/>
      <c r="H19" s="38">
        <f>D19</f>
        <v>10</v>
      </c>
      <c r="I19" s="64">
        <f>H19</f>
        <v>10</v>
      </c>
    </row>
    <row r="20" spans="1:9" x14ac:dyDescent="0.45">
      <c r="A20" s="57">
        <f>+A19-1</f>
        <v>-2</v>
      </c>
      <c r="B20" s="49" t="s">
        <v>168</v>
      </c>
      <c r="C20" s="65">
        <f>'Exhibit 2, Page 3'!C20</f>
        <v>6.6769999999999996E-2</v>
      </c>
      <c r="D20" s="64"/>
      <c r="E20" s="64"/>
      <c r="F20" s="64"/>
      <c r="G20" s="65">
        <f>'Exhibit 2, Page 3'!G20</f>
        <v>6.6769999999999996E-2</v>
      </c>
      <c r="I20" s="64"/>
    </row>
    <row r="21" spans="1:9" x14ac:dyDescent="0.45">
      <c r="A21" s="57">
        <f>+A20-1</f>
        <v>-3</v>
      </c>
      <c r="B21" s="49" t="s">
        <v>169</v>
      </c>
      <c r="C21" s="65">
        <f>'Exhibit 2, Page 3'!C21</f>
        <v>5.1000000000000004E-4</v>
      </c>
      <c r="D21" s="64"/>
      <c r="E21" s="64"/>
      <c r="F21" s="64"/>
      <c r="G21" s="65">
        <f>'Exhibit 2, Page 3'!G21</f>
        <v>5.1000000000000004E-4</v>
      </c>
      <c r="I21" s="64"/>
    </row>
    <row r="22" spans="1:9" x14ac:dyDescent="0.45">
      <c r="A22" s="57">
        <f t="shared" ref="A22:A37" si="0">+A21-1</f>
        <v>-4</v>
      </c>
      <c r="B22" s="49" t="s">
        <v>170</v>
      </c>
      <c r="C22" s="65">
        <f>'Exhibit 2, Page 3'!C22</f>
        <v>2.3890000000000002E-2</v>
      </c>
      <c r="D22" s="64"/>
      <c r="E22" s="64"/>
      <c r="F22" s="64"/>
      <c r="G22" s="65">
        <f>'Exhibit 2, Page 3'!G22</f>
        <v>2.3890000000000002E-2</v>
      </c>
      <c r="I22" s="64"/>
    </row>
    <row r="23" spans="1:9" x14ac:dyDescent="0.45">
      <c r="A23" s="57">
        <f t="shared" si="0"/>
        <v>-5</v>
      </c>
      <c r="B23" s="49" t="s">
        <v>171</v>
      </c>
      <c r="C23" s="65">
        <f>'Exhibit 2, Page 3'!C23</f>
        <v>4.0600000000000002E-3</v>
      </c>
      <c r="D23" s="64"/>
      <c r="E23" s="64"/>
      <c r="F23" s="64"/>
      <c r="G23" s="65">
        <f>'Exhibit 2, Page 3'!G23</f>
        <v>4.0600000000000002E-3</v>
      </c>
      <c r="I23" s="64"/>
    </row>
    <row r="24" spans="1:9" x14ac:dyDescent="0.45">
      <c r="A24" s="57">
        <f t="shared" si="0"/>
        <v>-6</v>
      </c>
      <c r="B24" s="49" t="s">
        <v>172</v>
      </c>
      <c r="C24" s="65">
        <f>'Exhibit 2, Page 3'!C24</f>
        <v>2.0000000000000001E-4</v>
      </c>
      <c r="D24" s="64"/>
      <c r="E24" s="64"/>
      <c r="F24" s="64"/>
      <c r="G24" s="65">
        <f>'Exhibit 2, Page 3'!G24</f>
        <v>2.0000000000000001E-4</v>
      </c>
      <c r="I24" s="64"/>
    </row>
    <row r="25" spans="1:9" x14ac:dyDescent="0.45">
      <c r="A25" s="57">
        <f t="shared" si="0"/>
        <v>-7</v>
      </c>
      <c r="B25" s="49" t="s">
        <v>173</v>
      </c>
      <c r="C25" s="65">
        <f>'Exhibit 2, Page 3'!C25</f>
        <v>-2.81E-3</v>
      </c>
      <c r="D25" s="64"/>
      <c r="E25" s="64"/>
      <c r="F25" s="64"/>
      <c r="G25" s="65">
        <f>'Exhibit 2, Page 3'!G25</f>
        <v>-2.81E-3</v>
      </c>
      <c r="I25" s="64"/>
    </row>
    <row r="26" spans="1:9" x14ac:dyDescent="0.45">
      <c r="A26" s="57">
        <f t="shared" si="0"/>
        <v>-8</v>
      </c>
      <c r="B26" s="49" t="s">
        <v>174</v>
      </c>
      <c r="C26" s="65">
        <f>'Exhibit 2, Page 3'!C26</f>
        <v>2.0000000000000002E-5</v>
      </c>
      <c r="D26" s="64"/>
      <c r="E26" s="64"/>
      <c r="F26" s="64"/>
      <c r="G26" s="65">
        <f>'Exhibit 2, Page 3'!G26</f>
        <v>2.0000000000000002E-5</v>
      </c>
      <c r="I26" s="64"/>
    </row>
    <row r="27" spans="1:9" x14ac:dyDescent="0.45">
      <c r="A27" s="57">
        <f t="shared" si="0"/>
        <v>-9</v>
      </c>
      <c r="B27" s="49" t="s">
        <v>175</v>
      </c>
      <c r="C27" s="65">
        <f>'Exhibit 2, Page 3'!C27</f>
        <v>-3.5E-4</v>
      </c>
      <c r="D27" s="64"/>
      <c r="E27" s="64"/>
      <c r="F27" s="64"/>
      <c r="G27" s="65">
        <f>'Exhibit 2, Page 3'!G27</f>
        <v>-3.5E-4</v>
      </c>
      <c r="I27" s="64"/>
    </row>
    <row r="28" spans="1:9" x14ac:dyDescent="0.45">
      <c r="A28" s="57">
        <f t="shared" si="0"/>
        <v>-10</v>
      </c>
      <c r="B28" s="49" t="s">
        <v>176</v>
      </c>
      <c r="C28" s="65">
        <f>'Exhibit 2, Page 3'!C28</f>
        <v>0</v>
      </c>
      <c r="D28" s="64"/>
      <c r="E28" s="64"/>
      <c r="F28" s="64"/>
      <c r="G28" s="65">
        <f>'Exhibit 2, Page 3'!G28</f>
        <v>0</v>
      </c>
      <c r="I28" s="64"/>
    </row>
    <row r="29" spans="1:9" x14ac:dyDescent="0.45">
      <c r="A29" s="57">
        <f>A28-1</f>
        <v>-11</v>
      </c>
      <c r="B29" s="49" t="s">
        <v>177</v>
      </c>
      <c r="C29" s="65">
        <f>'Exhibit 2, Page 3'!C29</f>
        <v>2.2000000000000001E-4</v>
      </c>
      <c r="D29" s="64"/>
      <c r="E29" s="64"/>
      <c r="F29" s="64"/>
      <c r="G29" s="65">
        <f>'Exhibit 2, Page 3'!G29</f>
        <v>2.2000000000000001E-4</v>
      </c>
      <c r="I29" s="64"/>
    </row>
    <row r="30" spans="1:9" x14ac:dyDescent="0.45">
      <c r="A30" s="57">
        <f t="shared" si="0"/>
        <v>-12</v>
      </c>
      <c r="B30" s="49" t="s">
        <v>178</v>
      </c>
      <c r="C30" s="65">
        <f>'Exhibit 2, Page 3'!C30</f>
        <v>0</v>
      </c>
      <c r="D30" s="64"/>
      <c r="E30" s="64"/>
      <c r="F30" s="64"/>
      <c r="G30" s="65">
        <f>'Exhibit 2, Page 3'!G30</f>
        <v>0</v>
      </c>
      <c r="I30" s="64"/>
    </row>
    <row r="31" spans="1:9" x14ac:dyDescent="0.45">
      <c r="A31" s="57">
        <f t="shared" si="0"/>
        <v>-13</v>
      </c>
      <c r="B31" s="49" t="s">
        <v>179</v>
      </c>
      <c r="C31" s="65">
        <f>'Exhibit 2, Page 3'!C31</f>
        <v>6.0000000000000002E-5</v>
      </c>
      <c r="D31" s="64"/>
      <c r="E31" s="64"/>
      <c r="F31" s="64"/>
      <c r="G31" s="65">
        <f>'Exhibit 2, Page 3'!G31</f>
        <v>6.0000000000000002E-5</v>
      </c>
      <c r="I31" s="64"/>
    </row>
    <row r="32" spans="1:9" x14ac:dyDescent="0.45">
      <c r="A32" s="57">
        <f t="shared" si="0"/>
        <v>-14</v>
      </c>
      <c r="B32" s="49" t="s">
        <v>180</v>
      </c>
      <c r="C32" s="65">
        <f>'Exhibit 2, Page 3'!C32</f>
        <v>3.9899999999999996E-3</v>
      </c>
      <c r="D32" s="64"/>
      <c r="E32" s="64"/>
      <c r="F32" s="64"/>
      <c r="G32" s="65">
        <f>'Exhibit 2, Page 3'!G32</f>
        <v>3.9899999999999996E-3</v>
      </c>
      <c r="I32" s="64"/>
    </row>
    <row r="33" spans="1:9" x14ac:dyDescent="0.45">
      <c r="A33" s="57">
        <f t="shared" si="0"/>
        <v>-15</v>
      </c>
      <c r="B33" s="49" t="s">
        <v>181</v>
      </c>
      <c r="C33" s="65">
        <f>'Exhibit 2, Page 3'!C33</f>
        <v>2.14E-3</v>
      </c>
      <c r="D33" s="64"/>
      <c r="E33" s="64"/>
      <c r="F33" s="64"/>
      <c r="G33" s="65">
        <f>'Exhibit 2, Page 3'!G33</f>
        <v>2.14E-3</v>
      </c>
      <c r="I33" s="64"/>
    </row>
    <row r="34" spans="1:9" x14ac:dyDescent="0.45">
      <c r="A34" s="57">
        <f t="shared" si="0"/>
        <v>-16</v>
      </c>
      <c r="B34" s="49" t="s">
        <v>182</v>
      </c>
      <c r="C34" s="65">
        <f>'Exhibit 2, Page 3'!C34</f>
        <v>3.1800000000000001E-3</v>
      </c>
      <c r="D34" s="64"/>
      <c r="E34" s="64"/>
      <c r="F34" s="64"/>
      <c r="G34" s="65">
        <f>'Exhibit 2, Page 3'!G34</f>
        <v>3.1800000000000001E-3</v>
      </c>
      <c r="I34" s="64"/>
    </row>
    <row r="35" spans="1:9" x14ac:dyDescent="0.45">
      <c r="A35" s="57">
        <f t="shared" si="0"/>
        <v>-17</v>
      </c>
      <c r="B35" s="49" t="s">
        <v>183</v>
      </c>
      <c r="C35" s="65">
        <f>'Exhibit 2, Page 3'!C35</f>
        <v>2.5999999999999998E-4</v>
      </c>
      <c r="D35" s="64"/>
      <c r="E35" s="64"/>
      <c r="F35" s="64"/>
      <c r="G35" s="65">
        <f>'Exhibit 2, Page 3'!G35</f>
        <v>2.5999999999999998E-4</v>
      </c>
      <c r="I35" s="64"/>
    </row>
    <row r="36" spans="1:9" x14ac:dyDescent="0.45">
      <c r="A36" s="57">
        <f t="shared" si="0"/>
        <v>-18</v>
      </c>
      <c r="B36" s="49" t="s">
        <v>184</v>
      </c>
      <c r="C36" s="65">
        <f>'Exhibit 2, Page 3'!C36</f>
        <v>1.56E-3</v>
      </c>
      <c r="D36" s="64"/>
      <c r="E36" s="64"/>
      <c r="F36" s="64"/>
      <c r="G36" s="65">
        <f>'Exhibit 2, Page 3'!G36</f>
        <v>1.56E-3</v>
      </c>
      <c r="I36" s="64"/>
    </row>
    <row r="37" spans="1:9" x14ac:dyDescent="0.45">
      <c r="A37" s="57">
        <f t="shared" si="0"/>
        <v>-19</v>
      </c>
      <c r="B37" s="49" t="str">
        <f>'Exhibit 2, Page 3'!B37</f>
        <v>Winter Relief Recovery Factor</v>
      </c>
      <c r="C37" s="66">
        <f>'Exhibit 2, Page 3'!C37</f>
        <v>6.5799999999999999E-3</v>
      </c>
      <c r="D37" s="64"/>
      <c r="E37" s="64"/>
      <c r="F37" s="64"/>
      <c r="G37" s="66">
        <f>'Exhibit 2, Page 3'!G37</f>
        <v>6.5799999999999999E-3</v>
      </c>
      <c r="I37" s="64"/>
    </row>
    <row r="38" spans="1:9" x14ac:dyDescent="0.45">
      <c r="A38" s="57">
        <f>+A37-1</f>
        <v>-20</v>
      </c>
      <c r="B38" s="49" t="s">
        <v>186</v>
      </c>
      <c r="C38" s="65">
        <f>SUM(C20:C37)</f>
        <v>0.11028000000000002</v>
      </c>
      <c r="D38" s="64">
        <f>ROUND(C38*2443,2)</f>
        <v>269.41000000000003</v>
      </c>
      <c r="E38" s="64">
        <f>ROUND(C38*3341,2)</f>
        <v>368.45</v>
      </c>
      <c r="F38" s="64"/>
      <c r="G38" s="65">
        <f>SUM(G20:G37)</f>
        <v>0.11028000000000002</v>
      </c>
      <c r="H38" s="64">
        <f>ROUND(G38*2443,2)</f>
        <v>269.41000000000003</v>
      </c>
      <c r="I38" s="64">
        <f>ROUND(G38*3341,2)</f>
        <v>368.45</v>
      </c>
    </row>
    <row r="39" spans="1:9" x14ac:dyDescent="0.45">
      <c r="A39" s="49"/>
      <c r="B39" s="49"/>
      <c r="C39" s="65"/>
      <c r="D39" s="64"/>
      <c r="E39" s="64"/>
      <c r="F39" s="64"/>
      <c r="G39" s="65"/>
      <c r="I39" s="64"/>
    </row>
    <row r="40" spans="1:9" x14ac:dyDescent="0.45">
      <c r="A40" s="57">
        <f>+A38-1</f>
        <v>-21</v>
      </c>
      <c r="B40" s="49" t="s">
        <v>187</v>
      </c>
      <c r="C40" s="65">
        <f>'Exhibit 2, Page 3'!C40</f>
        <v>9.3500000000000007E-3</v>
      </c>
      <c r="D40" s="64">
        <f>ROUND(C40*2443,2)</f>
        <v>22.84</v>
      </c>
      <c r="E40" s="64">
        <f>ROUND(C40*3341,2)</f>
        <v>31.24</v>
      </c>
      <c r="F40" s="64"/>
      <c r="G40" s="65">
        <f>'Exhibit 2, Page 3'!G40</f>
        <v>9.3500000000000007E-3</v>
      </c>
      <c r="H40" s="64">
        <f>ROUND(G40*2443,2)</f>
        <v>22.84</v>
      </c>
      <c r="I40" s="64">
        <f>ROUND(G40*3341,2)</f>
        <v>31.24</v>
      </c>
    </row>
    <row r="41" spans="1:9" x14ac:dyDescent="0.45">
      <c r="A41" s="57">
        <f t="shared" ref="A41:A54" si="1">+A40-1</f>
        <v>-22</v>
      </c>
      <c r="B41" s="49" t="s">
        <v>188</v>
      </c>
      <c r="C41" s="65">
        <f>'Exhibit 2, Page 3'!C41</f>
        <v>1.74E-3</v>
      </c>
      <c r="D41" s="64">
        <f t="shared" ref="D41:D47" si="2">ROUND(C41*2443,2)</f>
        <v>4.25</v>
      </c>
      <c r="E41" s="64">
        <f t="shared" ref="E41:E45" si="3">ROUND(C41*3341,2)</f>
        <v>5.81</v>
      </c>
      <c r="F41" s="64"/>
      <c r="G41" s="65">
        <f>'Exhibit 2, Page 3'!G41</f>
        <v>1.74E-3</v>
      </c>
      <c r="H41" s="64">
        <f t="shared" ref="H41:H47" si="4">ROUND(G41*2443,2)</f>
        <v>4.25</v>
      </c>
      <c r="I41" s="64">
        <f t="shared" ref="I41:I45" si="5">ROUND(G41*3341,2)</f>
        <v>5.81</v>
      </c>
    </row>
    <row r="42" spans="1:9" x14ac:dyDescent="0.45">
      <c r="A42" s="57">
        <f t="shared" si="1"/>
        <v>-23</v>
      </c>
      <c r="B42" s="49" t="s">
        <v>189</v>
      </c>
      <c r="C42" s="65">
        <f>'Exhibit 2, Page 3'!C42</f>
        <v>-2.9E-4</v>
      </c>
      <c r="D42" s="64">
        <f t="shared" si="2"/>
        <v>-0.71</v>
      </c>
      <c r="E42" s="64">
        <f t="shared" si="3"/>
        <v>-0.97</v>
      </c>
      <c r="F42" s="64"/>
      <c r="G42" s="65">
        <f>'Exhibit 2, Page 3'!G42</f>
        <v>-2.9E-4</v>
      </c>
      <c r="H42" s="64">
        <f t="shared" si="4"/>
        <v>-0.71</v>
      </c>
      <c r="I42" s="64">
        <f t="shared" si="5"/>
        <v>-0.97</v>
      </c>
    </row>
    <row r="43" spans="1:9" x14ac:dyDescent="0.45">
      <c r="A43" s="57">
        <f t="shared" si="1"/>
        <v>-24</v>
      </c>
      <c r="B43" s="49" t="s">
        <v>217</v>
      </c>
      <c r="C43" s="65">
        <f>'Exhibit 2, Page 3'!C43</f>
        <v>5.4640000000000001E-2</v>
      </c>
      <c r="D43" s="64">
        <f t="shared" si="2"/>
        <v>133.49</v>
      </c>
      <c r="E43" s="64">
        <f t="shared" si="3"/>
        <v>182.55</v>
      </c>
      <c r="F43" s="64"/>
      <c r="G43" s="119">
        <f>'Exhibit 2, Page 3'!G43</f>
        <v>1.9978412835634948E-2</v>
      </c>
      <c r="H43" s="64">
        <f t="shared" si="4"/>
        <v>48.81</v>
      </c>
      <c r="I43" s="64">
        <f t="shared" si="5"/>
        <v>66.75</v>
      </c>
    </row>
    <row r="44" spans="1:9" x14ac:dyDescent="0.45">
      <c r="A44" s="57">
        <f t="shared" si="1"/>
        <v>-25</v>
      </c>
      <c r="B44" s="49" t="s">
        <v>190</v>
      </c>
      <c r="C44" s="65">
        <f>'Exhibit 2, Page 3'!C44</f>
        <v>2.7130000000000001E-2</v>
      </c>
      <c r="D44" s="64">
        <f t="shared" si="2"/>
        <v>66.28</v>
      </c>
      <c r="E44" s="64">
        <f t="shared" si="3"/>
        <v>90.64</v>
      </c>
      <c r="F44" s="64"/>
      <c r="G44" s="65">
        <f>'Exhibit 2, Page 3'!G44</f>
        <v>2.7130000000000001E-2</v>
      </c>
      <c r="H44" s="64">
        <f t="shared" si="4"/>
        <v>66.28</v>
      </c>
      <c r="I44" s="64">
        <f t="shared" si="5"/>
        <v>90.64</v>
      </c>
    </row>
    <row r="45" spans="1:9" x14ac:dyDescent="0.45">
      <c r="A45" s="57">
        <f t="shared" si="1"/>
        <v>-26</v>
      </c>
      <c r="B45" s="49" t="s">
        <v>191</v>
      </c>
      <c r="C45" s="65">
        <f>'Exhibit 2, Page 3'!C45</f>
        <v>2.4510000000000001E-2</v>
      </c>
      <c r="D45" s="64">
        <f t="shared" si="2"/>
        <v>59.88</v>
      </c>
      <c r="E45" s="64">
        <f t="shared" si="3"/>
        <v>81.89</v>
      </c>
      <c r="F45" s="64"/>
      <c r="G45" s="65">
        <f>'Exhibit 2, Page 3'!G45</f>
        <v>2.4510000000000001E-2</v>
      </c>
      <c r="H45" s="64">
        <f t="shared" si="4"/>
        <v>59.88</v>
      </c>
      <c r="I45" s="64">
        <f t="shared" si="5"/>
        <v>81.89</v>
      </c>
    </row>
    <row r="46" spans="1:9" x14ac:dyDescent="0.45">
      <c r="A46" s="57">
        <f t="shared" si="1"/>
        <v>-27</v>
      </c>
      <c r="B46" s="61" t="s">
        <v>192</v>
      </c>
      <c r="C46" s="65">
        <f>'Exhibit 2, Page 3'!C46</f>
        <v>5.0000000000000001E-4</v>
      </c>
      <c r="D46" s="64">
        <f t="shared" si="2"/>
        <v>1.22</v>
      </c>
      <c r="E46" s="64">
        <f t="shared" ref="E46:E47" si="6">ROUND(C46*3341,2)</f>
        <v>1.67</v>
      </c>
      <c r="F46" s="67"/>
      <c r="G46" s="65">
        <f>'Exhibit 2, Page 3'!G46</f>
        <v>5.0000000000000001E-4</v>
      </c>
      <c r="H46" s="64">
        <f t="shared" si="4"/>
        <v>1.22</v>
      </c>
      <c r="I46" s="64">
        <f t="shared" ref="I46:I47" si="7">ROUND(G46*3341,2)</f>
        <v>1.67</v>
      </c>
    </row>
    <row r="47" spans="1:9" x14ac:dyDescent="0.45">
      <c r="A47" s="57">
        <f t="shared" si="1"/>
        <v>-28</v>
      </c>
      <c r="B47" s="61" t="str">
        <f>'Exhibit 2, Page 3'!B47</f>
        <v>Electric Sector Modernization Plan Factor</v>
      </c>
      <c r="C47" s="65">
        <f>'Exhibit 2, Page 3'!C47</f>
        <v>0</v>
      </c>
      <c r="D47" s="67">
        <f t="shared" si="2"/>
        <v>0</v>
      </c>
      <c r="E47" s="67">
        <f t="shared" si="6"/>
        <v>0</v>
      </c>
      <c r="F47" s="67"/>
      <c r="G47" s="65">
        <f>'Exhibit 2, Page 3'!G47</f>
        <v>0</v>
      </c>
      <c r="H47" s="67">
        <f t="shared" si="4"/>
        <v>0</v>
      </c>
      <c r="I47" s="67">
        <f t="shared" si="7"/>
        <v>0</v>
      </c>
    </row>
    <row r="48" spans="1:9" x14ac:dyDescent="0.45">
      <c r="A48" s="57">
        <f t="shared" si="1"/>
        <v>-29</v>
      </c>
      <c r="B48" s="49" t="s">
        <v>194</v>
      </c>
      <c r="C48" s="49"/>
      <c r="D48" s="68">
        <f>SUM(D19:D47)</f>
        <v>566.66000000000008</v>
      </c>
      <c r="E48" s="68">
        <f>SUM(E19:E47)</f>
        <v>771.27999999999986</v>
      </c>
      <c r="F48" s="68"/>
      <c r="G48" s="65"/>
      <c r="H48" s="68">
        <f>SUM(H19:H47)</f>
        <v>481.98</v>
      </c>
      <c r="I48" s="68">
        <f>SUM(I19:I47)</f>
        <v>655.4799999999999</v>
      </c>
    </row>
    <row r="49" spans="1:9" x14ac:dyDescent="0.45">
      <c r="A49" s="57"/>
      <c r="B49" s="49"/>
      <c r="C49" s="49"/>
      <c r="D49" s="68"/>
      <c r="E49" s="68"/>
      <c r="F49" s="68"/>
      <c r="G49" s="65"/>
      <c r="I49" s="68"/>
    </row>
    <row r="50" spans="1:9" x14ac:dyDescent="0.45">
      <c r="A50" s="57"/>
      <c r="B50" s="63" t="s">
        <v>195</v>
      </c>
      <c r="C50" s="49"/>
      <c r="D50" s="49"/>
      <c r="E50" s="49"/>
      <c r="F50" s="49"/>
      <c r="G50" s="65"/>
      <c r="I50" s="49"/>
    </row>
    <row r="51" spans="1:9" x14ac:dyDescent="0.45">
      <c r="A51" s="57">
        <f>+A48-1</f>
        <v>-30</v>
      </c>
      <c r="B51" s="49" t="s">
        <v>196</v>
      </c>
      <c r="C51" s="65">
        <f>'Exhibit 2, Page 3'!C51</f>
        <v>0.14751</v>
      </c>
      <c r="D51" s="64"/>
      <c r="E51" s="64"/>
      <c r="F51" s="64"/>
      <c r="G51" s="65">
        <f>'Exhibit 2, Page 3'!G51</f>
        <v>0.14751</v>
      </c>
      <c r="I51" s="64"/>
    </row>
    <row r="52" spans="1:9" x14ac:dyDescent="0.45">
      <c r="A52" s="57">
        <f t="shared" si="1"/>
        <v>-31</v>
      </c>
      <c r="B52" s="49" t="s">
        <v>197</v>
      </c>
      <c r="C52" s="65">
        <f>'Exhibit 2, Page 3'!C52</f>
        <v>6.2100000000000002E-3</v>
      </c>
      <c r="D52" s="64"/>
      <c r="E52" s="64"/>
      <c r="F52" s="64"/>
      <c r="G52" s="65">
        <f>'Exhibit 2, Page 3'!G52</f>
        <v>6.2100000000000002E-3</v>
      </c>
      <c r="I52" s="64"/>
    </row>
    <row r="53" spans="1:9" x14ac:dyDescent="0.45">
      <c r="A53" s="57">
        <f t="shared" si="1"/>
        <v>-32</v>
      </c>
      <c r="B53" s="61" t="s">
        <v>198</v>
      </c>
      <c r="C53" s="66">
        <f>'Exhibit 2, Page 3'!C53</f>
        <v>0</v>
      </c>
      <c r="D53" s="67"/>
      <c r="E53" s="67"/>
      <c r="F53" s="67"/>
      <c r="G53" s="66">
        <f>'Exhibit 2, Page 3'!G53</f>
        <v>0</v>
      </c>
      <c r="I53" s="67"/>
    </row>
    <row r="54" spans="1:9" x14ac:dyDescent="0.45">
      <c r="A54" s="57">
        <f t="shared" si="1"/>
        <v>-33</v>
      </c>
      <c r="B54" s="49" t="s">
        <v>199</v>
      </c>
      <c r="C54" s="69">
        <f>SUM(C51:C53)</f>
        <v>0.15372</v>
      </c>
      <c r="D54" s="67">
        <f>ROUND(C54*2443,2)</f>
        <v>375.54</v>
      </c>
      <c r="E54" s="67">
        <f>ROUND(C54*3341,2)</f>
        <v>513.58000000000004</v>
      </c>
      <c r="F54" s="67"/>
      <c r="G54" s="65">
        <f>C54</f>
        <v>0.15372</v>
      </c>
      <c r="H54" s="67">
        <f>ROUND(G54*2443,2)</f>
        <v>375.54</v>
      </c>
      <c r="I54" s="67">
        <f>ROUND(G54*3341,2)</f>
        <v>513.58000000000004</v>
      </c>
    </row>
    <row r="55" spans="1:9" ht="16" x14ac:dyDescent="0.45">
      <c r="A55" s="57"/>
      <c r="B55" s="49"/>
      <c r="C55" s="69"/>
      <c r="D55" s="70"/>
      <c r="E55" s="70"/>
      <c r="F55" s="70"/>
      <c r="G55" s="70"/>
      <c r="H55" s="70"/>
      <c r="I55" s="70"/>
    </row>
    <row r="56" spans="1:9" x14ac:dyDescent="0.45">
      <c r="A56" s="57">
        <f>+A54-1</f>
        <v>-34</v>
      </c>
      <c r="B56" s="49" t="s">
        <v>200</v>
      </c>
      <c r="C56" s="49"/>
      <c r="D56" s="64">
        <f>D48+D54</f>
        <v>942.2</v>
      </c>
      <c r="E56" s="64">
        <f>E48+E54</f>
        <v>1284.8599999999999</v>
      </c>
      <c r="F56" s="64"/>
      <c r="G56" s="64"/>
      <c r="H56" s="64">
        <f>H48+H54</f>
        <v>857.52</v>
      </c>
      <c r="I56" s="64">
        <f>I48+I54</f>
        <v>1169.06</v>
      </c>
    </row>
    <row r="57" spans="1:9" x14ac:dyDescent="0.45">
      <c r="A57" s="49"/>
      <c r="B57" s="49"/>
      <c r="C57" s="49"/>
      <c r="D57" s="71"/>
      <c r="E57" s="71"/>
      <c r="F57" s="71"/>
      <c r="G57" s="71"/>
      <c r="H57" s="71"/>
      <c r="I57" s="71"/>
    </row>
    <row r="58" spans="1:9" x14ac:dyDescent="0.45">
      <c r="A58" s="57">
        <f>A56-1</f>
        <v>-35</v>
      </c>
      <c r="B58" s="49" t="s">
        <v>218</v>
      </c>
      <c r="C58" s="72">
        <v>0.32</v>
      </c>
      <c r="D58" s="73">
        <f>D56*C58</f>
        <v>301.50400000000002</v>
      </c>
      <c r="E58" s="73">
        <f>E56*C58</f>
        <v>411.15519999999998</v>
      </c>
      <c r="F58" s="73"/>
      <c r="G58" s="73"/>
      <c r="H58" s="73">
        <f>H56*C58</f>
        <v>274.40640000000002</v>
      </c>
      <c r="I58" s="73">
        <f>I56*C58</f>
        <v>374.0992</v>
      </c>
    </row>
    <row r="59" spans="1:9" x14ac:dyDescent="0.45">
      <c r="A59" s="52"/>
      <c r="B59" s="49"/>
      <c r="C59" s="49"/>
      <c r="D59" s="71"/>
      <c r="E59" s="71"/>
      <c r="F59" s="71"/>
      <c r="G59" s="71"/>
      <c r="H59" s="71"/>
      <c r="I59" s="71"/>
    </row>
    <row r="60" spans="1:9" x14ac:dyDescent="0.45">
      <c r="A60" s="57">
        <f>A58-1</f>
        <v>-36</v>
      </c>
      <c r="B60" s="49" t="s">
        <v>219</v>
      </c>
      <c r="C60" s="49"/>
      <c r="D60" s="74">
        <f>D56-D58</f>
        <v>640.69600000000003</v>
      </c>
      <c r="E60" s="74">
        <f>E56-E58</f>
        <v>873.70479999999998</v>
      </c>
      <c r="F60" s="74"/>
      <c r="G60" s="74"/>
      <c r="H60" s="74">
        <f>H56-H58</f>
        <v>583.11359999999991</v>
      </c>
      <c r="I60" s="74">
        <f>I56-I58</f>
        <v>794.96079999999995</v>
      </c>
    </row>
    <row r="61" spans="1:9" x14ac:dyDescent="0.45">
      <c r="A61" s="57"/>
      <c r="B61" s="49"/>
      <c r="C61" s="49"/>
      <c r="D61" s="74"/>
      <c r="E61" s="74"/>
      <c r="F61" s="74"/>
      <c r="G61" s="74"/>
      <c r="H61" s="74"/>
      <c r="I61" s="74"/>
    </row>
    <row r="62" spans="1:9" x14ac:dyDescent="0.45">
      <c r="A62" s="57">
        <f>A60-1</f>
        <v>-37</v>
      </c>
      <c r="B62" s="49" t="s">
        <v>203</v>
      </c>
      <c r="C62" s="80">
        <v>0.91</v>
      </c>
      <c r="D62" s="73">
        <f>D56*C62</f>
        <v>857.40200000000004</v>
      </c>
      <c r="E62" s="73">
        <f>E56*C62</f>
        <v>1169.2226000000001</v>
      </c>
      <c r="F62" s="74"/>
      <c r="G62" s="74"/>
      <c r="H62" s="73">
        <f>H56*C62</f>
        <v>780.34320000000002</v>
      </c>
      <c r="I62" s="73">
        <f>I56*C62</f>
        <v>1063.8445999999999</v>
      </c>
    </row>
    <row r="63" spans="1:9" x14ac:dyDescent="0.45">
      <c r="A63" s="57"/>
      <c r="B63" s="49"/>
      <c r="C63" s="49"/>
      <c r="D63" s="74"/>
      <c r="E63" s="74"/>
      <c r="F63" s="74"/>
      <c r="G63" s="74"/>
      <c r="H63" s="74"/>
      <c r="I63" s="74"/>
    </row>
    <row r="64" spans="1:9" x14ac:dyDescent="0.45">
      <c r="A64" s="57">
        <f>A62-1</f>
        <v>-38</v>
      </c>
      <c r="B64" s="49" t="s">
        <v>204</v>
      </c>
      <c r="C64" s="49"/>
      <c r="D64" s="74">
        <f>D56-D62</f>
        <v>84.798000000000002</v>
      </c>
      <c r="E64" s="74">
        <f>E56-E62</f>
        <v>115.63739999999984</v>
      </c>
      <c r="F64" s="74"/>
      <c r="G64" s="74"/>
      <c r="H64" s="74">
        <f>H56-H62</f>
        <v>77.176799999999957</v>
      </c>
      <c r="I64" s="74">
        <f>I56-I62</f>
        <v>105.21540000000005</v>
      </c>
    </row>
    <row r="65" spans="1:9" x14ac:dyDescent="0.45">
      <c r="A65" s="57"/>
      <c r="B65" s="49"/>
      <c r="C65" s="49"/>
      <c r="D65" s="74"/>
      <c r="E65" s="74"/>
      <c r="F65" s="74"/>
      <c r="G65" s="74"/>
      <c r="H65" s="74"/>
      <c r="I65" s="74"/>
    </row>
    <row r="66" spans="1:9" x14ac:dyDescent="0.45">
      <c r="A66" s="49"/>
      <c r="B66" s="49"/>
      <c r="C66" s="49"/>
      <c r="D66" s="64"/>
      <c r="E66" s="64"/>
      <c r="F66" s="64"/>
      <c r="G66" s="64"/>
    </row>
    <row r="67" spans="1:9" x14ac:dyDescent="0.45">
      <c r="A67" s="99" t="s">
        <v>205</v>
      </c>
      <c r="B67" s="75" t="str">
        <f>'Exhibit 2, Page 3'!B67</f>
        <v>Per M.D.P.U. No. 1-26-F; exept Line (24) (d) =  Exhibit 1 , Page 1, Line (39) Col. (i)</v>
      </c>
      <c r="C67" s="65"/>
      <c r="D67" s="49"/>
      <c r="E67" s="49"/>
      <c r="F67" s="49"/>
      <c r="G67" s="49"/>
    </row>
    <row r="68" spans="1:9" x14ac:dyDescent="0.45">
      <c r="A68" s="56" t="s">
        <v>206</v>
      </c>
      <c r="B68" s="75" t="s">
        <v>207</v>
      </c>
      <c r="C68" s="66"/>
      <c r="D68" s="49"/>
      <c r="E68" s="49"/>
      <c r="F68" s="49"/>
      <c r="G68" s="49"/>
    </row>
    <row r="69" spans="1:9" x14ac:dyDescent="0.45">
      <c r="A69" s="56" t="s">
        <v>206</v>
      </c>
      <c r="B69" s="75" t="s">
        <v>208</v>
      </c>
    </row>
    <row r="70" spans="1:9" x14ac:dyDescent="0.45">
      <c r="A70" s="56" t="s">
        <v>206</v>
      </c>
      <c r="B70" s="75" t="s">
        <v>209</v>
      </c>
    </row>
    <row r="71" spans="1:9" x14ac:dyDescent="0.45">
      <c r="A71" s="56" t="s">
        <v>206</v>
      </c>
      <c r="B71" s="75" t="s">
        <v>210</v>
      </c>
    </row>
    <row r="72" spans="1:9" x14ac:dyDescent="0.45">
      <c r="A72" s="56" t="s">
        <v>206</v>
      </c>
      <c r="B72" s="75" t="s">
        <v>211</v>
      </c>
    </row>
    <row r="73" spans="1:9" x14ac:dyDescent="0.45">
      <c r="A73" s="56" t="s">
        <v>206</v>
      </c>
      <c r="B73" s="30" t="s">
        <v>212</v>
      </c>
    </row>
    <row r="74" spans="1:9" x14ac:dyDescent="0.45">
      <c r="A74" s="56"/>
    </row>
  </sheetData>
  <mergeCells count="5">
    <mergeCell ref="A9:I9"/>
    <mergeCell ref="A10:I10"/>
    <mergeCell ref="A11:I11"/>
    <mergeCell ref="C13:E13"/>
    <mergeCell ref="G13:I13"/>
  </mergeCells>
  <pageMargins left="0.7" right="0.7" top="0.75" bottom="0.75" header="0.3" footer="0.3"/>
  <pageSetup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A3C6-CAEA-4436-A0EE-FE8BB5613B28}">
  <dimension ref="A1:G41"/>
  <sheetViews>
    <sheetView showGridLines="0" view="pageBreakPreview" zoomScale="115" zoomScaleNormal="110" zoomScaleSheetLayoutView="115" workbookViewId="0">
      <selection activeCell="C29" sqref="C29"/>
    </sheetView>
  </sheetViews>
  <sheetFormatPr defaultColWidth="9.265625" defaultRowHeight="12.7" x14ac:dyDescent="0.4"/>
  <cols>
    <col min="1" max="1" width="9" style="31" customWidth="1"/>
    <col min="2" max="2" width="68.86328125" style="31" customWidth="1"/>
    <col min="3" max="4" width="29.265625" style="31" bestFit="1" customWidth="1"/>
    <col min="5" max="5" width="3.1328125" style="31" customWidth="1"/>
    <col min="6" max="6" width="26.86328125" style="31" customWidth="1"/>
    <col min="7" max="7" width="29.265625" style="31" bestFit="1" customWidth="1"/>
    <col min="8" max="16384" width="9.265625" style="31"/>
  </cols>
  <sheetData>
    <row r="1" spans="1:7" ht="14" x14ac:dyDescent="0.45">
      <c r="A1" s="30"/>
      <c r="B1" s="30"/>
      <c r="G1" s="32" t="str">
        <f>'Exhibit 1, Page 2'!M1</f>
        <v>Massachusetts Electric Company</v>
      </c>
    </row>
    <row r="2" spans="1:7" ht="14" x14ac:dyDescent="0.45">
      <c r="A2" s="30"/>
      <c r="B2" s="30"/>
      <c r="G2" s="32" t="str">
        <f>'Exhibit 1, Page 2'!M2</f>
        <v>Nantucket Electric Company</v>
      </c>
    </row>
    <row r="3" spans="1:7" ht="14" x14ac:dyDescent="0.45">
      <c r="A3" s="30"/>
      <c r="B3" s="30"/>
      <c r="G3" s="32" t="str">
        <f>'Exhibit 1, Page 2'!M3</f>
        <v>d/b/a National Grid</v>
      </c>
    </row>
    <row r="4" spans="1:7" ht="14" x14ac:dyDescent="0.45">
      <c r="A4" s="30"/>
      <c r="B4" s="30"/>
      <c r="G4" s="32" t="str">
        <f>'Exhibit 1, Page 2'!M4</f>
        <v>D.P.U 26-71</v>
      </c>
    </row>
    <row r="5" spans="1:7" ht="14" x14ac:dyDescent="0.45">
      <c r="A5" s="30"/>
      <c r="B5" s="30"/>
      <c r="G5" s="32" t="s">
        <v>220</v>
      </c>
    </row>
    <row r="6" spans="1:7" ht="14" x14ac:dyDescent="0.45">
      <c r="A6" s="30"/>
      <c r="B6" s="30"/>
      <c r="G6" s="32" t="s">
        <v>81</v>
      </c>
    </row>
    <row r="7" spans="1:7" ht="14" x14ac:dyDescent="0.45">
      <c r="A7" s="30"/>
      <c r="B7" s="30"/>
      <c r="G7" s="32" t="str">
        <f>'Exhibit 2, Page 4'!I7</f>
        <v>H.O. _______</v>
      </c>
    </row>
    <row r="8" spans="1:7" ht="14" x14ac:dyDescent="0.45">
      <c r="A8" s="30"/>
      <c r="B8" s="30"/>
      <c r="C8" s="33"/>
    </row>
    <row r="9" spans="1:7" ht="14" x14ac:dyDescent="0.45">
      <c r="A9" s="30"/>
      <c r="B9" s="30"/>
      <c r="C9" s="33"/>
    </row>
    <row r="10" spans="1:7" ht="14" x14ac:dyDescent="0.45">
      <c r="A10" s="128" t="s">
        <v>0</v>
      </c>
      <c r="B10" s="128"/>
      <c r="C10" s="128"/>
      <c r="D10" s="128"/>
      <c r="E10" s="128"/>
      <c r="F10" s="128"/>
      <c r="G10" s="128"/>
    </row>
    <row r="11" spans="1:7" ht="14" x14ac:dyDescent="0.45">
      <c r="A11" s="128" t="s">
        <v>1</v>
      </c>
      <c r="B11" s="128"/>
      <c r="C11" s="128"/>
      <c r="D11" s="128"/>
      <c r="E11" s="128"/>
      <c r="F11" s="128"/>
      <c r="G11" s="128"/>
    </row>
    <row r="12" spans="1:7" ht="14" x14ac:dyDescent="0.45">
      <c r="A12" s="128" t="s">
        <v>82</v>
      </c>
      <c r="B12" s="128"/>
      <c r="C12" s="128"/>
      <c r="D12" s="128"/>
      <c r="E12" s="128"/>
      <c r="F12" s="128"/>
      <c r="G12" s="128"/>
    </row>
    <row r="13" spans="1:7" ht="14" x14ac:dyDescent="0.45">
      <c r="A13" s="34"/>
      <c r="B13" s="34"/>
      <c r="C13" s="34"/>
      <c r="D13" s="34"/>
      <c r="E13" s="34"/>
      <c r="F13" s="34"/>
      <c r="G13" s="34"/>
    </row>
    <row r="14" spans="1:7" ht="14" x14ac:dyDescent="0.45">
      <c r="A14" s="34"/>
      <c r="B14" s="34"/>
      <c r="C14" s="129" t="s">
        <v>83</v>
      </c>
      <c r="D14" s="129"/>
      <c r="E14" s="34"/>
      <c r="F14" s="129" t="s">
        <v>84</v>
      </c>
      <c r="G14" s="129"/>
    </row>
    <row r="15" spans="1:7" ht="14" x14ac:dyDescent="0.45">
      <c r="A15" s="35"/>
      <c r="B15" s="35"/>
      <c r="C15" s="78" t="s">
        <v>85</v>
      </c>
      <c r="D15" s="79" t="s">
        <v>86</v>
      </c>
      <c r="E15" s="79"/>
      <c r="F15" s="78" t="s">
        <v>87</v>
      </c>
      <c r="G15" s="79" t="s">
        <v>88</v>
      </c>
    </row>
    <row r="16" spans="1:7" ht="14" x14ac:dyDescent="0.45">
      <c r="A16" s="30"/>
      <c r="B16" s="30"/>
      <c r="C16" s="36" t="s">
        <v>89</v>
      </c>
      <c r="D16" s="36" t="s">
        <v>90</v>
      </c>
      <c r="E16" s="36"/>
      <c r="F16" s="36" t="s">
        <v>91</v>
      </c>
      <c r="G16" s="36" t="s">
        <v>92</v>
      </c>
    </row>
    <row r="17" spans="1:7" ht="14" x14ac:dyDescent="0.45">
      <c r="A17" s="30"/>
      <c r="B17" s="30"/>
      <c r="C17" s="36"/>
      <c r="D17" s="36"/>
      <c r="E17" s="36"/>
    </row>
    <row r="18" spans="1:7" ht="14" x14ac:dyDescent="0.45">
      <c r="A18" s="37">
        <v>-1</v>
      </c>
      <c r="B18" s="30" t="s">
        <v>93</v>
      </c>
      <c r="C18" s="38">
        <f>'Exhibit 3, Page 3'!$H$56</f>
        <v>513.70000000000005</v>
      </c>
      <c r="D18" s="38">
        <f>'Exhibit 3, Page 3'!$I$56</f>
        <v>701.81</v>
      </c>
      <c r="E18" s="38"/>
      <c r="F18" s="38">
        <f>'Exhibit 3, Page 4'!$H$56</f>
        <v>754.87000000000012</v>
      </c>
      <c r="G18" s="38">
        <f>'Exhibit 3, Page 4'!$I$56</f>
        <v>1028.67</v>
      </c>
    </row>
    <row r="19" spans="1:7" ht="14" x14ac:dyDescent="0.45">
      <c r="A19" s="37"/>
      <c r="B19" s="30"/>
      <c r="C19" s="30"/>
      <c r="D19" s="30"/>
      <c r="E19" s="30"/>
      <c r="F19" s="30"/>
      <c r="G19" s="30"/>
    </row>
    <row r="20" spans="1:7" ht="14" x14ac:dyDescent="0.45">
      <c r="A20" s="37">
        <f>A18-1</f>
        <v>-2</v>
      </c>
      <c r="B20" s="30" t="s">
        <v>94</v>
      </c>
      <c r="C20" s="38">
        <f>'Exhibit 3, Page 3'!$D$56</f>
        <v>640.38</v>
      </c>
      <c r="D20" s="38">
        <f>'Exhibit 3, Page 3'!$E$56</f>
        <v>875.81</v>
      </c>
      <c r="E20" s="38"/>
      <c r="F20" s="38">
        <f>'Exhibit 3, Page 4'!$D$56</f>
        <v>944.55</v>
      </c>
      <c r="G20" s="38">
        <f>'Exhibit 3, Page 4'!$E$56</f>
        <v>1288.06</v>
      </c>
    </row>
    <row r="21" spans="1:7" ht="14" x14ac:dyDescent="0.45">
      <c r="A21" s="37"/>
      <c r="B21" s="30"/>
      <c r="C21" s="30"/>
      <c r="D21" s="30"/>
      <c r="E21" s="30"/>
      <c r="F21" s="30"/>
      <c r="G21" s="30"/>
    </row>
    <row r="22" spans="1:7" ht="14" x14ac:dyDescent="0.45">
      <c r="A22" s="37">
        <f>A20-1</f>
        <v>-3</v>
      </c>
      <c r="B22" s="30" t="s">
        <v>95</v>
      </c>
      <c r="C22" s="39">
        <f>C18-C20</f>
        <v>-126.67999999999995</v>
      </c>
      <c r="D22" s="39">
        <f>D18-D20</f>
        <v>-174</v>
      </c>
      <c r="E22" s="40"/>
      <c r="F22" s="39">
        <f>F18-F20</f>
        <v>-189.67999999999984</v>
      </c>
      <c r="G22" s="39">
        <f>G18-G20</f>
        <v>-259.38999999999987</v>
      </c>
    </row>
    <row r="23" spans="1:7" ht="14" x14ac:dyDescent="0.45">
      <c r="A23" s="41"/>
      <c r="B23" s="30"/>
      <c r="C23" s="42"/>
      <c r="D23" s="42"/>
      <c r="E23" s="43"/>
      <c r="F23" s="42"/>
      <c r="G23" s="42"/>
    </row>
    <row r="24" spans="1:7" ht="14" x14ac:dyDescent="0.45">
      <c r="A24" s="37">
        <f>A22-1</f>
        <v>-4</v>
      </c>
      <c r="B24" s="30" t="s">
        <v>96</v>
      </c>
      <c r="C24" s="44">
        <f>C22/C20</f>
        <v>-0.1978200443486679</v>
      </c>
      <c r="D24" s="44">
        <f>D22/D20</f>
        <v>-0.19867322821159841</v>
      </c>
      <c r="E24" s="45"/>
      <c r="F24" s="44">
        <f>F22/F20</f>
        <v>-0.20081520300672262</v>
      </c>
      <c r="G24" s="44">
        <f>G22/G20</f>
        <v>-0.20138037047963595</v>
      </c>
    </row>
    <row r="25" spans="1:7" ht="14" x14ac:dyDescent="0.45">
      <c r="A25" s="41"/>
      <c r="B25" s="30"/>
    </row>
    <row r="26" spans="1:7" ht="14" x14ac:dyDescent="0.45">
      <c r="A26" s="41"/>
      <c r="B26" s="30"/>
      <c r="C26" s="46"/>
      <c r="D26" s="46"/>
      <c r="F26" s="46"/>
      <c r="G26" s="46"/>
    </row>
    <row r="27" spans="1:7" ht="14" x14ac:dyDescent="0.45">
      <c r="A27" s="41"/>
      <c r="B27" s="30"/>
    </row>
    <row r="28" spans="1:7" ht="14" x14ac:dyDescent="0.45">
      <c r="A28" s="37" t="s">
        <v>97</v>
      </c>
      <c r="B28" s="30" t="s">
        <v>98</v>
      </c>
    </row>
    <row r="29" spans="1:7" ht="14" x14ac:dyDescent="0.45">
      <c r="A29" s="37" t="s">
        <v>99</v>
      </c>
      <c r="B29" s="30" t="s">
        <v>100</v>
      </c>
    </row>
    <row r="30" spans="1:7" ht="14" x14ac:dyDescent="0.45">
      <c r="A30" s="37" t="s">
        <v>101</v>
      </c>
      <c r="B30" s="30" t="s">
        <v>102</v>
      </c>
    </row>
    <row r="31" spans="1:7" ht="14" x14ac:dyDescent="0.45">
      <c r="A31" s="37" t="s">
        <v>103</v>
      </c>
      <c r="B31" s="30" t="s">
        <v>104</v>
      </c>
    </row>
    <row r="32" spans="1:7" ht="14" x14ac:dyDescent="0.45">
      <c r="A32" s="37" t="s">
        <v>105</v>
      </c>
      <c r="B32" s="30" t="s">
        <v>106</v>
      </c>
    </row>
    <row r="33" spans="1:2" ht="14" x14ac:dyDescent="0.45">
      <c r="A33" s="37" t="s">
        <v>107</v>
      </c>
      <c r="B33" s="30" t="s">
        <v>108</v>
      </c>
    </row>
    <row r="34" spans="1:2" ht="14" x14ac:dyDescent="0.45">
      <c r="A34" s="37" t="s">
        <v>109</v>
      </c>
      <c r="B34" s="30" t="s">
        <v>110</v>
      </c>
    </row>
    <row r="35" spans="1:2" ht="14" x14ac:dyDescent="0.45">
      <c r="A35" s="37" t="s">
        <v>111</v>
      </c>
      <c r="B35" s="30" t="s">
        <v>112</v>
      </c>
    </row>
    <row r="36" spans="1:2" ht="14" x14ac:dyDescent="0.45">
      <c r="A36" s="37">
        <v>-3</v>
      </c>
      <c r="B36" s="30" t="s">
        <v>113</v>
      </c>
    </row>
    <row r="37" spans="1:2" ht="14" x14ac:dyDescent="0.45">
      <c r="A37" s="37">
        <f t="shared" ref="A37" si="0">A36-1</f>
        <v>-4</v>
      </c>
      <c r="B37" s="30" t="s">
        <v>114</v>
      </c>
    </row>
    <row r="38" spans="1:2" x14ac:dyDescent="0.4">
      <c r="A38" s="31" t="s">
        <v>115</v>
      </c>
      <c r="B38" s="31" t="s">
        <v>116</v>
      </c>
    </row>
    <row r="39" spans="1:2" x14ac:dyDescent="0.4">
      <c r="A39" s="31" t="s">
        <v>117</v>
      </c>
      <c r="B39" s="31" t="s">
        <v>118</v>
      </c>
    </row>
    <row r="40" spans="1:2" x14ac:dyDescent="0.4">
      <c r="A40" s="31" t="s">
        <v>119</v>
      </c>
      <c r="B40" s="31" t="s">
        <v>120</v>
      </c>
    </row>
    <row r="41" spans="1:2" x14ac:dyDescent="0.4">
      <c r="A41" s="31" t="s">
        <v>121</v>
      </c>
      <c r="B41" s="31" t="s">
        <v>122</v>
      </c>
    </row>
  </sheetData>
  <mergeCells count="5">
    <mergeCell ref="A10:G10"/>
    <mergeCell ref="A11:G11"/>
    <mergeCell ref="A12:G12"/>
    <mergeCell ref="C14:D14"/>
    <mergeCell ref="F14:G14"/>
  </mergeCells>
  <pageMargins left="0.7" right="0.7" top="0.75" bottom="0.75" header="0.3" footer="0.3"/>
  <pageSetup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D577-734F-441A-9FED-A27B1544F4AF}">
  <dimension ref="A1:M57"/>
  <sheetViews>
    <sheetView showGridLines="0" view="pageBreakPreview" zoomScale="80" zoomScaleNormal="100" zoomScaleSheetLayoutView="80" workbookViewId="0">
      <selection activeCell="C29" sqref="C29"/>
    </sheetView>
  </sheetViews>
  <sheetFormatPr defaultColWidth="9.265625" defaultRowHeight="12.7" x14ac:dyDescent="0.4"/>
  <cols>
    <col min="1" max="1" width="9" style="31" customWidth="1"/>
    <col min="2" max="2" width="82.3984375" style="31" customWidth="1"/>
    <col min="3" max="4" width="29.265625" style="31" bestFit="1" customWidth="1"/>
    <col min="5" max="5" width="3.3984375" style="31" customWidth="1"/>
    <col min="6" max="6" width="34.1328125" style="31" customWidth="1"/>
    <col min="7" max="7" width="28" style="31" customWidth="1"/>
    <col min="8" max="16384" width="9.265625" style="31"/>
  </cols>
  <sheetData>
    <row r="1" spans="1:7" ht="14" x14ac:dyDescent="0.45">
      <c r="A1" s="30"/>
      <c r="B1" s="30"/>
      <c r="G1" s="32" t="str">
        <f>'Exhibit 3, Page 1'!G1</f>
        <v>Massachusetts Electric Company</v>
      </c>
    </row>
    <row r="2" spans="1:7" ht="14" x14ac:dyDescent="0.45">
      <c r="A2" s="30"/>
      <c r="B2" s="30"/>
      <c r="G2" s="32" t="str">
        <f>'Exhibit 3, Page 1'!G2</f>
        <v>Nantucket Electric Company</v>
      </c>
    </row>
    <row r="3" spans="1:7" ht="14" x14ac:dyDescent="0.45">
      <c r="A3" s="30"/>
      <c r="B3" s="30"/>
      <c r="G3" s="32" t="str">
        <f>'Exhibit 3, Page 1'!G3</f>
        <v>d/b/a National Grid</v>
      </c>
    </row>
    <row r="4" spans="1:7" ht="14" x14ac:dyDescent="0.45">
      <c r="A4" s="30"/>
      <c r="B4" s="30"/>
      <c r="G4" s="32" t="str">
        <f>'Exhibit 3, Page 1'!G4</f>
        <v>D.P.U 26-71</v>
      </c>
    </row>
    <row r="5" spans="1:7" ht="14" x14ac:dyDescent="0.45">
      <c r="A5" s="30"/>
      <c r="B5" s="30"/>
      <c r="G5" s="32" t="str">
        <f>'Exhibit 3, Page 1'!G5</f>
        <v>Exhibit 3</v>
      </c>
    </row>
    <row r="6" spans="1:7" ht="14" x14ac:dyDescent="0.45">
      <c r="A6" s="30"/>
      <c r="B6" s="30"/>
      <c r="G6" s="32" t="s">
        <v>123</v>
      </c>
    </row>
    <row r="7" spans="1:7" ht="14" x14ac:dyDescent="0.45">
      <c r="A7" s="30"/>
      <c r="B7" s="30"/>
      <c r="G7" s="32" t="str">
        <f>'Exhibit 3, Page 1'!G7</f>
        <v>H.O. _______</v>
      </c>
    </row>
    <row r="8" spans="1:7" ht="14" x14ac:dyDescent="0.45">
      <c r="A8" s="30"/>
      <c r="B8" s="30"/>
      <c r="C8" s="33"/>
    </row>
    <row r="9" spans="1:7" ht="14" x14ac:dyDescent="0.45">
      <c r="A9" s="30"/>
      <c r="B9" s="30"/>
      <c r="C9" s="33"/>
    </row>
    <row r="10" spans="1:7" ht="14" x14ac:dyDescent="0.45">
      <c r="A10" s="128" t="s">
        <v>0</v>
      </c>
      <c r="B10" s="128"/>
      <c r="C10" s="128"/>
      <c r="D10" s="128"/>
      <c r="E10" s="128"/>
      <c r="F10" s="128"/>
      <c r="G10" s="128"/>
    </row>
    <row r="11" spans="1:7" ht="14" x14ac:dyDescent="0.45">
      <c r="A11" s="128" t="s">
        <v>1</v>
      </c>
      <c r="B11" s="128"/>
      <c r="C11" s="128"/>
      <c r="D11" s="128"/>
      <c r="E11" s="128"/>
      <c r="F11" s="128"/>
      <c r="G11" s="128"/>
    </row>
    <row r="12" spans="1:7" ht="14" x14ac:dyDescent="0.45">
      <c r="A12" s="128" t="s">
        <v>124</v>
      </c>
      <c r="B12" s="128"/>
      <c r="C12" s="128"/>
      <c r="D12" s="128"/>
      <c r="E12" s="128"/>
      <c r="F12" s="128"/>
      <c r="G12" s="128"/>
    </row>
    <row r="13" spans="1:7" ht="14" x14ac:dyDescent="0.45">
      <c r="A13" s="34"/>
      <c r="B13" s="34"/>
      <c r="C13" s="34"/>
      <c r="D13" s="34"/>
      <c r="E13" s="34"/>
      <c r="F13" s="34"/>
      <c r="G13" s="34"/>
    </row>
    <row r="14" spans="1:7" ht="14" x14ac:dyDescent="0.45">
      <c r="A14" s="35"/>
      <c r="B14" s="35"/>
      <c r="C14" s="129" t="s">
        <v>83</v>
      </c>
      <c r="D14" s="129"/>
      <c r="E14" s="34"/>
      <c r="F14" s="129" t="s">
        <v>84</v>
      </c>
      <c r="G14" s="129"/>
    </row>
    <row r="15" spans="1:7" ht="14" x14ac:dyDescent="0.45">
      <c r="A15" s="30"/>
      <c r="B15" s="30"/>
      <c r="C15" s="78" t="s">
        <v>85</v>
      </c>
      <c r="D15" s="79" t="s">
        <v>86</v>
      </c>
      <c r="E15" s="79"/>
      <c r="F15" s="78" t="s">
        <v>87</v>
      </c>
      <c r="G15" s="79" t="s">
        <v>88</v>
      </c>
    </row>
    <row r="16" spans="1:7" ht="14" x14ac:dyDescent="0.45">
      <c r="A16" s="30"/>
      <c r="B16" s="30"/>
      <c r="C16" s="36" t="s">
        <v>89</v>
      </c>
      <c r="D16" s="36" t="s">
        <v>90</v>
      </c>
      <c r="E16" s="36"/>
      <c r="F16" s="36" t="s">
        <v>91</v>
      </c>
      <c r="G16" s="36" t="s">
        <v>92</v>
      </c>
    </row>
    <row r="17" spans="1:13" ht="14" x14ac:dyDescent="0.45">
      <c r="A17" s="30"/>
      <c r="B17" s="30"/>
      <c r="C17" s="36"/>
      <c r="D17" s="36"/>
    </row>
    <row r="18" spans="1:13" ht="14" x14ac:dyDescent="0.45">
      <c r="A18" s="30"/>
      <c r="B18" s="30"/>
      <c r="C18" s="36"/>
      <c r="D18" s="36"/>
    </row>
    <row r="19" spans="1:13" ht="14" x14ac:dyDescent="0.45">
      <c r="A19" s="37">
        <v>-1</v>
      </c>
      <c r="B19" s="30" t="s">
        <v>125</v>
      </c>
      <c r="C19" s="38">
        <f>'Exhibit 3, Page 3'!H60</f>
        <v>349.31600000000003</v>
      </c>
      <c r="D19" s="38">
        <f>'Exhibit 3, Page 3'!I60</f>
        <v>477.23079999999993</v>
      </c>
      <c r="F19" s="38">
        <f>'Exhibit 3, Page 4'!H60</f>
        <v>513.31160000000011</v>
      </c>
      <c r="G19" s="47">
        <f>'Exhibit 3, Page 4'!I60</f>
        <v>699.49559999999997</v>
      </c>
    </row>
    <row r="20" spans="1:13" ht="14" x14ac:dyDescent="0.45">
      <c r="A20" s="37"/>
      <c r="B20" s="30"/>
      <c r="C20" s="30"/>
      <c r="F20" s="30"/>
    </row>
    <row r="21" spans="1:13" ht="14" x14ac:dyDescent="0.45">
      <c r="A21" s="37">
        <f>A19-1</f>
        <v>-2</v>
      </c>
      <c r="B21" s="30" t="s">
        <v>126</v>
      </c>
      <c r="C21" s="38">
        <f>'Exhibit 3, Page 3'!D60</f>
        <v>435.45839999999998</v>
      </c>
      <c r="D21" s="38">
        <f>'Exhibit 3, Page 3'!E60</f>
        <v>595.55079999999998</v>
      </c>
      <c r="F21" s="38">
        <f>'Exhibit 3, Page 4'!D60</f>
        <v>642.29399999999998</v>
      </c>
      <c r="G21" s="47">
        <f>'Exhibit 3, Page 4'!E60</f>
        <v>875.88079999999991</v>
      </c>
    </row>
    <row r="22" spans="1:13" ht="14" x14ac:dyDescent="0.45">
      <c r="A22" s="37"/>
      <c r="B22" s="30"/>
      <c r="C22" s="30"/>
      <c r="F22" s="30"/>
    </row>
    <row r="23" spans="1:13" ht="14" x14ac:dyDescent="0.45">
      <c r="A23" s="37">
        <f>A21-1</f>
        <v>-3</v>
      </c>
      <c r="B23" s="30" t="s">
        <v>127</v>
      </c>
      <c r="C23" s="39">
        <f>C19-C21</f>
        <v>-86.142399999999952</v>
      </c>
      <c r="D23" s="48">
        <f>D19-D21</f>
        <v>-118.32000000000005</v>
      </c>
      <c r="F23" s="39">
        <f>F19-F21</f>
        <v>-128.98239999999987</v>
      </c>
      <c r="G23" s="48">
        <f>G19-G21</f>
        <v>-176.38519999999994</v>
      </c>
    </row>
    <row r="24" spans="1:13" ht="14" x14ac:dyDescent="0.45">
      <c r="A24" s="41"/>
      <c r="B24" s="30"/>
      <c r="C24" s="42"/>
      <c r="D24" s="42"/>
      <c r="F24" s="42"/>
      <c r="G24" s="42"/>
    </row>
    <row r="25" spans="1:13" ht="14" x14ac:dyDescent="0.45">
      <c r="A25" s="37">
        <f>A23-1</f>
        <v>-4</v>
      </c>
      <c r="B25" s="30" t="s">
        <v>128</v>
      </c>
      <c r="C25" s="44">
        <f>C23/C21</f>
        <v>-0.19782004434866787</v>
      </c>
      <c r="D25" s="44">
        <f>D23/D21</f>
        <v>-0.1986732282115985</v>
      </c>
      <c r="F25" s="44">
        <f>F23/F21</f>
        <v>-0.20081520300672259</v>
      </c>
      <c r="G25" s="44">
        <f>G23/G21</f>
        <v>-0.201380370479636</v>
      </c>
    </row>
    <row r="26" spans="1:13" ht="14" x14ac:dyDescent="0.45">
      <c r="A26" s="37"/>
      <c r="B26" s="30"/>
      <c r="C26" s="44"/>
      <c r="D26" s="44"/>
      <c r="F26" s="44"/>
      <c r="G26" s="44"/>
    </row>
    <row r="27" spans="1:13" ht="14" x14ac:dyDescent="0.45">
      <c r="A27" s="37">
        <f>A25-1</f>
        <v>-5</v>
      </c>
      <c r="B27" s="30" t="s">
        <v>129</v>
      </c>
      <c r="C27" s="38">
        <f>'Exhibit 3, Page 3'!H64</f>
        <v>46.233000000000004</v>
      </c>
      <c r="D27" s="38">
        <f>'Exhibit 3, Page 3'!I64</f>
        <v>63.162899999999922</v>
      </c>
      <c r="E27" s="38"/>
      <c r="F27" s="38">
        <f>'Exhibit 3, Page 4'!H64</f>
        <v>67.938300000000027</v>
      </c>
      <c r="G27" s="38">
        <f>'Exhibit 3, Page 4'!I64</f>
        <v>92.580299999999966</v>
      </c>
      <c r="H27" s="38"/>
      <c r="I27" s="38"/>
      <c r="J27" s="38"/>
      <c r="K27" s="38"/>
      <c r="L27" s="38"/>
      <c r="M27" s="38"/>
    </row>
    <row r="28" spans="1:13" ht="14" x14ac:dyDescent="0.45">
      <c r="A28" s="37"/>
      <c r="B28" s="30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ht="14" x14ac:dyDescent="0.45">
      <c r="A29" s="37">
        <f>A27-1</f>
        <v>-6</v>
      </c>
      <c r="B29" s="30" t="s">
        <v>130</v>
      </c>
      <c r="C29" s="38">
        <f>'Exhibit 3, Page 3'!D64</f>
        <v>57.634199999999964</v>
      </c>
      <c r="D29" s="38">
        <f>'Exhibit 3, Page 3'!E64</f>
        <v>78.822900000000004</v>
      </c>
      <c r="E29" s="38"/>
      <c r="F29" s="38">
        <f>'Exhibit 3, Page 4'!D64</f>
        <v>85.009500000000003</v>
      </c>
      <c r="G29" s="38">
        <f>'Exhibit 3, Page 4'!E64</f>
        <v>115.92539999999985</v>
      </c>
      <c r="H29" s="38"/>
      <c r="I29" s="38"/>
      <c r="J29" s="38"/>
      <c r="K29" s="38"/>
      <c r="L29" s="38"/>
      <c r="M29" s="38"/>
    </row>
    <row r="30" spans="1:13" ht="14" x14ac:dyDescent="0.45">
      <c r="A30" s="37"/>
      <c r="B30" s="30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4" x14ac:dyDescent="0.45">
      <c r="A31" s="37">
        <f>A29-1</f>
        <v>-7</v>
      </c>
      <c r="B31" s="30" t="s">
        <v>131</v>
      </c>
      <c r="C31" s="39">
        <f>C27-C29</f>
        <v>-11.40119999999996</v>
      </c>
      <c r="D31" s="39">
        <f>D27-D29</f>
        <v>-15.660000000000082</v>
      </c>
      <c r="E31" s="39"/>
      <c r="F31" s="39">
        <f>F27-F29</f>
        <v>-17.071199999999976</v>
      </c>
      <c r="G31" s="39">
        <f>G27-G29</f>
        <v>-23.345099999999888</v>
      </c>
      <c r="H31" s="39"/>
      <c r="I31" s="39"/>
      <c r="J31" s="39"/>
      <c r="K31" s="39"/>
      <c r="L31" s="39"/>
      <c r="M31" s="39"/>
    </row>
    <row r="32" spans="1:13" ht="14" x14ac:dyDescent="0.45">
      <c r="A32" s="37"/>
      <c r="B32" s="30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4" x14ac:dyDescent="0.45">
      <c r="A33" s="37">
        <f>A31-1</f>
        <v>-8</v>
      </c>
      <c r="B33" s="30" t="s">
        <v>132</v>
      </c>
      <c r="C33" s="44">
        <f>C31/C29</f>
        <v>-0.1978200443486674</v>
      </c>
      <c r="D33" s="44">
        <f>D31/D29</f>
        <v>-0.19867322821159944</v>
      </c>
      <c r="E33" s="44"/>
      <c r="F33" s="44">
        <f>F31/F29</f>
        <v>-0.20081520300672248</v>
      </c>
      <c r="G33" s="44">
        <f>G31/G29</f>
        <v>-0.20138037047963533</v>
      </c>
      <c r="H33" s="44"/>
      <c r="I33" s="44"/>
      <c r="J33" s="44"/>
      <c r="K33" s="44"/>
      <c r="L33" s="44"/>
      <c r="M33" s="44"/>
    </row>
    <row r="34" spans="1:13" ht="14" x14ac:dyDescent="0.45">
      <c r="A34" s="41"/>
      <c r="B34" s="30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 ht="14" x14ac:dyDescent="0.45">
      <c r="A35" s="41"/>
      <c r="B35" s="30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4" x14ac:dyDescent="0.45">
      <c r="A36" s="37" t="s">
        <v>97</v>
      </c>
      <c r="B36" s="30" t="s">
        <v>133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1:13" ht="14" x14ac:dyDescent="0.45">
      <c r="A37" s="37" t="s">
        <v>99</v>
      </c>
      <c r="B37" s="30" t="s">
        <v>134</v>
      </c>
    </row>
    <row r="38" spans="1:13" ht="14" x14ac:dyDescent="0.45">
      <c r="A38" s="37" t="s">
        <v>101</v>
      </c>
      <c r="B38" s="30" t="s">
        <v>135</v>
      </c>
    </row>
    <row r="39" spans="1:13" ht="14" x14ac:dyDescent="0.45">
      <c r="A39" s="37" t="s">
        <v>103</v>
      </c>
      <c r="B39" s="30" t="s">
        <v>136</v>
      </c>
    </row>
    <row r="40" spans="1:13" ht="14" x14ac:dyDescent="0.45">
      <c r="A40" s="37" t="s">
        <v>105</v>
      </c>
      <c r="B40" s="30" t="s">
        <v>137</v>
      </c>
    </row>
    <row r="41" spans="1:13" ht="14" x14ac:dyDescent="0.45">
      <c r="A41" s="37" t="s">
        <v>107</v>
      </c>
      <c r="B41" s="30" t="s">
        <v>138</v>
      </c>
    </row>
    <row r="42" spans="1:13" ht="14" x14ac:dyDescent="0.45">
      <c r="A42" s="37" t="s">
        <v>109</v>
      </c>
      <c r="B42" s="30" t="s">
        <v>139</v>
      </c>
    </row>
    <row r="43" spans="1:13" ht="14" x14ac:dyDescent="0.45">
      <c r="A43" s="37" t="s">
        <v>111</v>
      </c>
      <c r="B43" s="30" t="s">
        <v>140</v>
      </c>
    </row>
    <row r="44" spans="1:13" ht="14" x14ac:dyDescent="0.45">
      <c r="A44" s="37">
        <v>-3</v>
      </c>
      <c r="B44" s="30" t="s">
        <v>113</v>
      </c>
    </row>
    <row r="45" spans="1:13" ht="14" x14ac:dyDescent="0.45">
      <c r="A45" s="37">
        <f t="shared" ref="A45" si="0">A44-1</f>
        <v>-4</v>
      </c>
      <c r="B45" s="30" t="s">
        <v>114</v>
      </c>
    </row>
    <row r="46" spans="1:13" ht="14" x14ac:dyDescent="0.45">
      <c r="A46" s="100" t="s">
        <v>141</v>
      </c>
      <c r="B46" s="30" t="s">
        <v>142</v>
      </c>
    </row>
    <row r="47" spans="1:13" ht="14" x14ac:dyDescent="0.45">
      <c r="A47" s="100" t="s">
        <v>143</v>
      </c>
      <c r="B47" s="30" t="s">
        <v>144</v>
      </c>
    </row>
    <row r="48" spans="1:13" ht="14" x14ac:dyDescent="0.45">
      <c r="A48" s="100" t="s">
        <v>145</v>
      </c>
      <c r="B48" s="30" t="s">
        <v>146</v>
      </c>
    </row>
    <row r="49" spans="1:2" ht="14" x14ac:dyDescent="0.45">
      <c r="A49" s="100" t="s">
        <v>147</v>
      </c>
      <c r="B49" s="30" t="s">
        <v>148</v>
      </c>
    </row>
    <row r="50" spans="1:2" ht="14" x14ac:dyDescent="0.45">
      <c r="A50" s="37" t="s">
        <v>149</v>
      </c>
      <c r="B50" s="30" t="s">
        <v>150</v>
      </c>
    </row>
    <row r="51" spans="1:2" ht="14" x14ac:dyDescent="0.45">
      <c r="A51" s="37" t="s">
        <v>151</v>
      </c>
      <c r="B51" s="30" t="s">
        <v>152</v>
      </c>
    </row>
    <row r="52" spans="1:2" ht="14" x14ac:dyDescent="0.45">
      <c r="A52" s="37" t="s">
        <v>153</v>
      </c>
      <c r="B52" s="30" t="s">
        <v>154</v>
      </c>
    </row>
    <row r="53" spans="1:2" ht="14" x14ac:dyDescent="0.45">
      <c r="A53" s="37" t="s">
        <v>155</v>
      </c>
      <c r="B53" s="30" t="s">
        <v>156</v>
      </c>
    </row>
    <row r="54" spans="1:2" x14ac:dyDescent="0.4">
      <c r="A54" s="31" t="s">
        <v>115</v>
      </c>
      <c r="B54" s="31" t="s">
        <v>116</v>
      </c>
    </row>
    <row r="55" spans="1:2" x14ac:dyDescent="0.4">
      <c r="A55" s="31" t="s">
        <v>117</v>
      </c>
      <c r="B55" s="31" t="s">
        <v>118</v>
      </c>
    </row>
    <row r="56" spans="1:2" x14ac:dyDescent="0.4">
      <c r="A56" s="31" t="s">
        <v>119</v>
      </c>
      <c r="B56" s="31" t="s">
        <v>120</v>
      </c>
    </row>
    <row r="57" spans="1:2" x14ac:dyDescent="0.4">
      <c r="A57" s="31" t="s">
        <v>121</v>
      </c>
      <c r="B57" s="31" t="s">
        <v>122</v>
      </c>
    </row>
  </sheetData>
  <mergeCells count="5">
    <mergeCell ref="A10:G10"/>
    <mergeCell ref="A11:G11"/>
    <mergeCell ref="A12:G12"/>
    <mergeCell ref="C14:D14"/>
    <mergeCell ref="F14:G14"/>
  </mergeCells>
  <pageMargins left="0.7" right="0.7" top="0.75" bottom="0.75" header="0.3" footer="0.3"/>
  <pageSetup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3E24-0190-402B-B455-CF0A1F23ED97}">
  <dimension ref="A1:K74"/>
  <sheetViews>
    <sheetView showGridLines="0" view="pageBreakPreview" zoomScale="80" zoomScaleNormal="80" zoomScaleSheetLayoutView="80" workbookViewId="0">
      <pane xSplit="1" ySplit="16" topLeftCell="B17" activePane="bottomRight" state="frozen"/>
      <selection activeCell="C29" sqref="C29"/>
      <selection pane="topRight" activeCell="C29" sqref="C29"/>
      <selection pane="bottomLeft" activeCell="C29" sqref="C29"/>
      <selection pane="bottomRight" activeCell="C29" sqref="C29"/>
    </sheetView>
  </sheetViews>
  <sheetFormatPr defaultColWidth="9.265625" defaultRowHeight="14" x14ac:dyDescent="0.45"/>
  <cols>
    <col min="1" max="1" width="15.1328125" style="30" customWidth="1"/>
    <col min="2" max="2" width="62.86328125" style="30" bestFit="1" customWidth="1"/>
    <col min="3" max="3" width="16.59765625" style="30" bestFit="1" customWidth="1"/>
    <col min="4" max="4" width="34.73046875" style="30" bestFit="1" customWidth="1"/>
    <col min="5" max="5" width="34.73046875" style="30" customWidth="1"/>
    <col min="6" max="6" width="2.265625" style="30" customWidth="1"/>
    <col min="7" max="7" width="17.86328125" style="30" customWidth="1"/>
    <col min="8" max="8" width="44.1328125" style="30" bestFit="1" customWidth="1"/>
    <col min="9" max="9" width="31.73046875" style="30" bestFit="1" customWidth="1"/>
    <col min="10" max="10" width="9.265625" style="30"/>
    <col min="11" max="11" width="10.86328125" style="30" bestFit="1" customWidth="1"/>
    <col min="12" max="16384" width="9.265625" style="30"/>
  </cols>
  <sheetData>
    <row r="1" spans="1:9" x14ac:dyDescent="0.45">
      <c r="A1" s="49"/>
      <c r="B1" s="49"/>
      <c r="C1" s="49"/>
      <c r="E1" s="50"/>
      <c r="F1" s="50"/>
      <c r="G1" s="50"/>
      <c r="I1" s="32" t="str">
        <f>'Exhibit 3, Page 2'!G1</f>
        <v>Massachusetts Electric Company</v>
      </c>
    </row>
    <row r="2" spans="1:9" x14ac:dyDescent="0.45">
      <c r="A2" s="49"/>
      <c r="B2" s="49"/>
      <c r="C2" s="49"/>
      <c r="E2" s="50"/>
      <c r="F2" s="50"/>
      <c r="G2" s="50"/>
      <c r="I2" s="32" t="str">
        <f>'Exhibit 3, Page 2'!G2</f>
        <v>Nantucket Electric Company</v>
      </c>
    </row>
    <row r="3" spans="1:9" x14ac:dyDescent="0.45">
      <c r="A3" s="49"/>
      <c r="B3" s="49"/>
      <c r="C3" s="49"/>
      <c r="E3" s="50"/>
      <c r="F3" s="50"/>
      <c r="G3" s="50"/>
      <c r="I3" s="32" t="str">
        <f>'Exhibit 3, Page 2'!G3</f>
        <v>d/b/a National Grid</v>
      </c>
    </row>
    <row r="4" spans="1:9" x14ac:dyDescent="0.45">
      <c r="A4" s="49"/>
      <c r="B4" s="49"/>
      <c r="C4" s="49"/>
      <c r="E4" s="50"/>
      <c r="F4" s="50"/>
      <c r="G4" s="50"/>
      <c r="I4" s="32" t="str">
        <f>'Exhibit 3, Page 2'!G4</f>
        <v>D.P.U 26-71</v>
      </c>
    </row>
    <row r="5" spans="1:9" x14ac:dyDescent="0.45">
      <c r="A5" s="49"/>
      <c r="B5" s="49"/>
      <c r="C5" s="49"/>
      <c r="E5" s="50"/>
      <c r="F5" s="50"/>
      <c r="G5" s="50"/>
      <c r="I5" s="32" t="str">
        <f>'Exhibit 3, Page 2'!G5</f>
        <v>Exhibit 3</v>
      </c>
    </row>
    <row r="6" spans="1:9" x14ac:dyDescent="0.45">
      <c r="A6" s="49"/>
      <c r="B6" s="49"/>
      <c r="C6" s="49"/>
      <c r="E6" s="50"/>
      <c r="F6" s="50"/>
      <c r="G6" s="50"/>
      <c r="I6" s="50" t="s">
        <v>157</v>
      </c>
    </row>
    <row r="7" spans="1:9" x14ac:dyDescent="0.45">
      <c r="A7" s="49"/>
      <c r="B7" s="49"/>
      <c r="C7" s="49"/>
      <c r="E7" s="50"/>
      <c r="F7" s="50"/>
      <c r="G7" s="50"/>
      <c r="I7" s="50" t="str">
        <f>'Exhibit 3, Page 2'!G7</f>
        <v>H.O. _______</v>
      </c>
    </row>
    <row r="8" spans="1:9" x14ac:dyDescent="0.45">
      <c r="A8" s="49"/>
      <c r="B8" s="49"/>
      <c r="C8" s="49"/>
      <c r="D8" s="51"/>
      <c r="E8" s="51"/>
      <c r="F8" s="51"/>
      <c r="G8" s="51"/>
    </row>
    <row r="9" spans="1:9" x14ac:dyDescent="0.45">
      <c r="A9" s="130" t="s">
        <v>0</v>
      </c>
      <c r="B9" s="130"/>
      <c r="C9" s="130"/>
      <c r="D9" s="130"/>
      <c r="E9" s="130"/>
      <c r="F9" s="130"/>
      <c r="G9" s="130"/>
      <c r="H9" s="130"/>
      <c r="I9" s="130"/>
    </row>
    <row r="10" spans="1:9" x14ac:dyDescent="0.45">
      <c r="A10" s="130" t="s">
        <v>1</v>
      </c>
      <c r="B10" s="130"/>
      <c r="C10" s="130"/>
      <c r="D10" s="130"/>
      <c r="E10" s="130"/>
      <c r="F10" s="130"/>
      <c r="G10" s="130"/>
      <c r="H10" s="130"/>
      <c r="I10" s="130"/>
    </row>
    <row r="11" spans="1:9" x14ac:dyDescent="0.45">
      <c r="A11" s="130" t="s">
        <v>158</v>
      </c>
      <c r="B11" s="130"/>
      <c r="C11" s="130"/>
      <c r="D11" s="130"/>
      <c r="E11" s="130"/>
      <c r="F11" s="130"/>
      <c r="G11" s="130"/>
      <c r="H11" s="130"/>
      <c r="I11" s="130"/>
    </row>
    <row r="12" spans="1:9" x14ac:dyDescent="0.45">
      <c r="A12" s="53"/>
      <c r="B12" s="53"/>
      <c r="C12" s="53"/>
      <c r="D12" s="53"/>
      <c r="E12" s="53"/>
      <c r="F12" s="53"/>
      <c r="G12" s="53"/>
    </row>
    <row r="13" spans="1:9" x14ac:dyDescent="0.45">
      <c r="A13" s="49"/>
      <c r="B13" s="49"/>
      <c r="C13" s="131" t="s">
        <v>159</v>
      </c>
      <c r="D13" s="131"/>
      <c r="E13" s="131"/>
      <c r="F13" s="54"/>
      <c r="G13" s="131" t="s">
        <v>160</v>
      </c>
      <c r="H13" s="131"/>
      <c r="I13" s="131"/>
    </row>
    <row r="14" spans="1:9" x14ac:dyDescent="0.45">
      <c r="A14" s="49"/>
      <c r="B14" s="49"/>
      <c r="C14" s="55" t="s">
        <v>161</v>
      </c>
      <c r="D14" s="56"/>
      <c r="E14" s="56"/>
      <c r="F14" s="56"/>
      <c r="G14" s="55" t="s">
        <v>161</v>
      </c>
      <c r="H14" s="56"/>
    </row>
    <row r="15" spans="1:9" x14ac:dyDescent="0.45">
      <c r="A15" s="57"/>
      <c r="B15" s="58"/>
      <c r="C15" s="59" t="s">
        <v>50</v>
      </c>
      <c r="D15" s="60" t="s">
        <v>162</v>
      </c>
      <c r="E15" s="60" t="s">
        <v>163</v>
      </c>
      <c r="F15" s="60"/>
      <c r="G15" s="59" t="s">
        <v>50</v>
      </c>
      <c r="H15" s="60" t="s">
        <v>162</v>
      </c>
      <c r="I15" s="60" t="s">
        <v>163</v>
      </c>
    </row>
    <row r="16" spans="1:9" x14ac:dyDescent="0.45">
      <c r="A16" s="57"/>
      <c r="B16" s="61"/>
      <c r="C16" s="62" t="s">
        <v>89</v>
      </c>
      <c r="D16" s="55" t="s">
        <v>90</v>
      </c>
      <c r="E16" s="55" t="s">
        <v>91</v>
      </c>
      <c r="F16" s="55"/>
      <c r="G16" s="55" t="s">
        <v>92</v>
      </c>
      <c r="H16" s="55" t="s">
        <v>164</v>
      </c>
      <c r="I16" s="55" t="s">
        <v>165</v>
      </c>
    </row>
    <row r="17" spans="1:11" x14ac:dyDescent="0.45">
      <c r="A17" s="57"/>
      <c r="B17" s="61"/>
      <c r="C17" s="59"/>
      <c r="D17" s="60"/>
      <c r="E17" s="60"/>
      <c r="F17" s="60"/>
      <c r="G17" s="60"/>
    </row>
    <row r="18" spans="1:11" x14ac:dyDescent="0.45">
      <c r="A18" s="57"/>
      <c r="B18" s="63" t="s">
        <v>166</v>
      </c>
      <c r="C18" s="49"/>
      <c r="D18" s="49"/>
      <c r="E18" s="49"/>
      <c r="F18" s="49"/>
      <c r="G18" s="49"/>
    </row>
    <row r="19" spans="1:11" x14ac:dyDescent="0.45">
      <c r="A19" s="57">
        <v>-1</v>
      </c>
      <c r="B19" s="49" t="s">
        <v>167</v>
      </c>
      <c r="C19" s="49"/>
      <c r="D19" s="64">
        <v>10</v>
      </c>
      <c r="E19" s="64">
        <f>D19</f>
        <v>10</v>
      </c>
      <c r="F19" s="64"/>
      <c r="G19" s="64"/>
      <c r="H19" s="38">
        <f>D19</f>
        <v>10</v>
      </c>
      <c r="I19" s="64">
        <f>H19</f>
        <v>10</v>
      </c>
    </row>
    <row r="20" spans="1:11" x14ac:dyDescent="0.45">
      <c r="A20" s="57">
        <f>+A19-1</f>
        <v>-2</v>
      </c>
      <c r="B20" s="49" t="s">
        <v>168</v>
      </c>
      <c r="C20" s="119">
        <v>6.7729999999999999E-2</v>
      </c>
      <c r="D20" s="64"/>
      <c r="E20" s="64"/>
      <c r="F20" s="64"/>
      <c r="G20" s="119">
        <v>2.4750000000000001E-2</v>
      </c>
      <c r="I20" s="64"/>
      <c r="K20" s="120"/>
    </row>
    <row r="21" spans="1:11" x14ac:dyDescent="0.45">
      <c r="A21" s="57">
        <f>+A20-1</f>
        <v>-3</v>
      </c>
      <c r="B21" s="49" t="s">
        <v>169</v>
      </c>
      <c r="C21" s="65">
        <f>'Exhibit 2, Page 3'!C21</f>
        <v>5.1000000000000004E-4</v>
      </c>
      <c r="D21" s="64"/>
      <c r="E21" s="64"/>
      <c r="F21" s="64"/>
      <c r="G21" s="65">
        <f t="shared" ref="G21:G35" si="0">C21</f>
        <v>5.1000000000000004E-4</v>
      </c>
      <c r="I21" s="64"/>
      <c r="K21" s="120"/>
    </row>
    <row r="22" spans="1:11" x14ac:dyDescent="0.45">
      <c r="A22" s="57">
        <f t="shared" ref="A22:A37" si="1">+A21-1</f>
        <v>-4</v>
      </c>
      <c r="B22" s="49" t="s">
        <v>170</v>
      </c>
      <c r="C22" s="65">
        <f>'Exhibit 2, Page 3'!C22</f>
        <v>2.3890000000000002E-2</v>
      </c>
      <c r="D22" s="64"/>
      <c r="E22" s="64"/>
      <c r="F22" s="64"/>
      <c r="G22" s="65">
        <f t="shared" si="0"/>
        <v>2.3890000000000002E-2</v>
      </c>
      <c r="I22" s="64"/>
      <c r="K22" s="120"/>
    </row>
    <row r="23" spans="1:11" x14ac:dyDescent="0.45">
      <c r="A23" s="57">
        <f t="shared" si="1"/>
        <v>-5</v>
      </c>
      <c r="B23" s="49" t="s">
        <v>171</v>
      </c>
      <c r="C23" s="65">
        <f>'Exhibit 2, Page 3'!C23</f>
        <v>4.0600000000000002E-3</v>
      </c>
      <c r="D23" s="64"/>
      <c r="E23" s="64"/>
      <c r="F23" s="64"/>
      <c r="G23" s="65">
        <f t="shared" si="0"/>
        <v>4.0600000000000002E-3</v>
      </c>
      <c r="I23" s="64"/>
      <c r="K23" s="120"/>
    </row>
    <row r="24" spans="1:11" x14ac:dyDescent="0.45">
      <c r="A24" s="57">
        <f t="shared" si="1"/>
        <v>-6</v>
      </c>
      <c r="B24" s="49" t="s">
        <v>172</v>
      </c>
      <c r="C24" s="65">
        <f>'Exhibit 2, Page 3'!C24</f>
        <v>2.0000000000000001E-4</v>
      </c>
      <c r="D24" s="64"/>
      <c r="E24" s="64"/>
      <c r="F24" s="64"/>
      <c r="G24" s="65">
        <f t="shared" si="0"/>
        <v>2.0000000000000001E-4</v>
      </c>
      <c r="I24" s="64"/>
      <c r="K24" s="120"/>
    </row>
    <row r="25" spans="1:11" x14ac:dyDescent="0.45">
      <c r="A25" s="57">
        <f t="shared" si="1"/>
        <v>-7</v>
      </c>
      <c r="B25" s="49" t="s">
        <v>173</v>
      </c>
      <c r="C25" s="65">
        <f>'Exhibit 2, Page 3'!C25</f>
        <v>-2.81E-3</v>
      </c>
      <c r="D25" s="64"/>
      <c r="E25" s="64"/>
      <c r="F25" s="64"/>
      <c r="G25" s="65">
        <f t="shared" si="0"/>
        <v>-2.81E-3</v>
      </c>
      <c r="I25" s="64"/>
      <c r="K25" s="120"/>
    </row>
    <row r="26" spans="1:11" x14ac:dyDescent="0.45">
      <c r="A26" s="57">
        <f t="shared" si="1"/>
        <v>-8</v>
      </c>
      <c r="B26" s="49" t="s">
        <v>174</v>
      </c>
      <c r="C26" s="65">
        <f>'Exhibit 2, Page 3'!C26</f>
        <v>2.0000000000000002E-5</v>
      </c>
      <c r="D26" s="64"/>
      <c r="E26" s="64"/>
      <c r="F26" s="64"/>
      <c r="G26" s="65">
        <f t="shared" si="0"/>
        <v>2.0000000000000002E-5</v>
      </c>
      <c r="I26" s="64"/>
      <c r="K26" s="120"/>
    </row>
    <row r="27" spans="1:11" x14ac:dyDescent="0.45">
      <c r="A27" s="57">
        <f t="shared" si="1"/>
        <v>-9</v>
      </c>
      <c r="B27" s="49" t="s">
        <v>175</v>
      </c>
      <c r="C27" s="65">
        <f>'Exhibit 2, Page 3'!C27</f>
        <v>-3.5E-4</v>
      </c>
      <c r="D27" s="64"/>
      <c r="E27" s="64"/>
      <c r="F27" s="64"/>
      <c r="G27" s="65">
        <f t="shared" si="0"/>
        <v>-3.5E-4</v>
      </c>
      <c r="I27" s="64"/>
      <c r="K27" s="120"/>
    </row>
    <row r="28" spans="1:11" x14ac:dyDescent="0.45">
      <c r="A28" s="57">
        <f t="shared" si="1"/>
        <v>-10</v>
      </c>
      <c r="B28" s="49" t="s">
        <v>176</v>
      </c>
      <c r="C28" s="65">
        <f>'Exhibit 2, Page 3'!C28</f>
        <v>0</v>
      </c>
      <c r="D28" s="64"/>
      <c r="E28" s="64"/>
      <c r="F28" s="64"/>
      <c r="G28" s="65">
        <f t="shared" si="0"/>
        <v>0</v>
      </c>
      <c r="I28" s="64"/>
      <c r="K28" s="120"/>
    </row>
    <row r="29" spans="1:11" x14ac:dyDescent="0.45">
      <c r="A29" s="57">
        <f>A28-1</f>
        <v>-11</v>
      </c>
      <c r="B29" s="49" t="s">
        <v>177</v>
      </c>
      <c r="C29" s="65">
        <f>'Exhibit 2, Page 3'!C29</f>
        <v>2.2000000000000001E-4</v>
      </c>
      <c r="D29" s="64"/>
      <c r="E29" s="64"/>
      <c r="F29" s="64"/>
      <c r="G29" s="65">
        <f t="shared" si="0"/>
        <v>2.2000000000000001E-4</v>
      </c>
      <c r="I29" s="64"/>
      <c r="K29" s="120"/>
    </row>
    <row r="30" spans="1:11" x14ac:dyDescent="0.45">
      <c r="A30" s="57">
        <f t="shared" si="1"/>
        <v>-12</v>
      </c>
      <c r="B30" s="49" t="s">
        <v>178</v>
      </c>
      <c r="C30" s="65">
        <f>'Exhibit 2, Page 3'!C30</f>
        <v>0</v>
      </c>
      <c r="D30" s="64"/>
      <c r="E30" s="64"/>
      <c r="F30" s="64"/>
      <c r="G30" s="65">
        <f t="shared" si="0"/>
        <v>0</v>
      </c>
      <c r="I30" s="64"/>
      <c r="K30" s="120"/>
    </row>
    <row r="31" spans="1:11" x14ac:dyDescent="0.45">
      <c r="A31" s="57">
        <f t="shared" si="1"/>
        <v>-13</v>
      </c>
      <c r="B31" s="49" t="s">
        <v>179</v>
      </c>
      <c r="C31" s="65">
        <f>'Exhibit 2, Page 3'!C31</f>
        <v>6.0000000000000002E-5</v>
      </c>
      <c r="D31" s="64"/>
      <c r="E31" s="64"/>
      <c r="F31" s="64"/>
      <c r="G31" s="65">
        <f t="shared" si="0"/>
        <v>6.0000000000000002E-5</v>
      </c>
      <c r="I31" s="64"/>
      <c r="K31" s="120"/>
    </row>
    <row r="32" spans="1:11" x14ac:dyDescent="0.45">
      <c r="A32" s="57">
        <f t="shared" si="1"/>
        <v>-14</v>
      </c>
      <c r="B32" s="49" t="s">
        <v>180</v>
      </c>
      <c r="C32" s="65">
        <f>'Exhibit 2, Page 3'!C32</f>
        <v>3.9899999999999996E-3</v>
      </c>
      <c r="D32" s="64"/>
      <c r="E32" s="64"/>
      <c r="F32" s="64"/>
      <c r="G32" s="65">
        <f t="shared" si="0"/>
        <v>3.9899999999999996E-3</v>
      </c>
      <c r="I32" s="64"/>
      <c r="K32" s="120"/>
    </row>
    <row r="33" spans="1:11" x14ac:dyDescent="0.45">
      <c r="A33" s="57">
        <f t="shared" si="1"/>
        <v>-15</v>
      </c>
      <c r="B33" s="49" t="s">
        <v>181</v>
      </c>
      <c r="C33" s="65">
        <f>'Exhibit 2, Page 3'!C33</f>
        <v>2.14E-3</v>
      </c>
      <c r="D33" s="64"/>
      <c r="E33" s="64"/>
      <c r="F33" s="64"/>
      <c r="G33" s="65">
        <f t="shared" si="0"/>
        <v>2.14E-3</v>
      </c>
      <c r="I33" s="64"/>
      <c r="K33" s="120"/>
    </row>
    <row r="34" spans="1:11" x14ac:dyDescent="0.45">
      <c r="A34" s="57">
        <f t="shared" si="1"/>
        <v>-16</v>
      </c>
      <c r="B34" s="49" t="s">
        <v>182</v>
      </c>
      <c r="C34" s="65">
        <f>'Exhibit 2, Page 3'!C34</f>
        <v>3.1800000000000001E-3</v>
      </c>
      <c r="D34" s="64"/>
      <c r="E34" s="64"/>
      <c r="F34" s="64"/>
      <c r="G34" s="65">
        <f t="shared" si="0"/>
        <v>3.1800000000000001E-3</v>
      </c>
      <c r="I34" s="64"/>
      <c r="K34" s="120"/>
    </row>
    <row r="35" spans="1:11" x14ac:dyDescent="0.45">
      <c r="A35" s="57">
        <f t="shared" si="1"/>
        <v>-17</v>
      </c>
      <c r="B35" s="49" t="s">
        <v>183</v>
      </c>
      <c r="C35" s="65">
        <f>'Exhibit 2, Page 3'!C35</f>
        <v>2.5999999999999998E-4</v>
      </c>
      <c r="D35" s="64"/>
      <c r="E35" s="64"/>
      <c r="F35" s="64"/>
      <c r="G35" s="65">
        <f t="shared" si="0"/>
        <v>2.5999999999999998E-4</v>
      </c>
      <c r="I35" s="64"/>
      <c r="K35" s="120"/>
    </row>
    <row r="36" spans="1:11" x14ac:dyDescent="0.45">
      <c r="A36" s="57">
        <f t="shared" si="1"/>
        <v>-18</v>
      </c>
      <c r="B36" s="49" t="s">
        <v>184</v>
      </c>
      <c r="C36" s="65">
        <f>'Exhibit 2, Page 3'!C36</f>
        <v>1.56E-3</v>
      </c>
      <c r="D36" s="64"/>
      <c r="E36" s="64"/>
      <c r="F36" s="64"/>
      <c r="G36" s="65">
        <f>C36</f>
        <v>1.56E-3</v>
      </c>
      <c r="I36" s="64"/>
      <c r="K36" s="120"/>
    </row>
    <row r="37" spans="1:11" x14ac:dyDescent="0.45">
      <c r="A37" s="57">
        <f t="shared" si="1"/>
        <v>-19</v>
      </c>
      <c r="B37" s="49" t="s">
        <v>185</v>
      </c>
      <c r="C37" s="65">
        <f>'Exhibit 2, Page 3'!C37</f>
        <v>6.5799999999999999E-3</v>
      </c>
      <c r="D37" s="64"/>
      <c r="E37" s="64"/>
      <c r="F37" s="64"/>
      <c r="G37" s="65">
        <f>C37</f>
        <v>6.5799999999999999E-3</v>
      </c>
      <c r="I37" s="64"/>
      <c r="K37" s="120"/>
    </row>
    <row r="38" spans="1:11" x14ac:dyDescent="0.45">
      <c r="A38" s="57">
        <f>A37-1</f>
        <v>-20</v>
      </c>
      <c r="B38" s="49" t="s">
        <v>186</v>
      </c>
      <c r="C38" s="65">
        <f>'Exhibit 2, Page 3'!C38</f>
        <v>0.11028000000000002</v>
      </c>
      <c r="D38" s="64">
        <f>ROUND(C38*1652,2)</f>
        <v>182.18</v>
      </c>
      <c r="E38" s="64">
        <f>ROUND(C38*2269,2)</f>
        <v>250.23</v>
      </c>
      <c r="F38" s="64"/>
      <c r="G38" s="65">
        <f>SUM(G20:G37)</f>
        <v>6.8260000000000001E-2</v>
      </c>
      <c r="H38" s="64">
        <f>ROUND(G38*1652,2)</f>
        <v>112.77</v>
      </c>
      <c r="I38" s="64">
        <f>ROUND(G38*2269,2)</f>
        <v>154.88</v>
      </c>
      <c r="K38" s="120"/>
    </row>
    <row r="39" spans="1:11" x14ac:dyDescent="0.45">
      <c r="A39" s="49"/>
      <c r="B39" s="49"/>
      <c r="C39" s="65"/>
      <c r="D39" s="64"/>
      <c r="E39" s="64"/>
      <c r="F39" s="64"/>
      <c r="G39" s="65"/>
      <c r="I39" s="64"/>
      <c r="K39" s="120"/>
    </row>
    <row r="40" spans="1:11" x14ac:dyDescent="0.45">
      <c r="A40" s="57">
        <f>+A38-1</f>
        <v>-21</v>
      </c>
      <c r="B40" s="49" t="s">
        <v>187</v>
      </c>
      <c r="C40" s="65">
        <f>'Exhibit 2, Page 3'!C40</f>
        <v>9.3500000000000007E-3</v>
      </c>
      <c r="D40" s="64">
        <f t="shared" ref="D40:D47" si="2">ROUND(C40*1652,2)</f>
        <v>15.45</v>
      </c>
      <c r="E40" s="64">
        <f>ROUND(C40*2269,2)</f>
        <v>21.22</v>
      </c>
      <c r="F40" s="64"/>
      <c r="G40" s="65">
        <f t="shared" ref="G40:G46" si="3">C40</f>
        <v>9.3500000000000007E-3</v>
      </c>
      <c r="H40" s="64">
        <f t="shared" ref="H40:H47" si="4">ROUND(G40*1652,2)</f>
        <v>15.45</v>
      </c>
      <c r="I40" s="64">
        <f>ROUND(G40*2269,2)</f>
        <v>21.22</v>
      </c>
      <c r="K40" s="120"/>
    </row>
    <row r="41" spans="1:11" x14ac:dyDescent="0.45">
      <c r="A41" s="57">
        <f t="shared" ref="A41:A54" si="5">+A40-1</f>
        <v>-22</v>
      </c>
      <c r="B41" s="49" t="s">
        <v>188</v>
      </c>
      <c r="C41" s="65">
        <f>'Exhibit 2, Page 3'!C41</f>
        <v>1.74E-3</v>
      </c>
      <c r="D41" s="64">
        <f t="shared" si="2"/>
        <v>2.87</v>
      </c>
      <c r="E41" s="64">
        <f t="shared" ref="E41:E47" si="6">ROUND(C41*2269,2)</f>
        <v>3.95</v>
      </c>
      <c r="F41" s="64"/>
      <c r="G41" s="65">
        <f t="shared" si="3"/>
        <v>1.74E-3</v>
      </c>
      <c r="H41" s="64">
        <f t="shared" si="4"/>
        <v>2.87</v>
      </c>
      <c r="I41" s="64">
        <f t="shared" ref="I41:I47" si="7">ROUND(G41*2269,2)</f>
        <v>3.95</v>
      </c>
      <c r="K41" s="120"/>
    </row>
    <row r="42" spans="1:11" x14ac:dyDescent="0.45">
      <c r="A42" s="57">
        <f t="shared" si="5"/>
        <v>-23</v>
      </c>
      <c r="B42" s="49" t="s">
        <v>189</v>
      </c>
      <c r="C42" s="65">
        <f>'Exhibit 2, Page 3'!C42</f>
        <v>-2.9E-4</v>
      </c>
      <c r="D42" s="64">
        <f t="shared" si="2"/>
        <v>-0.48</v>
      </c>
      <c r="E42" s="64">
        <f t="shared" si="6"/>
        <v>-0.66</v>
      </c>
      <c r="F42" s="64"/>
      <c r="G42" s="65">
        <f t="shared" si="3"/>
        <v>-2.9E-4</v>
      </c>
      <c r="H42" s="64">
        <f t="shared" si="4"/>
        <v>-0.48</v>
      </c>
      <c r="I42" s="64">
        <f t="shared" si="7"/>
        <v>-0.66</v>
      </c>
      <c r="K42" s="120"/>
    </row>
    <row r="43" spans="1:11" x14ac:dyDescent="0.45">
      <c r="A43" s="57">
        <f t="shared" si="5"/>
        <v>-24</v>
      </c>
      <c r="B43" s="49" t="s">
        <v>11</v>
      </c>
      <c r="C43" s="65">
        <f>'Exhibit 2, Page 3'!C43</f>
        <v>5.4640000000000001E-2</v>
      </c>
      <c r="D43" s="64">
        <f t="shared" si="2"/>
        <v>90.27</v>
      </c>
      <c r="E43" s="64">
        <f t="shared" si="6"/>
        <v>123.98</v>
      </c>
      <c r="F43" s="64"/>
      <c r="G43" s="119">
        <f>'Exhibit 1, Page 1'!I56</f>
        <v>1.9978412835634948E-2</v>
      </c>
      <c r="H43" s="64">
        <f t="shared" si="4"/>
        <v>33</v>
      </c>
      <c r="I43" s="64">
        <f t="shared" si="7"/>
        <v>45.33</v>
      </c>
      <c r="K43" s="120"/>
    </row>
    <row r="44" spans="1:11" x14ac:dyDescent="0.45">
      <c r="A44" s="57">
        <f t="shared" si="5"/>
        <v>-25</v>
      </c>
      <c r="B44" s="49" t="s">
        <v>190</v>
      </c>
      <c r="C44" s="65">
        <f>'Exhibit 2, Page 3'!C44</f>
        <v>2.7130000000000001E-2</v>
      </c>
      <c r="D44" s="64">
        <f t="shared" si="2"/>
        <v>44.82</v>
      </c>
      <c r="E44" s="64">
        <f t="shared" si="6"/>
        <v>61.56</v>
      </c>
      <c r="F44" s="64"/>
      <c r="G44" s="65">
        <f t="shared" si="3"/>
        <v>2.7130000000000001E-2</v>
      </c>
      <c r="H44" s="64">
        <f t="shared" si="4"/>
        <v>44.82</v>
      </c>
      <c r="I44" s="64">
        <f t="shared" si="7"/>
        <v>61.56</v>
      </c>
      <c r="K44" s="120"/>
    </row>
    <row r="45" spans="1:11" x14ac:dyDescent="0.45">
      <c r="A45" s="57">
        <f t="shared" si="5"/>
        <v>-26</v>
      </c>
      <c r="B45" s="49" t="s">
        <v>191</v>
      </c>
      <c r="C45" s="65">
        <f>'Exhibit 2, Page 3'!C45</f>
        <v>2.4510000000000001E-2</v>
      </c>
      <c r="D45" s="64">
        <f t="shared" si="2"/>
        <v>40.49</v>
      </c>
      <c r="E45" s="64">
        <f t="shared" si="6"/>
        <v>55.61</v>
      </c>
      <c r="F45" s="64"/>
      <c r="G45" s="65">
        <f t="shared" si="3"/>
        <v>2.4510000000000001E-2</v>
      </c>
      <c r="H45" s="64">
        <f t="shared" si="4"/>
        <v>40.49</v>
      </c>
      <c r="I45" s="64">
        <f t="shared" si="7"/>
        <v>55.61</v>
      </c>
      <c r="K45" s="120"/>
    </row>
    <row r="46" spans="1:11" x14ac:dyDescent="0.45">
      <c r="A46" s="57">
        <f t="shared" si="5"/>
        <v>-27</v>
      </c>
      <c r="B46" s="61" t="s">
        <v>192</v>
      </c>
      <c r="C46" s="65">
        <f>'Exhibit 2, Page 3'!C46</f>
        <v>5.0000000000000001E-4</v>
      </c>
      <c r="D46" s="64">
        <f t="shared" si="2"/>
        <v>0.83</v>
      </c>
      <c r="E46" s="64">
        <f t="shared" si="6"/>
        <v>1.1299999999999999</v>
      </c>
      <c r="F46" s="64"/>
      <c r="G46" s="65">
        <f t="shared" si="3"/>
        <v>5.0000000000000001E-4</v>
      </c>
      <c r="H46" s="64">
        <f t="shared" si="4"/>
        <v>0.83</v>
      </c>
      <c r="I46" s="64">
        <f t="shared" si="7"/>
        <v>1.1299999999999999</v>
      </c>
      <c r="K46" s="120"/>
    </row>
    <row r="47" spans="1:11" x14ac:dyDescent="0.45">
      <c r="A47" s="57">
        <f t="shared" si="5"/>
        <v>-28</v>
      </c>
      <c r="B47" s="49" t="s">
        <v>193</v>
      </c>
      <c r="C47" s="66">
        <f>'Exhibit 2, Page 3'!C47</f>
        <v>0</v>
      </c>
      <c r="D47" s="67">
        <f t="shared" si="2"/>
        <v>0</v>
      </c>
      <c r="E47" s="67">
        <f t="shared" si="6"/>
        <v>0</v>
      </c>
      <c r="F47" s="67"/>
      <c r="G47" s="66">
        <f>C47</f>
        <v>0</v>
      </c>
      <c r="H47" s="67">
        <f t="shared" si="4"/>
        <v>0</v>
      </c>
      <c r="I47" s="67">
        <f t="shared" si="7"/>
        <v>0</v>
      </c>
      <c r="K47" s="120"/>
    </row>
    <row r="48" spans="1:11" x14ac:dyDescent="0.45">
      <c r="A48" s="57">
        <f t="shared" si="5"/>
        <v>-29</v>
      </c>
      <c r="B48" s="49" t="s">
        <v>194</v>
      </c>
      <c r="C48" s="49"/>
      <c r="D48" s="68">
        <f>SUM(D19:D47)</f>
        <v>386.43</v>
      </c>
      <c r="E48" s="68">
        <f>SUM(E19:E47)</f>
        <v>527.02</v>
      </c>
      <c r="F48" s="68"/>
      <c r="G48" s="65"/>
      <c r="H48" s="68">
        <f>SUM(H19:H47)</f>
        <v>259.75</v>
      </c>
      <c r="I48" s="68">
        <f>SUM(I19:I47)</f>
        <v>353.02</v>
      </c>
      <c r="K48" s="120"/>
    </row>
    <row r="49" spans="1:11" x14ac:dyDescent="0.45">
      <c r="A49" s="57"/>
      <c r="B49" s="49"/>
      <c r="C49" s="49"/>
      <c r="D49" s="68"/>
      <c r="E49" s="68"/>
      <c r="F49" s="68"/>
      <c r="G49" s="65"/>
      <c r="I49" s="68"/>
      <c r="K49" s="120"/>
    </row>
    <row r="50" spans="1:11" x14ac:dyDescent="0.45">
      <c r="A50" s="57"/>
      <c r="B50" s="63" t="s">
        <v>195</v>
      </c>
      <c r="C50" s="49"/>
      <c r="D50" s="49"/>
      <c r="E50" s="49"/>
      <c r="F50" s="49"/>
      <c r="G50" s="65"/>
      <c r="I50" s="49"/>
      <c r="K50" s="120"/>
    </row>
    <row r="51" spans="1:11" x14ac:dyDescent="0.45">
      <c r="A51" s="57">
        <f>+A48-1</f>
        <v>-30</v>
      </c>
      <c r="B51" s="49" t="s">
        <v>196</v>
      </c>
      <c r="C51" s="65">
        <v>0.14751</v>
      </c>
      <c r="D51" s="64"/>
      <c r="E51" s="64"/>
      <c r="F51" s="64"/>
      <c r="G51" s="65">
        <f>C51</f>
        <v>0.14751</v>
      </c>
      <c r="I51" s="64"/>
      <c r="K51" s="120"/>
    </row>
    <row r="52" spans="1:11" x14ac:dyDescent="0.45">
      <c r="A52" s="57">
        <f t="shared" si="5"/>
        <v>-31</v>
      </c>
      <c r="B52" s="49" t="s">
        <v>197</v>
      </c>
      <c r="C52" s="65">
        <v>6.2100000000000002E-3</v>
      </c>
      <c r="D52" s="64"/>
      <c r="E52" s="64"/>
      <c r="F52" s="64"/>
      <c r="G52" s="65">
        <f>C52</f>
        <v>6.2100000000000002E-3</v>
      </c>
      <c r="I52" s="64"/>
      <c r="K52" s="120"/>
    </row>
    <row r="53" spans="1:11" x14ac:dyDescent="0.45">
      <c r="A53" s="57">
        <f t="shared" si="5"/>
        <v>-32</v>
      </c>
      <c r="B53" s="61" t="s">
        <v>198</v>
      </c>
      <c r="C53" s="66">
        <v>0</v>
      </c>
      <c r="D53" s="67"/>
      <c r="E53" s="67"/>
      <c r="F53" s="67"/>
      <c r="G53" s="65">
        <f>C53</f>
        <v>0</v>
      </c>
      <c r="I53" s="67"/>
      <c r="K53" s="120"/>
    </row>
    <row r="54" spans="1:11" x14ac:dyDescent="0.45">
      <c r="A54" s="57">
        <f t="shared" si="5"/>
        <v>-33</v>
      </c>
      <c r="B54" s="49" t="s">
        <v>199</v>
      </c>
      <c r="C54" s="69">
        <f>SUM(C51:C53)</f>
        <v>0.15372</v>
      </c>
      <c r="D54" s="67">
        <f>ROUND(C54*1652,2)</f>
        <v>253.95</v>
      </c>
      <c r="E54" s="67">
        <f>ROUND(C54*2269,2)</f>
        <v>348.79</v>
      </c>
      <c r="F54" s="67"/>
      <c r="G54" s="65">
        <f>C54</f>
        <v>0.15372</v>
      </c>
      <c r="H54" s="67">
        <f>ROUND(G54*1652,2)</f>
        <v>253.95</v>
      </c>
      <c r="I54" s="67">
        <f>ROUND(G54*2269,2)</f>
        <v>348.79</v>
      </c>
      <c r="K54" s="120"/>
    </row>
    <row r="55" spans="1:11" ht="16" x14ac:dyDescent="0.45">
      <c r="A55" s="57"/>
      <c r="B55" s="49"/>
      <c r="C55" s="69"/>
      <c r="D55" s="70"/>
      <c r="E55" s="70"/>
      <c r="F55" s="70"/>
      <c r="G55" s="70"/>
      <c r="H55" s="70"/>
      <c r="I55" s="70"/>
    </row>
    <row r="56" spans="1:11" x14ac:dyDescent="0.45">
      <c r="A56" s="57">
        <f>+A54-1</f>
        <v>-34</v>
      </c>
      <c r="B56" s="49" t="s">
        <v>200</v>
      </c>
      <c r="C56" s="49"/>
      <c r="D56" s="64">
        <f>D48+D54</f>
        <v>640.38</v>
      </c>
      <c r="E56" s="64">
        <f>E48+E54</f>
        <v>875.81</v>
      </c>
      <c r="F56" s="64"/>
      <c r="G56" s="64"/>
      <c r="H56" s="64">
        <f>H48+H54</f>
        <v>513.70000000000005</v>
      </c>
      <c r="I56" s="64">
        <f>I48+I54</f>
        <v>701.81</v>
      </c>
      <c r="J56" s="38"/>
    </row>
    <row r="57" spans="1:11" x14ac:dyDescent="0.45">
      <c r="A57" s="49"/>
      <c r="B57" s="49"/>
      <c r="C57" s="49"/>
      <c r="D57" s="71"/>
      <c r="E57" s="71"/>
      <c r="F57" s="71"/>
      <c r="G57" s="71"/>
      <c r="H57" s="71"/>
      <c r="I57" s="71"/>
    </row>
    <row r="58" spans="1:11" x14ac:dyDescent="0.45">
      <c r="A58" s="57">
        <f>A56-1</f>
        <v>-35</v>
      </c>
      <c r="B58" s="49" t="s">
        <v>201</v>
      </c>
      <c r="C58" s="72">
        <v>0.32</v>
      </c>
      <c r="D58" s="73">
        <f>D56*C58</f>
        <v>204.92160000000001</v>
      </c>
      <c r="E58" s="73">
        <f>E56*C58</f>
        <v>280.25919999999996</v>
      </c>
      <c r="F58" s="73"/>
      <c r="G58" s="73"/>
      <c r="H58" s="73">
        <f>H56*C58</f>
        <v>164.38400000000001</v>
      </c>
      <c r="I58" s="73">
        <f>I56*C58</f>
        <v>224.57919999999999</v>
      </c>
    </row>
    <row r="59" spans="1:11" x14ac:dyDescent="0.45">
      <c r="A59" s="52"/>
      <c r="B59" s="49"/>
      <c r="C59" s="49"/>
      <c r="D59" s="71"/>
      <c r="E59" s="71"/>
      <c r="F59" s="71"/>
      <c r="G59" s="71"/>
      <c r="H59" s="71"/>
      <c r="I59" s="71"/>
    </row>
    <row r="60" spans="1:11" x14ac:dyDescent="0.45">
      <c r="A60" s="57">
        <f>A58-1</f>
        <v>-36</v>
      </c>
      <c r="B60" s="49" t="s">
        <v>202</v>
      </c>
      <c r="C60" s="49"/>
      <c r="D60" s="74">
        <f>D56-D58</f>
        <v>435.45839999999998</v>
      </c>
      <c r="E60" s="74">
        <f>E56-E58</f>
        <v>595.55079999999998</v>
      </c>
      <c r="F60" s="74"/>
      <c r="G60" s="74"/>
      <c r="H60" s="74">
        <f>H56-H58</f>
        <v>349.31600000000003</v>
      </c>
      <c r="I60" s="74">
        <f>I56-I58</f>
        <v>477.23079999999993</v>
      </c>
      <c r="J60" s="19"/>
    </row>
    <row r="61" spans="1:11" x14ac:dyDescent="0.45">
      <c r="A61" s="57"/>
      <c r="B61" s="49"/>
      <c r="C61" s="49"/>
      <c r="D61" s="74"/>
      <c r="E61" s="74"/>
      <c r="F61" s="74"/>
      <c r="G61" s="74"/>
      <c r="H61" s="74"/>
      <c r="I61" s="74"/>
    </row>
    <row r="62" spans="1:11" x14ac:dyDescent="0.45">
      <c r="A62" s="57">
        <f>A60-1</f>
        <v>-37</v>
      </c>
      <c r="B62" s="49" t="s">
        <v>203</v>
      </c>
      <c r="C62" s="80">
        <v>0.91</v>
      </c>
      <c r="D62" s="73">
        <f>D56*C62</f>
        <v>582.74580000000003</v>
      </c>
      <c r="E62" s="73">
        <f>E56*C62</f>
        <v>796.98709999999994</v>
      </c>
      <c r="F62" s="74"/>
      <c r="G62" s="74"/>
      <c r="H62" s="73">
        <f>H56*C62</f>
        <v>467.46700000000004</v>
      </c>
      <c r="I62" s="73">
        <f>I56*C62</f>
        <v>638.64710000000002</v>
      </c>
    </row>
    <row r="63" spans="1:11" x14ac:dyDescent="0.45">
      <c r="A63" s="57"/>
      <c r="B63" s="49"/>
      <c r="C63" s="49"/>
      <c r="D63" s="74"/>
      <c r="E63" s="74"/>
      <c r="F63" s="74"/>
      <c r="G63" s="74"/>
      <c r="H63" s="74"/>
      <c r="I63" s="74"/>
    </row>
    <row r="64" spans="1:11" x14ac:dyDescent="0.45">
      <c r="A64" s="57">
        <f>A62-1</f>
        <v>-38</v>
      </c>
      <c r="B64" s="49" t="s">
        <v>204</v>
      </c>
      <c r="C64" s="49"/>
      <c r="D64" s="74">
        <f>D56-D62</f>
        <v>57.634199999999964</v>
      </c>
      <c r="E64" s="74">
        <f>E56-E62</f>
        <v>78.822900000000004</v>
      </c>
      <c r="F64" s="74"/>
      <c r="G64" s="74"/>
      <c r="H64" s="74">
        <f>H56-H62</f>
        <v>46.233000000000004</v>
      </c>
      <c r="I64" s="74">
        <f>I56-I62</f>
        <v>63.162899999999922</v>
      </c>
      <c r="J64" s="38"/>
    </row>
    <row r="65" spans="1:10" x14ac:dyDescent="0.45">
      <c r="A65" s="57"/>
      <c r="B65" s="49"/>
      <c r="C65" s="49"/>
      <c r="D65" s="74"/>
      <c r="E65" s="74"/>
      <c r="F65" s="74"/>
      <c r="G65" s="74"/>
      <c r="H65" s="74"/>
      <c r="I65" s="74"/>
    </row>
    <row r="66" spans="1:10" x14ac:dyDescent="0.45">
      <c r="A66" s="49"/>
      <c r="B66" s="49"/>
      <c r="C66" s="49"/>
      <c r="D66" s="64"/>
      <c r="E66" s="64"/>
      <c r="F66" s="64"/>
      <c r="G66" s="64"/>
      <c r="J66" s="38"/>
    </row>
    <row r="67" spans="1:10" x14ac:dyDescent="0.45">
      <c r="A67" s="99" t="s">
        <v>205</v>
      </c>
      <c r="B67" s="75" t="s">
        <v>246</v>
      </c>
      <c r="C67" s="65"/>
      <c r="D67" s="49"/>
      <c r="E67" s="49"/>
      <c r="F67" s="49"/>
      <c r="G67" s="49"/>
    </row>
    <row r="68" spans="1:10" x14ac:dyDescent="0.45">
      <c r="A68" s="56" t="s">
        <v>206</v>
      </c>
      <c r="B68" s="75" t="s">
        <v>207</v>
      </c>
      <c r="C68" s="66"/>
      <c r="D68" s="49"/>
      <c r="E68" s="49"/>
      <c r="F68" s="49"/>
      <c r="G68" s="49"/>
    </row>
    <row r="69" spans="1:10" x14ac:dyDescent="0.45">
      <c r="A69" s="56" t="s">
        <v>206</v>
      </c>
      <c r="B69" s="75" t="s">
        <v>208</v>
      </c>
    </row>
    <row r="70" spans="1:10" x14ac:dyDescent="0.45">
      <c r="A70" s="56" t="s">
        <v>206</v>
      </c>
      <c r="B70" s="75" t="s">
        <v>209</v>
      </c>
    </row>
    <row r="71" spans="1:10" x14ac:dyDescent="0.45">
      <c r="A71" s="56" t="s">
        <v>206</v>
      </c>
      <c r="B71" s="75" t="s">
        <v>210</v>
      </c>
    </row>
    <row r="72" spans="1:10" x14ac:dyDescent="0.45">
      <c r="A72" s="56" t="s">
        <v>206</v>
      </c>
      <c r="B72" s="75" t="s">
        <v>211</v>
      </c>
    </row>
    <row r="73" spans="1:10" x14ac:dyDescent="0.45">
      <c r="A73" s="56" t="s">
        <v>206</v>
      </c>
      <c r="B73" s="30" t="s">
        <v>212</v>
      </c>
    </row>
    <row r="74" spans="1:10" x14ac:dyDescent="0.45">
      <c r="A74" s="56"/>
    </row>
  </sheetData>
  <mergeCells count="5">
    <mergeCell ref="A9:I9"/>
    <mergeCell ref="A10:I10"/>
    <mergeCell ref="A11:I11"/>
    <mergeCell ref="C13:E13"/>
    <mergeCell ref="G13:I13"/>
  </mergeCells>
  <pageMargins left="0.7" right="0.7" top="0.75" bottom="0.75" header="0.3" footer="0.3"/>
  <pageSetup scale="3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F713-9CD0-464D-936E-5D566F435795}">
  <dimension ref="A1:I74"/>
  <sheetViews>
    <sheetView showGridLines="0" tabSelected="1" view="pageBreakPreview" zoomScale="80" zoomScaleNormal="80" zoomScaleSheetLayoutView="80" workbookViewId="0">
      <pane xSplit="1" ySplit="16" topLeftCell="B17" activePane="bottomRight" state="frozen"/>
      <selection activeCell="C29" sqref="C29"/>
      <selection pane="topRight" activeCell="C29" sqref="C29"/>
      <selection pane="bottomLeft" activeCell="C29" sqref="C29"/>
      <selection pane="bottomRight" activeCell="B28" sqref="B28:B29"/>
    </sheetView>
  </sheetViews>
  <sheetFormatPr defaultColWidth="9.265625" defaultRowHeight="14" x14ac:dyDescent="0.45"/>
  <cols>
    <col min="1" max="1" width="15.1328125" style="30" customWidth="1"/>
    <col min="2" max="2" width="62.86328125" style="30" bestFit="1" customWidth="1"/>
    <col min="3" max="3" width="16.59765625" style="30" bestFit="1" customWidth="1"/>
    <col min="4" max="4" width="34.73046875" style="30" bestFit="1" customWidth="1"/>
    <col min="5" max="5" width="34.73046875" style="30" customWidth="1"/>
    <col min="6" max="6" width="2" style="30" customWidth="1"/>
    <col min="7" max="7" width="16.3984375" style="30" customWidth="1"/>
    <col min="8" max="8" width="44.1328125" style="30" bestFit="1" customWidth="1"/>
    <col min="9" max="9" width="31.73046875" style="30" bestFit="1" customWidth="1"/>
    <col min="10" max="16384" width="9.265625" style="30"/>
  </cols>
  <sheetData>
    <row r="1" spans="1:9" x14ac:dyDescent="0.45">
      <c r="A1" s="49"/>
      <c r="B1" s="49"/>
      <c r="C1" s="49"/>
      <c r="E1" s="50"/>
      <c r="F1" s="50"/>
      <c r="G1" s="50"/>
      <c r="I1" s="50" t="str">
        <f>'Exhibit 3, Page 3'!I1</f>
        <v>Massachusetts Electric Company</v>
      </c>
    </row>
    <row r="2" spans="1:9" x14ac:dyDescent="0.45">
      <c r="A2" s="49"/>
      <c r="B2" s="49"/>
      <c r="C2" s="49"/>
      <c r="E2" s="50"/>
      <c r="F2" s="50"/>
      <c r="G2" s="50"/>
      <c r="I2" s="50" t="str">
        <f>'Exhibit 3, Page 3'!I2</f>
        <v>Nantucket Electric Company</v>
      </c>
    </row>
    <row r="3" spans="1:9" x14ac:dyDescent="0.45">
      <c r="A3" s="49"/>
      <c r="B3" s="49"/>
      <c r="C3" s="49"/>
      <c r="E3" s="50"/>
      <c r="F3" s="50"/>
      <c r="G3" s="50"/>
      <c r="I3" s="50" t="str">
        <f>'Exhibit 3, Page 3'!I3</f>
        <v>d/b/a National Grid</v>
      </c>
    </row>
    <row r="4" spans="1:9" x14ac:dyDescent="0.45">
      <c r="A4" s="49"/>
      <c r="B4" s="49"/>
      <c r="C4" s="49"/>
      <c r="E4" s="50"/>
      <c r="F4" s="50"/>
      <c r="G4" s="50"/>
      <c r="I4" s="50" t="str">
        <f>'Exhibit 3, Page 3'!I4</f>
        <v>D.P.U 26-71</v>
      </c>
    </row>
    <row r="5" spans="1:9" x14ac:dyDescent="0.45">
      <c r="A5" s="49"/>
      <c r="B5" s="49"/>
      <c r="C5" s="49"/>
      <c r="E5" s="50"/>
      <c r="F5" s="50"/>
      <c r="G5" s="50"/>
      <c r="I5" s="50" t="str">
        <f>'Exhibit 3, Page 3'!I5</f>
        <v>Exhibit 3</v>
      </c>
    </row>
    <row r="6" spans="1:9" x14ac:dyDescent="0.45">
      <c r="A6" s="49"/>
      <c r="B6" s="49"/>
      <c r="C6" s="49"/>
      <c r="E6" s="50"/>
      <c r="F6" s="50"/>
      <c r="G6" s="50"/>
      <c r="I6" s="50" t="s">
        <v>213</v>
      </c>
    </row>
    <row r="7" spans="1:9" x14ac:dyDescent="0.45">
      <c r="A7" s="49"/>
      <c r="B7" s="49"/>
      <c r="C7" s="49"/>
      <c r="E7" s="50"/>
      <c r="F7" s="50"/>
      <c r="G7" s="50"/>
      <c r="I7" s="50" t="str">
        <f>'Exhibit 3, Page 3'!I7</f>
        <v>H.O. _______</v>
      </c>
    </row>
    <row r="8" spans="1:9" x14ac:dyDescent="0.45">
      <c r="A8" s="49"/>
      <c r="B8" s="49"/>
      <c r="C8" s="49"/>
      <c r="D8" s="51"/>
      <c r="E8" s="51"/>
      <c r="F8" s="51"/>
      <c r="G8" s="51"/>
    </row>
    <row r="9" spans="1:9" x14ac:dyDescent="0.45">
      <c r="A9" s="130" t="s">
        <v>0</v>
      </c>
      <c r="B9" s="130"/>
      <c r="C9" s="130"/>
      <c r="D9" s="130"/>
      <c r="E9" s="130"/>
      <c r="F9" s="130"/>
      <c r="G9" s="130"/>
      <c r="H9" s="130"/>
      <c r="I9" s="130"/>
    </row>
    <row r="10" spans="1:9" x14ac:dyDescent="0.45">
      <c r="A10" s="130" t="s">
        <v>1</v>
      </c>
      <c r="B10" s="130"/>
      <c r="C10" s="130"/>
      <c r="D10" s="130"/>
      <c r="E10" s="130"/>
      <c r="F10" s="130"/>
      <c r="G10" s="130"/>
      <c r="H10" s="130"/>
      <c r="I10" s="130"/>
    </row>
    <row r="11" spans="1:9" x14ac:dyDescent="0.45">
      <c r="A11" s="130" t="s">
        <v>214</v>
      </c>
      <c r="B11" s="130"/>
      <c r="C11" s="130"/>
      <c r="D11" s="130"/>
      <c r="E11" s="130"/>
      <c r="F11" s="130"/>
      <c r="G11" s="130"/>
      <c r="H11" s="130"/>
      <c r="I11" s="130"/>
    </row>
    <row r="12" spans="1:9" x14ac:dyDescent="0.45">
      <c r="A12" s="53"/>
      <c r="B12" s="53"/>
      <c r="C12" s="53"/>
      <c r="D12" s="53"/>
      <c r="E12" s="53"/>
      <c r="F12" s="53"/>
      <c r="G12" s="53"/>
    </row>
    <row r="13" spans="1:9" x14ac:dyDescent="0.45">
      <c r="A13" s="49"/>
      <c r="B13" s="49"/>
      <c r="C13" s="131" t="s">
        <v>159</v>
      </c>
      <c r="D13" s="131"/>
      <c r="E13" s="131"/>
      <c r="F13" s="54"/>
      <c r="G13" s="131" t="s">
        <v>160</v>
      </c>
      <c r="H13" s="131"/>
      <c r="I13" s="131"/>
    </row>
    <row r="14" spans="1:9" x14ac:dyDescent="0.45">
      <c r="A14" s="49"/>
      <c r="B14" s="49"/>
      <c r="C14" s="55" t="s">
        <v>161</v>
      </c>
      <c r="D14" s="56"/>
      <c r="E14" s="56"/>
      <c r="F14" s="56"/>
      <c r="G14" s="55" t="s">
        <v>161</v>
      </c>
      <c r="H14" s="56"/>
    </row>
    <row r="15" spans="1:9" x14ac:dyDescent="0.45">
      <c r="A15" s="57"/>
      <c r="B15" s="58"/>
      <c r="C15" s="59" t="s">
        <v>50</v>
      </c>
      <c r="D15" s="60" t="s">
        <v>215</v>
      </c>
      <c r="E15" s="60" t="s">
        <v>216</v>
      </c>
      <c r="F15" s="60"/>
      <c r="G15" s="59" t="s">
        <v>50</v>
      </c>
      <c r="H15" s="60" t="s">
        <v>215</v>
      </c>
      <c r="I15" s="60" t="s">
        <v>216</v>
      </c>
    </row>
    <row r="16" spans="1:9" x14ac:dyDescent="0.45">
      <c r="A16" s="57"/>
      <c r="B16" s="61"/>
      <c r="C16" s="62" t="s">
        <v>89</v>
      </c>
      <c r="D16" s="55" t="s">
        <v>90</v>
      </c>
      <c r="E16" s="55" t="s">
        <v>91</v>
      </c>
      <c r="F16" s="55"/>
      <c r="G16" s="55" t="s">
        <v>92</v>
      </c>
      <c r="H16" s="55" t="s">
        <v>164</v>
      </c>
      <c r="I16" s="55" t="s">
        <v>165</v>
      </c>
    </row>
    <row r="17" spans="1:9" x14ac:dyDescent="0.45">
      <c r="A17" s="57"/>
      <c r="B17" s="61"/>
      <c r="C17" s="59"/>
      <c r="D17" s="60"/>
      <c r="E17" s="60"/>
      <c r="F17" s="60"/>
      <c r="G17" s="60"/>
    </row>
    <row r="18" spans="1:9" x14ac:dyDescent="0.45">
      <c r="A18" s="57"/>
      <c r="B18" s="63" t="s">
        <v>166</v>
      </c>
      <c r="C18" s="49"/>
      <c r="D18" s="49"/>
      <c r="E18" s="49"/>
      <c r="F18" s="49"/>
      <c r="G18" s="49"/>
    </row>
    <row r="19" spans="1:9" x14ac:dyDescent="0.45">
      <c r="A19" s="57">
        <v>-1</v>
      </c>
      <c r="B19" s="49" t="s">
        <v>167</v>
      </c>
      <c r="C19" s="49"/>
      <c r="D19" s="64">
        <v>10</v>
      </c>
      <c r="E19" s="64">
        <f>D19</f>
        <v>10</v>
      </c>
      <c r="F19" s="64"/>
      <c r="G19" s="64"/>
      <c r="H19" s="38">
        <f>D19</f>
        <v>10</v>
      </c>
      <c r="I19" s="64">
        <f>H19</f>
        <v>10</v>
      </c>
    </row>
    <row r="20" spans="1:9" x14ac:dyDescent="0.45">
      <c r="A20" s="57">
        <f>+A19-1</f>
        <v>-2</v>
      </c>
      <c r="B20" s="49" t="s">
        <v>168</v>
      </c>
      <c r="C20" s="119">
        <f>'Exhibit 3, Page 3'!C20</f>
        <v>6.7729999999999999E-2</v>
      </c>
      <c r="D20" s="64"/>
      <c r="E20" s="64"/>
      <c r="F20" s="64"/>
      <c r="G20" s="119">
        <f>'Exhibit 3, Page 3'!G20</f>
        <v>2.4750000000000001E-2</v>
      </c>
      <c r="I20" s="64"/>
    </row>
    <row r="21" spans="1:9" x14ac:dyDescent="0.45">
      <c r="A21" s="57">
        <f>+A20-1</f>
        <v>-3</v>
      </c>
      <c r="B21" s="49" t="s">
        <v>169</v>
      </c>
      <c r="C21" s="65">
        <f>'Exhibit 3, Page 3'!C21</f>
        <v>5.1000000000000004E-4</v>
      </c>
      <c r="D21" s="64"/>
      <c r="E21" s="64"/>
      <c r="F21" s="64"/>
      <c r="G21" s="65">
        <f>'Exhibit 3, Page 3'!G21</f>
        <v>5.1000000000000004E-4</v>
      </c>
      <c r="I21" s="64"/>
    </row>
    <row r="22" spans="1:9" x14ac:dyDescent="0.45">
      <c r="A22" s="57">
        <f t="shared" ref="A22:A37" si="0">+A21-1</f>
        <v>-4</v>
      </c>
      <c r="B22" s="49" t="s">
        <v>170</v>
      </c>
      <c r="C22" s="65">
        <f>'Exhibit 3, Page 3'!C22</f>
        <v>2.3890000000000002E-2</v>
      </c>
      <c r="D22" s="64"/>
      <c r="E22" s="64"/>
      <c r="F22" s="64"/>
      <c r="G22" s="65">
        <f>'Exhibit 3, Page 3'!G22</f>
        <v>2.3890000000000002E-2</v>
      </c>
      <c r="I22" s="64"/>
    </row>
    <row r="23" spans="1:9" x14ac:dyDescent="0.45">
      <c r="A23" s="57">
        <f t="shared" si="0"/>
        <v>-5</v>
      </c>
      <c r="B23" s="49" t="s">
        <v>171</v>
      </c>
      <c r="C23" s="65">
        <f>'Exhibit 3, Page 3'!C23</f>
        <v>4.0600000000000002E-3</v>
      </c>
      <c r="D23" s="64"/>
      <c r="E23" s="64"/>
      <c r="F23" s="64"/>
      <c r="G23" s="65">
        <f>'Exhibit 3, Page 3'!G23</f>
        <v>4.0600000000000002E-3</v>
      </c>
      <c r="I23" s="64"/>
    </row>
    <row r="24" spans="1:9" x14ac:dyDescent="0.45">
      <c r="A24" s="57">
        <f t="shared" si="0"/>
        <v>-6</v>
      </c>
      <c r="B24" s="49" t="s">
        <v>172</v>
      </c>
      <c r="C24" s="65">
        <f>'Exhibit 3, Page 3'!C24</f>
        <v>2.0000000000000001E-4</v>
      </c>
      <c r="D24" s="64"/>
      <c r="E24" s="64"/>
      <c r="F24" s="64"/>
      <c r="G24" s="65">
        <f>'Exhibit 3, Page 3'!G24</f>
        <v>2.0000000000000001E-4</v>
      </c>
      <c r="I24" s="64"/>
    </row>
    <row r="25" spans="1:9" x14ac:dyDescent="0.45">
      <c r="A25" s="57">
        <f t="shared" si="0"/>
        <v>-7</v>
      </c>
      <c r="B25" s="49" t="s">
        <v>173</v>
      </c>
      <c r="C25" s="65">
        <f>'Exhibit 3, Page 3'!C25</f>
        <v>-2.81E-3</v>
      </c>
      <c r="D25" s="64"/>
      <c r="E25" s="64"/>
      <c r="F25" s="64"/>
      <c r="G25" s="65">
        <f>'Exhibit 3, Page 3'!G25</f>
        <v>-2.81E-3</v>
      </c>
      <c r="I25" s="64"/>
    </row>
    <row r="26" spans="1:9" x14ac:dyDescent="0.45">
      <c r="A26" s="57">
        <f t="shared" si="0"/>
        <v>-8</v>
      </c>
      <c r="B26" s="49" t="s">
        <v>174</v>
      </c>
      <c r="C26" s="65">
        <f>'Exhibit 3, Page 3'!C26</f>
        <v>2.0000000000000002E-5</v>
      </c>
      <c r="D26" s="64"/>
      <c r="E26" s="64"/>
      <c r="F26" s="64"/>
      <c r="G26" s="65">
        <f>'Exhibit 3, Page 3'!G26</f>
        <v>2.0000000000000002E-5</v>
      </c>
      <c r="I26" s="64"/>
    </row>
    <row r="27" spans="1:9" x14ac:dyDescent="0.45">
      <c r="A27" s="57">
        <f t="shared" si="0"/>
        <v>-9</v>
      </c>
      <c r="B27" s="49" t="s">
        <v>175</v>
      </c>
      <c r="C27" s="65">
        <f>'Exhibit 3, Page 3'!C27</f>
        <v>-3.5E-4</v>
      </c>
      <c r="D27" s="64"/>
      <c r="E27" s="64"/>
      <c r="F27" s="64"/>
      <c r="G27" s="65">
        <f>'Exhibit 3, Page 3'!G27</f>
        <v>-3.5E-4</v>
      </c>
      <c r="I27" s="64"/>
    </row>
    <row r="28" spans="1:9" x14ac:dyDescent="0.45">
      <c r="A28" s="57">
        <f t="shared" si="0"/>
        <v>-10</v>
      </c>
      <c r="B28" s="49" t="s">
        <v>176</v>
      </c>
      <c r="C28" s="65">
        <f>'Exhibit 3, Page 3'!C28</f>
        <v>0</v>
      </c>
      <c r="D28" s="64"/>
      <c r="E28" s="64"/>
      <c r="F28" s="64"/>
      <c r="G28" s="65">
        <f>'Exhibit 3, Page 3'!G28</f>
        <v>0</v>
      </c>
      <c r="I28" s="64"/>
    </row>
    <row r="29" spans="1:9" x14ac:dyDescent="0.45">
      <c r="A29" s="57">
        <f>A28-1</f>
        <v>-11</v>
      </c>
      <c r="B29" s="49" t="s">
        <v>177</v>
      </c>
      <c r="C29" s="65">
        <f>'Exhibit 3, Page 3'!C29</f>
        <v>2.2000000000000001E-4</v>
      </c>
      <c r="D29" s="64"/>
      <c r="E29" s="64"/>
      <c r="F29" s="64"/>
      <c r="G29" s="65">
        <f>'Exhibit 3, Page 3'!G29</f>
        <v>2.2000000000000001E-4</v>
      </c>
      <c r="I29" s="64"/>
    </row>
    <row r="30" spans="1:9" x14ac:dyDescent="0.45">
      <c r="A30" s="57">
        <f t="shared" si="0"/>
        <v>-12</v>
      </c>
      <c r="B30" s="49" t="s">
        <v>178</v>
      </c>
      <c r="C30" s="65">
        <f>'Exhibit 3, Page 3'!C30</f>
        <v>0</v>
      </c>
      <c r="D30" s="64"/>
      <c r="E30" s="64"/>
      <c r="F30" s="64"/>
      <c r="G30" s="65">
        <f>'Exhibit 3, Page 3'!G30</f>
        <v>0</v>
      </c>
      <c r="I30" s="64"/>
    </row>
    <row r="31" spans="1:9" x14ac:dyDescent="0.45">
      <c r="A31" s="57">
        <f t="shared" si="0"/>
        <v>-13</v>
      </c>
      <c r="B31" s="49" t="s">
        <v>179</v>
      </c>
      <c r="C31" s="65">
        <f>'Exhibit 3, Page 3'!C31</f>
        <v>6.0000000000000002E-5</v>
      </c>
      <c r="D31" s="64"/>
      <c r="E31" s="64"/>
      <c r="F31" s="64"/>
      <c r="G31" s="65">
        <f>'Exhibit 3, Page 3'!G31</f>
        <v>6.0000000000000002E-5</v>
      </c>
      <c r="I31" s="64"/>
    </row>
    <row r="32" spans="1:9" x14ac:dyDescent="0.45">
      <c r="A32" s="57">
        <f t="shared" si="0"/>
        <v>-14</v>
      </c>
      <c r="B32" s="49" t="s">
        <v>180</v>
      </c>
      <c r="C32" s="65">
        <f>'Exhibit 3, Page 3'!C32</f>
        <v>3.9899999999999996E-3</v>
      </c>
      <c r="D32" s="64"/>
      <c r="E32" s="64"/>
      <c r="F32" s="64"/>
      <c r="G32" s="65">
        <f>'Exhibit 3, Page 3'!G32</f>
        <v>3.9899999999999996E-3</v>
      </c>
      <c r="I32" s="64"/>
    </row>
    <row r="33" spans="1:9" x14ac:dyDescent="0.45">
      <c r="A33" s="57">
        <f t="shared" si="0"/>
        <v>-15</v>
      </c>
      <c r="B33" s="49" t="s">
        <v>181</v>
      </c>
      <c r="C33" s="119">
        <f>'Exhibit 3, Page 3'!C33</f>
        <v>2.14E-3</v>
      </c>
      <c r="D33" s="64"/>
      <c r="E33" s="64"/>
      <c r="F33" s="64"/>
      <c r="G33" s="65">
        <f>'Exhibit 3, Page 3'!G33</f>
        <v>2.14E-3</v>
      </c>
      <c r="I33" s="64"/>
    </row>
    <row r="34" spans="1:9" x14ac:dyDescent="0.45">
      <c r="A34" s="57">
        <f t="shared" si="0"/>
        <v>-16</v>
      </c>
      <c r="B34" s="49" t="s">
        <v>182</v>
      </c>
      <c r="C34" s="65">
        <f>'Exhibit 3, Page 3'!C34</f>
        <v>3.1800000000000001E-3</v>
      </c>
      <c r="D34" s="64"/>
      <c r="E34" s="64"/>
      <c r="F34" s="64"/>
      <c r="G34" s="65">
        <f>'Exhibit 3, Page 3'!G34</f>
        <v>3.1800000000000001E-3</v>
      </c>
      <c r="I34" s="64"/>
    </row>
    <row r="35" spans="1:9" x14ac:dyDescent="0.45">
      <c r="A35" s="57">
        <f t="shared" si="0"/>
        <v>-17</v>
      </c>
      <c r="B35" s="49" t="s">
        <v>183</v>
      </c>
      <c r="C35" s="65">
        <f>'Exhibit 3, Page 3'!C35</f>
        <v>2.5999999999999998E-4</v>
      </c>
      <c r="D35" s="64"/>
      <c r="E35" s="64"/>
      <c r="F35" s="64"/>
      <c r="G35" s="65">
        <f>'Exhibit 3, Page 3'!G35</f>
        <v>2.5999999999999998E-4</v>
      </c>
      <c r="I35" s="64"/>
    </row>
    <row r="36" spans="1:9" x14ac:dyDescent="0.45">
      <c r="A36" s="57">
        <f t="shared" si="0"/>
        <v>-18</v>
      </c>
      <c r="B36" s="49" t="s">
        <v>184</v>
      </c>
      <c r="C36" s="65">
        <f>'Exhibit 3, Page 3'!C36</f>
        <v>1.56E-3</v>
      </c>
      <c r="D36" s="64"/>
      <c r="E36" s="64"/>
      <c r="F36" s="64"/>
      <c r="G36" s="65">
        <f>'Exhibit 3, Page 3'!G36</f>
        <v>1.56E-3</v>
      </c>
      <c r="I36" s="64"/>
    </row>
    <row r="37" spans="1:9" x14ac:dyDescent="0.45">
      <c r="A37" s="57">
        <f t="shared" si="0"/>
        <v>-19</v>
      </c>
      <c r="B37" s="49" t="str">
        <f>'Exhibit 3, Page 3'!B37</f>
        <v>Winter Relief Recovery Factor</v>
      </c>
      <c r="C37" s="66">
        <f>'Exhibit 3, Page 3'!C37</f>
        <v>6.5799999999999999E-3</v>
      </c>
      <c r="D37" s="64"/>
      <c r="E37" s="64"/>
      <c r="F37" s="64"/>
      <c r="G37" s="66">
        <f>'Exhibit 3, Page 3'!G37</f>
        <v>6.5799999999999999E-3</v>
      </c>
      <c r="I37" s="64"/>
    </row>
    <row r="38" spans="1:9" x14ac:dyDescent="0.45">
      <c r="A38" s="57">
        <f>+A37-1</f>
        <v>-20</v>
      </c>
      <c r="B38" s="49" t="s">
        <v>186</v>
      </c>
      <c r="C38" s="65">
        <f>SUM(C20:C37)</f>
        <v>0.11124000000000001</v>
      </c>
      <c r="D38" s="64">
        <f>ROUND(C38*2443,2)</f>
        <v>271.76</v>
      </c>
      <c r="E38" s="64">
        <f>ROUND(C38*3341,2)</f>
        <v>371.65</v>
      </c>
      <c r="F38" s="64"/>
      <c r="G38" s="65">
        <f>SUM(G20:G37)</f>
        <v>6.8260000000000001E-2</v>
      </c>
      <c r="H38" s="64">
        <f>ROUND(G38*2443,2)</f>
        <v>166.76</v>
      </c>
      <c r="I38" s="64">
        <f>ROUND(G38*3341,2)</f>
        <v>228.06</v>
      </c>
    </row>
    <row r="39" spans="1:9" x14ac:dyDescent="0.45">
      <c r="A39" s="49"/>
      <c r="B39" s="49"/>
      <c r="C39" s="65"/>
      <c r="D39" s="64"/>
      <c r="E39" s="64"/>
      <c r="F39" s="64"/>
      <c r="G39" s="65"/>
      <c r="I39" s="64"/>
    </row>
    <row r="40" spans="1:9" x14ac:dyDescent="0.45">
      <c r="A40" s="57">
        <f>+A38-1</f>
        <v>-21</v>
      </c>
      <c r="B40" s="49" t="s">
        <v>187</v>
      </c>
      <c r="C40" s="65">
        <f>'Exhibit 3, Page 3'!C40</f>
        <v>9.3500000000000007E-3</v>
      </c>
      <c r="D40" s="64">
        <f t="shared" ref="D40:D47" si="1">ROUND(C40*2443,2)</f>
        <v>22.84</v>
      </c>
      <c r="E40" s="64">
        <f>ROUND(C40*3341,2)</f>
        <v>31.24</v>
      </c>
      <c r="F40" s="64"/>
      <c r="G40" s="65">
        <f>'Exhibit 3, Page 3'!G40</f>
        <v>9.3500000000000007E-3</v>
      </c>
      <c r="H40" s="64">
        <f>ROUND(G40*2443,2)</f>
        <v>22.84</v>
      </c>
      <c r="I40" s="64">
        <f>ROUND(G40*3341,2)</f>
        <v>31.24</v>
      </c>
    </row>
    <row r="41" spans="1:9" x14ac:dyDescent="0.45">
      <c r="A41" s="57">
        <f t="shared" ref="A41:A54" si="2">+A40-1</f>
        <v>-22</v>
      </c>
      <c r="B41" s="49" t="s">
        <v>188</v>
      </c>
      <c r="C41" s="65">
        <f>'Exhibit 3, Page 3'!C41</f>
        <v>1.74E-3</v>
      </c>
      <c r="D41" s="64">
        <f t="shared" si="1"/>
        <v>4.25</v>
      </c>
      <c r="E41" s="64">
        <f t="shared" ref="E41:E47" si="3">ROUND(C41*3341,2)</f>
        <v>5.81</v>
      </c>
      <c r="F41" s="64"/>
      <c r="G41" s="65">
        <f>'Exhibit 3, Page 3'!G41</f>
        <v>1.74E-3</v>
      </c>
      <c r="H41" s="64">
        <f t="shared" ref="H41:H47" si="4">ROUND(G41*2443,2)</f>
        <v>4.25</v>
      </c>
      <c r="I41" s="64">
        <f t="shared" ref="I41:I47" si="5">ROUND(G41*3341,2)</f>
        <v>5.81</v>
      </c>
    </row>
    <row r="42" spans="1:9" x14ac:dyDescent="0.45">
      <c r="A42" s="57">
        <f t="shared" si="2"/>
        <v>-23</v>
      </c>
      <c r="B42" s="49" t="s">
        <v>189</v>
      </c>
      <c r="C42" s="65">
        <f>'Exhibit 3, Page 3'!C42</f>
        <v>-2.9E-4</v>
      </c>
      <c r="D42" s="64">
        <f t="shared" si="1"/>
        <v>-0.71</v>
      </c>
      <c r="E42" s="64">
        <f t="shared" si="3"/>
        <v>-0.97</v>
      </c>
      <c r="F42" s="64"/>
      <c r="G42" s="65">
        <f>'Exhibit 3, Page 3'!G42</f>
        <v>-2.9E-4</v>
      </c>
      <c r="H42" s="64">
        <f t="shared" si="4"/>
        <v>-0.71</v>
      </c>
      <c r="I42" s="64">
        <f t="shared" si="5"/>
        <v>-0.97</v>
      </c>
    </row>
    <row r="43" spans="1:9" x14ac:dyDescent="0.45">
      <c r="A43" s="57">
        <f t="shared" si="2"/>
        <v>-24</v>
      </c>
      <c r="B43" s="49" t="s">
        <v>217</v>
      </c>
      <c r="C43" s="65">
        <f>'Exhibit 3, Page 3'!C43</f>
        <v>5.4640000000000001E-2</v>
      </c>
      <c r="D43" s="64">
        <f t="shared" si="1"/>
        <v>133.49</v>
      </c>
      <c r="E43" s="64">
        <f t="shared" si="3"/>
        <v>182.55</v>
      </c>
      <c r="F43" s="64"/>
      <c r="G43" s="119">
        <f>'Exhibit 1, Page 1'!I56</f>
        <v>1.9978412835634948E-2</v>
      </c>
      <c r="H43" s="64">
        <f t="shared" si="4"/>
        <v>48.81</v>
      </c>
      <c r="I43" s="64">
        <f t="shared" si="5"/>
        <v>66.75</v>
      </c>
    </row>
    <row r="44" spans="1:9" x14ac:dyDescent="0.45">
      <c r="A44" s="57">
        <f t="shared" si="2"/>
        <v>-25</v>
      </c>
      <c r="B44" s="49" t="s">
        <v>190</v>
      </c>
      <c r="C44" s="65">
        <f>'Exhibit 3, Page 3'!C44</f>
        <v>2.7130000000000001E-2</v>
      </c>
      <c r="D44" s="64">
        <f t="shared" si="1"/>
        <v>66.28</v>
      </c>
      <c r="E44" s="64">
        <f t="shared" si="3"/>
        <v>90.64</v>
      </c>
      <c r="F44" s="64"/>
      <c r="G44" s="65">
        <f>'Exhibit 3, Page 3'!G44</f>
        <v>2.7130000000000001E-2</v>
      </c>
      <c r="H44" s="64">
        <f t="shared" si="4"/>
        <v>66.28</v>
      </c>
      <c r="I44" s="64">
        <f t="shared" si="5"/>
        <v>90.64</v>
      </c>
    </row>
    <row r="45" spans="1:9" x14ac:dyDescent="0.45">
      <c r="A45" s="57">
        <f t="shared" si="2"/>
        <v>-26</v>
      </c>
      <c r="B45" s="49" t="s">
        <v>191</v>
      </c>
      <c r="C45" s="65">
        <f>'Exhibit 3, Page 3'!C45</f>
        <v>2.4510000000000001E-2</v>
      </c>
      <c r="D45" s="64">
        <f t="shared" si="1"/>
        <v>59.88</v>
      </c>
      <c r="E45" s="64">
        <f t="shared" si="3"/>
        <v>81.89</v>
      </c>
      <c r="F45" s="64"/>
      <c r="G45" s="65">
        <f>'Exhibit 3, Page 3'!G45</f>
        <v>2.4510000000000001E-2</v>
      </c>
      <c r="H45" s="64">
        <f t="shared" si="4"/>
        <v>59.88</v>
      </c>
      <c r="I45" s="64">
        <f t="shared" si="5"/>
        <v>81.89</v>
      </c>
    </row>
    <row r="46" spans="1:9" x14ac:dyDescent="0.45">
      <c r="A46" s="57">
        <f t="shared" si="2"/>
        <v>-27</v>
      </c>
      <c r="B46" s="61" t="s">
        <v>192</v>
      </c>
      <c r="C46" s="65">
        <f>'Exhibit 3, Page 3'!C46</f>
        <v>5.0000000000000001E-4</v>
      </c>
      <c r="D46" s="64">
        <f t="shared" si="1"/>
        <v>1.22</v>
      </c>
      <c r="E46" s="64">
        <f t="shared" si="3"/>
        <v>1.67</v>
      </c>
      <c r="F46" s="67"/>
      <c r="G46" s="65">
        <f>'Exhibit 3, Page 3'!G46</f>
        <v>5.0000000000000001E-4</v>
      </c>
      <c r="H46" s="64">
        <f t="shared" si="4"/>
        <v>1.22</v>
      </c>
      <c r="I46" s="64">
        <f t="shared" si="5"/>
        <v>1.67</v>
      </c>
    </row>
    <row r="47" spans="1:9" x14ac:dyDescent="0.45">
      <c r="A47" s="57">
        <f t="shared" si="2"/>
        <v>-28</v>
      </c>
      <c r="B47" s="61" t="str">
        <f>'Exhibit 3, Page 3'!B47</f>
        <v>Electric Sector Modernization Plan Factor</v>
      </c>
      <c r="C47" s="65">
        <f>'Exhibit 3, Page 3'!C47</f>
        <v>0</v>
      </c>
      <c r="D47" s="67">
        <f t="shared" si="1"/>
        <v>0</v>
      </c>
      <c r="E47" s="67">
        <f t="shared" si="3"/>
        <v>0</v>
      </c>
      <c r="F47" s="67"/>
      <c r="G47" s="65">
        <f>'Exhibit 3, Page 3'!G47</f>
        <v>0</v>
      </c>
      <c r="H47" s="67">
        <f t="shared" si="4"/>
        <v>0</v>
      </c>
      <c r="I47" s="67">
        <f t="shared" si="5"/>
        <v>0</v>
      </c>
    </row>
    <row r="48" spans="1:9" x14ac:dyDescent="0.45">
      <c r="A48" s="57">
        <f t="shared" si="2"/>
        <v>-29</v>
      </c>
      <c r="B48" s="49" t="s">
        <v>194</v>
      </c>
      <c r="C48" s="49"/>
      <c r="D48" s="68">
        <f>SUM(D19:D47)</f>
        <v>569.01</v>
      </c>
      <c r="E48" s="68">
        <f>SUM(E19:E47)</f>
        <v>774.4799999999999</v>
      </c>
      <c r="F48" s="68"/>
      <c r="G48" s="65"/>
      <c r="H48" s="68">
        <f>SUM(H19:H47)</f>
        <v>379.33000000000004</v>
      </c>
      <c r="I48" s="68">
        <f>SUM(I19:I47)</f>
        <v>515.08999999999992</v>
      </c>
    </row>
    <row r="49" spans="1:9" x14ac:dyDescent="0.45">
      <c r="A49" s="57"/>
      <c r="B49" s="49"/>
      <c r="C49" s="49"/>
      <c r="D49" s="68"/>
      <c r="E49" s="68"/>
      <c r="F49" s="68"/>
      <c r="G49" s="65"/>
      <c r="I49" s="68"/>
    </row>
    <row r="50" spans="1:9" x14ac:dyDescent="0.45">
      <c r="A50" s="57"/>
      <c r="B50" s="63" t="s">
        <v>195</v>
      </c>
      <c r="C50" s="49"/>
      <c r="D50" s="49"/>
      <c r="E50" s="49"/>
      <c r="F50" s="49"/>
      <c r="G50" s="65"/>
      <c r="I50" s="49"/>
    </row>
    <row r="51" spans="1:9" x14ac:dyDescent="0.45">
      <c r="A51" s="57">
        <f>+A48-1</f>
        <v>-30</v>
      </c>
      <c r="B51" s="49" t="s">
        <v>196</v>
      </c>
      <c r="C51" s="65">
        <f>'Exhibit 3, Page 3'!C51</f>
        <v>0.14751</v>
      </c>
      <c r="D51" s="64"/>
      <c r="E51" s="64"/>
      <c r="F51" s="64"/>
      <c r="G51" s="65">
        <f>'Exhibit 3, Page 3'!G51</f>
        <v>0.14751</v>
      </c>
      <c r="I51" s="64"/>
    </row>
    <row r="52" spans="1:9" x14ac:dyDescent="0.45">
      <c r="A52" s="57">
        <f t="shared" si="2"/>
        <v>-31</v>
      </c>
      <c r="B52" s="49" t="s">
        <v>197</v>
      </c>
      <c r="C52" s="65">
        <f>'Exhibit 3, Page 3'!C52</f>
        <v>6.2100000000000002E-3</v>
      </c>
      <c r="D52" s="64"/>
      <c r="E52" s="64"/>
      <c r="F52" s="64"/>
      <c r="G52" s="65">
        <f>'Exhibit 3, Page 3'!G52</f>
        <v>6.2100000000000002E-3</v>
      </c>
      <c r="I52" s="64"/>
    </row>
    <row r="53" spans="1:9" x14ac:dyDescent="0.45">
      <c r="A53" s="57">
        <f t="shared" si="2"/>
        <v>-32</v>
      </c>
      <c r="B53" s="61" t="s">
        <v>198</v>
      </c>
      <c r="C53" s="66">
        <f>'Exhibit 3, Page 3'!C53</f>
        <v>0</v>
      </c>
      <c r="D53" s="67"/>
      <c r="E53" s="67"/>
      <c r="F53" s="67"/>
      <c r="G53" s="66">
        <f>'Exhibit 3, Page 3'!G53</f>
        <v>0</v>
      </c>
      <c r="I53" s="67"/>
    </row>
    <row r="54" spans="1:9" x14ac:dyDescent="0.45">
      <c r="A54" s="57">
        <f t="shared" si="2"/>
        <v>-33</v>
      </c>
      <c r="B54" s="49" t="s">
        <v>199</v>
      </c>
      <c r="C54" s="69">
        <f>SUM(C51:C53)</f>
        <v>0.15372</v>
      </c>
      <c r="D54" s="67">
        <f>ROUND(C54*2443,2)</f>
        <v>375.54</v>
      </c>
      <c r="E54" s="67">
        <f>ROUND(C54*3341,2)</f>
        <v>513.58000000000004</v>
      </c>
      <c r="F54" s="67"/>
      <c r="G54" s="65">
        <f>C54</f>
        <v>0.15372</v>
      </c>
      <c r="H54" s="67">
        <f>ROUND(G54*2443,2)</f>
        <v>375.54</v>
      </c>
      <c r="I54" s="67">
        <f>ROUND(G54*3341,2)</f>
        <v>513.58000000000004</v>
      </c>
    </row>
    <row r="55" spans="1:9" ht="16" x14ac:dyDescent="0.45">
      <c r="A55" s="57"/>
      <c r="B55" s="49"/>
      <c r="C55" s="69"/>
      <c r="D55" s="70"/>
      <c r="E55" s="70"/>
      <c r="F55" s="70"/>
      <c r="G55" s="70"/>
      <c r="H55" s="70"/>
      <c r="I55" s="70"/>
    </row>
    <row r="56" spans="1:9" x14ac:dyDescent="0.45">
      <c r="A56" s="57">
        <f>+A54-1</f>
        <v>-34</v>
      </c>
      <c r="B56" s="49" t="s">
        <v>200</v>
      </c>
      <c r="C56" s="49"/>
      <c r="D56" s="64">
        <f>D48+D54</f>
        <v>944.55</v>
      </c>
      <c r="E56" s="64">
        <f>E48+E54</f>
        <v>1288.06</v>
      </c>
      <c r="F56" s="64"/>
      <c r="G56" s="64"/>
      <c r="H56" s="64">
        <f>H48+H54</f>
        <v>754.87000000000012</v>
      </c>
      <c r="I56" s="64">
        <f>I48+I54</f>
        <v>1028.67</v>
      </c>
    </row>
    <row r="57" spans="1:9" x14ac:dyDescent="0.45">
      <c r="A57" s="49"/>
      <c r="B57" s="49"/>
      <c r="C57" s="49"/>
      <c r="D57" s="71"/>
      <c r="E57" s="71"/>
      <c r="F57" s="71"/>
      <c r="G57" s="71"/>
      <c r="H57" s="71"/>
      <c r="I57" s="71"/>
    </row>
    <row r="58" spans="1:9" x14ac:dyDescent="0.45">
      <c r="A58" s="57">
        <f>A56-1</f>
        <v>-35</v>
      </c>
      <c r="B58" s="49" t="s">
        <v>218</v>
      </c>
      <c r="C58" s="72">
        <v>0.32</v>
      </c>
      <c r="D58" s="73">
        <f>D56*C58</f>
        <v>302.25599999999997</v>
      </c>
      <c r="E58" s="73">
        <f>E56*C58</f>
        <v>412.17919999999998</v>
      </c>
      <c r="F58" s="73"/>
      <c r="G58" s="73"/>
      <c r="H58" s="73">
        <f>H56*C58</f>
        <v>241.55840000000003</v>
      </c>
      <c r="I58" s="73">
        <f>I56*C58</f>
        <v>329.17440000000005</v>
      </c>
    </row>
    <row r="59" spans="1:9" x14ac:dyDescent="0.45">
      <c r="A59" s="52"/>
      <c r="B59" s="49"/>
      <c r="C59" s="49"/>
      <c r="D59" s="71"/>
      <c r="E59" s="71"/>
      <c r="F59" s="71"/>
      <c r="G59" s="71"/>
      <c r="H59" s="71"/>
      <c r="I59" s="71"/>
    </row>
    <row r="60" spans="1:9" x14ac:dyDescent="0.45">
      <c r="A60" s="57">
        <f>A58-1</f>
        <v>-36</v>
      </c>
      <c r="B60" s="49" t="s">
        <v>219</v>
      </c>
      <c r="C60" s="49"/>
      <c r="D60" s="74">
        <f>D56-D58</f>
        <v>642.29399999999998</v>
      </c>
      <c r="E60" s="74">
        <f>E56-E58</f>
        <v>875.88079999999991</v>
      </c>
      <c r="F60" s="74"/>
      <c r="G60" s="74"/>
      <c r="H60" s="74">
        <f>H56-H58</f>
        <v>513.31160000000011</v>
      </c>
      <c r="I60" s="74">
        <f>I56-I58</f>
        <v>699.49559999999997</v>
      </c>
    </row>
    <row r="61" spans="1:9" x14ac:dyDescent="0.45">
      <c r="A61" s="57"/>
      <c r="B61" s="49"/>
      <c r="C61" s="49"/>
      <c r="D61" s="74"/>
      <c r="E61" s="74"/>
      <c r="F61" s="74"/>
      <c r="G61" s="74"/>
      <c r="H61" s="74"/>
      <c r="I61" s="74"/>
    </row>
    <row r="62" spans="1:9" x14ac:dyDescent="0.45">
      <c r="A62" s="57">
        <f>A60-1</f>
        <v>-37</v>
      </c>
      <c r="B62" s="49" t="s">
        <v>203</v>
      </c>
      <c r="C62" s="80">
        <v>0.91</v>
      </c>
      <c r="D62" s="73">
        <f>D56*C62</f>
        <v>859.54049999999995</v>
      </c>
      <c r="E62" s="73">
        <f>E56*C62</f>
        <v>1172.1346000000001</v>
      </c>
      <c r="F62" s="74"/>
      <c r="G62" s="74"/>
      <c r="H62" s="73">
        <f>H56*C62</f>
        <v>686.93170000000009</v>
      </c>
      <c r="I62" s="73">
        <f>I56*C62</f>
        <v>936.08970000000011</v>
      </c>
    </row>
    <row r="63" spans="1:9" x14ac:dyDescent="0.45">
      <c r="A63" s="57"/>
      <c r="B63" s="49"/>
      <c r="C63" s="49"/>
      <c r="D63" s="74"/>
      <c r="E63" s="74"/>
      <c r="F63" s="74"/>
      <c r="G63" s="74"/>
      <c r="H63" s="74"/>
      <c r="I63" s="74"/>
    </row>
    <row r="64" spans="1:9" x14ac:dyDescent="0.45">
      <c r="A64" s="57">
        <f>A62-1</f>
        <v>-38</v>
      </c>
      <c r="B64" s="49" t="s">
        <v>204</v>
      </c>
      <c r="C64" s="49"/>
      <c r="D64" s="74">
        <f>D56-D62</f>
        <v>85.009500000000003</v>
      </c>
      <c r="E64" s="74">
        <f>E56-E62</f>
        <v>115.92539999999985</v>
      </c>
      <c r="F64" s="74"/>
      <c r="G64" s="74"/>
      <c r="H64" s="74">
        <f>H56-H62</f>
        <v>67.938300000000027</v>
      </c>
      <c r="I64" s="74">
        <f>I56-I62</f>
        <v>92.580299999999966</v>
      </c>
    </row>
    <row r="65" spans="1:9" x14ac:dyDescent="0.45">
      <c r="A65" s="57"/>
      <c r="B65" s="49"/>
      <c r="C65" s="49"/>
      <c r="D65" s="74"/>
      <c r="E65" s="74"/>
      <c r="F65" s="74"/>
      <c r="G65" s="74"/>
      <c r="H65" s="74"/>
      <c r="I65" s="74"/>
    </row>
    <row r="66" spans="1:9" x14ac:dyDescent="0.45">
      <c r="A66" s="49"/>
      <c r="B66" s="49"/>
      <c r="C66" s="49"/>
      <c r="D66" s="64"/>
      <c r="E66" s="64"/>
      <c r="F66" s="64"/>
      <c r="G66" s="64"/>
    </row>
    <row r="67" spans="1:9" x14ac:dyDescent="0.45">
      <c r="A67" s="99" t="s">
        <v>205</v>
      </c>
      <c r="B67" s="75" t="str">
        <f>'Exhibit 3, Page 3'!B67</f>
        <v>Per M.D.P.U. No. 1-26-F; exept Line (24) (d) =  Exhibit 1 , Page 1, Line (39) (i), Line (2) = D.P.U.26-XX, Exhibit 4, Page 1, Line 3&amp;6</v>
      </c>
      <c r="C67" s="65"/>
      <c r="D67" s="49"/>
      <c r="E67" s="49"/>
      <c r="F67" s="49"/>
      <c r="G67" s="49"/>
    </row>
    <row r="68" spans="1:9" x14ac:dyDescent="0.45">
      <c r="A68" s="56" t="s">
        <v>206</v>
      </c>
      <c r="B68" s="75" t="s">
        <v>207</v>
      </c>
      <c r="C68" s="66"/>
      <c r="D68" s="49"/>
      <c r="E68" s="49"/>
      <c r="F68" s="49"/>
      <c r="G68" s="49"/>
    </row>
    <row r="69" spans="1:9" x14ac:dyDescent="0.45">
      <c r="A69" s="56" t="s">
        <v>206</v>
      </c>
      <c r="B69" s="75" t="s">
        <v>208</v>
      </c>
    </row>
    <row r="70" spans="1:9" x14ac:dyDescent="0.45">
      <c r="A70" s="56" t="s">
        <v>206</v>
      </c>
      <c r="B70" s="75" t="s">
        <v>209</v>
      </c>
    </row>
    <row r="71" spans="1:9" x14ac:dyDescent="0.45">
      <c r="A71" s="56" t="s">
        <v>206</v>
      </c>
      <c r="B71" s="75" t="s">
        <v>210</v>
      </c>
    </row>
    <row r="72" spans="1:9" x14ac:dyDescent="0.45">
      <c r="A72" s="56" t="s">
        <v>206</v>
      </c>
      <c r="B72" s="75" t="s">
        <v>211</v>
      </c>
    </row>
    <row r="73" spans="1:9" x14ac:dyDescent="0.45">
      <c r="A73" s="56" t="s">
        <v>206</v>
      </c>
      <c r="B73" s="30" t="s">
        <v>212</v>
      </c>
    </row>
    <row r="74" spans="1:9" x14ac:dyDescent="0.45">
      <c r="A74" s="56"/>
    </row>
  </sheetData>
  <mergeCells count="5">
    <mergeCell ref="A9:I9"/>
    <mergeCell ref="A10:I10"/>
    <mergeCell ref="A11:I11"/>
    <mergeCell ref="C13:E13"/>
    <mergeCell ref="G13:I13"/>
  </mergeCells>
  <pageMargins left="0.7" right="0.7" top="0.75" bottom="0.75" header="0.3" footer="0.3"/>
  <pageSetup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0f1b3-1065-4ea4-aab1-2e8b03ceb568" xsi:nil="true"/>
    <lcf76f155ced4ddcb4097134ff3c332f xmlns="19fe652e-7761-4f76-8158-5a396de068a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56A82D1C367479E6F3647F6A59E84" ma:contentTypeVersion="14" ma:contentTypeDescription="Create a new document." ma:contentTypeScope="" ma:versionID="9bad8163c5e5096c0ccbf8d84f6e9d03">
  <xsd:schema xmlns:xsd="http://www.w3.org/2001/XMLSchema" xmlns:xs="http://www.w3.org/2001/XMLSchema" xmlns:p="http://schemas.microsoft.com/office/2006/metadata/properties" xmlns:ns2="1d10f1b3-1065-4ea4-aab1-2e8b03ceb568" xmlns:ns3="19fe652e-7761-4f76-8158-5a396de068a1" targetNamespace="http://schemas.microsoft.com/office/2006/metadata/properties" ma:root="true" ma:fieldsID="a0a570ca6c00449d3e33b93f05c5d1ef" ns2:_="" ns3:_="">
    <xsd:import namespace="1d10f1b3-1065-4ea4-aab1-2e8b03ceb568"/>
    <xsd:import namespace="19fe652e-7761-4f76-8158-5a396de068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0f1b3-1065-4ea4-aab1-2e8b03ceb5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91b617c-7c0f-4de2-8257-a19a5fb9e20e}" ma:internalName="TaxCatchAll" ma:showField="CatchAllData" ma:web="1d10f1b3-1065-4ea4-aab1-2e8b03ceb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e652e-7761-4f76-8158-5a396de06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9714A-9D74-42D9-A83A-42CE4245DFE6}">
  <ds:schemaRefs>
    <ds:schemaRef ds:uri="http://purl.org/dc/dcmitype/"/>
    <ds:schemaRef ds:uri="http://schemas.microsoft.com/office/2006/metadata/properties"/>
    <ds:schemaRef ds:uri="1d10f1b3-1065-4ea4-aab1-2e8b03ceb56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9fe652e-7761-4f76-8158-5a396de068a1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C8BD68-28D9-4078-B6F7-0FD0497D8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0f1b3-1065-4ea4-aab1-2e8b03ceb568"/>
    <ds:schemaRef ds:uri="19fe652e-7761-4f76-8158-5a396de06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875AB-03F8-4EAE-B53D-0A2508E368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Exhibit 1, Page 1</vt:lpstr>
      <vt:lpstr>Exhibit 1, Page 2</vt:lpstr>
      <vt:lpstr>Exhibit 2, Page 1</vt:lpstr>
      <vt:lpstr>Exhibit 2, Page 2</vt:lpstr>
      <vt:lpstr>Exhibit 2, Page 3</vt:lpstr>
      <vt:lpstr>Exhibit 2, Page 4</vt:lpstr>
      <vt:lpstr>Exhibit 3, Page 1</vt:lpstr>
      <vt:lpstr>Exhibit 3, Page 2</vt:lpstr>
      <vt:lpstr>Exhibit 3, Page 3</vt:lpstr>
      <vt:lpstr>Exhibit 3, Page 4</vt:lpstr>
      <vt:lpstr>'Exhibit 1, Page 1'!Print_Area</vt:lpstr>
      <vt:lpstr>'Exhibit 1, Page 2'!Print_Area</vt:lpstr>
      <vt:lpstr>'Exhibit 2, Page 1'!Print_Area</vt:lpstr>
      <vt:lpstr>'Exhibit 2, Page 2'!Print_Area</vt:lpstr>
      <vt:lpstr>'Exhibit 2, Page 3'!Print_Area</vt:lpstr>
      <vt:lpstr>'Exhibit 2, Page 4'!Print_Area</vt:lpstr>
      <vt:lpstr>'Exhibit 3, Page 1'!Print_Area</vt:lpstr>
      <vt:lpstr>'Exhibit 3, Page 2'!Print_Area</vt:lpstr>
      <vt:lpstr>'Exhibit 3, Page 3'!Print_Area</vt:lpstr>
      <vt:lpstr>'Exhibit 3, Page 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Isaksen</dc:creator>
  <cp:keywords/>
  <dc:description/>
  <cp:lastModifiedBy>Polina Demers</cp:lastModifiedBy>
  <cp:revision/>
  <cp:lastPrinted>2026-06-12T17:04:37Z</cp:lastPrinted>
  <dcterms:created xsi:type="dcterms:W3CDTF">2025-01-14T16:21:21Z</dcterms:created>
  <dcterms:modified xsi:type="dcterms:W3CDTF">2026-07-06T14:32:03Z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0x01010025556A82D1C367479E6F3647F6A59E84</vt:lpwstr>
  </property>
  <property fmtid="{D5CDD505-2E9C-101B-9397-08002B2CF9AE}" pid="3" name="MSIP_Label_8bd75a54-f2be-4ffa-b165-74c609d83991_Enabled">
    <vt:lpwstr>true</vt:lpwstr>
  </property>
  <property fmtid="{D5CDD505-2E9C-101B-9397-08002B2CF9AE}" pid="4" name="MSIP_Label_8bd75a54-f2be-4ffa-b165-74c609d83991_SetDate">
    <vt:lpwstr>2026-06-03T13:20:31Z</vt:lpwstr>
  </property>
  <property fmtid="{D5CDD505-2E9C-101B-9397-08002B2CF9AE}" pid="5" name="MSIP_Label_8bd75a54-f2be-4ffa-b165-74c609d83991_Method">
    <vt:lpwstr>Standard</vt:lpwstr>
  </property>
  <property fmtid="{D5CDD505-2E9C-101B-9397-08002B2CF9AE}" pid="6" name="MSIP_Label_8bd75a54-f2be-4ffa-b165-74c609d83991_Name">
    <vt:lpwstr>Internal use only</vt:lpwstr>
  </property>
  <property fmtid="{D5CDD505-2E9C-101B-9397-08002B2CF9AE}" pid="7" name="MSIP_Label_8bd75a54-f2be-4ffa-b165-74c609d83991_SiteId">
    <vt:lpwstr>f98a6a53-25f3-4212-901c-c7787fcd3495</vt:lpwstr>
  </property>
  <property fmtid="{D5CDD505-2E9C-101B-9397-08002B2CF9AE}" pid="8" name="MSIP_Label_8bd75a54-f2be-4ffa-b165-74c609d83991_ActionId">
    <vt:lpwstr>ce303d19-ec1c-48b8-89c9-159bd8b8dab4</vt:lpwstr>
  </property>
  <property fmtid="{D5CDD505-2E9C-101B-9397-08002B2CF9AE}" pid="9" name="MSIP_Label_8bd75a54-f2be-4ffa-b165-74c609d83991_ContentBits">
    <vt:lpwstr>0</vt:lpwstr>
  </property>
  <property fmtid="{D5CDD505-2E9C-101B-9397-08002B2CF9AE}" pid="10" name="MSIP_Label_8bd75a54-f2be-4ffa-b165-74c609d83991_Tag">
    <vt:lpwstr>10, 3, 0, 1</vt:lpwstr>
  </property>
</Properties>
</file>