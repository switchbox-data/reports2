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5"/>
    <sheet state="visible" name="Utility rebates" sheetId="2" r:id="rId6"/>
    <sheet state="visible" name="Service line costs" sheetId="3" r:id="rId7"/>
    <sheet state="visible" name="Equipment costs" sheetId="4" r:id="rId8"/>
    <sheet state="visible" name="Fuel costs" sheetId="5" r:id="rId9"/>
    <sheet state="visible" name="County information" sheetId="6" r:id="rId10"/>
    <sheet state="visible" name="Design temperatures" sheetId="7" r:id="rId11"/>
    <sheet state="visible" name="2019 Building Permits Survey" sheetId="8" r:id="rId12"/>
    <sheet state="visible" name="County zone mapping" sheetId="9" r:id="rId13"/>
    <sheet state="visible" name="Heating type by zone" sheetId="10" r:id="rId14"/>
    <sheet state="hidden" name="Propane - Zone 5" sheetId="11" r:id="rId15"/>
    <sheet state="hidden" name="Sheet4" sheetId="12" r:id="rId16"/>
    <sheet state="hidden" name="Natural Gas - Zone 5" sheetId="13" r:id="rId17"/>
    <sheet state="hidden" name="Amit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7">
      <text>
        <t xml:space="preserve">Typical northeast house ACH50 -&gt; ACHnat conversion by N=20.
ACHnat = ACH50/20
Air density x specific heat x 60 min/hr = 1.08
Qhr = 1.08 * CFM * ΔT 
CFM = (ACHnat/60) * Volume
So 
Qhr = 0.018 * ACHVolume * ΔT
and
Qday = Qhr*24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8">
      <text>
        <t xml:space="preserve">Added extra logic to exclude blank rows</t>
      </text>
    </comment>
  </commentList>
</comments>
</file>

<file path=xl/sharedStrings.xml><?xml version="1.0" encoding="utf-8"?>
<sst xmlns="http://schemas.openxmlformats.org/spreadsheetml/2006/main" count="1309" uniqueCount="564">
  <si>
    <t>Heat Pump vs Gas/Propane Model</t>
  </si>
  <si>
    <r>
      <rPr>
        <rFont val="Arial"/>
        <i/>
        <color theme="1"/>
      </rPr>
      <t xml:space="preserve">Legend: </t>
    </r>
    <r>
      <rPr>
        <rFont val="Arial"/>
        <i/>
        <color rgb="FF4285F4"/>
      </rPr>
      <t>model param</t>
    </r>
    <r>
      <rPr>
        <rFont val="Arial"/>
        <i/>
        <color theme="1"/>
      </rPr>
      <t xml:space="preserve">, </t>
    </r>
    <r>
      <rPr>
        <rFont val="Arial"/>
        <i/>
        <color rgb="FF34A853"/>
      </rPr>
      <t>imported from sheet</t>
    </r>
    <r>
      <rPr>
        <rFont val="Arial"/>
        <i/>
        <color theme="1"/>
      </rPr>
      <t>, calculated value</t>
    </r>
  </si>
  <si>
    <t>Switchbox 2025</t>
  </si>
  <si>
    <t>Natural gas furnace</t>
  </si>
  <si>
    <t>Propane furnace</t>
  </si>
  <si>
    <t>Units</t>
  </si>
  <si>
    <t>Zone 4</t>
  </si>
  <si>
    <t>Zone 5</t>
  </si>
  <si>
    <t>Zone 6</t>
  </si>
  <si>
    <t>Source</t>
  </si>
  <si>
    <t>Notes</t>
  </si>
  <si>
    <t>Fuel prices</t>
  </si>
  <si>
    <t>Electricity price</t>
  </si>
  <si>
    <t>$ / kWh</t>
  </si>
  <si>
    <r>
      <rPr>
        <rFont val="Arial"/>
        <i/>
        <color theme="1"/>
      </rPr>
      <t xml:space="preserve">See </t>
    </r>
    <r>
      <rPr>
        <rFont val="Arial"/>
        <b/>
        <i/>
        <color theme="1"/>
      </rPr>
      <t>Fuel costs</t>
    </r>
    <r>
      <rPr>
        <rFont val="Arial"/>
        <i/>
        <color theme="1"/>
      </rPr>
      <t xml:space="preserve"> tab</t>
    </r>
  </si>
  <si>
    <t>Statewide average winter price, 2020-2025</t>
  </si>
  <si>
    <t>Natural gas or propane price</t>
  </si>
  <si>
    <t>$ / mcf or $ / gallon</t>
  </si>
  <si>
    <r>
      <rPr>
        <rFont val="Arial"/>
        <i/>
        <color theme="1"/>
      </rPr>
      <t xml:space="preserve">See </t>
    </r>
    <r>
      <rPr>
        <rFont val="Arial"/>
        <b/>
        <i/>
        <color theme="1"/>
      </rPr>
      <t>Fuel costs</t>
    </r>
    <r>
      <rPr>
        <rFont val="Arial"/>
        <i/>
        <color theme="1"/>
      </rPr>
      <t xml:space="preserve"> tab</t>
    </r>
  </si>
  <si>
    <t>Building</t>
  </si>
  <si>
    <t>Building design</t>
  </si>
  <si>
    <t>Avg sq. ft. (exlcuding basement)</t>
  </si>
  <si>
    <t>ft^2</t>
  </si>
  <si>
    <t>https://www.census.gov/construction/nrc/pdf/quarterly_starts_completions.pdf</t>
  </si>
  <si>
    <t>2024 median square feet of floor area for Single-family units, Northeast (Table Q2)</t>
  </si>
  <si>
    <t>Stories above ground</t>
  </si>
  <si>
    <t>stories</t>
  </si>
  <si>
    <t>Avg wall length</t>
  </si>
  <si>
    <t>ft</t>
  </si>
  <si>
    <t>Assumes a square house</t>
  </si>
  <si>
    <t>Avg story height</t>
  </si>
  <si>
    <t>https://weekendbuilds.com/how-tall-is-a-house/</t>
  </si>
  <si>
    <t>Wall sufrace area</t>
  </si>
  <si>
    <t>Attic floor surface area</t>
  </si>
  <si>
    <t>Treating attic floor as thermal boundary to simplify heat loss calculations vs steepled roof</t>
  </si>
  <si>
    <t>Percent of walls which are windows and doors</t>
  </si>
  <si>
    <t>percent</t>
  </si>
  <si>
    <t>https://www.resnet.us/wp-content/uploads/ANSIRESNETICC301-2022_resnetpblshd.pdf</t>
  </si>
  <si>
    <t>17% windows, 3% doors</t>
  </si>
  <si>
    <t>Surface area of walls</t>
  </si>
  <si>
    <t>Surface area of windows and doors</t>
  </si>
  <si>
    <t>Above-grade basement wall height</t>
  </si>
  <si>
    <t>Below-grade basement wall height</t>
  </si>
  <si>
    <t>Above-grade basement walls surface area</t>
  </si>
  <si>
    <t>ft^3</t>
  </si>
  <si>
    <t>Below-grade basement walls surface area</t>
  </si>
  <si>
    <t>Below-grade basement floor</t>
  </si>
  <si>
    <t>House cubic volume (including basement)</t>
  </si>
  <si>
    <t>BTU / degree calculations (air)</t>
  </si>
  <si>
    <t>https://neep.org/sites/default/files/Sizing%20%26%20Selecting%20ASHPs%20In%20Cold%20Climates.pdf</t>
  </si>
  <si>
    <t>Credit to (https://www.builditsolar.com/References/Calculators/HeatLoss/HeatLoss.htm)</t>
  </si>
  <si>
    <t>Minimum R value for attic</t>
  </si>
  <si>
    <t>(ft^2*F)/(BTU/hr)</t>
  </si>
  <si>
    <t>https://codes.iccsafe.org/content/NYSECC2025P1</t>
  </si>
  <si>
    <t>R402.1.3</t>
  </si>
  <si>
    <t>Minimum R value for walls</t>
  </si>
  <si>
    <t>Minimum R value for windows and doors</t>
  </si>
  <si>
    <t>R402.1.3; R-value is 1/U-factor</t>
  </si>
  <si>
    <t>Minimum R value for basement wall</t>
  </si>
  <si>
    <t>Heated slab F-factor</t>
  </si>
  <si>
    <t>(BTU/hr)/(ft*F)</t>
  </si>
  <si>
    <t>R402.1.2</t>
  </si>
  <si>
    <t>Air changes per hour (50 Pascals)</t>
  </si>
  <si>
    <t>ACH50</t>
  </si>
  <si>
    <t>R405.4</t>
  </si>
  <si>
    <t>Heat loss through attic per degree</t>
  </si>
  <si>
    <t>(BTU/hr)/F</t>
  </si>
  <si>
    <t>http://hyperphysics.phy-astr.gsu.edu/hbase/thermo/heatloss.html</t>
  </si>
  <si>
    <t>Heat loss in exterior walls per degree</t>
  </si>
  <si>
    <t>Heat loss through windows and doors per degree</t>
  </si>
  <si>
    <t>Heat loss through above-grade basement walls per degree</t>
  </si>
  <si>
    <t>Heat loss through air changes per degree</t>
  </si>
  <si>
    <t>https://eta-publications.lbl.gov/sites/default/files/the_use_of_blower-door_data_1995_sherman_lbl_35173_.pdf</t>
  </si>
  <si>
    <t>See note for derivation, but basically we convert ACH50 to ACHnat, and work out heat loss from there</t>
  </si>
  <si>
    <t>Heat loss through below-grade basement walls per degree to soil</t>
  </si>
  <si>
    <t>ASHRE designs the R-values and F-factors to allow us to use air temperature as an approximation</t>
  </si>
  <si>
    <t>Heat loss through slab per degree to soil</t>
  </si>
  <si>
    <t>https://bigladdersoftware.com/epx/docs/8-2/engineering-reference/ground-heat-transfer-calculations.html</t>
  </si>
  <si>
    <t>Total heat loss rate (air)</t>
  </si>
  <si>
    <t>Yearly BTUs</t>
  </si>
  <si>
    <t>Heating degree days</t>
  </si>
  <si>
    <t>HDD</t>
  </si>
  <si>
    <t>https://codes.iccsafe.org/s/IRC2021P2/chapter-11-re-energy-efficiency/IRC2021P2-Pt04-Ch11-SecN1101.7.2</t>
  </si>
  <si>
    <t>Heating degree days are part of the definition of being a climate zone in the 2024 IECC code.</t>
  </si>
  <si>
    <t>EPA statewide adjustment</t>
  </si>
  <si>
    <t>https://www.epa.gov/climate-indicators/climate-change-indicators-heating-and-cooling-degree-days#tab-4</t>
  </si>
  <si>
    <t xml:space="preserve">Heating degree day definitions in 2024 ICC have not been updated; </t>
  </si>
  <si>
    <t>Adjusted Heating degree days (per zone)</t>
  </si>
  <si>
    <t>Taking average across zone definitions, then subtracting the EPA estimate for statewide drop in HDD from climate change</t>
  </si>
  <si>
    <t>Yearly BTUs required</t>
  </si>
  <si>
    <t>BTU</t>
  </si>
  <si>
    <t>Heating system capacity</t>
  </si>
  <si>
    <t>Coldest day</t>
  </si>
  <si>
    <t>ºF</t>
  </si>
  <si>
    <t>https://www.energystar.gov/ia/partners/bldrs_lenders_raters/downloads/County%20Level%20Design%20Temperature%20Reference%20Guide%20-%202015-06-24.pdf</t>
  </si>
  <si>
    <t>99% heating temperature from Energy Start county-level reference guide</t>
  </si>
  <si>
    <t>Internal heat gains (daily)</t>
  </si>
  <si>
    <t>https://www.builditsolar.com/References/Calculators/HeatLoss/HeatLoss.htm</t>
  </si>
  <si>
    <r>
      <rPr/>
      <t xml:space="preserve">Assuming 4-person household and normal appliances; </t>
    </r>
    <r>
      <rPr>
        <color rgb="FF1155CC"/>
        <u/>
      </rPr>
      <t xml:space="preserve">this source </t>
    </r>
    <r>
      <rPr/>
      <t>was helpful.</t>
    </r>
  </si>
  <si>
    <t>Design temperature</t>
  </si>
  <si>
    <t>Maximum allowed for heating is 72, and assume deadband</t>
  </si>
  <si>
    <t>Degree difference on coldest day</t>
  </si>
  <si>
    <t>ΔºF</t>
  </si>
  <si>
    <t>65ºF reference point</t>
  </si>
  <si>
    <t>BTU/hr on coldest day</t>
  </si>
  <si>
    <t>BTU/hr</t>
  </si>
  <si>
    <t>System runs for 24 hours at 99th percentile reference temp</t>
  </si>
  <si>
    <t>Sizing scale up factor</t>
  </si>
  <si>
    <t>https://neea.org/img/documents/NEEA-Cold-Climate-DHP-Spec-and-Recommendations.pdf</t>
  </si>
  <si>
    <t>NEEA design suggestion</t>
  </si>
  <si>
    <t>Heating system BTU estimate</t>
  </si>
  <si>
    <t>Traditional</t>
  </si>
  <si>
    <t>Central Heat - Furnace</t>
  </si>
  <si>
    <t>Equipment cost</t>
  </si>
  <si>
    <t>dollars</t>
  </si>
  <si>
    <r>
      <rPr>
        <rFont val="Arial"/>
        <i/>
        <color theme="1"/>
      </rPr>
      <t xml:space="preserve">See </t>
    </r>
    <r>
      <rPr>
        <rFont val="Arial"/>
        <b/>
        <i/>
        <color theme="1"/>
      </rPr>
      <t>Equipment costs</t>
    </r>
    <r>
      <rPr>
        <rFont val="Arial"/>
        <i/>
        <color theme="1"/>
      </rPr>
      <t xml:space="preserve"> tab</t>
    </r>
  </si>
  <si>
    <t>40K BTU unit. We consider only equipment costs, since labor costs for installing furnace + AC will be similar to installing a ccASHP.</t>
  </si>
  <si>
    <t>Gas tank cost</t>
  </si>
  <si>
    <t>https://www.thisoldhouse.com/plumbing/reviews/propane-tank-installation-cost</t>
  </si>
  <si>
    <t>Propane requires a gas tank</t>
  </si>
  <si>
    <t>Installed cost</t>
  </si>
  <si>
    <t>Fuel efficiency</t>
  </si>
  <si>
    <t>AFUE</t>
  </si>
  <si>
    <t>https://www.documentcloud.org/documents/23179248-nyserda-analysis-of-residential-heat-pump-potential-and-economics-2019</t>
  </si>
  <si>
    <t xml:space="preserve">Target AFUE 95%, in order to satisfy R408.2 (along with 15.2 SEER AC). </t>
  </si>
  <si>
    <t>Energy content of fuel</t>
  </si>
  <si>
    <t>btu/mcf or btu/gallon</t>
  </si>
  <si>
    <t>https://www.fchaab.com/fuels/how-compare-oilheat/#:~:text=Propane%20has%2091%2C500%20BTUs%20per,per%20kilowatt%20hour%20(kwh).</t>
  </si>
  <si>
    <t>Yearly fuel usage</t>
  </si>
  <si>
    <t>mcf/year or gallons/year</t>
  </si>
  <si>
    <t>Yearly fuel cost</t>
  </si>
  <si>
    <t>Electrical usage rate</t>
  </si>
  <si>
    <t>kWh / MMBTU</t>
  </si>
  <si>
    <t>Run the blower, fans, etc</t>
  </si>
  <si>
    <t>Yearly electrical usage</t>
  </si>
  <si>
    <t>kWh</t>
  </si>
  <si>
    <t>https://www.taitem.com/wp-content/uploads/tt_furnace_electricity_use_20130507.pdf</t>
  </si>
  <si>
    <t>Yearly electrical cost</t>
  </si>
  <si>
    <t>Yearly maintenance cost</t>
  </si>
  <si>
    <t>https://michaelandson.com/blog/how-much-does-furnace-maintenance-cost#:~:text=An%20annual%20maintenance%20plan%3A%20Some,from%20%24200%20to%20%24400%20annually.</t>
  </si>
  <si>
    <t>Yearly operating cost</t>
  </si>
  <si>
    <t>Central AC</t>
  </si>
  <si>
    <r>
      <rPr>
        <rFont val="Arial"/>
        <i/>
        <color rgb="FF000000"/>
      </rPr>
      <t xml:space="preserve">See </t>
    </r>
    <r>
      <rPr>
        <rFont val="Arial"/>
        <b/>
        <i/>
        <color rgb="FF000000"/>
      </rPr>
      <t>Device costs</t>
    </r>
    <r>
      <rPr>
        <rFont val="Arial"/>
        <i/>
        <color rgb="FF000000"/>
      </rPr>
      <t xml:space="preserve"> tab</t>
    </r>
  </si>
  <si>
    <t>2.5 Ton unit + 15.2 SEER2, in order to satisfy R408.2 (along with AFUE 95% furnace).</t>
  </si>
  <si>
    <t>We consider only equipment costs, since labor costs for installing furnace + AC will be similar to installing a ccASHP.</t>
  </si>
  <si>
    <t>Yearly electrical cost (vs heat pump)</t>
  </si>
  <si>
    <t>We assume that a 15.2 SEER 2 AC unit will have similar operating costs to a ccASHP for cooling, so we zero out operating costs in the comparison.</t>
  </si>
  <si>
    <t>Gas Water Heater</t>
  </si>
  <si>
    <r>
      <rPr>
        <rFont val="Arial"/>
        <i/>
        <color theme="1"/>
      </rPr>
      <t xml:space="preserve">See </t>
    </r>
    <r>
      <rPr>
        <rFont val="Arial"/>
        <b/>
        <i/>
        <color theme="1"/>
      </rPr>
      <t>Equipment costs</t>
    </r>
    <r>
      <rPr>
        <rFont val="Arial"/>
        <i/>
        <color theme="1"/>
      </rPr>
      <t xml:space="preserve"> tab</t>
    </r>
  </si>
  <si>
    <t>50 gallons + UEF &gt; 0.81 (to satisfy 408.2.3).</t>
  </si>
  <si>
    <t>We consider only equipment costs, since labor costs will be similar for installing a gas or heat pump water heater.</t>
  </si>
  <si>
    <t>mcf/hr or gallons/hr</t>
  </si>
  <si>
    <t>https://asph.com/how-much-energy-does-my-water-heater-use/ and https://learnmetrics.com/how-much-propane-does-a-tankless-water-heater-use/#:~:text=Smallest%2053%2C000%20BTU%20unit%20(low,of%20propane%20per%20running%20hour</t>
  </si>
  <si>
    <t>Daily operating time</t>
  </si>
  <si>
    <t>hr/day</t>
  </si>
  <si>
    <t>Same as HPHW</t>
  </si>
  <si>
    <t>Infrastructure</t>
  </si>
  <si>
    <t>Blended average cost of new service line</t>
  </si>
  <si>
    <r>
      <rPr>
        <rFont val="Arial"/>
        <i/>
        <color theme="1"/>
      </rPr>
      <t xml:space="preserve">See </t>
    </r>
    <r>
      <rPr>
        <rFont val="Arial"/>
        <b/>
        <i/>
        <color theme="1"/>
      </rPr>
      <t>Service line costs</t>
    </r>
    <r>
      <rPr>
        <rFont val="Arial"/>
        <i/>
        <color theme="1"/>
      </rPr>
      <t xml:space="preserve"> tab</t>
    </r>
  </si>
  <si>
    <t>Service line costs only apply to homes heated by natural gas</t>
  </si>
  <si>
    <t>Total</t>
  </si>
  <si>
    <t>FF + AC + NGHW</t>
  </si>
  <si>
    <t>FF + AC + NGHW + service line costs</t>
  </si>
  <si>
    <t>FF + AC + NGHW yearly operating costs</t>
  </si>
  <si>
    <t>Heat Pump</t>
  </si>
  <si>
    <t>Cold Climate Air-Source Heat Pump (ccASHP)</t>
  </si>
  <si>
    <r>
      <rPr>
        <rFont val="Arial"/>
        <i/>
        <color theme="1"/>
      </rPr>
      <t xml:space="preserve">See </t>
    </r>
    <r>
      <rPr>
        <rFont val="Arial"/>
        <b/>
        <i/>
        <color theme="1"/>
      </rPr>
      <t>Equipment costs</t>
    </r>
    <r>
      <rPr>
        <rFont val="Arial"/>
        <i/>
        <color theme="1"/>
      </rPr>
      <t xml:space="preserve"> tab</t>
    </r>
  </si>
  <si>
    <t>We consider only equipment costs, since labor costs for installing a heat pump will be similar to installing furnace + AC.</t>
  </si>
  <si>
    <t>Clean Heat rebate (Blended average)</t>
  </si>
  <si>
    <r>
      <rPr>
        <rFont val="Arial"/>
        <i/>
        <color theme="1"/>
      </rPr>
      <t xml:space="preserve">See </t>
    </r>
    <r>
      <rPr>
        <rFont val="Arial"/>
        <b/>
        <i/>
        <color theme="1"/>
      </rPr>
      <t>Utility rebates</t>
    </r>
    <r>
      <rPr>
        <rFont val="Arial"/>
        <i/>
        <color theme="1"/>
      </rPr>
      <t xml:space="preserve"> tab</t>
    </r>
  </si>
  <si>
    <t>Federal Tax Credit (25C, 30% capped at $2K)</t>
  </si>
  <si>
    <t>https://assets.ctfassets.net/v4qx5q5o44nj/3FYfJiYMILiXGFghFEUx0D/39c998988d5bea13ae015bddeeba1d59/25C_25D_Fact_Sheet.pdf</t>
  </si>
  <si>
    <t xml:space="preserve">Removed by HR1 </t>
  </si>
  <si>
    <t>Net equipment cost</t>
  </si>
  <si>
    <t>In order to satisfy R408.2.2, we need HSPF2 of 7.8 in Zone 4 and 8.1 in Zones 5 and 6, but the units we're using (which are already reasonably priced) have a listed HSPF2 of 10</t>
  </si>
  <si>
    <t>Wh / BTU</t>
  </si>
  <si>
    <t>In order to satisfy R408.2.2</t>
  </si>
  <si>
    <t>Yearly kWh needed</t>
  </si>
  <si>
    <t>Heat Pump Water Heater (HPWH)</t>
  </si>
  <si>
    <t>Device cost</t>
  </si>
  <si>
    <r>
      <rPr>
        <rFont val="Arial"/>
        <i/>
        <color theme="1"/>
      </rPr>
      <t xml:space="preserve">See </t>
    </r>
    <r>
      <rPr>
        <rFont val="Arial"/>
        <b/>
        <i/>
        <color theme="1"/>
      </rPr>
      <t>Equipment costs</t>
    </r>
    <r>
      <rPr>
        <rFont val="Arial"/>
        <i/>
        <color theme="1"/>
      </rPr>
      <t xml:space="preserve"> tab</t>
    </r>
  </si>
  <si>
    <t>50 gallons + UEF &gt; 3.3 (to satisfy 408.2.3)</t>
  </si>
  <si>
    <r>
      <rPr>
        <rFont val="Arial"/>
        <i/>
        <color theme="1"/>
      </rPr>
      <t xml:space="preserve">See </t>
    </r>
    <r>
      <rPr>
        <rFont val="Arial"/>
        <b/>
        <i/>
        <color theme="1"/>
      </rPr>
      <t>Utility rebates</t>
    </r>
    <r>
      <rPr>
        <rFont val="Arial"/>
        <i/>
        <color theme="1"/>
      </rPr>
      <t xml:space="preserve"> tab</t>
    </r>
  </si>
  <si>
    <t>Blended rebate calculated on other sheet</t>
  </si>
  <si>
    <t>Net device cost</t>
  </si>
  <si>
    <t>kWh/day</t>
  </si>
  <si>
    <t>https://www.greenbuildingadvisor.com/question/how-to-calculate-power-consumption-for-heat-pump-water-heater</t>
  </si>
  <si>
    <t>Maintenance for conventional WH vs HPHW should be similar</t>
  </si>
  <si>
    <t>Total yearly spend</t>
  </si>
  <si>
    <t>ASHP + HPHW equipment costs</t>
  </si>
  <si>
    <t>ASHP + HPHW yearly operating costs</t>
  </si>
  <si>
    <t>Comparison vs ccASHP</t>
  </si>
  <si>
    <t>Mortgage rate @ 30 yrs</t>
  </si>
  <si>
    <t>https://www.zillow.com/mortgage-rates/ny/</t>
  </si>
  <si>
    <t>30-year mortgage, 680-740 credit score, 20% down</t>
  </si>
  <si>
    <t>ASHP construction cost savings</t>
  </si>
  <si>
    <t>ASHP construction cost savings (with service lines)</t>
  </si>
  <si>
    <t>Gas/Propane Central Heat Furnace + AC + Water heater vs. Air Source Heat Pump + Heat Pump Water Heater</t>
  </si>
  <si>
    <t>ASHP mortgage savings</t>
  </si>
  <si>
    <t>ASHP mortgage savings (with service lines)</t>
  </si>
  <si>
    <t>ASHP yearly operating cost savings</t>
  </si>
  <si>
    <t>ASHP total yearly savings</t>
  </si>
  <si>
    <t>ASHP total yearly savings (with service lines)</t>
  </si>
  <si>
    <t>15 year present value @ 4% discount rate</t>
  </si>
  <si>
    <t>Weighted averages</t>
  </si>
  <si>
    <t>New construction projects using fuel + heating system combo in NYSERDA survey</t>
  </si>
  <si>
    <t>survey responses</t>
  </si>
  <si>
    <t>Total fossil fuel survey responses in climate zone</t>
  </si>
  <si>
    <t>Percent of fossil fuel survey responses in climate zone</t>
  </si>
  <si>
    <t>Percent of new construction in climate zone</t>
  </si>
  <si>
    <t>Based on the Census 2019 Building Permits Survey (using 2019 numbers to avoid issues with pandemic housing crunch)</t>
  </si>
  <si>
    <t>Percent of new construction in climate zone using fuel + heating system</t>
  </si>
  <si>
    <t>Savings figures</t>
  </si>
  <si>
    <t>Weighted statewide yearly savings (ccASHP), by device/fuel</t>
  </si>
  <si>
    <t>Weighted zonewide yearly savings (ccASHP)</t>
  </si>
  <si>
    <t>Weighted statewide yearly savings (ccASHP)</t>
  </si>
  <si>
    <t>15 year PV @ 4% discount</t>
  </si>
  <si>
    <t>ASHP / 10k BTU</t>
  </si>
  <si>
    <t>GSHP / 10k BTU</t>
  </si>
  <si>
    <t>HPHW</t>
  </si>
  <si>
    <t>Source notes</t>
  </si>
  <si>
    <t>Central Hudson</t>
  </si>
  <si>
    <t>https://cleanheat.ny.gov/assets/pdf/Program%20Manual%20-%20CHG&amp;E-%20NGrid-%20NYSEG-%20O&amp;R-%20and%20RG&amp;E%2004.01.25.pdf</t>
  </si>
  <si>
    <t>category 2 (p. 13), 3 (p.14), and 5 (p. 14)</t>
  </si>
  <si>
    <t>ConEd O&amp;R</t>
  </si>
  <si>
    <t>National Grid</t>
  </si>
  <si>
    <t>ConEd</t>
  </si>
  <si>
    <t>https://cleanheat.ny.gov/assets/pdf/CECONY%20Clean%20Heat%20Program%20Manual%20June%202%202025.pdf</t>
  </si>
  <si>
    <t xml:space="preserve">ConEd gives $2,500 for entire project, calculate per 10K BTU-equivalent incentive </t>
  </si>
  <si>
    <t>PSEG</t>
  </si>
  <si>
    <r>
      <rPr>
        <color rgb="FF1155CC"/>
        <u/>
      </rPr>
      <t>https://www.psegliny.com/en/saveenergyandmoney/homeefficiency/HomeComfort/HeatPumps/Rebates</t>
    </r>
    <r>
      <rPr/>
      <t xml:space="preserve">, </t>
    </r>
    <r>
      <rPr>
        <color rgb="FF1155CC"/>
        <u/>
      </rPr>
      <t>https://www.psegliny.com/saveenergyandmoney/energystarrebates</t>
    </r>
    <r>
      <rPr/>
      <t xml:space="preserve"> </t>
    </r>
  </si>
  <si>
    <t>ASHP $1000/12K BTU = $833/10K BTU; GSHP $1,500/12KBTU = $1,250</t>
  </si>
  <si>
    <t>NYSEG</t>
  </si>
  <si>
    <t>RG&amp;E</t>
  </si>
  <si>
    <t>Avg. length of new res. service lines (ft)</t>
  </si>
  <si>
    <t>Avg. per foot cost of installation - services ($)</t>
  </si>
  <si>
    <t>Avg. cost of new resi. service line (2021)</t>
  </si>
  <si>
    <t>NFG</t>
  </si>
  <si>
    <t>https://www.documentcloud.org/documents/26185614-nys-utilities-costs-of-extending-service-to-new-customers/#document/p11/a2674171</t>
  </si>
  <si>
    <t>https://www.documentcloud.org/documents/26185614-nys-utilities-costs-of-extending-service-to-new-customers/#document/p13/a2674173</t>
  </si>
  <si>
    <t>NiMo</t>
  </si>
  <si>
    <t>https://www.documentcloud.org/documents/26185614-nys-utilities-costs-of-extending-service-to-new-customers/#document/p10/a2674170</t>
  </si>
  <si>
    <t>O&amp;R</t>
  </si>
  <si>
    <t>https://www.documentcloud.org/documents/26185614-nys-utilities-costs-of-extending-service-to-new-customers/#document/p14/a2674174</t>
  </si>
  <si>
    <t>KEDLI</t>
  </si>
  <si>
    <t>https://www.documentcloud.org/documents/26185614-nys-utilities-costs-of-extending-service-to-new-customers/#document/p9/a2674169</t>
  </si>
  <si>
    <t>https://www.documentcloud.org/documents/26185614-nys-utilities-costs-of-extending-service-to-new-customers/#document/p12/a2674172</t>
  </si>
  <si>
    <t>CenHud</t>
  </si>
  <si>
    <t>https://www.documentcloud.org/documents/26185614-nys-utilities-costs-of-extending-service-to-new-customers/#document/p4/a2674165</t>
  </si>
  <si>
    <t>KEDNY</t>
  </si>
  <si>
    <t>https://www.documentcloud.org/documents/26185614-nys-utilities-costs-of-extending-service-to-new-customers/#document/p8/a2674168</t>
  </si>
  <si>
    <t>https://www.documentcloud.org/documents/26185614-nys-utilities-costs-of-extending-service-to-new-customers/#document/p5/a2674166</t>
  </si>
  <si>
    <t>St. Lawrence</t>
  </si>
  <si>
    <t>https://www.documentcloud.org/documents/26185614-nys-utilities-costs-of-extending-service-to-new-customers/#document/p7/a2674177</t>
  </si>
  <si>
    <t>Corning</t>
  </si>
  <si>
    <t>https://www.documentcloud.org/documents/26185614-nys-utilities-costs-of-extending-service-to-new-customers/#document/p6/a2674176</t>
  </si>
  <si>
    <t>Device</t>
  </si>
  <si>
    <t>Size</t>
  </si>
  <si>
    <t>Specs required</t>
  </si>
  <si>
    <t>Specs actual</t>
  </si>
  <si>
    <t>Link</t>
  </si>
  <si>
    <t>Last updated</t>
  </si>
  <si>
    <t>Prices</t>
  </si>
  <si>
    <t>Average</t>
  </si>
  <si>
    <t>ccASHP (Condenser), Zone 4</t>
  </si>
  <si>
    <t>36K BTU</t>
  </si>
  <si>
    <t>HSPF2 7.8</t>
  </si>
  <si>
    <t>HSPF2 10</t>
  </si>
  <si>
    <t>https://www.appliancesconnection.com/carrier-38mbrbq48aa3.html</t>
  </si>
  <si>
    <t>2025</t>
  </si>
  <si>
    <t>ccASHP (Condenser), Zones 5+6</t>
  </si>
  <si>
    <t>48K BTU</t>
  </si>
  <si>
    <t>HSPF2 8.1, capacity ≥ 70% at 5ºF</t>
  </si>
  <si>
    <t>Furnace</t>
  </si>
  <si>
    <t>40K BTU</t>
  </si>
  <si>
    <t>AFUE 95%</t>
  </si>
  <si>
    <t>https://hvacdirect.com/furnaces/filter/40-000/92,96,97,98.html?product_list_limit=48</t>
  </si>
  <si>
    <t>Heat Pump Water Heater</t>
  </si>
  <si>
    <t>50 gallon</t>
  </si>
  <si>
    <t>UEF &gt; 2.2</t>
  </si>
  <si>
    <t>https://www.homedepot.com/p/Rheem-Performance-Platinum-40-Gal-10-Year-Hybrid-High-Efficiency-Smart-Tank-Electric-Water-Heater-XE40T10H45U0/312742067?irgwc=1&amp;cm_mmc=afl-ir-3198627-456723-&amp;clickid=Wpe1aqSQIxyLWRmUfcT1PR0YUkDVkyzBu01J280</t>
  </si>
  <si>
    <t>UEF &gt; 0.81</t>
  </si>
  <si>
    <t>https://www.homedepot.com/p/Rheem-Performance-50-Gal-Tall-6-Year-38-000-BTU-Natural-Gas-Tank-Water-Heater-XG50T06EC38U1/205811151?irgwc=1&amp;cm_mmc=afl-ir-2084711-456723-&amp;clickid=Wpe1aqSQIxyLWRmUfcT1PR0YUkDVky3pu01J280</t>
  </si>
  <si>
    <t>AC (Condenser)</t>
  </si>
  <si>
    <t>2.5 ton</t>
  </si>
  <si>
    <t>SEER2 15.2</t>
  </si>
  <si>
    <t>https://hvacdirect.com/air-conditioning-systems/air-conditioner-split-systems.html?p=2</t>
  </si>
  <si>
    <t>Monthly Average Retail Price of Electricity - Residential, New York - Statewide</t>
  </si>
  <si>
    <r>
      <rPr>
        <rFont val="Arial"/>
        <b/>
      </rPr>
      <t>Source:</t>
    </r>
    <r>
      <rPr>
        <rFont val="Arial"/>
      </rPr>
      <t xml:space="preserve"> </t>
    </r>
    <r>
      <rPr>
        <rFont val="Arial"/>
        <color rgb="FF1155CC"/>
        <u/>
      </rPr>
      <t>EIA via NYSERDA</t>
    </r>
  </si>
  <si>
    <t>Prices are cents per Kilowatt-hour (¢/kWh).</t>
  </si>
  <si>
    <t>January</t>
  </si>
  <si>
    <t>February</t>
  </si>
  <si>
    <t>March</t>
  </si>
  <si>
    <t>October</t>
  </si>
  <si>
    <t>November</t>
  </si>
  <si>
    <t>December</t>
  </si>
  <si>
    <t>Average 2020-2025</t>
  </si>
  <si>
    <t>Average 2015-2025</t>
  </si>
  <si>
    <t>Average for 2025</t>
  </si>
  <si>
    <t>Average for 2022</t>
  </si>
  <si>
    <t>Monthly Average Price of Natural Gas - Residential, New York - Statewide</t>
  </si>
  <si>
    <r>
      <rPr>
        <rFont val="Arial"/>
        <b/>
      </rPr>
      <t>Source</t>
    </r>
    <r>
      <rPr>
        <rFont val="Arial"/>
      </rPr>
      <t xml:space="preserve">: </t>
    </r>
    <r>
      <rPr>
        <rFont val="Arial"/>
        <color rgb="FF1155CC"/>
        <u/>
      </rPr>
      <t>EIA via NYSERDA</t>
    </r>
  </si>
  <si>
    <t>Prices are dollars per thousand cubic feet ($/MCF).</t>
  </si>
  <si>
    <t>N/A</t>
  </si>
  <si>
    <t>Average since 2020-2025</t>
  </si>
  <si>
    <t>Monthly Average Price of Propane - Residential, New York - Statewide</t>
  </si>
  <si>
    <r>
      <rPr>
        <rFont val="Arial"/>
        <b/>
      </rPr>
      <t>Source</t>
    </r>
    <r>
      <rPr>
        <rFont val="Arial"/>
      </rPr>
      <t xml:space="preserve">: </t>
    </r>
    <r>
      <rPr>
        <rFont val="Arial"/>
        <color rgb="FF1155CC"/>
        <u/>
      </rPr>
      <t>EIA via NYSERDA</t>
    </r>
  </si>
  <si>
    <t>Prices are in cents per gallon.</t>
  </si>
  <si>
    <t>County</t>
  </si>
  <si>
    <t>Population</t>
  </si>
  <si>
    <t>Primary Electrical Utility</t>
  </si>
  <si>
    <t>Primary Gas Utility</t>
  </si>
  <si>
    <t>Zone</t>
  </si>
  <si>
    <t>ccASHP Incentive</t>
  </si>
  <si>
    <t>GSHP Incentive</t>
  </si>
  <si>
    <t>HPHW Incentive</t>
  </si>
  <si>
    <t>Sevice line cost</t>
  </si>
  <si>
    <t>Design Temp (99% ºF)</t>
  </si>
  <si>
    <t>ccASHP net yearly savings for zone</t>
  </si>
  <si>
    <t>GSHP net yearly savings for zone</t>
  </si>
  <si>
    <t># of new single family home construction in 2019</t>
  </si>
  <si>
    <t>Kings County</t>
  </si>
  <si>
    <t>Queens County</t>
  </si>
  <si>
    <t>New York County</t>
  </si>
  <si>
    <t>Suffolk County</t>
  </si>
  <si>
    <t>Bronx County</t>
  </si>
  <si>
    <t>Nassau County</t>
  </si>
  <si>
    <t>Westchester County</t>
  </si>
  <si>
    <t>Erie County</t>
  </si>
  <si>
    <t>Monroe County</t>
  </si>
  <si>
    <t>Richmond County</t>
  </si>
  <si>
    <t>Onondaga County</t>
  </si>
  <si>
    <t>Orange County</t>
  </si>
  <si>
    <t>Rockland County</t>
  </si>
  <si>
    <t>Albany County</t>
  </si>
  <si>
    <t>Dutchess County</t>
  </si>
  <si>
    <t>Saratoga County</t>
  </si>
  <si>
    <t>Oneida County</t>
  </si>
  <si>
    <t>Niagara County</t>
  </si>
  <si>
    <t>Broome County</t>
  </si>
  <si>
    <t>Ulster County</t>
  </si>
  <si>
    <t>Rensselaer County</t>
  </si>
  <si>
    <t>Schenectady County</t>
  </si>
  <si>
    <t>Chautauqua County</t>
  </si>
  <si>
    <t>Oswego County</t>
  </si>
  <si>
    <t>Jefferson County</t>
  </si>
  <si>
    <t>Ontario County</t>
  </si>
  <si>
    <t>St. Lawrence County</t>
  </si>
  <si>
    <t>Tompkins County</t>
  </si>
  <si>
    <t>Putnam County</t>
  </si>
  <si>
    <t>Steuben County</t>
  </si>
  <si>
    <t>Wayne County</t>
  </si>
  <si>
    <t>Chemung County</t>
  </si>
  <si>
    <t>Sullivan County</t>
  </si>
  <si>
    <t>Clinton County</t>
  </si>
  <si>
    <t>Cattaraugus County</t>
  </si>
  <si>
    <t>Cayuga County</t>
  </si>
  <si>
    <t>Madison County</t>
  </si>
  <si>
    <t>Warren County</t>
  </si>
  <si>
    <t>Columbia County</t>
  </si>
  <si>
    <t>Livingston County</t>
  </si>
  <si>
    <t>Washington County</t>
  </si>
  <si>
    <t>Herkimer County</t>
  </si>
  <si>
    <t>Otsego County</t>
  </si>
  <si>
    <t>Genesee County</t>
  </si>
  <si>
    <t>Fulton County</t>
  </si>
  <si>
    <t>Montgomery County</t>
  </si>
  <si>
    <t>Greene County</t>
  </si>
  <si>
    <t>Tioga County</t>
  </si>
  <si>
    <t>Franklin County</t>
  </si>
  <si>
    <t>Chenango County</t>
  </si>
  <si>
    <t>Cortland County</t>
  </si>
  <si>
    <t>Allegany County</t>
  </si>
  <si>
    <t>Delaware County</t>
  </si>
  <si>
    <t>Wyoming County</t>
  </si>
  <si>
    <t>Orleans County</t>
  </si>
  <si>
    <t>Essex County</t>
  </si>
  <si>
    <t>-</t>
  </si>
  <si>
    <t>Seneca County</t>
  </si>
  <si>
    <t>Schoharie County</t>
  </si>
  <si>
    <t>Lewis County</t>
  </si>
  <si>
    <t>Yates County</t>
  </si>
  <si>
    <t>Schuyler County</t>
  </si>
  <si>
    <t>Hamilton County</t>
  </si>
  <si>
    <t>99% Heating Temperature (ºF)</t>
  </si>
  <si>
    <t>Imputed 1-unit new construction</t>
  </si>
  <si>
    <t>Percent of new construction</t>
  </si>
  <si>
    <t>County Name</t>
  </si>
  <si>
    <t>Full County Name</t>
  </si>
  <si>
    <t>Main NYISO Zone</t>
  </si>
  <si>
    <t>CLCPA PATHWAYS Regions</t>
  </si>
  <si>
    <t>NYSERDA Climate Zones</t>
  </si>
  <si>
    <t>Albany</t>
  </si>
  <si>
    <t>F</t>
  </si>
  <si>
    <t>Upstate NY F</t>
  </si>
  <si>
    <t>Allegany</t>
  </si>
  <si>
    <t>B</t>
  </si>
  <si>
    <t>Upstate NY A-E</t>
  </si>
  <si>
    <t>Bronx</t>
  </si>
  <si>
    <t>J</t>
  </si>
  <si>
    <t>Downstate NY - New York City</t>
  </si>
  <si>
    <t>Broome</t>
  </si>
  <si>
    <t>C</t>
  </si>
  <si>
    <t>Cattaraugus</t>
  </si>
  <si>
    <t>A</t>
  </si>
  <si>
    <t>Cayuga</t>
  </si>
  <si>
    <t>Chautauqua</t>
  </si>
  <si>
    <t>Chemung</t>
  </si>
  <si>
    <t>Chenango</t>
  </si>
  <si>
    <t>E</t>
  </si>
  <si>
    <t>Clinton</t>
  </si>
  <si>
    <t>D</t>
  </si>
  <si>
    <t>Columbia</t>
  </si>
  <si>
    <t>Cortland</t>
  </si>
  <si>
    <t>Delaware</t>
  </si>
  <si>
    <t>Dutchess</t>
  </si>
  <si>
    <t>G</t>
  </si>
  <si>
    <t>Downstate NY - Lower Hudson Valley</t>
  </si>
  <si>
    <t>Erie</t>
  </si>
  <si>
    <t>Essex</t>
  </si>
  <si>
    <t>Franklin</t>
  </si>
  <si>
    <t>Fulton</t>
  </si>
  <si>
    <t>Genesee</t>
  </si>
  <si>
    <t>Greene</t>
  </si>
  <si>
    <t>Hamilton</t>
  </si>
  <si>
    <t>Herkimer</t>
  </si>
  <si>
    <t>Jefferson</t>
  </si>
  <si>
    <t>Kings</t>
  </si>
  <si>
    <t>Lewis</t>
  </si>
  <si>
    <t>Livingston</t>
  </si>
  <si>
    <t>Madison</t>
  </si>
  <si>
    <t>Monroe</t>
  </si>
  <si>
    <t>Montgomery</t>
  </si>
  <si>
    <t>Nassau</t>
  </si>
  <si>
    <t>K</t>
  </si>
  <si>
    <t>Downstate NY - Long Island</t>
  </si>
  <si>
    <t>New York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</si>
  <si>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</si>
  <si>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</si>
  <si>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</si>
  <si>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</si>
  <si>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</si>
  <si>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</si>
  <si>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</si>
  <si>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</si>
  <si>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Putnam</t>
  </si>
  <si>
    <t>Queens</t>
  </si>
  <si>
    <t>Rensselaer</t>
  </si>
  <si>
    <t>Richmond</t>
  </si>
  <si>
    <t>Rockland</t>
  </si>
  <si>
    <t>Saratoga</t>
  </si>
  <si>
    <t>Schenectady</t>
  </si>
  <si>
    <t>Schoharie</t>
  </si>
  <si>
    <t>Schuyler</t>
  </si>
  <si>
    <t>Seneca</t>
  </si>
  <si>
    <t>Steuben</t>
  </si>
  <si>
    <t>Suffolk</t>
  </si>
  <si>
    <t>Sullivan</t>
  </si>
  <si>
    <t>Tioga</t>
  </si>
  <si>
    <t>Tompkins</t>
  </si>
  <si>
    <t>Ulster</t>
  </si>
  <si>
    <t>Warren</t>
  </si>
  <si>
    <t>Washington</t>
  </si>
  <si>
    <t>Wayne</t>
  </si>
  <si>
    <t>Westchester</t>
  </si>
  <si>
    <t>I</t>
  </si>
  <si>
    <t>Wyoming</t>
  </si>
  <si>
    <t>Yates</t>
  </si>
  <si>
    <t>Primary Heating System Type</t>
  </si>
  <si>
    <t>Climate Zone</t>
  </si>
  <si>
    <t>Primary Fuel Type</t>
  </si>
  <si>
    <t>Furnace, ducts</t>
  </si>
  <si>
    <t>Boiler, radiator</t>
  </si>
  <si>
    <t>Air source heat pump</t>
  </si>
  <si>
    <t>Ground source heat pump</t>
  </si>
  <si>
    <t>Baseboard heat</t>
  </si>
  <si>
    <t>Fireplace + Stove</t>
  </si>
  <si>
    <t>Unknown</t>
  </si>
  <si>
    <t>Grand Total</t>
  </si>
  <si>
    <t>Don’t know</t>
  </si>
  <si>
    <t>Electricity</t>
  </si>
  <si>
    <t>Fuel oil</t>
  </si>
  <si>
    <t>Natural gas from underground pipes</t>
  </si>
  <si>
    <t>Propane (bottled gas)</t>
  </si>
  <si>
    <t>Solar</t>
  </si>
  <si>
    <t>Wood</t>
  </si>
  <si>
    <t>Wood pellets</t>
  </si>
  <si>
    <t>Other (specify)</t>
  </si>
  <si>
    <t>Zone 4 Counts</t>
  </si>
  <si>
    <t>Zone 4 Percent</t>
  </si>
  <si>
    <t>Zone 5 Counts</t>
  </si>
  <si>
    <t>Zone 5 Percent</t>
  </si>
  <si>
    <t>Zone 6 Counts</t>
  </si>
  <si>
    <t>Zone 6 Percent</t>
  </si>
  <si>
    <t>Furnace + Gas</t>
  </si>
  <si>
    <t>Furnace + Propane or Oil</t>
  </si>
  <si>
    <t>Boiler + Gas</t>
  </si>
  <si>
    <t>Boiler + Propane or Oil</t>
  </si>
  <si>
    <t>Electric resistance</t>
  </si>
  <si>
    <t>Biomass</t>
  </si>
  <si>
    <t>Other</t>
  </si>
  <si>
    <t>TOTAL</t>
  </si>
  <si>
    <t>TOTAL: Fossil Fuel Furnace + Boilers</t>
  </si>
  <si>
    <t>Heat Pump vs Propane Model</t>
  </si>
  <si>
    <t>Win Climate 2022</t>
  </si>
  <si>
    <t>Citations</t>
  </si>
  <si>
    <t xml:space="preserve"> </t>
  </si>
  <si>
    <t>Values</t>
  </si>
  <si>
    <t>Unit</t>
  </si>
  <si>
    <t>Average sq. ft.</t>
  </si>
  <si>
    <t>Northeast median size for 2021</t>
  </si>
  <si>
    <t>Heating BTU / sq ft @ zone 5</t>
  </si>
  <si>
    <t>https://learnmetrics.com/heating-btu-calculator/</t>
  </si>
  <si>
    <t>btu/ft^2</t>
  </si>
  <si>
    <t>Total Heating BTU</t>
  </si>
  <si>
    <t>btu</t>
  </si>
  <si>
    <t>Cooling BTU / sq ft @ zone 5</t>
  </si>
  <si>
    <t>https://learnmetrics.com/how-many-btu-air-conditioner-do-i-need-air-conditioner/</t>
  </si>
  <si>
    <t>Total cooling BTU</t>
  </si>
  <si>
    <t>Central Air - Propane Furnace</t>
  </si>
  <si>
    <t>https://www.nahb.org/blog/2021/09/which-heating-and-cooling-systems-are-most-common-for-new-homes/#:~:text=Based%20on%20information%20from%20the,rise%20from%2085.5%25%20in%202000.</t>
  </si>
  <si>
    <t>New construction installation cost</t>
  </si>
  <si>
    <t>https://5estimates.com/central-ac-replacement-cost-in-new-york-ny/#:~:text=1%2C000%20square%20feet%20can%20range,averages%20between%20%246%2C000%20and%20%2410%2C000</t>
  </si>
  <si>
    <t>If average new house in NYS is 1750 square feet, then this cost is much lower</t>
  </si>
  <si>
    <t>Installation cost</t>
  </si>
  <si>
    <t>Disregard because it's a marginal cost</t>
  </si>
  <si>
    <t>https://www.eia.gov/analysis/studies/buildings/equipcosts/pdf/full.pdf</t>
  </si>
  <si>
    <t>Gallons</t>
  </si>
  <si>
    <t>$ / gallon</t>
  </si>
  <si>
    <t>{Use highest price of 2022}</t>
  </si>
  <si>
    <t>AC Unit (assuming ducts)</t>
  </si>
  <si>
    <t>Water Heater - Propane</t>
  </si>
  <si>
    <t>jpvelez@gmail.com</t>
  </si>
  <si>
    <t>New construction unit cost (per Avg sq. ft. or Heating BTU)</t>
  </si>
  <si>
    <t>Should include water heater</t>
  </si>
  <si>
    <t>Water tank</t>
  </si>
  <si>
    <t>Yearly fuel gallons needed</t>
  </si>
  <si>
    <t>https://propanedeal.com/states/propane-new-york-ny</t>
  </si>
  <si>
    <t>{Look at Census or HUD}</t>
  </si>
  <si>
    <t>https://www.nyserda.ny.gov/researchers-and-policymakers/energy-prices/propane/monthly-average-propane-prices</t>
  </si>
  <si>
    <t>Central Air - Heat pump</t>
  </si>
  <si>
    <t>https://www.homeblue.com/heat-pump/new-york-ny-heat-pump-cost.htm</t>
  </si>
  <si>
    <t>I'm seeing costs way less...</t>
  </si>
  <si>
    <t>IRA tax credit</t>
  </si>
  <si>
    <t>State rebate</t>
  </si>
  <si>
    <t>Water Heater - Heat pump</t>
  </si>
  <si>
    <t>Savings</t>
  </si>
  <si>
    <t>Increase in construction costs</t>
  </si>
  <si>
    <t>Water heart + Central Air + AC vs. Heat Pumpt + Heat Pump hot water heater</t>
  </si>
  <si>
    <t>Yearly mortgage increase</t>
  </si>
  <si>
    <t>Yearly savings</t>
  </si>
  <si>
    <t>Total yearly impact</t>
  </si>
  <si>
    <t>30 year savings</t>
  </si>
  <si>
    <t>Propane - boiler</t>
  </si>
  <si>
    <t>Natural gas - boiler</t>
  </si>
  <si>
    <t>Central air - Natural Gas Furnace</t>
  </si>
  <si>
    <r>
      <rPr/>
      <t xml:space="preserve">page 14 </t>
    </r>
    <r>
      <rPr>
        <color rgb="FF1155CC"/>
        <u/>
      </rPr>
      <t>https://www.eia.gov/analysis/studies/buildings/equipcosts/pdf/full.pdf</t>
    </r>
  </si>
  <si>
    <t>https://ycharts.com/indicators/us_residential_propane_price</t>
  </si>
  <si>
    <t>Yearly kBTU needed</t>
  </si>
  <si>
    <r>
      <rPr/>
      <t xml:space="preserve">page 30 </t>
    </r>
    <r>
      <rPr>
        <color rgb="FF1155CC"/>
        <u/>
      </rPr>
      <t>https://www.eia.gov/analysis/studies/buildings/equipcosts/pdf/full.pdf</t>
    </r>
  </si>
  <si>
    <t>Water Heater - Natural Gas</t>
  </si>
  <si>
    <t>IRA tax credit*</t>
  </si>
  <si>
    <t>See if this applies to new contruction</t>
  </si>
  <si>
    <t>Water Heater - heat pump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</si>
</sst>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0"/>
    <numFmt numFmtId="165" formatCode="&quot;$&quot;#,##0.00"/>
    <numFmt numFmtId="166" formatCode="#,##0.0"/>
    <numFmt numFmtId="167" formatCode="&quot;$&quot;#,##0"/>
  </numFmts>
  <fonts count="46">
    <font>
      <sz val="10.0"/>
      <color rgb="FF000000"/>
      <name val="Arial"/>
      <scheme val="minor"/>
    </font>
    <font>
      <b/>
      <sz val="14.0"/>
      <color rgb="FF4285F4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rgb="FF34A853"/>
      <name val="Arial"/>
    </font>
    <font>
      <color theme="1"/>
      <name val="Arial"/>
    </font>
    <font>
      <color theme="7"/>
      <name val="Arial"/>
      <scheme val="minor"/>
    </font>
    <font>
      <color rgb="FF000000"/>
      <name val="Roboto"/>
    </font>
    <font>
      <color rgb="FF4285F4"/>
      <name val="Arial"/>
      <scheme val="minor"/>
    </font>
    <font>
      <u/>
      <color rgb="FF000000"/>
      <name val="Roboto"/>
    </font>
    <font>
      <color theme="4"/>
      <name val="Arial"/>
      <scheme val="minor"/>
    </font>
    <font>
      <u/>
      <color rgb="FF0000FF"/>
    </font>
    <font>
      <u/>
      <color rgb="FF0000FF"/>
    </font>
    <font>
      <sz val="11.0"/>
      <color rgb="FF000000"/>
      <name val="Inconsolata"/>
    </font>
    <font>
      <u/>
      <color rgb="FF0000FF"/>
    </font>
    <font>
      <color rgb="FF34A853"/>
      <name val="Arial"/>
      <scheme val="minor"/>
    </font>
    <font>
      <u/>
      <color rgb="FF0000FF"/>
    </font>
    <font>
      <color rgb="FF4285F4"/>
      <name val="Roboto"/>
    </font>
    <font>
      <u/>
      <color rgb="FF1155CC"/>
      <name val="Arial"/>
    </font>
    <font>
      <color theme="4"/>
      <name val="Arial"/>
    </font>
    <font>
      <u/>
      <color rgb="FF0000FF"/>
    </font>
    <font>
      <b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</font>
    <font>
      <color rgb="FF000000"/>
    </font>
    <font>
      <u/>
      <color rgb="FF0000FF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i/>
      <color theme="1"/>
      <name val="Arial"/>
    </font>
    <font>
      <u/>
      <color rgb="FF0000FF"/>
      <name val="Arial"/>
    </font>
    <font>
      <b/>
      <color rgb="FF4285F4"/>
      <name val="Arial"/>
      <scheme val="minor"/>
    </font>
    <font>
      <b/>
      <color theme="4"/>
      <name val="Arial"/>
      <scheme val="minor"/>
    </font>
    <font>
      <u/>
      <color rgb="FF000000"/>
      <name val="Roboto"/>
    </font>
    <font>
      <u/>
      <color rgb="FF0000FF"/>
    </font>
    <font>
      <u/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5">
    <border/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1" fillId="0" fontId="4" numFmtId="0" xfId="0" applyBorder="1" applyFont="1"/>
    <xf borderId="0" fillId="0" fontId="3" numFmtId="0" xfId="0" applyAlignment="1" applyFont="1">
      <alignment readingOrder="0" shrinkToFit="0" wrapText="0"/>
    </xf>
    <xf borderId="1" fillId="0" fontId="3" numFmtId="0" xfId="0" applyAlignment="1" applyBorder="1" applyFont="1">
      <alignment horizontal="center" readingOrder="0"/>
    </xf>
    <xf borderId="0" fillId="2" fontId="5" numFmtId="0" xfId="0" applyAlignment="1" applyFill="1" applyFont="1">
      <alignment readingOrder="0"/>
    </xf>
    <xf borderId="0" fillId="2" fontId="3" numFmtId="0" xfId="0" applyAlignment="1" applyFont="1">
      <alignment shrinkToFit="0" wrapText="0"/>
    </xf>
    <xf borderId="0" fillId="2" fontId="3" numFmtId="0" xfId="0" applyAlignment="1" applyFont="1">
      <alignment shrinkToFit="0" wrapText="1"/>
    </xf>
    <xf borderId="0" fillId="2" fontId="3" numFmtId="0" xfId="0" applyFont="1"/>
    <xf borderId="1" fillId="2" fontId="3" numFmtId="0" xfId="0" applyBorder="1" applyFont="1"/>
    <xf borderId="2" fillId="2" fontId="3" numFmtId="0" xfId="0" applyBorder="1" applyFont="1"/>
    <xf borderId="0" fillId="2" fontId="3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6" numFmtId="164" xfId="0" applyAlignment="1" applyFont="1" applyNumberFormat="1">
      <alignment horizontal="right" vertical="bottom"/>
    </xf>
    <xf borderId="1" fillId="0" fontId="6" numFmtId="164" xfId="0" applyAlignment="1" applyBorder="1" applyFont="1" applyNumberFormat="1">
      <alignment horizontal="right" vertical="bottom"/>
    </xf>
    <xf borderId="2" fillId="0" fontId="6" numFmtId="164" xfId="0" applyAlignment="1" applyBorder="1" applyFont="1" applyNumberFormat="1">
      <alignment horizontal="right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0"/>
    </xf>
    <xf borderId="0" fillId="0" fontId="8" numFmtId="165" xfId="0" applyAlignment="1" applyFont="1" applyNumberFormat="1">
      <alignment readingOrder="0"/>
    </xf>
    <xf borderId="1" fillId="0" fontId="8" numFmtId="165" xfId="0" applyAlignment="1" applyBorder="1" applyFont="1" applyNumberFormat="1">
      <alignment readingOrder="0"/>
    </xf>
    <xf borderId="2" fillId="0" fontId="8" numFmtId="165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shrinkToFit="0" wrapText="1"/>
    </xf>
    <xf borderId="1" fillId="0" fontId="3" numFmtId="0" xfId="0" applyBorder="1" applyFont="1"/>
    <xf borderId="2" fillId="0" fontId="3" numFmtId="0" xfId="0" applyBorder="1" applyFont="1"/>
    <xf borderId="0" fillId="0" fontId="3" numFmtId="0" xfId="0" applyAlignment="1" applyFont="1">
      <alignment shrinkToFit="0" wrapText="0"/>
    </xf>
    <xf borderId="0" fillId="0" fontId="3" numFmtId="3" xfId="0" applyAlignment="1" applyFont="1" applyNumberFormat="1">
      <alignment horizontal="right" readingOrder="0"/>
    </xf>
    <xf borderId="1" fillId="0" fontId="3" numFmtId="3" xfId="0" applyAlignment="1" applyBorder="1" applyFont="1" applyNumberFormat="1">
      <alignment horizontal="right" readingOrder="0"/>
    </xf>
    <xf borderId="2" fillId="0" fontId="3" numFmtId="3" xfId="0" applyAlignment="1" applyBorder="1" applyFont="1" applyNumberFormat="1">
      <alignment horizontal="right" readingOrder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10" numFmtId="3" xfId="0" applyAlignment="1" applyFont="1" applyNumberFormat="1">
      <alignment horizontal="right" readingOrder="0"/>
    </xf>
    <xf borderId="1" fillId="0" fontId="10" numFmtId="3" xfId="0" applyAlignment="1" applyBorder="1" applyFont="1" applyNumberFormat="1">
      <alignment horizontal="right" readingOrder="0"/>
    </xf>
    <xf borderId="2" fillId="0" fontId="10" numFmtId="3" xfId="0" applyAlignment="1" applyBorder="1" applyFont="1" applyNumberFormat="1">
      <alignment horizontal="right" readingOrder="0"/>
    </xf>
    <xf borderId="0" fillId="0" fontId="11" numFmtId="0" xfId="0" applyAlignment="1" applyFont="1">
      <alignment readingOrder="0" shrinkToFit="0" wrapText="0"/>
    </xf>
    <xf borderId="0" fillId="0" fontId="10" numFmtId="3" xfId="0" applyAlignment="1" applyFont="1" applyNumberFormat="1">
      <alignment readingOrder="0"/>
    </xf>
    <xf borderId="0" fillId="0" fontId="12" numFmtId="3" xfId="0" applyAlignment="1" applyFont="1" applyNumberFormat="1">
      <alignment readingOrder="0"/>
    </xf>
    <xf borderId="1" fillId="0" fontId="12" numFmtId="3" xfId="0" applyAlignment="1" applyBorder="1" applyFont="1" applyNumberFormat="1">
      <alignment readingOrder="0"/>
    </xf>
    <xf borderId="2" fillId="0" fontId="12" numFmtId="3" xfId="0" applyAlignment="1" applyBorder="1" applyFont="1" applyNumberFormat="1">
      <alignment readingOrder="0"/>
    </xf>
    <xf borderId="0" fillId="0" fontId="3" numFmtId="3" xfId="0" applyAlignment="1" applyFont="1" applyNumberFormat="1">
      <alignment readingOrder="0"/>
    </xf>
    <xf borderId="1" fillId="0" fontId="3" numFmtId="3" xfId="0" applyAlignment="1" applyBorder="1" applyFont="1" applyNumberFormat="1">
      <alignment readingOrder="0"/>
    </xf>
    <xf borderId="0" fillId="0" fontId="7" numFmtId="0" xfId="0" applyAlignment="1" applyFont="1">
      <alignment vertical="bottom"/>
    </xf>
    <xf borderId="0" fillId="0" fontId="13" numFmtId="0" xfId="0" applyAlignment="1" applyFont="1">
      <alignment readingOrder="0" shrinkToFit="0" wrapText="0"/>
    </xf>
    <xf borderId="2" fillId="0" fontId="3" numFmtId="3" xfId="0" applyAlignment="1" applyBorder="1" applyFont="1" applyNumberFormat="1">
      <alignment readingOrder="0"/>
    </xf>
    <xf borderId="0" fillId="0" fontId="12" numFmtId="9" xfId="0" applyAlignment="1" applyFont="1" applyNumberFormat="1">
      <alignment readingOrder="0"/>
    </xf>
    <xf borderId="1" fillId="0" fontId="12" numFmtId="9" xfId="0" applyAlignment="1" applyBorder="1" applyFont="1" applyNumberFormat="1">
      <alignment readingOrder="0"/>
    </xf>
    <xf borderId="1" fillId="0" fontId="10" numFmtId="3" xfId="0" applyAlignment="1" applyBorder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0" numFmtId="166" xfId="0" applyAlignment="1" applyFont="1" applyNumberFormat="1">
      <alignment readingOrder="0"/>
    </xf>
    <xf borderId="1" fillId="0" fontId="10" numFmtId="166" xfId="0" applyAlignment="1" applyBorder="1" applyFont="1" applyNumberFormat="1">
      <alignment readingOrder="0"/>
    </xf>
    <xf borderId="0" fillId="0" fontId="10" numFmtId="4" xfId="0" applyAlignment="1" applyFont="1" applyNumberFormat="1">
      <alignment readingOrder="0"/>
    </xf>
    <xf borderId="1" fillId="0" fontId="10" numFmtId="4" xfId="0" applyAlignment="1" applyBorder="1" applyFont="1" applyNumberFormat="1">
      <alignment readingOrder="0"/>
    </xf>
    <xf borderId="0" fillId="0" fontId="15" numFmtId="0" xfId="0" applyAlignment="1" applyFont="1">
      <alignment readingOrder="0"/>
    </xf>
    <xf borderId="0" fillId="0" fontId="12" numFmtId="3" xfId="0" applyFont="1" applyNumberFormat="1"/>
    <xf borderId="2" fillId="0" fontId="12" numFmtId="3" xfId="0" applyBorder="1" applyFont="1" applyNumberFormat="1"/>
    <xf borderId="0" fillId="0" fontId="3" numFmtId="0" xfId="0" applyFont="1"/>
    <xf borderId="0" fillId="0" fontId="16" numFmtId="0" xfId="0" applyFont="1"/>
    <xf borderId="0" fillId="0" fontId="17" numFmtId="3" xfId="0" applyAlignment="1" applyFont="1" applyNumberFormat="1">
      <alignment readingOrder="0"/>
    </xf>
    <xf borderId="1" fillId="0" fontId="17" numFmtId="3" xfId="0" applyAlignment="1" applyBorder="1" applyFont="1" applyNumberFormat="1">
      <alignment readingOrder="0"/>
    </xf>
    <xf borderId="0" fillId="0" fontId="18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3" xfId="0" applyFont="1" applyNumberFormat="1"/>
    <xf borderId="1" fillId="0" fontId="3" numFmtId="3" xfId="0" applyBorder="1" applyFont="1" applyNumberFormat="1"/>
    <xf borderId="0" fillId="0" fontId="10" numFmtId="9" xfId="0" applyAlignment="1" applyFont="1" applyNumberFormat="1">
      <alignment readingOrder="0"/>
    </xf>
    <xf borderId="1" fillId="0" fontId="10" numFmtId="9" xfId="0" applyAlignment="1" applyBorder="1" applyFont="1" applyNumberFormat="1">
      <alignment readingOrder="0"/>
    </xf>
    <xf borderId="0" fillId="2" fontId="5" numFmtId="0" xfId="0" applyAlignment="1" applyFont="1">
      <alignment readingOrder="0" shrinkToFit="0" wrapText="0"/>
    </xf>
    <xf borderId="0" fillId="2" fontId="3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6" numFmtId="167" xfId="0" applyAlignment="1" applyFont="1" applyNumberFormat="1">
      <alignment horizontal="right" vertical="bottom"/>
    </xf>
    <xf borderId="1" fillId="0" fontId="6" numFmtId="167" xfId="0" applyAlignment="1" applyBorder="1" applyFont="1" applyNumberFormat="1">
      <alignment horizontal="right" vertical="bottom"/>
    </xf>
    <xf borderId="0" fillId="0" fontId="17" numFmtId="167" xfId="0" applyAlignment="1" applyFont="1" applyNumberFormat="1">
      <alignment readingOrder="0"/>
    </xf>
    <xf borderId="1" fillId="0" fontId="17" numFmtId="167" xfId="0" applyAlignment="1" applyBorder="1" applyFont="1" applyNumberFormat="1">
      <alignment readingOrder="0"/>
    </xf>
    <xf borderId="2" fillId="0" fontId="6" numFmtId="167" xfId="0" applyAlignment="1" applyBorder="1" applyFont="1" applyNumberFormat="1">
      <alignment horizontal="right" vertical="bottom"/>
    </xf>
    <xf borderId="0" fillId="0" fontId="12" numFmtId="167" xfId="0" applyAlignment="1" applyFont="1" applyNumberFormat="1">
      <alignment readingOrder="0"/>
    </xf>
    <xf borderId="1" fillId="0" fontId="12" numFmtId="167" xfId="0" applyAlignment="1" applyBorder="1" applyFont="1" applyNumberFormat="1">
      <alignment readingOrder="0"/>
    </xf>
    <xf borderId="2" fillId="0" fontId="10" numFmtId="167" xfId="0" applyAlignment="1" applyBorder="1" applyFont="1" applyNumberFormat="1">
      <alignment readingOrder="0"/>
    </xf>
    <xf borderId="0" fillId="0" fontId="10" numFmtId="167" xfId="0" applyAlignment="1" applyFont="1" applyNumberFormat="1">
      <alignment readingOrder="0"/>
    </xf>
    <xf borderId="1" fillId="0" fontId="10" numFmtId="167" xfId="0" applyAlignment="1" applyBorder="1" applyFont="1" applyNumberFormat="1">
      <alignment readingOrder="0"/>
    </xf>
    <xf borderId="0" fillId="0" fontId="3" numFmtId="167" xfId="0" applyAlignment="1" applyFont="1" applyNumberFormat="1">
      <alignment readingOrder="0"/>
    </xf>
    <xf borderId="1" fillId="0" fontId="3" numFmtId="167" xfId="0" applyAlignment="1" applyBorder="1" applyFont="1" applyNumberFormat="1">
      <alignment readingOrder="0"/>
    </xf>
    <xf borderId="2" fillId="0" fontId="3" numFmtId="167" xfId="0" applyAlignment="1" applyBorder="1" applyFont="1" applyNumberFormat="1">
      <alignment readingOrder="0"/>
    </xf>
    <xf borderId="2" fillId="0" fontId="19" numFmtId="3" xfId="0" applyAlignment="1" applyBorder="1" applyFont="1" applyNumberFormat="1">
      <alignment readingOrder="0"/>
    </xf>
    <xf borderId="0" fillId="0" fontId="19" numFmtId="3" xfId="0" applyAlignment="1" applyFont="1" applyNumberFormat="1">
      <alignment readingOrder="0"/>
    </xf>
    <xf borderId="1" fillId="0" fontId="19" numFmtId="3" xfId="0" applyAlignment="1" applyBorder="1" applyFont="1" applyNumberFormat="1">
      <alignment readingOrder="0"/>
    </xf>
    <xf borderId="0" fillId="0" fontId="3" numFmtId="4" xfId="0" applyAlignment="1" applyFont="1" applyNumberFormat="1">
      <alignment readingOrder="0"/>
    </xf>
    <xf borderId="1" fillId="0" fontId="3" numFmtId="4" xfId="0" applyAlignment="1" applyBorder="1" applyFont="1" applyNumberFormat="1">
      <alignment readingOrder="0"/>
    </xf>
    <xf borderId="2" fillId="0" fontId="3" numFmtId="4" xfId="0" applyAlignment="1" applyBorder="1" applyFont="1" applyNumberFormat="1">
      <alignment readingOrder="0"/>
    </xf>
    <xf borderId="0" fillId="0" fontId="3" numFmtId="165" xfId="0" applyAlignment="1" applyFont="1" applyNumberFormat="1">
      <alignment readingOrder="0"/>
    </xf>
    <xf borderId="1" fillId="0" fontId="3" numFmtId="165" xfId="0" applyAlignment="1" applyBorder="1" applyFont="1" applyNumberFormat="1">
      <alignment readingOrder="0"/>
    </xf>
    <xf borderId="2" fillId="0" fontId="3" numFmtId="165" xfId="0" applyAlignment="1" applyBorder="1" applyFont="1" applyNumberFormat="1">
      <alignment readingOrder="0"/>
    </xf>
    <xf borderId="0" fillId="0" fontId="7" numFmtId="0" xfId="0" applyAlignment="1" applyFont="1">
      <alignment vertical="bottom"/>
    </xf>
    <xf borderId="0" fillId="0" fontId="3" numFmtId="165" xfId="0" applyAlignment="1" applyFont="1" applyNumberFormat="1">
      <alignment readingOrder="0"/>
    </xf>
    <xf borderId="1" fillId="0" fontId="3" numFmtId="165" xfId="0" applyAlignment="1" applyBorder="1" applyFont="1" applyNumberFormat="1">
      <alignment readingOrder="0"/>
    </xf>
    <xf borderId="2" fillId="0" fontId="3" numFmtId="165" xfId="0" applyAlignment="1" applyBorder="1" applyFont="1" applyNumberFormat="1">
      <alignment readingOrder="0"/>
    </xf>
    <xf borderId="0" fillId="0" fontId="10" numFmtId="165" xfId="0" applyAlignment="1" applyFont="1" applyNumberFormat="1">
      <alignment readingOrder="0"/>
    </xf>
    <xf borderId="1" fillId="0" fontId="10" numFmtId="165" xfId="0" applyAlignment="1" applyBorder="1" applyFont="1" applyNumberFormat="1">
      <alignment readingOrder="0"/>
    </xf>
    <xf borderId="0" fillId="0" fontId="3" numFmtId="165" xfId="0" applyFont="1" applyNumberFormat="1"/>
    <xf borderId="1" fillId="0" fontId="3" numFmtId="165" xfId="0" applyBorder="1" applyFont="1" applyNumberFormat="1"/>
    <xf borderId="2" fillId="0" fontId="3" numFmtId="165" xfId="0" applyBorder="1" applyFont="1" applyNumberFormat="1"/>
    <xf borderId="0" fillId="0" fontId="8" numFmtId="167" xfId="0" applyAlignment="1" applyFont="1" applyNumberFormat="1">
      <alignment readingOrder="0"/>
    </xf>
    <xf borderId="1" fillId="0" fontId="8" numFmtId="167" xfId="0" applyAlignment="1" applyBorder="1" applyFont="1" applyNumberFormat="1">
      <alignment readingOrder="0"/>
    </xf>
    <xf borderId="2" fillId="0" fontId="8" numFmtId="167" xfId="0" applyAlignment="1" applyBorder="1" applyFont="1" applyNumberFormat="1">
      <alignment readingOrder="0"/>
    </xf>
    <xf borderId="0" fillId="0" fontId="7" numFmtId="165" xfId="0" applyAlignment="1" applyFont="1" applyNumberFormat="1">
      <alignment horizontal="right" vertical="bottom"/>
    </xf>
    <xf borderId="1" fillId="0" fontId="7" numFmtId="165" xfId="0" applyAlignment="1" applyBorder="1" applyFont="1" applyNumberFormat="1">
      <alignment horizontal="right" vertical="bottom"/>
    </xf>
    <xf borderId="2" fillId="0" fontId="7" numFmtId="165" xfId="0" applyAlignment="1" applyBorder="1" applyFont="1" applyNumberFormat="1">
      <alignment horizontal="right" vertical="bottom"/>
    </xf>
    <xf borderId="0" fillId="0" fontId="12" numFmtId="4" xfId="0" applyAlignment="1" applyFont="1" applyNumberFormat="1">
      <alignment readingOrder="0"/>
    </xf>
    <xf borderId="1" fillId="0" fontId="12" numFmtId="4" xfId="0" applyAlignment="1" applyBorder="1" applyFont="1" applyNumberFormat="1">
      <alignment readingOrder="0"/>
    </xf>
    <xf borderId="2" fillId="0" fontId="12" numFmtId="4" xfId="0" applyAlignment="1" applyBorder="1" applyFont="1" applyNumberFormat="1">
      <alignment readingOrder="0"/>
    </xf>
    <xf borderId="0" fillId="0" fontId="12" numFmtId="0" xfId="0" applyAlignment="1" applyFont="1">
      <alignment readingOrder="0" shrinkToFit="0" wrapText="0"/>
    </xf>
    <xf borderId="1" fillId="0" fontId="12" numFmtId="0" xfId="0" applyAlignment="1" applyBorder="1" applyFont="1">
      <alignment readingOrder="0" shrinkToFit="0" wrapText="0"/>
    </xf>
    <xf borderId="2" fillId="0" fontId="12" numFmtId="0" xfId="0" applyAlignment="1" applyBorder="1" applyFont="1">
      <alignment readingOrder="0" shrinkToFit="0" wrapText="0"/>
    </xf>
    <xf borderId="0" fillId="0" fontId="6" numFmtId="165" xfId="0" applyAlignment="1" applyFont="1" applyNumberFormat="1">
      <alignment horizontal="right" vertical="bottom"/>
    </xf>
    <xf borderId="1" fillId="0" fontId="6" numFmtId="165" xfId="0" applyAlignment="1" applyBorder="1" applyFont="1" applyNumberFormat="1">
      <alignment horizontal="right" vertical="bottom"/>
    </xf>
    <xf borderId="2" fillId="0" fontId="17" numFmtId="165" xfId="0" applyAlignment="1" applyBorder="1" applyFont="1" applyNumberFormat="1">
      <alignment readingOrder="0"/>
    </xf>
    <xf borderId="0" fillId="0" fontId="17" numFmtId="165" xfId="0" applyAlignment="1" applyFont="1" applyNumberFormat="1">
      <alignment readingOrder="0"/>
    </xf>
    <xf borderId="1" fillId="0" fontId="17" numFmtId="165" xfId="0" applyAlignment="1" applyBorder="1" applyFont="1" applyNumberFormat="1">
      <alignment readingOrder="0"/>
    </xf>
    <xf borderId="0" fillId="0" fontId="3" numFmtId="167" xfId="0" applyFont="1" applyNumberFormat="1"/>
    <xf borderId="1" fillId="0" fontId="3" numFmtId="167" xfId="0" applyBorder="1" applyFont="1" applyNumberFormat="1"/>
    <xf borderId="2" fillId="0" fontId="3" numFmtId="167" xfId="0" applyBorder="1" applyFont="1" applyNumberFormat="1"/>
    <xf borderId="0" fillId="0" fontId="20" numFmtId="0" xfId="0" applyAlignment="1" applyFont="1">
      <alignment shrinkToFit="0" vertical="bottom" wrapText="0"/>
    </xf>
    <xf borderId="0" fillId="0" fontId="10" numFmtId="0" xfId="0" applyAlignment="1" applyFont="1">
      <alignment readingOrder="0"/>
    </xf>
    <xf borderId="1" fillId="0" fontId="10" numFmtId="0" xfId="0" applyAlignment="1" applyBorder="1" applyFont="1">
      <alignment readingOrder="0"/>
    </xf>
    <xf borderId="0" fillId="0" fontId="21" numFmtId="165" xfId="0" applyAlignment="1" applyFont="1" applyNumberFormat="1">
      <alignment horizontal="right" vertical="bottom"/>
    </xf>
    <xf borderId="1" fillId="0" fontId="21" numFmtId="165" xfId="0" applyAlignment="1" applyBorder="1" applyFont="1" applyNumberFormat="1">
      <alignment horizontal="right" vertical="bottom"/>
    </xf>
    <xf borderId="2" fillId="0" fontId="21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167" xfId="0" applyAlignment="1" applyFont="1" applyNumberFormat="1">
      <alignment readingOrder="0"/>
    </xf>
    <xf borderId="1" fillId="0" fontId="3" numFmtId="167" xfId="0" applyAlignment="1" applyBorder="1" applyFont="1" applyNumberFormat="1">
      <alignment readingOrder="0"/>
    </xf>
    <xf borderId="2" fillId="0" fontId="3" numFmtId="167" xfId="0" applyAlignment="1" applyBorder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1" fillId="0" fontId="8" numFmtId="0" xfId="0" applyAlignment="1" applyBorder="1" applyFont="1">
      <alignment readingOrder="0" shrinkToFit="0" wrapText="0"/>
    </xf>
    <xf borderId="2" fillId="0" fontId="8" numFmtId="0" xfId="0" applyAlignment="1" applyBorder="1" applyFont="1">
      <alignment readingOrder="0" shrinkToFit="0" wrapText="0"/>
    </xf>
    <xf borderId="0" fillId="0" fontId="22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1" fillId="0" fontId="3" numFmtId="164" xfId="0" applyBorder="1" applyFont="1" applyNumberFormat="1"/>
    <xf borderId="2" fillId="0" fontId="3" numFmtId="164" xfId="0" applyBorder="1" applyFont="1" applyNumberFormat="1"/>
    <xf borderId="0" fillId="0" fontId="3" numFmtId="10" xfId="0" applyAlignment="1" applyFont="1" applyNumberFormat="1">
      <alignment readingOrder="0"/>
    </xf>
    <xf borderId="1" fillId="0" fontId="3" numFmtId="10" xfId="0" applyAlignment="1" applyBorder="1" applyFont="1" applyNumberFormat="1">
      <alignment readingOrder="0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0" fillId="0" fontId="3" numFmtId="3" xfId="0" applyAlignment="1" applyFont="1" applyNumberFormat="1">
      <alignment shrinkToFit="0" wrapText="1"/>
    </xf>
    <xf borderId="1" fillId="0" fontId="3" numFmtId="3" xfId="0" applyAlignment="1" applyBorder="1" applyFont="1" applyNumberFormat="1">
      <alignment shrinkToFit="0" wrapText="1"/>
    </xf>
    <xf borderId="2" fillId="0" fontId="3" numFmtId="3" xfId="0" applyAlignment="1" applyBorder="1" applyFont="1" applyNumberFormat="1">
      <alignment shrinkToFit="0" wrapText="1"/>
    </xf>
    <xf borderId="0" fillId="0" fontId="3" numFmtId="10" xfId="0" applyAlignment="1" applyFont="1" applyNumberFormat="1">
      <alignment shrinkToFit="0" wrapText="1"/>
    </xf>
    <xf borderId="1" fillId="0" fontId="3" numFmtId="10" xfId="0" applyAlignment="1" applyBorder="1" applyFont="1" applyNumberFormat="1">
      <alignment shrinkToFit="0" wrapText="1"/>
    </xf>
    <xf borderId="2" fillId="0" fontId="3" numFmtId="10" xfId="0" applyAlignment="1" applyBorder="1" applyFont="1" applyNumberFormat="1">
      <alignment shrinkToFit="0" wrapText="1"/>
    </xf>
    <xf borderId="0" fillId="0" fontId="3" numFmtId="10" xfId="0" applyAlignment="1" applyFont="1" applyNumberFormat="1">
      <alignment readingOrder="0" shrinkToFit="0" wrapText="1"/>
    </xf>
    <xf borderId="1" fillId="0" fontId="3" numFmtId="10" xfId="0" applyAlignment="1" applyBorder="1" applyFont="1" applyNumberFormat="1">
      <alignment readingOrder="0" shrinkToFit="0" wrapText="1"/>
    </xf>
    <xf borderId="2" fillId="0" fontId="3" numFmtId="10" xfId="0" applyAlignment="1" applyBorder="1" applyFont="1" applyNumberFormat="1">
      <alignment readingOrder="0" shrinkToFit="0" wrapText="1"/>
    </xf>
    <xf borderId="2" fillId="0" fontId="3" numFmtId="10" xfId="0" applyAlignment="1" applyBorder="1" applyFont="1" applyNumberFormat="1">
      <alignment readingOrder="0"/>
    </xf>
    <xf borderId="0" fillId="2" fontId="3" numFmtId="0" xfId="0" applyAlignment="1" applyFont="1">
      <alignment readingOrder="0"/>
    </xf>
    <xf borderId="0" fillId="2" fontId="3" numFmtId="10" xfId="0" applyAlignment="1" applyFont="1" applyNumberFormat="1">
      <alignment readingOrder="0"/>
    </xf>
    <xf borderId="1" fillId="2" fontId="3" numFmtId="10" xfId="0" applyAlignment="1" applyBorder="1" applyFont="1" applyNumberFormat="1">
      <alignment readingOrder="0"/>
    </xf>
    <xf borderId="2" fillId="2" fontId="3" numFmtId="10" xfId="0" applyAlignment="1" applyBorder="1" applyFont="1" applyNumberFormat="1">
      <alignment readingOrder="0"/>
    </xf>
    <xf borderId="0" fillId="0" fontId="23" numFmtId="165" xfId="0" applyAlignment="1" applyFont="1" applyNumberFormat="1">
      <alignment readingOrder="0" shrinkToFit="0" wrapText="1"/>
    </xf>
    <xf borderId="0" fillId="0" fontId="24" numFmtId="10" xfId="0" applyAlignment="1" applyFont="1" applyNumberFormat="1">
      <alignment readingOrder="0" shrinkToFit="0" wrapText="1"/>
    </xf>
    <xf borderId="1" fillId="0" fontId="24" numFmtId="10" xfId="0" applyAlignment="1" applyBorder="1" applyFont="1" applyNumberFormat="1">
      <alignment readingOrder="0" shrinkToFit="0" wrapText="1"/>
    </xf>
    <xf borderId="2" fillId="0" fontId="23" numFmtId="165" xfId="0" applyAlignment="1" applyBorder="1" applyFont="1" applyNumberFormat="1">
      <alignment readingOrder="0" shrinkToFit="0" wrapText="1"/>
    </xf>
    <xf borderId="0" fillId="0" fontId="24" numFmtId="165" xfId="0" applyAlignment="1" applyFont="1" applyNumberFormat="1">
      <alignment readingOrder="0" shrinkToFit="0" wrapText="1"/>
    </xf>
    <xf borderId="2" fillId="0" fontId="24" numFmtId="165" xfId="0" applyAlignment="1" applyBorder="1" applyFont="1" applyNumberFormat="1">
      <alignment readingOrder="0" shrinkToFit="0" wrapText="1"/>
    </xf>
    <xf borderId="0" fillId="0" fontId="25" numFmtId="165" xfId="0" applyAlignment="1" applyFont="1" applyNumberFormat="1">
      <alignment horizontal="right" shrinkToFit="0" vertical="bottom" wrapText="1"/>
    </xf>
    <xf borderId="1" fillId="0" fontId="25" numFmtId="165" xfId="0" applyAlignment="1" applyBorder="1" applyFont="1" applyNumberFormat="1">
      <alignment horizontal="right" shrinkToFit="0" vertical="bottom" wrapText="1"/>
    </xf>
    <xf borderId="2" fillId="0" fontId="24" numFmtId="10" xfId="0" applyAlignment="1" applyBorder="1" applyFont="1" applyNumberFormat="1">
      <alignment readingOrder="0" shrinkToFit="0" wrapText="1"/>
    </xf>
    <xf borderId="0" fillId="0" fontId="23" numFmtId="167" xfId="0" applyAlignment="1" applyFont="1" applyNumberFormat="1">
      <alignment readingOrder="0" shrinkToFit="0" wrapText="1"/>
    </xf>
    <xf borderId="0" fillId="0" fontId="24" numFmtId="167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0"/>
    </xf>
    <xf borderId="0" fillId="0" fontId="2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1"/>
    </xf>
    <xf borderId="0" fillId="3" fontId="3" numFmtId="0" xfId="0" applyAlignment="1" applyFill="1" applyFont="1">
      <alignment readingOrder="0"/>
    </xf>
    <xf borderId="0" fillId="3" fontId="3" numFmtId="3" xfId="0" applyAlignment="1" applyFont="1" applyNumberFormat="1">
      <alignment readingOrder="0"/>
    </xf>
    <xf borderId="0" fillId="3" fontId="3" numFmtId="167" xfId="0" applyAlignment="1" applyFont="1" applyNumberFormat="1">
      <alignment readingOrder="0"/>
    </xf>
    <xf borderId="0" fillId="3" fontId="26" numFmtId="0" xfId="0" applyAlignment="1" applyFont="1">
      <alignment readingOrder="0" shrinkToFit="0" wrapText="0"/>
    </xf>
    <xf borderId="0" fillId="3" fontId="3" numFmtId="0" xfId="0" applyFont="1"/>
    <xf borderId="0" fillId="3" fontId="27" numFmtId="0" xfId="0" applyAlignment="1" applyFont="1">
      <alignment readingOrder="0" shrinkToFit="0" wrapText="0"/>
    </xf>
    <xf borderId="0" fillId="0" fontId="28" numFmtId="0" xfId="0" applyAlignment="1" applyFont="1">
      <alignment readingOrder="0" vertical="bottom"/>
    </xf>
    <xf borderId="0" fillId="0" fontId="28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29" numFmtId="0" xfId="0" applyAlignment="1" applyFont="1">
      <alignment readingOrder="0" vertical="bottom"/>
    </xf>
    <xf borderId="0" fillId="0" fontId="7" numFmtId="49" xfId="0" applyAlignment="1" applyFont="1" applyNumberFormat="1">
      <alignment horizontal="right" readingOrder="0" vertical="bottom"/>
    </xf>
    <xf borderId="0" fillId="0" fontId="30" numFmtId="165" xfId="0" applyAlignment="1" applyFont="1" applyNumberFormat="1">
      <alignment horizontal="right" readingOrder="0" vertical="bottom"/>
    </xf>
    <xf borderId="0" fillId="0" fontId="31" numFmtId="165" xfId="0" applyAlignment="1" applyFont="1" applyNumberFormat="1">
      <alignment readingOrder="0" vertical="bottom"/>
    </xf>
    <xf borderId="0" fillId="0" fontId="7" numFmtId="165" xfId="0" applyAlignment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readingOrder="0" vertical="bottom"/>
    </xf>
    <xf borderId="0" fillId="3" fontId="32" numFmtId="0" xfId="0" applyAlignment="1" applyFont="1">
      <alignment vertical="bottom"/>
    </xf>
    <xf borderId="0" fillId="3" fontId="7" numFmtId="49" xfId="0" applyAlignment="1" applyFont="1" applyNumberFormat="1">
      <alignment horizontal="right" readingOrder="0" vertical="bottom"/>
    </xf>
    <xf borderId="0" fillId="3" fontId="33" numFmtId="165" xfId="0" applyAlignment="1" applyFont="1" applyNumberFormat="1">
      <alignment horizontal="right" vertical="bottom"/>
    </xf>
    <xf borderId="0" fillId="3" fontId="7" numFmtId="165" xfId="0" applyAlignment="1" applyFont="1" applyNumberFormat="1">
      <alignment readingOrder="0" vertical="bottom"/>
    </xf>
    <xf borderId="0" fillId="3" fontId="34" numFmtId="0" xfId="0" applyAlignment="1" applyFont="1">
      <alignment readingOrder="0" vertical="bottom"/>
    </xf>
    <xf borderId="0" fillId="3" fontId="35" numFmtId="165" xfId="0" applyAlignment="1" applyFont="1" applyNumberFormat="1">
      <alignment readingOrder="0" vertical="bottom"/>
    </xf>
    <xf borderId="0" fillId="3" fontId="7" numFmtId="165" xfId="0" applyAlignment="1" applyFont="1" applyNumberFormat="1">
      <alignment readingOrder="0" vertical="bottom"/>
    </xf>
    <xf borderId="0" fillId="3" fontId="7" numFmtId="165" xfId="0" applyAlignment="1" applyFont="1" applyNumberFormat="1">
      <alignment vertical="bottom"/>
    </xf>
    <xf borderId="0" fillId="3" fontId="36" numFmtId="165" xfId="0" applyAlignment="1" applyFont="1" applyNumberFormat="1">
      <alignment readingOrder="0"/>
    </xf>
    <xf borderId="0" fillId="0" fontId="37" numFmtId="0" xfId="0" applyAlignment="1" applyFont="1">
      <alignment vertical="bottom"/>
    </xf>
    <xf borderId="0" fillId="0" fontId="38" numFmtId="0" xfId="0" applyAlignment="1" applyFont="1">
      <alignment vertical="bottom"/>
    </xf>
    <xf borderId="0" fillId="0" fontId="39" numFmtId="0" xfId="0" applyAlignment="1" applyFont="1">
      <alignment vertical="bottom"/>
    </xf>
    <xf borderId="0" fillId="0" fontId="38" numFmtId="0" xfId="0" applyAlignment="1" applyFont="1">
      <alignment vertical="bottom"/>
    </xf>
    <xf borderId="0" fillId="0" fontId="5" numFmtId="0" xfId="0" applyFont="1"/>
    <xf borderId="0" fillId="0" fontId="3" numFmtId="10" xfId="0" applyFont="1" applyNumberFormat="1"/>
    <xf borderId="0" fillId="0" fontId="3" numFmtId="165" xfId="0" applyFont="1" applyNumberFormat="1"/>
    <xf borderId="0" fillId="0" fontId="3" numFmtId="4" xfId="0" applyFont="1" applyNumberFormat="1"/>
    <xf borderId="0" fillId="0" fontId="28" numFmtId="0" xfId="0" applyAlignment="1" applyFont="1">
      <alignment horizontal="left" vertical="bottom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horizontal="right" vertical="bottom"/>
    </xf>
    <xf borderId="0" fillId="0" fontId="28" numFmtId="0" xfId="0" applyAlignment="1" applyFont="1">
      <alignment horizontal="right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shrinkToFit="0" vertical="bottom" wrapText="0"/>
    </xf>
    <xf borderId="0" fillId="0" fontId="3" numFmtId="10" xfId="0" applyAlignment="1" applyFont="1" applyNumberFormat="1">
      <alignment shrinkToFit="0" wrapText="0"/>
    </xf>
    <xf borderId="0" fillId="0" fontId="7" numFmtId="10" xfId="0" applyAlignment="1" applyFont="1" applyNumberFormat="1">
      <alignment readingOrder="0" shrinkToFit="0" vertical="bottom" wrapText="0"/>
    </xf>
    <xf borderId="0" fillId="4" fontId="0" numFmtId="0" xfId="0" applyAlignment="1" applyFill="1" applyFont="1">
      <alignment horizontal="right" shrinkToFit="0" wrapText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3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readingOrder="0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 shrinkToFit="0" wrapText="0"/>
    </xf>
    <xf borderId="0" fillId="5" fontId="3" numFmtId="167" xfId="0" applyAlignment="1" applyFill="1" applyFont="1" applyNumberFormat="1">
      <alignment readingOrder="0"/>
    </xf>
    <xf borderId="0" fillId="6" fontId="3" numFmtId="167" xfId="0" applyAlignment="1" applyFill="1" applyFont="1" applyNumberFormat="1">
      <alignment readingOrder="0"/>
    </xf>
    <xf borderId="0" fillId="5" fontId="3" numFmtId="0" xfId="0" applyAlignment="1" applyFont="1">
      <alignment readingOrder="0"/>
    </xf>
    <xf borderId="0" fillId="5" fontId="3" numFmtId="4" xfId="0" applyAlignment="1" applyFont="1" applyNumberFormat="1">
      <alignment readingOrder="0"/>
    </xf>
    <xf borderId="0" fillId="5" fontId="3" numFmtId="165" xfId="0" applyAlignment="1" applyFont="1" applyNumberFormat="1">
      <alignment readingOrder="0"/>
    </xf>
    <xf borderId="0" fillId="5" fontId="3" numFmtId="0" xfId="0" applyFont="1"/>
    <xf borderId="0" fillId="0" fontId="44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0" fillId="0" fontId="45" numFmtId="0" xfId="0" applyAlignment="1" applyFont="1">
      <alignment readingOrder="0" shrinkToFit="0" wrapText="0"/>
    </xf>
    <xf borderId="4" fillId="4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pa.gov/climate-indicators/climate-change-indicators-heating-and-cooling-degree-days" TargetMode="External"/><Relationship Id="rId22" Type="http://schemas.openxmlformats.org/officeDocument/2006/relationships/hyperlink" Target="https://neep.org/sites/default/files/Sizing%20%26%20Selecting%20ASHPs%20In%20Cold%20Climates.pdf" TargetMode="External"/><Relationship Id="rId21" Type="http://schemas.openxmlformats.org/officeDocument/2006/relationships/hyperlink" Target="http://hyperphysics.phy-astr.gsu.edu/hbase/thermo/heatloss.html" TargetMode="External"/><Relationship Id="rId24" Type="http://schemas.openxmlformats.org/officeDocument/2006/relationships/hyperlink" Target="https://www.builditsolar.com/References/Calculators/HeatLoss/HeatLoss.htm" TargetMode="External"/><Relationship Id="rId23" Type="http://schemas.openxmlformats.org/officeDocument/2006/relationships/hyperlink" Target="https://www.energystar.gov/ia/partners/bldrs_lenders_raters/downloads/County%20Level%20Design%20Temperature%20Reference%20Guide%20-%202015-06-24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census.gov/construction/nrc/pdf/quarterly_starts_completions.pdf" TargetMode="External"/><Relationship Id="rId3" Type="http://schemas.openxmlformats.org/officeDocument/2006/relationships/hyperlink" Target="https://weekendbuilds.com/how-tall-is-a-house/" TargetMode="External"/><Relationship Id="rId4" Type="http://schemas.openxmlformats.org/officeDocument/2006/relationships/hyperlink" Target="https://www.resnet.us/wp-content/uploads/ANSIRESNETICC301-2022_resnetpblshd.pdf" TargetMode="External"/><Relationship Id="rId9" Type="http://schemas.openxmlformats.org/officeDocument/2006/relationships/hyperlink" Target="https://codes.iccsafe.org/content/NYSECC2025P1" TargetMode="External"/><Relationship Id="rId26" Type="http://schemas.openxmlformats.org/officeDocument/2006/relationships/hyperlink" Target="https://codes.iccsafe.org/content/NYSECC2025P1" TargetMode="External"/><Relationship Id="rId25" Type="http://schemas.openxmlformats.org/officeDocument/2006/relationships/hyperlink" Target="https://ocw.mit.edu/courses/4-401-environmental-technologies-in-buildings-fall-2018/5b9e24cbf2abd05c5e06a263a85b61f9_MIT4_401F18_lec16.pdf" TargetMode="External"/><Relationship Id="rId28" Type="http://schemas.openxmlformats.org/officeDocument/2006/relationships/hyperlink" Target="https://www.thisoldhouse.com/plumbing/reviews/propane-tank-installation-cost" TargetMode="External"/><Relationship Id="rId27" Type="http://schemas.openxmlformats.org/officeDocument/2006/relationships/hyperlink" Target="https://neea.org/img/documents/NEEA-Cold-Climate-DHP-Spec-and-Recommendations.pdf" TargetMode="External"/><Relationship Id="rId5" Type="http://schemas.openxmlformats.org/officeDocument/2006/relationships/hyperlink" Target="https://neep.org/sites/default/files/Sizing%20%26%20Selecting%20ASHPs%20In%20Cold%20Climates.pdf" TargetMode="External"/><Relationship Id="rId6" Type="http://schemas.openxmlformats.org/officeDocument/2006/relationships/hyperlink" Target="https://codes.iccsafe.org/content/NYSECC2025P1" TargetMode="External"/><Relationship Id="rId29" Type="http://schemas.openxmlformats.org/officeDocument/2006/relationships/hyperlink" Target="https://www.documentcloud.org/documents/23179248-nyserda-analysis-of-residential-heat-pump-potential-and-economics-2019" TargetMode="External"/><Relationship Id="rId7" Type="http://schemas.openxmlformats.org/officeDocument/2006/relationships/hyperlink" Target="https://codes.iccsafe.org/content/NYSECC2025P1" TargetMode="External"/><Relationship Id="rId8" Type="http://schemas.openxmlformats.org/officeDocument/2006/relationships/hyperlink" Target="https://codes.iccsafe.org/content/NYSECC2025P1" TargetMode="External"/><Relationship Id="rId31" Type="http://schemas.openxmlformats.org/officeDocument/2006/relationships/hyperlink" Target="https://www.taitem.com/wp-content/uploads/tt_furnace_electricity_use_20130507.pdf" TargetMode="External"/><Relationship Id="rId30" Type="http://schemas.openxmlformats.org/officeDocument/2006/relationships/hyperlink" Target="https://www.fchaab.com/fuels/how-compare-oilheat/" TargetMode="External"/><Relationship Id="rId11" Type="http://schemas.openxmlformats.org/officeDocument/2006/relationships/hyperlink" Target="https://codes.iccsafe.org/content/NYSECC2025P1" TargetMode="External"/><Relationship Id="rId33" Type="http://schemas.openxmlformats.org/officeDocument/2006/relationships/hyperlink" Target="https://assets.ctfassets.net/v4qx5q5o44nj/3FYfJiYMILiXGFghFEUx0D/39c998988d5bea13ae015bddeeba1d59/25C_25D_Fact_Sheet.pdf" TargetMode="External"/><Relationship Id="rId10" Type="http://schemas.openxmlformats.org/officeDocument/2006/relationships/hyperlink" Target="https://codes.iccsafe.org/content/NYSECC2025P1" TargetMode="External"/><Relationship Id="rId32" Type="http://schemas.openxmlformats.org/officeDocument/2006/relationships/hyperlink" Target="https://michaelandson.com/blog/how-much-does-furnace-maintenance-cost" TargetMode="External"/><Relationship Id="rId13" Type="http://schemas.openxmlformats.org/officeDocument/2006/relationships/hyperlink" Target="http://hyperphysics.phy-astr.gsu.edu/hbase/thermo/heatloss.html" TargetMode="External"/><Relationship Id="rId35" Type="http://schemas.openxmlformats.org/officeDocument/2006/relationships/hyperlink" Target="https://www.zillow.com/mortgage-rates/ny/" TargetMode="External"/><Relationship Id="rId12" Type="http://schemas.openxmlformats.org/officeDocument/2006/relationships/hyperlink" Target="http://hyperphysics.phy-astr.gsu.edu/hbase/thermo/heatloss.html" TargetMode="External"/><Relationship Id="rId34" Type="http://schemas.openxmlformats.org/officeDocument/2006/relationships/hyperlink" Target="https://www.greenbuildingadvisor.com/question/how-to-calculate-power-consumption-for-heat-pump-water-heater" TargetMode="External"/><Relationship Id="rId15" Type="http://schemas.openxmlformats.org/officeDocument/2006/relationships/hyperlink" Target="http://hyperphysics.phy-astr.gsu.edu/hbase/thermo/heatloss.html" TargetMode="External"/><Relationship Id="rId37" Type="http://schemas.openxmlformats.org/officeDocument/2006/relationships/vmlDrawing" Target="../drawings/vmlDrawing1.vml"/><Relationship Id="rId14" Type="http://schemas.openxmlformats.org/officeDocument/2006/relationships/hyperlink" Target="http://hyperphysics.phy-astr.gsu.edu/hbase/thermo/heatloss.html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://hyperphysics.phy-astr.gsu.edu/hbase/thermo/heatloss.html" TargetMode="External"/><Relationship Id="rId16" Type="http://schemas.openxmlformats.org/officeDocument/2006/relationships/hyperlink" Target="https://eta-publications.lbl.gov/sites/default/files/the_use_of_blower-door_data_1995_sherman_lbl_35173_.pdf" TargetMode="External"/><Relationship Id="rId19" Type="http://schemas.openxmlformats.org/officeDocument/2006/relationships/hyperlink" Target="https://codes.iccsafe.org/s/IRC2021P2/chapter-11-re-energy-efficiency/IRC2021P2-Pt04-Ch11-SecN1101.7.2" TargetMode="External"/><Relationship Id="rId18" Type="http://schemas.openxmlformats.org/officeDocument/2006/relationships/hyperlink" Target="https://bigladdersoftware.com/epx/docs/8-2/engineering-reference/ground-heat-transfer-calculation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leanheat.ny.gov/assets/pdf/Program%20Manual%20-%20CHG&amp;E-%20NGrid-%20NYSEG-%20O&amp;R-%20and%20RG&amp;E%2004.01.25.pdf" TargetMode="External"/><Relationship Id="rId2" Type="http://schemas.openxmlformats.org/officeDocument/2006/relationships/hyperlink" Target="https://cleanheat.ny.gov/assets/pdf/Program%20Manual%20-%20CHG&amp;E-%20NGrid-%20NYSEG-%20O&amp;R-%20and%20RG&amp;E%2004.01.25.pdf" TargetMode="External"/><Relationship Id="rId3" Type="http://schemas.openxmlformats.org/officeDocument/2006/relationships/hyperlink" Target="https://cleanheat.ny.gov/assets/pdf/Program%20Manual%20-%20CHG&amp;E-%20NGrid-%20NYSEG-%20O&amp;R-%20and%20RG&amp;E%2004.01.25.pdf" TargetMode="External"/><Relationship Id="rId4" Type="http://schemas.openxmlformats.org/officeDocument/2006/relationships/hyperlink" Target="https://cleanheat.ny.gov/assets/pdf/CECONY%20Clean%20Heat%20Program%20Manual%20June%202%202025.pdf" TargetMode="External"/><Relationship Id="rId5" Type="http://schemas.openxmlformats.org/officeDocument/2006/relationships/hyperlink" Target="https://www.psegliny.com/en/saveenergyandmoney/homeefficiency/HomeComfort/HeatPumps/Rebates" TargetMode="External"/><Relationship Id="rId6" Type="http://schemas.openxmlformats.org/officeDocument/2006/relationships/hyperlink" Target="https://cleanheat.ny.gov/assets/pdf/Program%20Manual%20-%20CHG&amp;E-%20NGrid-%20NYSEG-%20O&amp;R-%20and%20RG&amp;E%2004.01.25.pdf" TargetMode="External"/><Relationship Id="rId7" Type="http://schemas.openxmlformats.org/officeDocument/2006/relationships/hyperlink" Target="https://cleanheat.ny.gov/assets/pdf/Program%20Manual%20-%20CHG&amp;E-%20NGrid-%20NYSEG-%20O&amp;R-%20and%20RG&amp;E%2004.01.25.pdf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ocumentcloud.org/documents/26185614-nys-utilities-costs-of-extending-service-to-new-customers/" TargetMode="External"/><Relationship Id="rId2" Type="http://schemas.openxmlformats.org/officeDocument/2006/relationships/hyperlink" Target="https://www.documentcloud.org/documents/26185614-nys-utilities-costs-of-extending-service-to-new-customers/" TargetMode="External"/><Relationship Id="rId3" Type="http://schemas.openxmlformats.org/officeDocument/2006/relationships/hyperlink" Target="https://www.documentcloud.org/documents/26185614-nys-utilities-costs-of-extending-service-to-new-customers/" TargetMode="External"/><Relationship Id="rId4" Type="http://schemas.openxmlformats.org/officeDocument/2006/relationships/hyperlink" Target="https://www.documentcloud.org/documents/26185614-nys-utilities-costs-of-extending-service-to-new-customers/" TargetMode="External"/><Relationship Id="rId9" Type="http://schemas.openxmlformats.org/officeDocument/2006/relationships/hyperlink" Target="https://www.documentcloud.org/documents/26185614-nys-utilities-costs-of-extending-service-to-new-customers/" TargetMode="External"/><Relationship Id="rId5" Type="http://schemas.openxmlformats.org/officeDocument/2006/relationships/hyperlink" Target="https://www.documentcloud.org/documents/26185614-nys-utilities-costs-of-extending-service-to-new-customers/" TargetMode="External"/><Relationship Id="rId6" Type="http://schemas.openxmlformats.org/officeDocument/2006/relationships/hyperlink" Target="https://www.documentcloud.org/documents/26185614-nys-utilities-costs-of-extending-service-to-new-customers/" TargetMode="External"/><Relationship Id="rId7" Type="http://schemas.openxmlformats.org/officeDocument/2006/relationships/hyperlink" Target="https://www.documentcloud.org/documents/26185614-nys-utilities-costs-of-extending-service-to-new-customers/" TargetMode="External"/><Relationship Id="rId8" Type="http://schemas.openxmlformats.org/officeDocument/2006/relationships/hyperlink" Target="https://www.documentcloud.org/documents/26185614-nys-utilities-costs-of-extending-service-to-new-customers/" TargetMode="External"/><Relationship Id="rId11" Type="http://schemas.openxmlformats.org/officeDocument/2006/relationships/hyperlink" Target="https://www.documentcloud.org/documents/26185614-nys-utilities-costs-of-extending-service-to-new-customers/" TargetMode="External"/><Relationship Id="rId10" Type="http://schemas.openxmlformats.org/officeDocument/2006/relationships/hyperlink" Target="https://www.documentcloud.org/documents/26185614-nys-utilities-costs-of-extending-service-to-new-customers/" TargetMode="External"/><Relationship Id="rId1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homedepot.com/p/Rheem-ProTerra-50-Gal-Smart-High-Efficiency-Hybrid-Heat-Pump-Water-Heater-w-Leak-Detection-Auto-Shutoff-10-Year-Warranty-XE50T10HS45U1/330317248" TargetMode="External"/><Relationship Id="rId22" Type="http://schemas.openxmlformats.org/officeDocument/2006/relationships/hyperlink" Target="https://www.homedepot.com/p/Rheem-Performance-50-Gal-Tall-6-Year-38-000-BTU-Natural-Gas-Tank-Water-Heater-XG50T06EC38U1/205811151?irgwc=1&amp;cm_mmc=afl-ir-2084711-456723-&amp;clickid=Wpe1aqSQIxyLWRmUfcT1PR0YUkDVky3pu01J280" TargetMode="External"/><Relationship Id="rId21" Type="http://schemas.openxmlformats.org/officeDocument/2006/relationships/hyperlink" Target="https://onlinesupply.com/aciq-electric-residential-hybrid-water-heater-aciq-50g-hp-wh.html" TargetMode="External"/><Relationship Id="rId24" Type="http://schemas.openxmlformats.org/officeDocument/2006/relationships/hyperlink" Target="https://www.homedepot.com/p/Rheem-Performance-50-Gal-Tall-38-000-BTU-Natural-Gas-Water-Heater-with-6-Year-Warranty-XG50T06EC38U1/326590285" TargetMode="External"/><Relationship Id="rId23" Type="http://schemas.openxmlformats.org/officeDocument/2006/relationships/hyperlink" Target="https://www.lowes.com/pd/A-O-Smith-Signature-50-Gallon-Tall-6-Year-Limited-Natural-Gas-Water-Heater/1000542577" TargetMode="External"/><Relationship Id="rId1" Type="http://schemas.openxmlformats.org/officeDocument/2006/relationships/hyperlink" Target="https://www.appliancesconnection.com/carrier-38mbrbq48aa3.html" TargetMode="External"/><Relationship Id="rId2" Type="http://schemas.openxmlformats.org/officeDocument/2006/relationships/hyperlink" Target="https://senville.com/36000-btu-central-ducted-outdoor-unit-sendc-36hf-om/" TargetMode="External"/><Relationship Id="rId3" Type="http://schemas.openxmlformats.org/officeDocument/2006/relationships/hyperlink" Target="https://www.budgetheating.com/Rheem-3-Ton-15-SEER2-Heat-Pump-RP15AY36AJ2NA-p/179330.htm" TargetMode="External"/><Relationship Id="rId4" Type="http://schemas.openxmlformats.org/officeDocument/2006/relationships/hyperlink" Target="https://www.budgetheating.com/3-ton-r32-gree-flexx-ultra-18-seer2-inverter-heat-pump-condenser-fxu36hp230v1r32ao/?setCurrencyId=1&amp;sku=205029" TargetMode="External"/><Relationship Id="rId9" Type="http://schemas.openxmlformats.org/officeDocument/2006/relationships/hyperlink" Target="https://www.lowes.com/pd/Goodman-Furnace/5015721577?user=shopping&amp;feed=yes" TargetMode="External"/><Relationship Id="rId26" Type="http://schemas.openxmlformats.org/officeDocument/2006/relationships/hyperlink" Target="https://www.supplyhouse.com/Bradford-White-RG250T6N-50-Gallon-40000-BTU-Defender-Safety-System-High-Efficiency-Residential-Atmospheric-Water-Heater-Natural-Gas" TargetMode="External"/><Relationship Id="rId25" Type="http://schemas.openxmlformats.org/officeDocument/2006/relationships/hyperlink" Target="https://www.homedepot.com/p/Rheem-Performance-Plus-50-Gal-Tall-40-000-BTU-Natural-Gas-Water-Heater-with-9-Year-Warranty-XG50T09HE40U0/326589764" TargetMode="External"/><Relationship Id="rId28" Type="http://schemas.openxmlformats.org/officeDocument/2006/relationships/hyperlink" Target="https://www.acehardware.com/departments/plumbing/water-heaters/gas-water-heaters/4582615" TargetMode="External"/><Relationship Id="rId27" Type="http://schemas.openxmlformats.org/officeDocument/2006/relationships/hyperlink" Target="https://www.lowes.com/pd/A-O-Smith-Signature-Premier-50-Gallon-Tall-12-Year-Limited-Natural-Gas-Water-Heater/1000542601" TargetMode="External"/><Relationship Id="rId5" Type="http://schemas.openxmlformats.org/officeDocument/2006/relationships/hyperlink" Target="https://www.budgetheating.com/4-ton-r32-gree-flexx-ultra-19-seer2-inverter-heat-pump-condenser-fxu48hp230v1r32ao/?setCurrencyId=1&amp;sku=205038" TargetMode="External"/><Relationship Id="rId6" Type="http://schemas.openxmlformats.org/officeDocument/2006/relationships/hyperlink" Target="https://hvacdirect.com/5-ton-15-seer2-bosch-heat-pump-inverter-condenser-r454b-ids-light-series-bova-60rxb-m15s.html?cq_plac=&amp;kw=&amp;cpn=21676419004&amp;gad_campaignid=21676419004&amp;gbraid=0AAAAA-LtI9JyEGAbueZUjmZDeDxpPD2f0" TargetMode="External"/><Relationship Id="rId29" Type="http://schemas.openxmlformats.org/officeDocument/2006/relationships/hyperlink" Target="https://www.homedepot.com/p/Rheem-Performance-Platinum-50-Gal-Tall-40-000-BTU-Natural-Gas-Water-Heater-with-12-Year-Warranty-XG50T12HE40U0/204697785" TargetMode="External"/><Relationship Id="rId7" Type="http://schemas.openxmlformats.org/officeDocument/2006/relationships/hyperlink" Target="https://24hr.supply/ge-appliances-auh4860zgda-variable-speed-outdoor-heat-pump-system-48-000-54-000-btu-heating-cooling-capacity-208-230v/" TargetMode="External"/><Relationship Id="rId8" Type="http://schemas.openxmlformats.org/officeDocument/2006/relationships/hyperlink" Target="https://hvacdirect.com/furnaces/filter/40-000/92,96,97,98.html?product_list_limit=48" TargetMode="External"/><Relationship Id="rId31" Type="http://schemas.openxmlformats.org/officeDocument/2006/relationships/hyperlink" Target="https://hvachomesupply.com/products/runtru-2-5-ton-15-2-seer2-single-stage-condenser" TargetMode="External"/><Relationship Id="rId30" Type="http://schemas.openxmlformats.org/officeDocument/2006/relationships/hyperlink" Target="https://hvacdirect.com/air-conditioning-systems/air-conditioner-split-systems.html?p=2" TargetMode="External"/><Relationship Id="rId11" Type="http://schemas.openxmlformats.org/officeDocument/2006/relationships/hyperlink" Target="https://www.acunitsforless.com/products/goodman-96-afue-gas-furnace-multi-speed-ecm-single-stage-gc9s960403bn?variant=48358807044387&amp;country=US&amp;currency=USD" TargetMode="External"/><Relationship Id="rId33" Type="http://schemas.openxmlformats.org/officeDocument/2006/relationships/hyperlink" Target="https://buycomfortdirect.com/products/rheem-2-5-ton-ac-15-2-seer2-r-454b.html" TargetMode="External"/><Relationship Id="rId10" Type="http://schemas.openxmlformats.org/officeDocument/2006/relationships/hyperlink" Target="https://hvacdirect.com/trane-a951x040bu3sa-40-000-btu-96-afue-multi-speed-gas-furnace-upflow-runtru-by-trane-158182.html" TargetMode="External"/><Relationship Id="rId32" Type="http://schemas.openxmlformats.org/officeDocument/2006/relationships/hyperlink" Target="https://nationalairwarehouse.com/product/2-5-ton-goodman-15-2-seer2-r410a-single-stage-air-conditioner-condenser/" TargetMode="External"/><Relationship Id="rId13" Type="http://schemas.openxmlformats.org/officeDocument/2006/relationships/hyperlink" Target="https://www.supplyhouse.com/Goodman-GD9T960403BN-96-AFUE-GD9T96-Gas-Furnace-R-32-Multi-Speed-ECM-Two-Stage-Downflow-Horizontal-40000-BTU-1200-CFM-B-Cabinet" TargetMode="External"/><Relationship Id="rId35" Type="http://schemas.openxmlformats.org/officeDocument/2006/relationships/hyperlink" Target="https://www.budgetheating.com/Rheem-15-2-SEER2-Condenser-RA15AY30AJ1NA-p/179297.htm" TargetMode="External"/><Relationship Id="rId12" Type="http://schemas.openxmlformats.org/officeDocument/2006/relationships/hyperlink" Target="https://onlinesupply.com/40-000-btu-96-afue-single-stage-multi-positional-aciq-gas-furnace-n96msn0401410a.html" TargetMode="External"/><Relationship Id="rId34" Type="http://schemas.openxmlformats.org/officeDocument/2006/relationships/hyperlink" Target="https://hvachomesupply.com/products/trane-15-2-seer-2-5-ton-r-454b-condenser" TargetMode="External"/><Relationship Id="rId15" Type="http://schemas.openxmlformats.org/officeDocument/2006/relationships/hyperlink" Target="https://www.budgetheating.com/Rheem-95-Single-Stage-40K-BTU-R951T0403A17M4SNAS-p/179196.htm?setCurrencyId=1&amp;sku=179196" TargetMode="External"/><Relationship Id="rId37" Type="http://schemas.openxmlformats.org/officeDocument/2006/relationships/drawing" Target="../drawings/drawing4.xml"/><Relationship Id="rId14" Type="http://schemas.openxmlformats.org/officeDocument/2006/relationships/hyperlink" Target="https://www.lowes.com/pd/Goodman-Furnace/5015721593?user=shopping&amp;feed=yes" TargetMode="External"/><Relationship Id="rId36" Type="http://schemas.openxmlformats.org/officeDocument/2006/relationships/hyperlink" Target="https://homeownerair.com/products/york-2-5-ton-air-conditioner-15-2-seer2-16-seer-yc2f30sb21s" TargetMode="External"/><Relationship Id="rId17" Type="http://schemas.openxmlformats.org/officeDocument/2006/relationships/hyperlink" Target="https://www.lowes.com/pd/A-O-Smith-Signature-Premier-50-Gallon-Tall-10-year-Limited-4500-Watt-Double-Element-Electric-Water-Heater-with-Hybrid-Heat-Pump/1000213655" TargetMode="External"/><Relationship Id="rId16" Type="http://schemas.openxmlformats.org/officeDocument/2006/relationships/hyperlink" Target="https://www.homedepot.com/p/Rheem-Performance-Platinum-40-Gal-10-Year-Hybrid-High-Efficiency-Smart-Tank-Electric-Water-Heater-XE40T10H45U0/312742067?irgwc=1&amp;cm_mmc=afl-ir-3198627-456723-&amp;clickid=Wpe1aqSQIxyLWRmUfcT1PR0YUkDVkyzBu01J280" TargetMode="External"/><Relationship Id="rId19" Type="http://schemas.openxmlformats.org/officeDocument/2006/relationships/hyperlink" Target="https://www.lowes.com/pd/A-O-Smith-Signature-900-50-Gallon-Tall-10-Year-Warranty-240-Volt-Smart-Hybrid-Heat-Pump-Water-Heater-with-Leak-Detection-Automatic-Shut-Off/5002991593" TargetMode="External"/><Relationship Id="rId18" Type="http://schemas.openxmlformats.org/officeDocument/2006/relationships/hyperlink" Target="https://www.homedepot.com/p/Rheem-Performance-Platinum-50-Gal-10-Year-Hybrid-High-Efficiency-Tank-Electric-Heat-Pump-Water-Heater-XE50T10H45U0/312742081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yserda.ny.gov/Energy-Prices/Electricity/Monthly-Avg-Electricity-Residential" TargetMode="External"/><Relationship Id="rId2" Type="http://schemas.openxmlformats.org/officeDocument/2006/relationships/hyperlink" Target="https://www.nyserda.ny.gov/Energy-Prices/Natural-Gas/Monthly-Average-Price-of-Natural-Gas-Residential" TargetMode="External"/><Relationship Id="rId3" Type="http://schemas.openxmlformats.org/officeDocument/2006/relationships/hyperlink" Target="https://www.nyserda.ny.gov/Energy-Prices/Propane/Monthly-Average-Propane-Prices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ewyork-demographics.com/columbia-county-demographics" TargetMode="External"/><Relationship Id="rId42" Type="http://schemas.openxmlformats.org/officeDocument/2006/relationships/hyperlink" Target="https://www.newyork-demographics.com/washington-county-demographics" TargetMode="External"/><Relationship Id="rId41" Type="http://schemas.openxmlformats.org/officeDocument/2006/relationships/hyperlink" Target="https://www.newyork-demographics.com/livingston-county-demographics" TargetMode="External"/><Relationship Id="rId44" Type="http://schemas.openxmlformats.org/officeDocument/2006/relationships/hyperlink" Target="https://www.newyork-demographics.com/otsego-county-demographics" TargetMode="External"/><Relationship Id="rId43" Type="http://schemas.openxmlformats.org/officeDocument/2006/relationships/hyperlink" Target="https://www.newyork-demographics.com/herkimer-county-demographics" TargetMode="External"/><Relationship Id="rId46" Type="http://schemas.openxmlformats.org/officeDocument/2006/relationships/hyperlink" Target="https://www.newyork-demographics.com/fulton-county-demographics" TargetMode="External"/><Relationship Id="rId45" Type="http://schemas.openxmlformats.org/officeDocument/2006/relationships/hyperlink" Target="https://www.newyork-demographics.com/genesee-county-demographics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www.newyork-demographics.com/kings-county-demographics" TargetMode="External"/><Relationship Id="rId3" Type="http://schemas.openxmlformats.org/officeDocument/2006/relationships/hyperlink" Target="https://www.newyork-demographics.com/queens-county-demographics" TargetMode="External"/><Relationship Id="rId4" Type="http://schemas.openxmlformats.org/officeDocument/2006/relationships/hyperlink" Target="https://www.newyork-demographics.com/new-york-county-demographics" TargetMode="External"/><Relationship Id="rId9" Type="http://schemas.openxmlformats.org/officeDocument/2006/relationships/hyperlink" Target="https://www.newyork-demographics.com/erie-county-demographics" TargetMode="External"/><Relationship Id="rId48" Type="http://schemas.openxmlformats.org/officeDocument/2006/relationships/hyperlink" Target="https://www.newyork-demographics.com/greene-county-demographics" TargetMode="External"/><Relationship Id="rId47" Type="http://schemas.openxmlformats.org/officeDocument/2006/relationships/hyperlink" Target="https://www.newyork-demographics.com/montgomery-county-demographics" TargetMode="External"/><Relationship Id="rId49" Type="http://schemas.openxmlformats.org/officeDocument/2006/relationships/hyperlink" Target="https://www.newyork-demographics.com/tioga-county-demographics" TargetMode="External"/><Relationship Id="rId5" Type="http://schemas.openxmlformats.org/officeDocument/2006/relationships/hyperlink" Target="https://www.newyork-demographics.com/suffolk-county-demographics" TargetMode="External"/><Relationship Id="rId6" Type="http://schemas.openxmlformats.org/officeDocument/2006/relationships/hyperlink" Target="https://www.newyork-demographics.com/bronx-county-demographics" TargetMode="External"/><Relationship Id="rId7" Type="http://schemas.openxmlformats.org/officeDocument/2006/relationships/hyperlink" Target="https://www.newyork-demographics.com/nassau-county-demographics" TargetMode="External"/><Relationship Id="rId8" Type="http://schemas.openxmlformats.org/officeDocument/2006/relationships/hyperlink" Target="https://www.newyork-demographics.com/westchester-county-demographics" TargetMode="External"/><Relationship Id="rId31" Type="http://schemas.openxmlformats.org/officeDocument/2006/relationships/hyperlink" Target="https://www.newyork-demographics.com/steuben-county-demographics" TargetMode="External"/><Relationship Id="rId30" Type="http://schemas.openxmlformats.org/officeDocument/2006/relationships/hyperlink" Target="https://www.newyork-demographics.com/putnam-county-demographics" TargetMode="External"/><Relationship Id="rId33" Type="http://schemas.openxmlformats.org/officeDocument/2006/relationships/hyperlink" Target="https://www.newyork-demographics.com/chemung-county-demographics" TargetMode="External"/><Relationship Id="rId32" Type="http://schemas.openxmlformats.org/officeDocument/2006/relationships/hyperlink" Target="https://www.newyork-demographics.com/wayne-county-demographics" TargetMode="External"/><Relationship Id="rId35" Type="http://schemas.openxmlformats.org/officeDocument/2006/relationships/hyperlink" Target="https://www.newyork-demographics.com/clinton-county-demographics" TargetMode="External"/><Relationship Id="rId34" Type="http://schemas.openxmlformats.org/officeDocument/2006/relationships/hyperlink" Target="https://www.newyork-demographics.com/sullivan-county-demographics" TargetMode="External"/><Relationship Id="rId37" Type="http://schemas.openxmlformats.org/officeDocument/2006/relationships/hyperlink" Target="https://www.newyork-demographics.com/cayuga-county-demographics" TargetMode="External"/><Relationship Id="rId36" Type="http://schemas.openxmlformats.org/officeDocument/2006/relationships/hyperlink" Target="https://www.newyork-demographics.com/cattaraugus-county-demographics" TargetMode="External"/><Relationship Id="rId39" Type="http://schemas.openxmlformats.org/officeDocument/2006/relationships/hyperlink" Target="https://www.newyork-demographics.com/warren-county-demographics" TargetMode="External"/><Relationship Id="rId38" Type="http://schemas.openxmlformats.org/officeDocument/2006/relationships/hyperlink" Target="https://www.newyork-demographics.com/madison-county-demographics" TargetMode="External"/><Relationship Id="rId62" Type="http://schemas.openxmlformats.org/officeDocument/2006/relationships/hyperlink" Target="https://www.newyork-demographics.com/schuyler-county-demographics" TargetMode="External"/><Relationship Id="rId61" Type="http://schemas.openxmlformats.org/officeDocument/2006/relationships/hyperlink" Target="https://www.newyork-demographics.com/yates-county-demographics" TargetMode="External"/><Relationship Id="rId20" Type="http://schemas.openxmlformats.org/officeDocument/2006/relationships/hyperlink" Target="https://www.newyork-demographics.com/broome-county-demographics" TargetMode="External"/><Relationship Id="rId64" Type="http://schemas.openxmlformats.org/officeDocument/2006/relationships/drawing" Target="../drawings/drawing6.xml"/><Relationship Id="rId63" Type="http://schemas.openxmlformats.org/officeDocument/2006/relationships/hyperlink" Target="https://www.newyork-demographics.com/hamilton-county-demographics" TargetMode="External"/><Relationship Id="rId22" Type="http://schemas.openxmlformats.org/officeDocument/2006/relationships/hyperlink" Target="https://www.newyork-demographics.com/rensselaer-county-demographics" TargetMode="External"/><Relationship Id="rId21" Type="http://schemas.openxmlformats.org/officeDocument/2006/relationships/hyperlink" Target="https://www.newyork-demographics.com/ulster-county-demographics" TargetMode="External"/><Relationship Id="rId65" Type="http://schemas.openxmlformats.org/officeDocument/2006/relationships/vmlDrawing" Target="../drawings/vmlDrawing2.vml"/><Relationship Id="rId24" Type="http://schemas.openxmlformats.org/officeDocument/2006/relationships/hyperlink" Target="https://www.newyork-demographics.com/chautauqua-county-demographics" TargetMode="External"/><Relationship Id="rId23" Type="http://schemas.openxmlformats.org/officeDocument/2006/relationships/hyperlink" Target="https://www.newyork-demographics.com/schenectady-county-demographics" TargetMode="External"/><Relationship Id="rId60" Type="http://schemas.openxmlformats.org/officeDocument/2006/relationships/hyperlink" Target="https://www.newyork-demographics.com/lewis-county-demographics" TargetMode="External"/><Relationship Id="rId26" Type="http://schemas.openxmlformats.org/officeDocument/2006/relationships/hyperlink" Target="https://www.newyork-demographics.com/jefferson-county-demographics" TargetMode="External"/><Relationship Id="rId25" Type="http://schemas.openxmlformats.org/officeDocument/2006/relationships/hyperlink" Target="https://www.newyork-demographics.com/oswego-county-demographics" TargetMode="External"/><Relationship Id="rId28" Type="http://schemas.openxmlformats.org/officeDocument/2006/relationships/hyperlink" Target="https://www.newyork-demographics.com/st-lawrence-county-demographics" TargetMode="External"/><Relationship Id="rId27" Type="http://schemas.openxmlformats.org/officeDocument/2006/relationships/hyperlink" Target="https://www.newyork-demographics.com/ontario-county-demographics" TargetMode="External"/><Relationship Id="rId29" Type="http://schemas.openxmlformats.org/officeDocument/2006/relationships/hyperlink" Target="https://www.newyork-demographics.com/tompkins-county-demographics" TargetMode="External"/><Relationship Id="rId51" Type="http://schemas.openxmlformats.org/officeDocument/2006/relationships/hyperlink" Target="https://www.newyork-demographics.com/chenango-county-demographics" TargetMode="External"/><Relationship Id="rId50" Type="http://schemas.openxmlformats.org/officeDocument/2006/relationships/hyperlink" Target="https://www.newyork-demographics.com/franklin-county-demographics" TargetMode="External"/><Relationship Id="rId53" Type="http://schemas.openxmlformats.org/officeDocument/2006/relationships/hyperlink" Target="https://www.newyork-demographics.com/allegany-county-demographics" TargetMode="External"/><Relationship Id="rId52" Type="http://schemas.openxmlformats.org/officeDocument/2006/relationships/hyperlink" Target="https://www.newyork-demographics.com/cortland-county-demographics" TargetMode="External"/><Relationship Id="rId11" Type="http://schemas.openxmlformats.org/officeDocument/2006/relationships/hyperlink" Target="https://www.newyork-demographics.com/richmond-county-demographics" TargetMode="External"/><Relationship Id="rId55" Type="http://schemas.openxmlformats.org/officeDocument/2006/relationships/hyperlink" Target="https://www.newyork-demographics.com/wyoming-county-demographics" TargetMode="External"/><Relationship Id="rId10" Type="http://schemas.openxmlformats.org/officeDocument/2006/relationships/hyperlink" Target="https://www.newyork-demographics.com/monroe-county-demographics" TargetMode="External"/><Relationship Id="rId54" Type="http://schemas.openxmlformats.org/officeDocument/2006/relationships/hyperlink" Target="https://www.newyork-demographics.com/delaware-county-demographics" TargetMode="External"/><Relationship Id="rId13" Type="http://schemas.openxmlformats.org/officeDocument/2006/relationships/hyperlink" Target="https://www.newyork-demographics.com/orange-county-demographics" TargetMode="External"/><Relationship Id="rId57" Type="http://schemas.openxmlformats.org/officeDocument/2006/relationships/hyperlink" Target="https://www.newyork-demographics.com/essex-county-demographics" TargetMode="External"/><Relationship Id="rId12" Type="http://schemas.openxmlformats.org/officeDocument/2006/relationships/hyperlink" Target="https://www.newyork-demographics.com/onondaga-county-demographics" TargetMode="External"/><Relationship Id="rId56" Type="http://schemas.openxmlformats.org/officeDocument/2006/relationships/hyperlink" Target="https://www.newyork-demographics.com/orleans-county-demographics" TargetMode="External"/><Relationship Id="rId15" Type="http://schemas.openxmlformats.org/officeDocument/2006/relationships/hyperlink" Target="https://www.newyork-demographics.com/albany-county-demographics" TargetMode="External"/><Relationship Id="rId59" Type="http://schemas.openxmlformats.org/officeDocument/2006/relationships/hyperlink" Target="https://www.newyork-demographics.com/schoharie-county-demographics" TargetMode="External"/><Relationship Id="rId14" Type="http://schemas.openxmlformats.org/officeDocument/2006/relationships/hyperlink" Target="https://www.newyork-demographics.com/rockland-county-demographics" TargetMode="External"/><Relationship Id="rId58" Type="http://schemas.openxmlformats.org/officeDocument/2006/relationships/hyperlink" Target="https://www.newyork-demographics.com/seneca-county-demographics" TargetMode="External"/><Relationship Id="rId17" Type="http://schemas.openxmlformats.org/officeDocument/2006/relationships/hyperlink" Target="https://www.newyork-demographics.com/saratoga-county-demographics" TargetMode="External"/><Relationship Id="rId16" Type="http://schemas.openxmlformats.org/officeDocument/2006/relationships/hyperlink" Target="https://www.newyork-demographics.com/dutchess-county-demographics" TargetMode="External"/><Relationship Id="rId19" Type="http://schemas.openxmlformats.org/officeDocument/2006/relationships/hyperlink" Target="https://www.newyork-demographics.com/niagara-county-demographics" TargetMode="External"/><Relationship Id="rId18" Type="http://schemas.openxmlformats.org/officeDocument/2006/relationships/hyperlink" Target="https://www.newyork-demographics.com/oneida-county-demographics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sus.gov/construction/nrc/pdf/quarterly_starts_completions.pdf" TargetMode="External"/><Relationship Id="rId2" Type="http://schemas.openxmlformats.org/officeDocument/2006/relationships/hyperlink" Target="https://learnmetrics.com/heating-btu-calculator/" TargetMode="External"/><Relationship Id="rId3" Type="http://schemas.openxmlformats.org/officeDocument/2006/relationships/hyperlink" Target="https://learnmetrics.com/how-many-btu-air-conditioner-do-i-need-air-conditioner/" TargetMode="External"/><Relationship Id="rId4" Type="http://schemas.openxmlformats.org/officeDocument/2006/relationships/hyperlink" Target="https://www.nahb.org/blog/2021/09/which-heating-and-cooling-systems-are-most-common-for-new-homes/" TargetMode="External"/><Relationship Id="rId9" Type="http://schemas.openxmlformats.org/officeDocument/2006/relationships/hyperlink" Target="https://www.nyserda.ny.gov/researchers-and-policymakers/energy-prices/propane/monthly-average-propane-prices" TargetMode="External"/><Relationship Id="rId5" Type="http://schemas.openxmlformats.org/officeDocument/2006/relationships/hyperlink" Target="https://5estimates.com/central-ac-replacement-cost-in-new-york-ny/" TargetMode="External"/><Relationship Id="rId6" Type="http://schemas.openxmlformats.org/officeDocument/2006/relationships/hyperlink" Target="https://www.eia.gov/analysis/studies/buildings/equipcosts/pdf/full.pdf" TargetMode="External"/><Relationship Id="rId7" Type="http://schemas.openxmlformats.org/officeDocument/2006/relationships/hyperlink" Target="mailto:jpvelez@gmail.com" TargetMode="External"/><Relationship Id="rId8" Type="http://schemas.openxmlformats.org/officeDocument/2006/relationships/hyperlink" Target="https://propanedeal.com/states/propane-new-york-ny" TargetMode="External"/><Relationship Id="rId11" Type="http://schemas.openxmlformats.org/officeDocument/2006/relationships/drawing" Target="../drawings/drawing11.xml"/><Relationship Id="rId10" Type="http://schemas.openxmlformats.org/officeDocument/2006/relationships/hyperlink" Target="https://www.homeblue.com/heat-pump/new-york-ny-heat-pump-cost.htm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sus.gov/construction/nrc/pdf/quarterly_starts_completions.pdf" TargetMode="External"/><Relationship Id="rId2" Type="http://schemas.openxmlformats.org/officeDocument/2006/relationships/hyperlink" Target="https://learnmetrics.com/heating-btu-calculator/" TargetMode="External"/><Relationship Id="rId3" Type="http://schemas.openxmlformats.org/officeDocument/2006/relationships/hyperlink" Target="https://learnmetrics.com/how-many-btu-air-conditioner-do-i-need-air-conditioner/" TargetMode="External"/><Relationship Id="rId4" Type="http://schemas.openxmlformats.org/officeDocument/2006/relationships/hyperlink" Target="https://www.nahb.org/blog/2021/09/which-heating-and-cooling-systems-are-most-common-for-new-homes/" TargetMode="External"/><Relationship Id="rId9" Type="http://schemas.openxmlformats.org/officeDocument/2006/relationships/hyperlink" Target="https://propanedeal.com/states/propane-new-york-ny" TargetMode="External"/><Relationship Id="rId5" Type="http://schemas.openxmlformats.org/officeDocument/2006/relationships/hyperlink" Target="https://5estimates.com/central-ac-replacement-cost-in-new-york-ny/" TargetMode="External"/><Relationship Id="rId6" Type="http://schemas.openxmlformats.org/officeDocument/2006/relationships/hyperlink" Target="https://www.eia.gov/analysis/studies/buildings/equipcosts/pdf/full.pdf" TargetMode="External"/><Relationship Id="rId7" Type="http://schemas.openxmlformats.org/officeDocument/2006/relationships/hyperlink" Target="https://ycharts.com/indicators/us_residential_propane_price" TargetMode="External"/><Relationship Id="rId8" Type="http://schemas.openxmlformats.org/officeDocument/2006/relationships/hyperlink" Target="https://www.eia.gov/analysis/studies/buildings/equipcosts/pdf/full.pdf" TargetMode="External"/><Relationship Id="rId11" Type="http://schemas.openxmlformats.org/officeDocument/2006/relationships/hyperlink" Target="https://www.homeblue.com/heat-pump/new-york-ny-heat-pump-cost.htm" TargetMode="External"/><Relationship Id="rId10" Type="http://schemas.openxmlformats.org/officeDocument/2006/relationships/hyperlink" Target="https://www.nyserda.ny.gov/researchers-and-policymakers/energy-prices/propane/monthly-average-propane-prices" TargetMode="External"/><Relationship Id="rId1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5.25"/>
    <col customWidth="1" min="2" max="2" width="2.13"/>
    <col customWidth="1" min="3" max="3" width="34.38"/>
    <col customWidth="1" min="4" max="4" width="18.88"/>
    <col customWidth="1" min="5" max="5" width="12.63"/>
    <col customWidth="1" min="11" max="11" width="4.75"/>
    <col customWidth="1" min="12" max="12" width="23.38"/>
    <col customWidth="1" min="14" max="14" width="27.63"/>
    <col customWidth="1" min="16" max="17" width="23.13"/>
  </cols>
  <sheetData>
    <row r="1">
      <c r="A1" s="1" t="s">
        <v>0</v>
      </c>
      <c r="B1" s="2"/>
      <c r="C1" s="3"/>
      <c r="E1" s="4"/>
      <c r="F1" s="4"/>
      <c r="G1" s="5"/>
      <c r="H1" s="6"/>
      <c r="I1" s="4"/>
      <c r="J1" s="5"/>
      <c r="K1" s="7"/>
      <c r="L1" s="7" t="s">
        <v>1</v>
      </c>
      <c r="N1" s="8"/>
      <c r="O1" s="8"/>
      <c r="P1" s="8"/>
      <c r="Q1" s="8"/>
    </row>
    <row r="2">
      <c r="A2" s="1" t="s">
        <v>2</v>
      </c>
      <c r="B2" s="9"/>
      <c r="C2" s="10"/>
      <c r="E2" s="11" t="s">
        <v>3</v>
      </c>
      <c r="H2" s="12" t="s">
        <v>4</v>
      </c>
      <c r="J2" s="13"/>
      <c r="K2" s="14"/>
      <c r="L2" s="14"/>
    </row>
    <row r="3">
      <c r="B3" s="9"/>
      <c r="C3" s="10"/>
      <c r="D3" s="7" t="s">
        <v>5</v>
      </c>
      <c r="E3" s="11" t="s">
        <v>6</v>
      </c>
      <c r="F3" s="11" t="s">
        <v>7</v>
      </c>
      <c r="G3" s="15" t="s">
        <v>8</v>
      </c>
      <c r="H3" s="12" t="s">
        <v>6</v>
      </c>
      <c r="I3" s="11" t="s">
        <v>7</v>
      </c>
      <c r="J3" s="15" t="s">
        <v>8</v>
      </c>
      <c r="K3" s="14"/>
      <c r="L3" s="14" t="s">
        <v>9</v>
      </c>
      <c r="M3" s="7" t="s">
        <v>10</v>
      </c>
    </row>
    <row r="4">
      <c r="A4" s="16" t="s">
        <v>11</v>
      </c>
      <c r="B4" s="17"/>
      <c r="C4" s="18"/>
      <c r="D4" s="19"/>
      <c r="E4" s="19"/>
      <c r="F4" s="19"/>
      <c r="G4" s="20"/>
      <c r="H4" s="21"/>
      <c r="I4" s="19"/>
      <c r="J4" s="20"/>
      <c r="K4" s="22"/>
      <c r="L4" s="22"/>
      <c r="M4" s="19"/>
      <c r="N4" s="19"/>
      <c r="O4" s="19"/>
      <c r="P4" s="19"/>
      <c r="Q4" s="19"/>
    </row>
    <row r="5">
      <c r="A5" s="23"/>
      <c r="B5" s="9"/>
      <c r="C5" s="10" t="s">
        <v>12</v>
      </c>
      <c r="D5" s="10" t="s">
        <v>13</v>
      </c>
      <c r="E5" s="24">
        <f>'Fuel costs'!$B$10 * 0.01</f>
        <v>0.216569697</v>
      </c>
      <c r="F5" s="24">
        <f>'Fuel costs'!$B$10 * 0.01</f>
        <v>0.216569697</v>
      </c>
      <c r="G5" s="25">
        <f>'Fuel costs'!$B$10 * 0.01</f>
        <v>0.216569697</v>
      </c>
      <c r="H5" s="26">
        <f>'Fuel costs'!$B$10 * 0.01</f>
        <v>0.216569697</v>
      </c>
      <c r="I5" s="24">
        <f>'Fuel costs'!$B$10 * 0.01</f>
        <v>0.216569697</v>
      </c>
      <c r="J5" s="25">
        <f>'Fuel costs'!$B$10 * 0.01</f>
        <v>0.216569697</v>
      </c>
      <c r="K5" s="27"/>
      <c r="L5" s="27" t="s">
        <v>14</v>
      </c>
      <c r="M5" s="28" t="s">
        <v>15</v>
      </c>
    </row>
    <row r="6">
      <c r="A6" s="23"/>
      <c r="B6" s="9"/>
      <c r="C6" s="10" t="s">
        <v>16</v>
      </c>
      <c r="D6" s="10" t="s">
        <v>17</v>
      </c>
      <c r="E6" s="29">
        <f>'Fuel costs'!$B$22</f>
        <v>15.2921875</v>
      </c>
      <c r="F6" s="29">
        <f>'Fuel costs'!$B$22</f>
        <v>15.2921875</v>
      </c>
      <c r="G6" s="30">
        <f>'Fuel costs'!$B$22</f>
        <v>15.2921875</v>
      </c>
      <c r="H6" s="31">
        <f>'Fuel costs'!$B$34 * 0.01</f>
        <v>3.234878788</v>
      </c>
      <c r="I6" s="29">
        <f>'Fuel costs'!$B$34 * 0.01</f>
        <v>3.234878788</v>
      </c>
      <c r="J6" s="30">
        <f>'Fuel costs'!$B$34 * 0.01</f>
        <v>3.234878788</v>
      </c>
      <c r="K6" s="27"/>
      <c r="L6" s="27" t="s">
        <v>18</v>
      </c>
      <c r="M6" s="28" t="s">
        <v>15</v>
      </c>
    </row>
    <row r="7">
      <c r="A7" s="32"/>
      <c r="B7" s="23"/>
      <c r="C7" s="33"/>
      <c r="G7" s="34"/>
      <c r="H7" s="35"/>
      <c r="J7" s="34"/>
      <c r="K7" s="36"/>
      <c r="L7" s="36"/>
    </row>
    <row r="8">
      <c r="A8" s="16" t="s">
        <v>19</v>
      </c>
      <c r="B8" s="17"/>
      <c r="C8" s="18"/>
      <c r="D8" s="19"/>
      <c r="E8" s="19"/>
      <c r="F8" s="19"/>
      <c r="G8" s="20"/>
      <c r="H8" s="21"/>
      <c r="I8" s="19"/>
      <c r="J8" s="20"/>
      <c r="K8" s="22"/>
      <c r="L8" s="22"/>
      <c r="M8" s="19"/>
      <c r="N8" s="19"/>
      <c r="O8" s="19"/>
      <c r="P8" s="19"/>
      <c r="Q8" s="19"/>
    </row>
    <row r="9">
      <c r="B9" s="9" t="s">
        <v>20</v>
      </c>
      <c r="C9" s="10"/>
      <c r="D9" s="7"/>
      <c r="E9" s="37"/>
      <c r="F9" s="37"/>
      <c r="G9" s="38"/>
      <c r="H9" s="39"/>
      <c r="I9" s="37"/>
      <c r="J9" s="38"/>
      <c r="K9" s="40"/>
      <c r="L9" s="40"/>
      <c r="M9" s="41"/>
    </row>
    <row r="10">
      <c r="B10" s="9"/>
      <c r="C10" s="10" t="s">
        <v>21</v>
      </c>
      <c r="D10" s="7" t="s">
        <v>22</v>
      </c>
      <c r="E10" s="42">
        <v>2363.0</v>
      </c>
      <c r="F10" s="42">
        <v>2363.0</v>
      </c>
      <c r="G10" s="43">
        <v>2363.0</v>
      </c>
      <c r="H10" s="44">
        <v>2363.0</v>
      </c>
      <c r="I10" s="42">
        <v>2363.0</v>
      </c>
      <c r="J10" s="43">
        <v>2363.0</v>
      </c>
      <c r="K10" s="40"/>
      <c r="L10" s="45" t="s">
        <v>23</v>
      </c>
      <c r="M10" s="41" t="s">
        <v>24</v>
      </c>
    </row>
    <row r="11">
      <c r="B11" s="9"/>
      <c r="C11" s="10" t="s">
        <v>25</v>
      </c>
      <c r="D11" s="7" t="s">
        <v>26</v>
      </c>
      <c r="E11" s="46">
        <v>2.0</v>
      </c>
      <c r="F11" s="47">
        <v>2.0</v>
      </c>
      <c r="G11" s="48">
        <v>2.0</v>
      </c>
      <c r="H11" s="49">
        <v>2.0</v>
      </c>
      <c r="I11" s="47">
        <v>2.0</v>
      </c>
      <c r="J11" s="48">
        <v>2.0</v>
      </c>
      <c r="K11" s="14"/>
      <c r="L11" s="14"/>
    </row>
    <row r="12">
      <c r="B12" s="9"/>
      <c r="C12" s="10" t="s">
        <v>27</v>
      </c>
      <c r="D12" s="7" t="s">
        <v>28</v>
      </c>
      <c r="E12" s="50">
        <f t="shared" ref="E12:J12" si="1">SQRT(E10/E11)</f>
        <v>34.37295448</v>
      </c>
      <c r="F12" s="50">
        <f t="shared" si="1"/>
        <v>34.37295448</v>
      </c>
      <c r="G12" s="51">
        <f t="shared" si="1"/>
        <v>34.37295448</v>
      </c>
      <c r="H12" s="50">
        <f t="shared" si="1"/>
        <v>34.37295448</v>
      </c>
      <c r="I12" s="50">
        <f t="shared" si="1"/>
        <v>34.37295448</v>
      </c>
      <c r="J12" s="51">
        <f t="shared" si="1"/>
        <v>34.37295448</v>
      </c>
      <c r="K12" s="14"/>
      <c r="L12" s="14"/>
      <c r="M12" s="7" t="s">
        <v>29</v>
      </c>
      <c r="P12" s="52"/>
    </row>
    <row r="13">
      <c r="B13" s="9"/>
      <c r="C13" s="10" t="s">
        <v>30</v>
      </c>
      <c r="D13" s="7" t="s">
        <v>28</v>
      </c>
      <c r="E13" s="47">
        <v>10.0</v>
      </c>
      <c r="F13" s="47">
        <v>10.0</v>
      </c>
      <c r="G13" s="48">
        <v>10.0</v>
      </c>
      <c r="H13" s="47">
        <v>10.0</v>
      </c>
      <c r="I13" s="47">
        <v>10.0</v>
      </c>
      <c r="J13" s="48">
        <v>10.0</v>
      </c>
      <c r="K13" s="14"/>
      <c r="L13" s="53" t="s">
        <v>31</v>
      </c>
      <c r="M13" s="7"/>
      <c r="P13" s="52"/>
    </row>
    <row r="14">
      <c r="B14" s="9"/>
      <c r="C14" s="10" t="s">
        <v>32</v>
      </c>
      <c r="D14" s="7" t="s">
        <v>22</v>
      </c>
      <c r="E14" s="50">
        <f t="shared" ref="E14:J14" si="2">(E12*4)*(E11*E13)</f>
        <v>2749.836359</v>
      </c>
      <c r="F14" s="50">
        <f t="shared" si="2"/>
        <v>2749.836359</v>
      </c>
      <c r="G14" s="51">
        <f t="shared" si="2"/>
        <v>2749.836359</v>
      </c>
      <c r="H14" s="54">
        <f t="shared" si="2"/>
        <v>2749.836359</v>
      </c>
      <c r="I14" s="50">
        <f t="shared" si="2"/>
        <v>2749.836359</v>
      </c>
      <c r="J14" s="51">
        <f t="shared" si="2"/>
        <v>2749.836359</v>
      </c>
      <c r="K14" s="14"/>
      <c r="L14" s="14"/>
      <c r="M14" s="50"/>
      <c r="N14" s="50"/>
      <c r="O14" s="50"/>
      <c r="P14" s="50"/>
      <c r="Q14" s="50"/>
    </row>
    <row r="15">
      <c r="B15" s="9"/>
      <c r="C15" s="10" t="s">
        <v>33</v>
      </c>
      <c r="D15" s="7" t="s">
        <v>22</v>
      </c>
      <c r="E15" s="50">
        <f t="shared" ref="E15:J15" si="3">E10/2</f>
        <v>1181.5</v>
      </c>
      <c r="F15" s="50">
        <f t="shared" si="3"/>
        <v>1181.5</v>
      </c>
      <c r="G15" s="51">
        <f t="shared" si="3"/>
        <v>1181.5</v>
      </c>
      <c r="H15" s="54">
        <f t="shared" si="3"/>
        <v>1181.5</v>
      </c>
      <c r="I15" s="50">
        <f t="shared" si="3"/>
        <v>1181.5</v>
      </c>
      <c r="J15" s="51">
        <f t="shared" si="3"/>
        <v>1181.5</v>
      </c>
      <c r="K15" s="14"/>
      <c r="L15" s="14"/>
      <c r="M15" s="7" t="s">
        <v>34</v>
      </c>
      <c r="P15" s="52"/>
    </row>
    <row r="16">
      <c r="B16" s="9"/>
      <c r="C16" s="10" t="s">
        <v>35</v>
      </c>
      <c r="D16" s="7" t="s">
        <v>36</v>
      </c>
      <c r="E16" s="55">
        <v>0.2</v>
      </c>
      <c r="F16" s="55">
        <v>0.2</v>
      </c>
      <c r="G16" s="56">
        <v>0.2</v>
      </c>
      <c r="H16" s="55">
        <v>0.2</v>
      </c>
      <c r="I16" s="55">
        <v>0.2</v>
      </c>
      <c r="J16" s="56">
        <v>0.2</v>
      </c>
      <c r="K16" s="14"/>
      <c r="L16" s="53" t="s">
        <v>37</v>
      </c>
      <c r="M16" s="7" t="s">
        <v>38</v>
      </c>
      <c r="P16" s="52"/>
    </row>
    <row r="17">
      <c r="B17" s="9"/>
      <c r="C17" s="10" t="s">
        <v>39</v>
      </c>
      <c r="D17" s="7" t="s">
        <v>22</v>
      </c>
      <c r="E17" s="50">
        <f t="shared" ref="E17:J17" si="4">E14*(1-E16)</f>
        <v>2199.869087</v>
      </c>
      <c r="F17" s="50">
        <f t="shared" si="4"/>
        <v>2199.869087</v>
      </c>
      <c r="G17" s="51">
        <f t="shared" si="4"/>
        <v>2199.869087</v>
      </c>
      <c r="H17" s="54">
        <f t="shared" si="4"/>
        <v>2199.869087</v>
      </c>
      <c r="I17" s="50">
        <f t="shared" si="4"/>
        <v>2199.869087</v>
      </c>
      <c r="J17" s="51">
        <f t="shared" si="4"/>
        <v>2199.869087</v>
      </c>
      <c r="K17" s="14"/>
      <c r="L17" s="14"/>
      <c r="M17" s="7"/>
    </row>
    <row r="18">
      <c r="B18" s="9"/>
      <c r="C18" s="10" t="s">
        <v>40</v>
      </c>
      <c r="D18" s="7" t="s">
        <v>22</v>
      </c>
      <c r="E18" s="50">
        <f t="shared" ref="E18:J18" si="5">E14*E16</f>
        <v>549.9672718</v>
      </c>
      <c r="F18" s="50">
        <f t="shared" si="5"/>
        <v>549.9672718</v>
      </c>
      <c r="G18" s="51">
        <f t="shared" si="5"/>
        <v>549.9672718</v>
      </c>
      <c r="H18" s="54">
        <f t="shared" si="5"/>
        <v>549.9672718</v>
      </c>
      <c r="I18" s="50">
        <f t="shared" si="5"/>
        <v>549.9672718</v>
      </c>
      <c r="J18" s="51">
        <f t="shared" si="5"/>
        <v>549.9672718</v>
      </c>
      <c r="K18" s="14"/>
      <c r="L18" s="14"/>
      <c r="M18" s="7"/>
    </row>
    <row r="19">
      <c r="B19" s="9"/>
      <c r="C19" s="10" t="s">
        <v>41</v>
      </c>
      <c r="D19" s="7" t="s">
        <v>28</v>
      </c>
      <c r="E19" s="47">
        <v>2.0</v>
      </c>
      <c r="F19" s="47">
        <v>2.0</v>
      </c>
      <c r="G19" s="48">
        <v>2.0</v>
      </c>
      <c r="H19" s="47">
        <v>2.0</v>
      </c>
      <c r="I19" s="47">
        <v>2.0</v>
      </c>
      <c r="J19" s="48">
        <v>2.0</v>
      </c>
      <c r="K19" s="14"/>
      <c r="L19" s="14"/>
      <c r="M19" s="7"/>
    </row>
    <row r="20">
      <c r="B20" s="9"/>
      <c r="C20" s="10" t="s">
        <v>42</v>
      </c>
      <c r="D20" s="7" t="s">
        <v>28</v>
      </c>
      <c r="E20" s="47">
        <v>8.0</v>
      </c>
      <c r="F20" s="47">
        <v>8.0</v>
      </c>
      <c r="G20" s="48">
        <v>8.0</v>
      </c>
      <c r="H20" s="47">
        <v>8.0</v>
      </c>
      <c r="I20" s="47">
        <v>8.0</v>
      </c>
      <c r="J20" s="48">
        <v>8.0</v>
      </c>
      <c r="K20" s="14"/>
      <c r="L20" s="14"/>
      <c r="M20" s="7"/>
    </row>
    <row r="21">
      <c r="B21" s="9"/>
      <c r="C21" s="10" t="s">
        <v>43</v>
      </c>
      <c r="D21" s="7" t="s">
        <v>44</v>
      </c>
      <c r="E21" s="50">
        <f t="shared" ref="E21:J21" si="6">(4*E19*E12)</f>
        <v>274.9836359</v>
      </c>
      <c r="F21" s="50">
        <f t="shared" si="6"/>
        <v>274.9836359</v>
      </c>
      <c r="G21" s="51">
        <f t="shared" si="6"/>
        <v>274.9836359</v>
      </c>
      <c r="H21" s="50">
        <f t="shared" si="6"/>
        <v>274.9836359</v>
      </c>
      <c r="I21" s="50">
        <f t="shared" si="6"/>
        <v>274.9836359</v>
      </c>
      <c r="J21" s="51">
        <f t="shared" si="6"/>
        <v>274.9836359</v>
      </c>
      <c r="K21" s="14"/>
      <c r="L21" s="14"/>
      <c r="M21" s="7"/>
    </row>
    <row r="22">
      <c r="B22" s="9"/>
      <c r="C22" s="10" t="s">
        <v>45</v>
      </c>
      <c r="D22" s="7" t="s">
        <v>22</v>
      </c>
      <c r="E22" s="50">
        <f t="shared" ref="E22:J22" si="7">(4*E20*E12)</f>
        <v>1099.934544</v>
      </c>
      <c r="F22" s="50">
        <f t="shared" si="7"/>
        <v>1099.934544</v>
      </c>
      <c r="G22" s="51">
        <f t="shared" si="7"/>
        <v>1099.934544</v>
      </c>
      <c r="H22" s="50">
        <f t="shared" si="7"/>
        <v>1099.934544</v>
      </c>
      <c r="I22" s="50">
        <f t="shared" si="7"/>
        <v>1099.934544</v>
      </c>
      <c r="J22" s="51">
        <f t="shared" si="7"/>
        <v>1099.934544</v>
      </c>
      <c r="K22" s="14"/>
      <c r="L22" s="14"/>
      <c r="M22" s="7"/>
    </row>
    <row r="23">
      <c r="B23" s="9"/>
      <c r="C23" s="10" t="s">
        <v>46</v>
      </c>
      <c r="D23" s="7" t="s">
        <v>28</v>
      </c>
      <c r="E23" s="50">
        <f t="shared" ref="E23:J23" si="8">E12*4</f>
        <v>137.4918179</v>
      </c>
      <c r="F23" s="50">
        <f t="shared" si="8"/>
        <v>137.4918179</v>
      </c>
      <c r="G23" s="51">
        <f t="shared" si="8"/>
        <v>137.4918179</v>
      </c>
      <c r="H23" s="50">
        <f t="shared" si="8"/>
        <v>137.4918179</v>
      </c>
      <c r="I23" s="50">
        <f t="shared" si="8"/>
        <v>137.4918179</v>
      </c>
      <c r="J23" s="51">
        <f t="shared" si="8"/>
        <v>137.4918179</v>
      </c>
      <c r="K23" s="14"/>
      <c r="L23" s="14"/>
      <c r="M23" s="7"/>
    </row>
    <row r="24">
      <c r="B24" s="9"/>
      <c r="C24" s="10" t="s">
        <v>47</v>
      </c>
      <c r="D24" s="7" t="s">
        <v>44</v>
      </c>
      <c r="E24" s="50">
        <f t="shared" ref="E24:J24" si="9">E10*E13+(E19+E20)*E10/2</f>
        <v>35445</v>
      </c>
      <c r="F24" s="50">
        <f t="shared" si="9"/>
        <v>35445</v>
      </c>
      <c r="G24" s="51">
        <f t="shared" si="9"/>
        <v>35445</v>
      </c>
      <c r="H24" s="50">
        <f t="shared" si="9"/>
        <v>35445</v>
      </c>
      <c r="I24" s="50">
        <f t="shared" si="9"/>
        <v>35445</v>
      </c>
      <c r="J24" s="51">
        <f t="shared" si="9"/>
        <v>35445</v>
      </c>
      <c r="K24" s="14"/>
      <c r="L24" s="14"/>
      <c r="M24" s="7"/>
      <c r="P24" s="52"/>
    </row>
    <row r="25">
      <c r="B25" s="9"/>
      <c r="C25" s="10"/>
      <c r="D25" s="7"/>
      <c r="E25" s="50"/>
      <c r="F25" s="50"/>
      <c r="G25" s="51"/>
      <c r="H25" s="54"/>
      <c r="I25" s="50"/>
      <c r="J25" s="51"/>
      <c r="K25" s="14"/>
      <c r="L25" s="14"/>
      <c r="M25" s="7"/>
    </row>
    <row r="26">
      <c r="B26" s="9" t="s">
        <v>48</v>
      </c>
      <c r="C26" s="10"/>
      <c r="D26" s="7"/>
      <c r="E26" s="50"/>
      <c r="F26" s="50"/>
      <c r="G26" s="51"/>
      <c r="H26" s="54"/>
      <c r="I26" s="50"/>
      <c r="J26" s="51"/>
      <c r="K26" s="14"/>
      <c r="L26" s="53" t="s">
        <v>49</v>
      </c>
      <c r="M26" s="7" t="s">
        <v>50</v>
      </c>
    </row>
    <row r="27">
      <c r="B27" s="9"/>
      <c r="C27" s="10" t="s">
        <v>51</v>
      </c>
      <c r="D27" s="7" t="s">
        <v>52</v>
      </c>
      <c r="E27" s="46">
        <v>49.0</v>
      </c>
      <c r="F27" s="46">
        <v>49.0</v>
      </c>
      <c r="G27" s="57">
        <v>49.0</v>
      </c>
      <c r="H27" s="46">
        <v>49.0</v>
      </c>
      <c r="I27" s="46">
        <v>49.0</v>
      </c>
      <c r="J27" s="57">
        <v>49.0</v>
      </c>
      <c r="K27" s="58"/>
      <c r="L27" s="59" t="s">
        <v>53</v>
      </c>
      <c r="M27" s="7" t="s">
        <v>54</v>
      </c>
    </row>
    <row r="28">
      <c r="B28" s="9"/>
      <c r="C28" s="10" t="s">
        <v>55</v>
      </c>
      <c r="D28" s="7" t="s">
        <v>52</v>
      </c>
      <c r="E28" s="46">
        <v>30.0</v>
      </c>
      <c r="F28" s="46">
        <v>30.0</v>
      </c>
      <c r="G28" s="57">
        <v>30.0</v>
      </c>
      <c r="H28" s="46">
        <v>30.0</v>
      </c>
      <c r="I28" s="46">
        <v>30.0</v>
      </c>
      <c r="J28" s="57">
        <v>30.0</v>
      </c>
      <c r="K28" s="58"/>
      <c r="L28" s="59" t="s">
        <v>53</v>
      </c>
      <c r="M28" s="7" t="s">
        <v>54</v>
      </c>
    </row>
    <row r="29">
      <c r="B29" s="9"/>
      <c r="C29" s="10" t="s">
        <v>56</v>
      </c>
      <c r="D29" s="7" t="s">
        <v>52</v>
      </c>
      <c r="E29" s="60">
        <f t="shared" ref="E29:J29" si="10">1/0.27</f>
        <v>3.703703704</v>
      </c>
      <c r="F29" s="60">
        <f t="shared" si="10"/>
        <v>3.703703704</v>
      </c>
      <c r="G29" s="61">
        <f t="shared" si="10"/>
        <v>3.703703704</v>
      </c>
      <c r="H29" s="60">
        <f t="shared" si="10"/>
        <v>3.703703704</v>
      </c>
      <c r="I29" s="60">
        <f t="shared" si="10"/>
        <v>3.703703704</v>
      </c>
      <c r="J29" s="61">
        <f t="shared" si="10"/>
        <v>3.703703704</v>
      </c>
      <c r="K29" s="58"/>
      <c r="L29" s="59" t="s">
        <v>53</v>
      </c>
      <c r="M29" s="7" t="s">
        <v>57</v>
      </c>
    </row>
    <row r="30">
      <c r="B30" s="9"/>
      <c r="C30" s="10" t="s">
        <v>58</v>
      </c>
      <c r="D30" s="7" t="s">
        <v>52</v>
      </c>
      <c r="E30" s="46">
        <v>15.0</v>
      </c>
      <c r="F30" s="46">
        <v>15.0</v>
      </c>
      <c r="G30" s="57">
        <v>15.0</v>
      </c>
      <c r="H30" s="46">
        <v>15.0</v>
      </c>
      <c r="I30" s="46">
        <v>15.0</v>
      </c>
      <c r="J30" s="57">
        <v>15.0</v>
      </c>
      <c r="K30" s="58"/>
      <c r="L30" s="59" t="s">
        <v>53</v>
      </c>
      <c r="M30" s="7" t="s">
        <v>54</v>
      </c>
    </row>
    <row r="31">
      <c r="B31" s="9"/>
      <c r="C31" s="10" t="s">
        <v>59</v>
      </c>
      <c r="D31" s="7" t="s">
        <v>60</v>
      </c>
      <c r="E31" s="62">
        <v>0.55</v>
      </c>
      <c r="F31" s="62">
        <v>0.55</v>
      </c>
      <c r="G31" s="63">
        <v>0.55</v>
      </c>
      <c r="H31" s="62">
        <v>0.55</v>
      </c>
      <c r="I31" s="62">
        <v>0.55</v>
      </c>
      <c r="J31" s="63">
        <v>0.55</v>
      </c>
      <c r="K31" s="58"/>
      <c r="L31" s="59" t="s">
        <v>53</v>
      </c>
      <c r="M31" s="7" t="s">
        <v>61</v>
      </c>
    </row>
    <row r="32">
      <c r="B32" s="9"/>
      <c r="C32" s="10" t="s">
        <v>62</v>
      </c>
      <c r="D32" s="7" t="s">
        <v>63</v>
      </c>
      <c r="E32" s="60">
        <v>3.0</v>
      </c>
      <c r="F32" s="60">
        <v>3.0</v>
      </c>
      <c r="G32" s="61">
        <v>2.5</v>
      </c>
      <c r="H32" s="60">
        <v>3.0</v>
      </c>
      <c r="I32" s="60">
        <v>3.0</v>
      </c>
      <c r="J32" s="61">
        <v>2.5</v>
      </c>
      <c r="K32" s="58"/>
      <c r="L32" s="59" t="s">
        <v>53</v>
      </c>
      <c r="M32" s="7" t="s">
        <v>64</v>
      </c>
    </row>
    <row r="33">
      <c r="B33" s="9"/>
      <c r="C33" s="10" t="s">
        <v>65</v>
      </c>
      <c r="D33" s="7" t="s">
        <v>66</v>
      </c>
      <c r="E33" s="50">
        <f t="shared" ref="E33:J33" si="11">E15/E27</f>
        <v>24.1122449</v>
      </c>
      <c r="F33" s="50">
        <f t="shared" si="11"/>
        <v>24.1122449</v>
      </c>
      <c r="G33" s="51">
        <f t="shared" si="11"/>
        <v>24.1122449</v>
      </c>
      <c r="H33" s="50">
        <f t="shared" si="11"/>
        <v>24.1122449</v>
      </c>
      <c r="I33" s="50">
        <f t="shared" si="11"/>
        <v>24.1122449</v>
      </c>
      <c r="J33" s="51">
        <f t="shared" si="11"/>
        <v>24.1122449</v>
      </c>
      <c r="K33" s="14"/>
      <c r="L33" s="53" t="s">
        <v>67</v>
      </c>
      <c r="M33" s="7"/>
    </row>
    <row r="34">
      <c r="B34" s="9"/>
      <c r="C34" s="10" t="s">
        <v>68</v>
      </c>
      <c r="D34" s="7" t="s">
        <v>66</v>
      </c>
      <c r="E34" s="47">
        <f t="shared" ref="E34:J34" si="12">E17/E28</f>
        <v>73.32896957</v>
      </c>
      <c r="F34" s="47">
        <f t="shared" si="12"/>
        <v>73.32896957</v>
      </c>
      <c r="G34" s="48">
        <f t="shared" si="12"/>
        <v>73.32896957</v>
      </c>
      <c r="H34" s="47">
        <f t="shared" si="12"/>
        <v>73.32896957</v>
      </c>
      <c r="I34" s="47">
        <f t="shared" si="12"/>
        <v>73.32896957</v>
      </c>
      <c r="J34" s="48">
        <f t="shared" si="12"/>
        <v>73.32896957</v>
      </c>
      <c r="K34" s="14"/>
      <c r="L34" s="53" t="s">
        <v>67</v>
      </c>
      <c r="M34" s="7"/>
    </row>
    <row r="35">
      <c r="B35" s="9"/>
      <c r="C35" s="10" t="s">
        <v>69</v>
      </c>
      <c r="D35" s="7" t="s">
        <v>66</v>
      </c>
      <c r="E35" s="50">
        <f t="shared" ref="E35:J35" si="13">E18/E29</f>
        <v>148.4911634</v>
      </c>
      <c r="F35" s="50">
        <f t="shared" si="13"/>
        <v>148.4911634</v>
      </c>
      <c r="G35" s="51">
        <f t="shared" si="13"/>
        <v>148.4911634</v>
      </c>
      <c r="H35" s="50">
        <f t="shared" si="13"/>
        <v>148.4911634</v>
      </c>
      <c r="I35" s="50">
        <f t="shared" si="13"/>
        <v>148.4911634</v>
      </c>
      <c r="J35" s="51">
        <f t="shared" si="13"/>
        <v>148.4911634</v>
      </c>
      <c r="K35" s="14"/>
      <c r="L35" s="53" t="s">
        <v>67</v>
      </c>
      <c r="M35" s="7"/>
    </row>
    <row r="36">
      <c r="B36" s="9"/>
      <c r="C36" s="10" t="s">
        <v>70</v>
      </c>
      <c r="D36" s="7" t="s">
        <v>66</v>
      </c>
      <c r="E36" s="50">
        <f t="shared" ref="E36:J36" si="14">E21/E30</f>
        <v>18.33224239</v>
      </c>
      <c r="F36" s="50">
        <f t="shared" si="14"/>
        <v>18.33224239</v>
      </c>
      <c r="G36" s="51">
        <f t="shared" si="14"/>
        <v>18.33224239</v>
      </c>
      <c r="H36" s="50">
        <f t="shared" si="14"/>
        <v>18.33224239</v>
      </c>
      <c r="I36" s="50">
        <f t="shared" si="14"/>
        <v>18.33224239</v>
      </c>
      <c r="J36" s="51">
        <f t="shared" si="14"/>
        <v>18.33224239</v>
      </c>
      <c r="K36" s="14"/>
      <c r="L36" s="53" t="s">
        <v>67</v>
      </c>
      <c r="M36" s="7"/>
    </row>
    <row r="37">
      <c r="B37" s="9"/>
      <c r="C37" s="10" t="s">
        <v>71</v>
      </c>
      <c r="D37" s="7" t="s">
        <v>66</v>
      </c>
      <c r="E37" s="50">
        <f t="shared" ref="E37:J37" si="15">(0.018*(E32/20)*E24)</f>
        <v>95.7015</v>
      </c>
      <c r="F37" s="50">
        <f t="shared" si="15"/>
        <v>95.7015</v>
      </c>
      <c r="G37" s="51">
        <f t="shared" si="15"/>
        <v>79.75125</v>
      </c>
      <c r="H37" s="50">
        <f t="shared" si="15"/>
        <v>95.7015</v>
      </c>
      <c r="I37" s="50">
        <f t="shared" si="15"/>
        <v>95.7015</v>
      </c>
      <c r="J37" s="51">
        <f t="shared" si="15"/>
        <v>79.75125</v>
      </c>
      <c r="K37" s="14"/>
      <c r="L37" s="53" t="s">
        <v>72</v>
      </c>
      <c r="M37" s="7" t="s">
        <v>73</v>
      </c>
    </row>
    <row r="38">
      <c r="B38" s="9"/>
      <c r="C38" s="10" t="s">
        <v>74</v>
      </c>
      <c r="D38" s="7" t="s">
        <v>66</v>
      </c>
      <c r="E38" s="50">
        <f t="shared" ref="E38:J38" si="16">E22/E30</f>
        <v>73.32896957</v>
      </c>
      <c r="F38" s="50">
        <f t="shared" si="16"/>
        <v>73.32896957</v>
      </c>
      <c r="G38" s="51">
        <f t="shared" si="16"/>
        <v>73.32896957</v>
      </c>
      <c r="H38" s="50">
        <f t="shared" si="16"/>
        <v>73.32896957</v>
      </c>
      <c r="I38" s="50">
        <f t="shared" si="16"/>
        <v>73.32896957</v>
      </c>
      <c r="J38" s="51">
        <f t="shared" si="16"/>
        <v>73.32896957</v>
      </c>
      <c r="K38" s="14"/>
      <c r="L38" s="53" t="s">
        <v>67</v>
      </c>
      <c r="M38" s="7" t="s">
        <v>75</v>
      </c>
    </row>
    <row r="39">
      <c r="B39" s="9"/>
      <c r="C39" s="10" t="s">
        <v>76</v>
      </c>
      <c r="D39" s="7" t="s">
        <v>66</v>
      </c>
      <c r="E39" s="50">
        <f t="shared" ref="E39:J39" si="17">E23*E31</f>
        <v>75.62049987</v>
      </c>
      <c r="F39" s="50">
        <f t="shared" si="17"/>
        <v>75.62049987</v>
      </c>
      <c r="G39" s="51">
        <f t="shared" si="17"/>
        <v>75.62049987</v>
      </c>
      <c r="H39" s="50">
        <f t="shared" si="17"/>
        <v>75.62049987</v>
      </c>
      <c r="I39" s="50">
        <f t="shared" si="17"/>
        <v>75.62049987</v>
      </c>
      <c r="J39" s="51">
        <f t="shared" si="17"/>
        <v>75.62049987</v>
      </c>
      <c r="K39" s="14"/>
      <c r="L39" s="53" t="s">
        <v>77</v>
      </c>
      <c r="M39" s="7"/>
    </row>
    <row r="40">
      <c r="B40" s="9"/>
      <c r="C40" s="10" t="s">
        <v>78</v>
      </c>
      <c r="D40" s="7" t="s">
        <v>66</v>
      </c>
      <c r="E40" s="50">
        <f t="shared" ref="E40:J40" si="18">SUM(E33:E39)</f>
        <v>508.9155897</v>
      </c>
      <c r="F40" s="50">
        <f t="shared" si="18"/>
        <v>508.9155897</v>
      </c>
      <c r="G40" s="51">
        <f t="shared" si="18"/>
        <v>492.9653397</v>
      </c>
      <c r="H40" s="50">
        <f t="shared" si="18"/>
        <v>508.9155897</v>
      </c>
      <c r="I40" s="50">
        <f t="shared" si="18"/>
        <v>508.9155897</v>
      </c>
      <c r="J40" s="51">
        <f t="shared" si="18"/>
        <v>492.9653397</v>
      </c>
      <c r="M40" s="64"/>
    </row>
    <row r="41">
      <c r="B41" s="9"/>
      <c r="C41" s="10"/>
      <c r="D41" s="7"/>
      <c r="E41" s="50"/>
      <c r="F41" s="50"/>
      <c r="G41" s="51"/>
      <c r="H41" s="54"/>
      <c r="I41" s="50"/>
      <c r="J41" s="51"/>
      <c r="K41" s="14"/>
      <c r="L41" s="14"/>
      <c r="M41" s="7"/>
    </row>
    <row r="42">
      <c r="B42" s="9" t="s">
        <v>79</v>
      </c>
      <c r="C42" s="10"/>
      <c r="D42" s="7"/>
      <c r="E42" s="50"/>
      <c r="F42" s="50"/>
      <c r="G42" s="51"/>
      <c r="H42" s="54"/>
      <c r="I42" s="50"/>
      <c r="J42" s="51"/>
      <c r="K42" s="14"/>
      <c r="L42" s="14"/>
      <c r="M42" s="7"/>
    </row>
    <row r="43">
      <c r="B43" s="9"/>
      <c r="C43" s="10" t="s">
        <v>80</v>
      </c>
      <c r="D43" s="7" t="s">
        <v>81</v>
      </c>
      <c r="E43" s="65">
        <v>4500.0</v>
      </c>
      <c r="F43" s="46">
        <v>6300.0</v>
      </c>
      <c r="G43" s="57">
        <v>8100.0</v>
      </c>
      <c r="H43" s="66">
        <v>4500.0</v>
      </c>
      <c r="I43" s="46">
        <v>6300.0</v>
      </c>
      <c r="J43" s="57">
        <v>8100.0</v>
      </c>
      <c r="K43" s="58"/>
      <c r="L43" s="59" t="s">
        <v>82</v>
      </c>
      <c r="M43" s="7" t="s">
        <v>83</v>
      </c>
    </row>
    <row r="44">
      <c r="B44" s="9"/>
      <c r="C44" s="10" t="s">
        <v>84</v>
      </c>
      <c r="D44" s="7" t="s">
        <v>81</v>
      </c>
      <c r="E44" s="47">
        <v>358.0</v>
      </c>
      <c r="F44" s="47">
        <v>358.0</v>
      </c>
      <c r="G44" s="48">
        <v>358.0</v>
      </c>
      <c r="H44" s="49">
        <v>358.0</v>
      </c>
      <c r="I44" s="47">
        <v>358.0</v>
      </c>
      <c r="J44" s="48">
        <v>358.0</v>
      </c>
      <c r="K44" s="67"/>
      <c r="L44" s="68" t="s">
        <v>85</v>
      </c>
      <c r="M44" s="7" t="s">
        <v>86</v>
      </c>
    </row>
    <row r="45">
      <c r="B45" s="9"/>
      <c r="C45" s="10" t="s">
        <v>87</v>
      </c>
      <c r="D45" s="7" t="s">
        <v>81</v>
      </c>
      <c r="E45" s="50">
        <f t="shared" ref="E45:J45" si="19">E43-E44</f>
        <v>4142</v>
      </c>
      <c r="F45" s="50">
        <f t="shared" si="19"/>
        <v>5942</v>
      </c>
      <c r="G45" s="51">
        <f t="shared" si="19"/>
        <v>7742</v>
      </c>
      <c r="H45" s="54">
        <f t="shared" si="19"/>
        <v>4142</v>
      </c>
      <c r="I45" s="50">
        <f t="shared" si="19"/>
        <v>5942</v>
      </c>
      <c r="J45" s="51">
        <f t="shared" si="19"/>
        <v>7742</v>
      </c>
      <c r="K45" s="58"/>
      <c r="L45" s="58"/>
      <c r="M45" s="7" t="s">
        <v>88</v>
      </c>
    </row>
    <row r="46">
      <c r="B46" s="9"/>
      <c r="C46" s="10" t="s">
        <v>89</v>
      </c>
      <c r="D46" s="7" t="s">
        <v>90</v>
      </c>
      <c r="E46" s="50">
        <f t="shared" ref="E46:J46" si="20">E45*E40*24</f>
        <v>50590280.94</v>
      </c>
      <c r="F46" s="50">
        <f t="shared" si="20"/>
        <v>72575434.41</v>
      </c>
      <c r="G46" s="51">
        <f t="shared" si="20"/>
        <v>91596903.83</v>
      </c>
      <c r="H46" s="50">
        <f t="shared" si="20"/>
        <v>50590280.94</v>
      </c>
      <c r="I46" s="50">
        <f t="shared" si="20"/>
        <v>72575434.41</v>
      </c>
      <c r="J46" s="51">
        <f t="shared" si="20"/>
        <v>91596903.83</v>
      </c>
      <c r="K46" s="14"/>
      <c r="L46" s="53" t="s">
        <v>67</v>
      </c>
      <c r="M46" s="7"/>
    </row>
    <row r="47">
      <c r="B47" s="9"/>
      <c r="C47" s="10"/>
      <c r="D47" s="7"/>
      <c r="E47" s="50"/>
      <c r="F47" s="50"/>
      <c r="G47" s="51"/>
      <c r="H47" s="54"/>
      <c r="I47" s="50"/>
      <c r="J47" s="51"/>
      <c r="K47" s="14"/>
      <c r="L47" s="14"/>
      <c r="M47" s="7"/>
    </row>
    <row r="48">
      <c r="B48" s="9" t="s">
        <v>91</v>
      </c>
      <c r="C48" s="10"/>
      <c r="D48" s="7"/>
      <c r="E48" s="50"/>
      <c r="F48" s="50"/>
      <c r="G48" s="51"/>
      <c r="H48" s="54"/>
      <c r="I48" s="50"/>
      <c r="J48" s="51"/>
      <c r="K48" s="14"/>
      <c r="L48" s="53" t="s">
        <v>49</v>
      </c>
      <c r="M48" s="7"/>
    </row>
    <row r="49">
      <c r="B49" s="9"/>
      <c r="C49" s="10" t="s">
        <v>92</v>
      </c>
      <c r="D49" s="7" t="s">
        <v>93</v>
      </c>
      <c r="E49" s="69">
        <f>'County information'!$J$66</f>
        <v>13.78657968</v>
      </c>
      <c r="F49" s="69">
        <f>'County information'!$J$67</f>
        <v>4.487698413</v>
      </c>
      <c r="G49" s="70">
        <f>'County information'!$J$68</f>
        <v>-1.675202156</v>
      </c>
      <c r="H49" s="69">
        <f>'County information'!$J$66</f>
        <v>13.78657968</v>
      </c>
      <c r="I49" s="69">
        <f>'County information'!$J$67</f>
        <v>4.487698413</v>
      </c>
      <c r="J49" s="70">
        <f>'County information'!$J$68</f>
        <v>-1.675202156</v>
      </c>
      <c r="K49" s="14"/>
      <c r="L49" s="53" t="s">
        <v>94</v>
      </c>
      <c r="M49" s="7" t="s">
        <v>95</v>
      </c>
    </row>
    <row r="50">
      <c r="B50" s="9"/>
      <c r="C50" s="10" t="s">
        <v>96</v>
      </c>
      <c r="D50" s="7" t="s">
        <v>90</v>
      </c>
      <c r="E50" s="50">
        <f t="shared" ref="E50:J50" si="21">-2164</f>
        <v>-2164</v>
      </c>
      <c r="F50" s="50">
        <f t="shared" si="21"/>
        <v>-2164</v>
      </c>
      <c r="G50" s="51">
        <f t="shared" si="21"/>
        <v>-2164</v>
      </c>
      <c r="H50" s="50">
        <f t="shared" si="21"/>
        <v>-2164</v>
      </c>
      <c r="I50" s="50">
        <f t="shared" si="21"/>
        <v>-2164</v>
      </c>
      <c r="J50" s="51">
        <f t="shared" si="21"/>
        <v>-2164</v>
      </c>
      <c r="K50" s="67"/>
      <c r="L50" s="68" t="s">
        <v>97</v>
      </c>
      <c r="M50" s="71" t="s">
        <v>98</v>
      </c>
    </row>
    <row r="51">
      <c r="A51" s="23"/>
      <c r="B51" s="23"/>
      <c r="C51" s="10" t="s">
        <v>99</v>
      </c>
      <c r="D51" s="7" t="s">
        <v>93</v>
      </c>
      <c r="E51" s="7">
        <v>70.0</v>
      </c>
      <c r="F51" s="7">
        <v>70.0</v>
      </c>
      <c r="G51" s="72">
        <v>70.0</v>
      </c>
      <c r="H51" s="7">
        <v>70.0</v>
      </c>
      <c r="I51" s="7">
        <v>70.0</v>
      </c>
      <c r="J51" s="72">
        <v>70.0</v>
      </c>
      <c r="K51" s="58"/>
      <c r="L51" s="59" t="s">
        <v>53</v>
      </c>
      <c r="M51" s="7" t="s">
        <v>100</v>
      </c>
      <c r="O51" s="11"/>
      <c r="P51" s="11"/>
      <c r="Q51" s="11"/>
    </row>
    <row r="52">
      <c r="A52" s="23"/>
      <c r="B52" s="23"/>
      <c r="C52" s="10" t="s">
        <v>101</v>
      </c>
      <c r="D52" s="7" t="s">
        <v>102</v>
      </c>
      <c r="E52" s="73">
        <f t="shared" ref="E52:J52" si="22">E51-E49</f>
        <v>56.21342032</v>
      </c>
      <c r="F52" s="73">
        <f t="shared" si="22"/>
        <v>65.51230159</v>
      </c>
      <c r="G52" s="74">
        <f t="shared" si="22"/>
        <v>71.67520216</v>
      </c>
      <c r="H52" s="73">
        <f t="shared" si="22"/>
        <v>56.21342032</v>
      </c>
      <c r="I52" s="73">
        <f t="shared" si="22"/>
        <v>65.51230159</v>
      </c>
      <c r="J52" s="74">
        <f t="shared" si="22"/>
        <v>71.67520216</v>
      </c>
      <c r="K52" s="36"/>
      <c r="L52" s="36"/>
      <c r="M52" s="7" t="s">
        <v>103</v>
      </c>
      <c r="O52" s="11"/>
      <c r="P52" s="11"/>
      <c r="Q52" s="11"/>
    </row>
    <row r="53">
      <c r="A53" s="23"/>
      <c r="B53" s="23"/>
      <c r="C53" s="10" t="s">
        <v>104</v>
      </c>
      <c r="D53" s="7" t="s">
        <v>105</v>
      </c>
      <c r="E53" s="73">
        <f t="shared" ref="E53:J53" si="23">(E40*E52+E50)</f>
        <v>26443.88595</v>
      </c>
      <c r="F53" s="73">
        <f t="shared" si="23"/>
        <v>31176.23159</v>
      </c>
      <c r="G53" s="74">
        <f t="shared" si="23"/>
        <v>33169.39038</v>
      </c>
      <c r="H53" s="73">
        <f t="shared" si="23"/>
        <v>26443.88595</v>
      </c>
      <c r="I53" s="73">
        <f t="shared" si="23"/>
        <v>31176.23159</v>
      </c>
      <c r="J53" s="74">
        <f t="shared" si="23"/>
        <v>33169.39038</v>
      </c>
      <c r="K53" s="36"/>
      <c r="L53" s="36"/>
      <c r="M53" s="7" t="s">
        <v>106</v>
      </c>
      <c r="O53" s="11"/>
      <c r="P53" s="11"/>
      <c r="Q53" s="11"/>
    </row>
    <row r="54">
      <c r="A54" s="23"/>
      <c r="B54" s="23"/>
      <c r="C54" s="10" t="s">
        <v>107</v>
      </c>
      <c r="D54" s="7" t="s">
        <v>36</v>
      </c>
      <c r="E54" s="75">
        <v>1.25</v>
      </c>
      <c r="F54" s="75">
        <v>1.25</v>
      </c>
      <c r="G54" s="76">
        <v>1.25</v>
      </c>
      <c r="H54" s="75">
        <v>1.25</v>
      </c>
      <c r="I54" s="75">
        <v>1.25</v>
      </c>
      <c r="J54" s="76">
        <v>1.25</v>
      </c>
      <c r="K54" s="58"/>
      <c r="L54" s="59" t="s">
        <v>108</v>
      </c>
      <c r="M54" s="7" t="s">
        <v>109</v>
      </c>
      <c r="O54" s="11"/>
      <c r="P54" s="11"/>
      <c r="Q54" s="11"/>
    </row>
    <row r="55">
      <c r="A55" s="23"/>
      <c r="B55" s="23"/>
      <c r="C55" s="10" t="s">
        <v>110</v>
      </c>
      <c r="D55" s="7" t="s">
        <v>105</v>
      </c>
      <c r="E55" s="50">
        <f t="shared" ref="E55:J55" si="24">E53*E54</f>
        <v>33054.85743</v>
      </c>
      <c r="F55" s="50">
        <f t="shared" si="24"/>
        <v>38970.28949</v>
      </c>
      <c r="G55" s="51">
        <f t="shared" si="24"/>
        <v>41461.73797</v>
      </c>
      <c r="H55" s="50">
        <f t="shared" si="24"/>
        <v>33054.85743</v>
      </c>
      <c r="I55" s="50">
        <f t="shared" si="24"/>
        <v>38970.28949</v>
      </c>
      <c r="J55" s="51">
        <f t="shared" si="24"/>
        <v>41461.73797</v>
      </c>
      <c r="K55" s="58"/>
      <c r="L55" s="58"/>
      <c r="M55" s="7"/>
      <c r="O55" s="11"/>
      <c r="P55" s="11"/>
      <c r="Q55" s="11"/>
    </row>
    <row r="56">
      <c r="A56" s="23"/>
      <c r="B56" s="23"/>
      <c r="C56" s="33"/>
      <c r="G56" s="34"/>
      <c r="H56" s="35"/>
      <c r="J56" s="34"/>
      <c r="K56" s="36"/>
      <c r="L56" s="36"/>
      <c r="O56" s="11"/>
      <c r="Q56" s="11"/>
    </row>
    <row r="57">
      <c r="A57" s="77" t="s">
        <v>111</v>
      </c>
      <c r="B57" s="17"/>
      <c r="C57" s="18"/>
      <c r="D57" s="19"/>
      <c r="E57" s="19"/>
      <c r="F57" s="19"/>
      <c r="G57" s="20"/>
      <c r="H57" s="21"/>
      <c r="I57" s="19"/>
      <c r="J57" s="20"/>
      <c r="K57" s="78"/>
      <c r="L57" s="78"/>
      <c r="M57" s="19"/>
      <c r="N57" s="19"/>
      <c r="O57" s="19"/>
      <c r="P57" s="19"/>
      <c r="Q57" s="19"/>
    </row>
    <row r="58">
      <c r="A58" s="79" t="s">
        <v>112</v>
      </c>
      <c r="B58" s="23"/>
      <c r="C58" s="33"/>
      <c r="G58" s="34"/>
      <c r="H58" s="35"/>
      <c r="J58" s="34"/>
      <c r="K58" s="14"/>
      <c r="L58" s="14"/>
      <c r="N58" s="7"/>
      <c r="O58" s="11"/>
      <c r="P58" s="11"/>
      <c r="Q58" s="11"/>
    </row>
    <row r="59">
      <c r="A59" s="23"/>
      <c r="B59" s="9"/>
      <c r="C59" s="10" t="s">
        <v>113</v>
      </c>
      <c r="D59" s="7" t="s">
        <v>114</v>
      </c>
      <c r="E59" s="80">
        <f>'Equipment costs'!$N$4</f>
        <v>1713.714286</v>
      </c>
      <c r="F59" s="80">
        <f>'Equipment costs'!$N$4</f>
        <v>1713.714286</v>
      </c>
      <c r="G59" s="81">
        <f>'Equipment costs'!$N$4</f>
        <v>1713.714286</v>
      </c>
      <c r="H59" s="80">
        <f>'Equipment costs'!$N$4</f>
        <v>1713.714286</v>
      </c>
      <c r="I59" s="80">
        <f>'Equipment costs'!$N$4</f>
        <v>1713.714286</v>
      </c>
      <c r="J59" s="81">
        <f>'Equipment costs'!$N$4</f>
        <v>1713.714286</v>
      </c>
      <c r="K59" s="27"/>
      <c r="L59" s="27" t="s">
        <v>115</v>
      </c>
      <c r="M59" s="9" t="s">
        <v>116</v>
      </c>
    </row>
    <row r="60">
      <c r="A60" s="23"/>
      <c r="B60" s="9"/>
      <c r="C60" s="10"/>
      <c r="D60" s="7"/>
      <c r="E60" s="80"/>
      <c r="F60" s="82"/>
      <c r="G60" s="83"/>
      <c r="H60" s="84"/>
      <c r="I60" s="82"/>
      <c r="J60" s="83"/>
      <c r="K60" s="58"/>
      <c r="L60" s="58"/>
      <c r="M60" s="9"/>
    </row>
    <row r="61">
      <c r="A61" s="23"/>
      <c r="B61" s="9"/>
      <c r="C61" s="10" t="s">
        <v>117</v>
      </c>
      <c r="D61" s="7" t="s">
        <v>114</v>
      </c>
      <c r="E61" s="85">
        <v>0.0</v>
      </c>
      <c r="F61" s="85">
        <v>0.0</v>
      </c>
      <c r="G61" s="86">
        <v>0.0</v>
      </c>
      <c r="H61" s="87">
        <v>1400.0</v>
      </c>
      <c r="I61" s="88">
        <v>1400.0</v>
      </c>
      <c r="J61" s="89">
        <v>1400.0</v>
      </c>
      <c r="K61" s="58"/>
      <c r="L61" s="59" t="s">
        <v>118</v>
      </c>
      <c r="M61" s="9" t="s">
        <v>119</v>
      </c>
    </row>
    <row r="62">
      <c r="A62" s="23"/>
      <c r="B62" s="9"/>
      <c r="C62" s="10" t="s">
        <v>120</v>
      </c>
      <c r="D62" s="7" t="s">
        <v>114</v>
      </c>
      <c r="E62" s="90">
        <f t="shared" ref="E62:J62" si="25">E59+E61</f>
        <v>1713.714286</v>
      </c>
      <c r="F62" s="90">
        <f t="shared" si="25"/>
        <v>1713.714286</v>
      </c>
      <c r="G62" s="91">
        <f t="shared" si="25"/>
        <v>1713.714286</v>
      </c>
      <c r="H62" s="92">
        <f t="shared" si="25"/>
        <v>3113.714286</v>
      </c>
      <c r="I62" s="90">
        <f t="shared" si="25"/>
        <v>3113.714286</v>
      </c>
      <c r="J62" s="91">
        <f t="shared" si="25"/>
        <v>3113.714286</v>
      </c>
      <c r="K62" s="58"/>
      <c r="L62" s="58"/>
      <c r="M62" s="9"/>
    </row>
    <row r="63">
      <c r="A63" s="23"/>
      <c r="B63" s="9"/>
      <c r="C63" s="10" t="s">
        <v>121</v>
      </c>
      <c r="D63" s="7" t="s">
        <v>122</v>
      </c>
      <c r="E63" s="62">
        <v>0.95</v>
      </c>
      <c r="F63" s="62">
        <v>0.95</v>
      </c>
      <c r="G63" s="63">
        <v>0.95</v>
      </c>
      <c r="H63" s="62">
        <v>0.95</v>
      </c>
      <c r="I63" s="62">
        <v>0.95</v>
      </c>
      <c r="J63" s="63">
        <v>0.95</v>
      </c>
      <c r="K63" s="58"/>
      <c r="L63" s="59" t="s">
        <v>123</v>
      </c>
      <c r="M63" s="9" t="s">
        <v>124</v>
      </c>
    </row>
    <row r="64">
      <c r="A64" s="23"/>
      <c r="B64" s="9"/>
      <c r="C64" s="10" t="s">
        <v>125</v>
      </c>
      <c r="D64" s="7" t="s">
        <v>126</v>
      </c>
      <c r="E64" s="47">
        <f t="shared" ref="E64:G64" si="26">1.037*10^6</f>
        <v>1037000</v>
      </c>
      <c r="F64" s="47">
        <f t="shared" si="26"/>
        <v>1037000</v>
      </c>
      <c r="G64" s="48">
        <f t="shared" si="26"/>
        <v>1037000</v>
      </c>
      <c r="H64" s="93">
        <v>91500.0</v>
      </c>
      <c r="I64" s="94">
        <v>91500.0</v>
      </c>
      <c r="J64" s="95">
        <v>91500.0</v>
      </c>
      <c r="K64" s="58"/>
      <c r="L64" s="59" t="s">
        <v>127</v>
      </c>
      <c r="M64" s="9"/>
    </row>
    <row r="65">
      <c r="A65" s="23"/>
      <c r="B65" s="9"/>
      <c r="C65" s="10" t="s">
        <v>128</v>
      </c>
      <c r="D65" s="10" t="s">
        <v>129</v>
      </c>
      <c r="E65" s="96">
        <f t="shared" ref="E65:J65" si="27">(E46/E64)/E63</f>
        <v>51.35287107</v>
      </c>
      <c r="F65" s="96">
        <f t="shared" si="27"/>
        <v>73.66942538</v>
      </c>
      <c r="G65" s="97">
        <f t="shared" si="27"/>
        <v>92.97762151</v>
      </c>
      <c r="H65" s="98">
        <f t="shared" si="27"/>
        <v>581.9992055</v>
      </c>
      <c r="I65" s="96">
        <f t="shared" si="27"/>
        <v>834.9201543</v>
      </c>
      <c r="J65" s="97">
        <f t="shared" si="27"/>
        <v>1053.746377</v>
      </c>
      <c r="K65" s="58"/>
      <c r="L65" s="58"/>
      <c r="M65" s="9"/>
      <c r="N65" s="9"/>
    </row>
    <row r="66">
      <c r="A66" s="23"/>
      <c r="B66" s="9"/>
      <c r="C66" s="10" t="s">
        <v>130</v>
      </c>
      <c r="D66" s="7" t="s">
        <v>114</v>
      </c>
      <c r="E66" s="99">
        <f t="shared" ref="E66:J66" si="28">E6*E65</f>
        <v>785.2977331</v>
      </c>
      <c r="F66" s="99">
        <f t="shared" si="28"/>
        <v>1126.566666</v>
      </c>
      <c r="G66" s="100">
        <f t="shared" si="28"/>
        <v>1421.831221</v>
      </c>
      <c r="H66" s="101">
        <f t="shared" si="28"/>
        <v>1882.696884</v>
      </c>
      <c r="I66" s="99">
        <f t="shared" si="28"/>
        <v>2700.865497</v>
      </c>
      <c r="J66" s="100">
        <f t="shared" si="28"/>
        <v>3408.741803</v>
      </c>
      <c r="K66" s="58"/>
      <c r="L66" s="58"/>
      <c r="M66" s="9"/>
    </row>
    <row r="67">
      <c r="A67" s="23"/>
      <c r="B67" s="9"/>
      <c r="C67" s="10" t="s">
        <v>131</v>
      </c>
      <c r="D67" s="7" t="s">
        <v>132</v>
      </c>
      <c r="E67" s="47">
        <f t="shared" ref="E67:J67" si="29">6</f>
        <v>6</v>
      </c>
      <c r="F67" s="47">
        <f t="shared" si="29"/>
        <v>6</v>
      </c>
      <c r="G67" s="48">
        <f t="shared" si="29"/>
        <v>6</v>
      </c>
      <c r="H67" s="49">
        <f t="shared" si="29"/>
        <v>6</v>
      </c>
      <c r="I67" s="47">
        <f t="shared" si="29"/>
        <v>6</v>
      </c>
      <c r="J67" s="48">
        <f t="shared" si="29"/>
        <v>6</v>
      </c>
      <c r="K67" s="14"/>
      <c r="L67" s="14"/>
      <c r="M67" s="9" t="s">
        <v>133</v>
      </c>
    </row>
    <row r="68">
      <c r="A68" s="23"/>
      <c r="B68" s="9"/>
      <c r="C68" s="10" t="s">
        <v>134</v>
      </c>
      <c r="D68" s="7" t="s">
        <v>135</v>
      </c>
      <c r="E68" s="50">
        <f t="shared" ref="E68:J68" si="30">E67*(E46/10^6)</f>
        <v>303.5416856</v>
      </c>
      <c r="F68" s="50">
        <f t="shared" si="30"/>
        <v>435.4526065</v>
      </c>
      <c r="G68" s="51">
        <f t="shared" si="30"/>
        <v>549.581423</v>
      </c>
      <c r="H68" s="54">
        <f t="shared" si="30"/>
        <v>303.5416856</v>
      </c>
      <c r="I68" s="50">
        <f t="shared" si="30"/>
        <v>435.4526065</v>
      </c>
      <c r="J68" s="51">
        <f t="shared" si="30"/>
        <v>549.581423</v>
      </c>
      <c r="K68" s="14"/>
      <c r="L68" s="53" t="s">
        <v>136</v>
      </c>
    </row>
    <row r="69">
      <c r="A69" s="23"/>
      <c r="B69" s="9"/>
      <c r="C69" s="102" t="s">
        <v>137</v>
      </c>
      <c r="D69" s="7" t="s">
        <v>114</v>
      </c>
      <c r="E69" s="103">
        <f t="shared" ref="E69:J69" si="31">E5*E68</f>
        <v>65.73793087</v>
      </c>
      <c r="F69" s="103">
        <f t="shared" si="31"/>
        <v>94.30583903</v>
      </c>
      <c r="G69" s="104">
        <f t="shared" si="31"/>
        <v>119.0226822</v>
      </c>
      <c r="H69" s="105">
        <f t="shared" si="31"/>
        <v>65.73793087</v>
      </c>
      <c r="I69" s="103">
        <f t="shared" si="31"/>
        <v>94.30583903</v>
      </c>
      <c r="J69" s="104">
        <f t="shared" si="31"/>
        <v>119.0226822</v>
      </c>
      <c r="M69" s="9"/>
    </row>
    <row r="70">
      <c r="A70" s="23"/>
      <c r="B70" s="9"/>
      <c r="C70" s="10" t="s">
        <v>138</v>
      </c>
      <c r="D70" s="7" t="s">
        <v>114</v>
      </c>
      <c r="E70" s="106">
        <v>250.0</v>
      </c>
      <c r="F70" s="106">
        <v>250.0</v>
      </c>
      <c r="G70" s="107">
        <v>250.0</v>
      </c>
      <c r="H70" s="106">
        <v>250.0</v>
      </c>
      <c r="I70" s="106">
        <v>250.0</v>
      </c>
      <c r="J70" s="107">
        <v>250.0</v>
      </c>
      <c r="K70" s="14"/>
      <c r="L70" s="53" t="s">
        <v>139</v>
      </c>
    </row>
    <row r="71">
      <c r="B71" s="9"/>
      <c r="C71" s="10" t="s">
        <v>140</v>
      </c>
      <c r="D71" s="7" t="s">
        <v>114</v>
      </c>
      <c r="E71" s="108">
        <f t="shared" ref="E71:J71" si="32">E70+E66+E69</f>
        <v>1101.035664</v>
      </c>
      <c r="F71" s="108">
        <f t="shared" si="32"/>
        <v>1470.872505</v>
      </c>
      <c r="G71" s="109">
        <f t="shared" si="32"/>
        <v>1790.853904</v>
      </c>
      <c r="H71" s="110">
        <f t="shared" si="32"/>
        <v>2198.434815</v>
      </c>
      <c r="I71" s="108">
        <f t="shared" si="32"/>
        <v>3045.171336</v>
      </c>
      <c r="J71" s="109">
        <f t="shared" si="32"/>
        <v>3777.764485</v>
      </c>
      <c r="K71" s="36"/>
      <c r="L71" s="36"/>
      <c r="M71" s="9"/>
    </row>
    <row r="72">
      <c r="B72" s="9"/>
      <c r="C72" s="10"/>
      <c r="G72" s="34"/>
      <c r="H72" s="35"/>
      <c r="J72" s="34"/>
      <c r="K72" s="36"/>
      <c r="L72" s="36"/>
    </row>
    <row r="73">
      <c r="A73" s="79" t="s">
        <v>141</v>
      </c>
      <c r="B73" s="23"/>
      <c r="C73" s="33"/>
      <c r="G73" s="34"/>
      <c r="H73" s="35"/>
      <c r="J73" s="34"/>
      <c r="K73" s="58"/>
      <c r="L73" s="58"/>
    </row>
    <row r="74">
      <c r="A74" s="23"/>
      <c r="B74" s="9"/>
      <c r="C74" s="10" t="s">
        <v>113</v>
      </c>
      <c r="D74" s="7" t="s">
        <v>114</v>
      </c>
      <c r="E74" s="111">
        <f>'Equipment costs'!$N$7</f>
        <v>2309.885</v>
      </c>
      <c r="F74" s="111">
        <f>'Equipment costs'!$N$7</f>
        <v>2309.885</v>
      </c>
      <c r="G74" s="112">
        <f>'Equipment costs'!$N$7</f>
        <v>2309.885</v>
      </c>
      <c r="H74" s="111">
        <f>'Equipment costs'!$N$7</f>
        <v>2309.885</v>
      </c>
      <c r="I74" s="111">
        <f>'Equipment costs'!$N$7</f>
        <v>2309.885</v>
      </c>
      <c r="J74" s="112">
        <f>'Equipment costs'!$N$7</f>
        <v>2309.885</v>
      </c>
      <c r="K74" s="27"/>
      <c r="L74" s="27" t="s">
        <v>142</v>
      </c>
      <c r="M74" s="7" t="s">
        <v>143</v>
      </c>
      <c r="N74" s="10"/>
    </row>
    <row r="75">
      <c r="A75" s="23"/>
      <c r="B75" s="9"/>
      <c r="C75" s="10"/>
      <c r="D75" s="7"/>
      <c r="E75" s="111"/>
      <c r="F75" s="111"/>
      <c r="G75" s="112"/>
      <c r="H75" s="113"/>
      <c r="I75" s="111"/>
      <c r="J75" s="112"/>
      <c r="K75" s="58"/>
      <c r="L75" s="58"/>
      <c r="M75" s="7" t="s">
        <v>144</v>
      </c>
      <c r="N75" s="10"/>
    </row>
    <row r="76">
      <c r="A76" s="23"/>
      <c r="B76" s="9"/>
      <c r="C76" s="10" t="s">
        <v>145</v>
      </c>
      <c r="D76" s="7" t="s">
        <v>114</v>
      </c>
      <c r="E76" s="90">
        <v>0.0</v>
      </c>
      <c r="F76" s="90">
        <v>0.0</v>
      </c>
      <c r="G76" s="91">
        <v>0.0</v>
      </c>
      <c r="H76" s="92">
        <v>0.0</v>
      </c>
      <c r="I76" s="90">
        <v>0.0</v>
      </c>
      <c r="J76" s="91">
        <v>0.0</v>
      </c>
      <c r="K76" s="36"/>
      <c r="L76" s="36"/>
      <c r="M76" s="7" t="s">
        <v>146</v>
      </c>
      <c r="N76" s="10"/>
    </row>
    <row r="77">
      <c r="A77" s="23"/>
      <c r="B77" s="9"/>
      <c r="C77" s="10" t="s">
        <v>138</v>
      </c>
      <c r="D77" s="7" t="s">
        <v>114</v>
      </c>
      <c r="E77" s="114">
        <v>229.0</v>
      </c>
      <c r="F77" s="114">
        <v>229.0</v>
      </c>
      <c r="G77" s="115">
        <v>229.0</v>
      </c>
      <c r="H77" s="116">
        <v>229.0</v>
      </c>
      <c r="I77" s="114">
        <v>229.0</v>
      </c>
      <c r="J77" s="115">
        <v>229.0</v>
      </c>
      <c r="K77" s="36"/>
      <c r="L77" s="36"/>
      <c r="M77" s="7"/>
      <c r="N77" s="10"/>
    </row>
    <row r="78">
      <c r="A78" s="23"/>
      <c r="B78" s="9"/>
      <c r="C78" s="10" t="s">
        <v>140</v>
      </c>
      <c r="D78" s="7" t="s">
        <v>114</v>
      </c>
      <c r="E78" s="103">
        <f t="shared" ref="E78:J78" si="33">E77+E76</f>
        <v>229</v>
      </c>
      <c r="F78" s="103">
        <f t="shared" si="33"/>
        <v>229</v>
      </c>
      <c r="G78" s="104">
        <f t="shared" si="33"/>
        <v>229</v>
      </c>
      <c r="H78" s="105">
        <f t="shared" si="33"/>
        <v>229</v>
      </c>
      <c r="I78" s="103">
        <f t="shared" si="33"/>
        <v>229</v>
      </c>
      <c r="J78" s="104">
        <f t="shared" si="33"/>
        <v>229</v>
      </c>
      <c r="K78" s="36"/>
      <c r="L78" s="36"/>
      <c r="N78" s="10"/>
    </row>
    <row r="79">
      <c r="B79" s="23"/>
      <c r="C79" s="33"/>
      <c r="G79" s="34"/>
      <c r="H79" s="35"/>
      <c r="J79" s="34"/>
      <c r="K79" s="36"/>
      <c r="L79" s="36"/>
      <c r="N79" s="10"/>
    </row>
    <row r="80">
      <c r="A80" s="79" t="s">
        <v>147</v>
      </c>
      <c r="B80" s="23"/>
      <c r="C80" s="33"/>
      <c r="G80" s="34"/>
      <c r="H80" s="35"/>
      <c r="J80" s="34"/>
      <c r="K80" s="27"/>
      <c r="L80" s="27"/>
    </row>
    <row r="81">
      <c r="A81" s="23"/>
      <c r="B81" s="9"/>
      <c r="C81" s="10" t="s">
        <v>113</v>
      </c>
      <c r="D81" s="7" t="s">
        <v>114</v>
      </c>
      <c r="E81" s="111">
        <f>'Equipment costs'!$N$6</f>
        <v>822.1</v>
      </c>
      <c r="F81" s="111">
        <f>'Equipment costs'!$N$6</f>
        <v>822.1</v>
      </c>
      <c r="G81" s="112">
        <f>'Equipment costs'!$N$6</f>
        <v>822.1</v>
      </c>
      <c r="H81" s="111">
        <f>'Equipment costs'!$N$6</f>
        <v>822.1</v>
      </c>
      <c r="I81" s="111">
        <f>'Equipment costs'!$N$6</f>
        <v>822.1</v>
      </c>
      <c r="J81" s="112">
        <f>'Equipment costs'!$N$6</f>
        <v>822.1</v>
      </c>
      <c r="K81" s="27"/>
      <c r="L81" s="27" t="s">
        <v>148</v>
      </c>
      <c r="M81" s="7" t="s">
        <v>149</v>
      </c>
    </row>
    <row r="82">
      <c r="A82" s="23"/>
      <c r="B82" s="9"/>
      <c r="C82" s="10"/>
      <c r="E82" s="111"/>
      <c r="F82" s="111"/>
      <c r="G82" s="112"/>
      <c r="H82" s="113"/>
      <c r="I82" s="111"/>
      <c r="J82" s="112"/>
      <c r="K82" s="27"/>
      <c r="L82" s="27"/>
      <c r="M82" s="7" t="s">
        <v>150</v>
      </c>
    </row>
    <row r="83">
      <c r="A83" s="23"/>
      <c r="B83" s="9"/>
      <c r="C83" s="10" t="s">
        <v>121</v>
      </c>
      <c r="D83" s="7" t="s">
        <v>151</v>
      </c>
      <c r="E83" s="117">
        <f t="shared" ref="E83:G83" si="34">0.02</f>
        <v>0.02</v>
      </c>
      <c r="F83" s="117">
        <f t="shared" si="34"/>
        <v>0.02</v>
      </c>
      <c r="G83" s="118">
        <f t="shared" si="34"/>
        <v>0.02</v>
      </c>
      <c r="H83" s="119">
        <v>0.58</v>
      </c>
      <c r="I83" s="117">
        <v>0.58</v>
      </c>
      <c r="J83" s="118">
        <v>0.58</v>
      </c>
      <c r="K83" s="58"/>
      <c r="L83" s="58" t="s">
        <v>152</v>
      </c>
    </row>
    <row r="84">
      <c r="A84" s="23"/>
      <c r="B84" s="9"/>
      <c r="C84" s="10" t="s">
        <v>153</v>
      </c>
      <c r="D84" s="7" t="s">
        <v>154</v>
      </c>
      <c r="E84" s="120">
        <v>2.0</v>
      </c>
      <c r="F84" s="120">
        <v>2.0</v>
      </c>
      <c r="G84" s="121">
        <v>2.0</v>
      </c>
      <c r="H84" s="122">
        <v>2.0</v>
      </c>
      <c r="I84" s="120">
        <v>2.0</v>
      </c>
      <c r="J84" s="121">
        <v>2.0</v>
      </c>
    </row>
    <row r="85">
      <c r="A85" s="9"/>
      <c r="B85" s="9"/>
      <c r="C85" s="10" t="s">
        <v>128</v>
      </c>
      <c r="D85" s="10" t="s">
        <v>129</v>
      </c>
      <c r="E85" s="96">
        <f t="shared" ref="E85:J85" si="35">365*E84*E83</f>
        <v>14.6</v>
      </c>
      <c r="F85" s="96">
        <f t="shared" si="35"/>
        <v>14.6</v>
      </c>
      <c r="G85" s="97">
        <f t="shared" si="35"/>
        <v>14.6</v>
      </c>
      <c r="H85" s="98">
        <f t="shared" si="35"/>
        <v>423.4</v>
      </c>
      <c r="I85" s="96">
        <f t="shared" si="35"/>
        <v>423.4</v>
      </c>
      <c r="J85" s="97">
        <f t="shared" si="35"/>
        <v>423.4</v>
      </c>
      <c r="K85" s="14"/>
      <c r="L85" s="14"/>
      <c r="M85" s="7"/>
    </row>
    <row r="86">
      <c r="A86" s="9"/>
      <c r="B86" s="9"/>
      <c r="C86" s="10" t="s">
        <v>130</v>
      </c>
      <c r="D86" s="7" t="s">
        <v>114</v>
      </c>
      <c r="E86" s="96">
        <f t="shared" ref="E86:J86" si="36">E85*E6</f>
        <v>223.2659375</v>
      </c>
      <c r="F86" s="96">
        <f t="shared" si="36"/>
        <v>223.2659375</v>
      </c>
      <c r="G86" s="97">
        <f t="shared" si="36"/>
        <v>223.2659375</v>
      </c>
      <c r="H86" s="98">
        <f t="shared" si="36"/>
        <v>1369.647679</v>
      </c>
      <c r="I86" s="96">
        <f t="shared" si="36"/>
        <v>1369.647679</v>
      </c>
      <c r="J86" s="97">
        <f t="shared" si="36"/>
        <v>1369.647679</v>
      </c>
      <c r="K86" s="14"/>
      <c r="L86" s="14"/>
      <c r="M86" s="7"/>
    </row>
    <row r="87">
      <c r="A87" s="9"/>
      <c r="B87" s="9"/>
      <c r="C87" s="10" t="s">
        <v>138</v>
      </c>
      <c r="D87" s="7" t="s">
        <v>114</v>
      </c>
      <c r="E87" s="106">
        <v>229.0</v>
      </c>
      <c r="F87" s="106">
        <v>229.0</v>
      </c>
      <c r="G87" s="107">
        <v>229.0</v>
      </c>
      <c r="H87" s="106">
        <v>229.0</v>
      </c>
      <c r="I87" s="106">
        <v>229.0</v>
      </c>
      <c r="J87" s="107">
        <v>229.0</v>
      </c>
      <c r="K87" s="36"/>
      <c r="L87" s="36"/>
      <c r="M87" s="7" t="s">
        <v>155</v>
      </c>
    </row>
    <row r="88">
      <c r="A88" s="9"/>
      <c r="B88" s="9"/>
      <c r="C88" s="10" t="s">
        <v>140</v>
      </c>
      <c r="D88" s="7" t="s">
        <v>114</v>
      </c>
      <c r="E88" s="103">
        <f t="shared" ref="E88:J88" si="37">E86+E87</f>
        <v>452.2659375</v>
      </c>
      <c r="F88" s="103">
        <f t="shared" si="37"/>
        <v>452.2659375</v>
      </c>
      <c r="G88" s="104">
        <f t="shared" si="37"/>
        <v>452.2659375</v>
      </c>
      <c r="H88" s="105">
        <f t="shared" si="37"/>
        <v>1598.647679</v>
      </c>
      <c r="I88" s="103">
        <f t="shared" si="37"/>
        <v>1598.647679</v>
      </c>
      <c r="J88" s="104">
        <f t="shared" si="37"/>
        <v>1598.647679</v>
      </c>
      <c r="K88" s="36"/>
      <c r="L88" s="36"/>
    </row>
    <row r="89">
      <c r="A89" s="9"/>
      <c r="B89" s="9"/>
      <c r="C89" s="10"/>
      <c r="E89" s="103"/>
      <c r="F89" s="103"/>
      <c r="G89" s="104"/>
      <c r="H89" s="105"/>
      <c r="I89" s="103"/>
      <c r="J89" s="104"/>
      <c r="K89" s="36"/>
      <c r="L89" s="36"/>
    </row>
    <row r="90">
      <c r="A90" s="79" t="s">
        <v>156</v>
      </c>
      <c r="B90" s="9"/>
      <c r="C90" s="10"/>
      <c r="E90" s="103"/>
      <c r="F90" s="103"/>
      <c r="G90" s="104"/>
      <c r="H90" s="105"/>
      <c r="I90" s="103"/>
      <c r="J90" s="104"/>
      <c r="K90" s="36"/>
      <c r="L90" s="36"/>
    </row>
    <row r="91">
      <c r="A91" s="9"/>
      <c r="B91" s="9"/>
      <c r="C91" s="10" t="s">
        <v>157</v>
      </c>
      <c r="D91" s="7" t="s">
        <v>114</v>
      </c>
      <c r="E91" s="123">
        <f>'County information'!I66</f>
        <v>11883.33597</v>
      </c>
      <c r="F91" s="123">
        <f>'County information'!I67</f>
        <v>4261.779563</v>
      </c>
      <c r="G91" s="124">
        <f>'County information'!I68</f>
        <v>6401.6641</v>
      </c>
      <c r="H91" s="125"/>
      <c r="I91" s="126"/>
      <c r="J91" s="127"/>
      <c r="K91" s="27"/>
      <c r="L91" s="27" t="s">
        <v>158</v>
      </c>
      <c r="M91" s="7" t="s">
        <v>159</v>
      </c>
    </row>
    <row r="92">
      <c r="A92" s="9"/>
      <c r="B92" s="9"/>
      <c r="C92" s="10"/>
      <c r="E92" s="103"/>
      <c r="F92" s="103"/>
      <c r="G92" s="104"/>
      <c r="H92" s="105"/>
      <c r="I92" s="103"/>
      <c r="J92" s="104"/>
      <c r="K92" s="36"/>
      <c r="L92" s="36"/>
    </row>
    <row r="93">
      <c r="A93" s="79" t="s">
        <v>160</v>
      </c>
      <c r="B93" s="23"/>
      <c r="C93" s="33"/>
      <c r="G93" s="34"/>
      <c r="H93" s="35"/>
      <c r="J93" s="34"/>
      <c r="K93" s="36"/>
      <c r="L93" s="36"/>
    </row>
    <row r="94">
      <c r="A94" s="79"/>
      <c r="B94" s="23"/>
      <c r="C94" s="10" t="s">
        <v>161</v>
      </c>
      <c r="D94" s="7" t="s">
        <v>114</v>
      </c>
      <c r="E94" s="128">
        <f t="shared" ref="E94:J94" si="38">E62+E74+E81</f>
        <v>4845.699286</v>
      </c>
      <c r="F94" s="128">
        <f t="shared" si="38"/>
        <v>4845.699286</v>
      </c>
      <c r="G94" s="128">
        <f t="shared" si="38"/>
        <v>4845.699286</v>
      </c>
      <c r="H94" s="128">
        <f t="shared" si="38"/>
        <v>6245.699286</v>
      </c>
      <c r="I94" s="128">
        <f t="shared" si="38"/>
        <v>6245.699286</v>
      </c>
      <c r="J94" s="128">
        <f t="shared" si="38"/>
        <v>6245.699286</v>
      </c>
      <c r="K94" s="36"/>
      <c r="L94" s="36"/>
    </row>
    <row r="95">
      <c r="A95" s="23"/>
      <c r="B95" s="9"/>
      <c r="C95" s="10" t="s">
        <v>162</v>
      </c>
      <c r="D95" s="7" t="s">
        <v>114</v>
      </c>
      <c r="E95" s="128">
        <f t="shared" ref="E95:J95" si="39">E62+E74+E81+E91</f>
        <v>16729.03526</v>
      </c>
      <c r="F95" s="128">
        <f t="shared" si="39"/>
        <v>9107.478849</v>
      </c>
      <c r="G95" s="129">
        <f t="shared" si="39"/>
        <v>11247.36339</v>
      </c>
      <c r="H95" s="130">
        <f t="shared" si="39"/>
        <v>6245.699286</v>
      </c>
      <c r="I95" s="128">
        <f t="shared" si="39"/>
        <v>6245.699286</v>
      </c>
      <c r="J95" s="129">
        <f t="shared" si="39"/>
        <v>6245.699286</v>
      </c>
      <c r="K95" s="36"/>
      <c r="L95" s="36"/>
      <c r="M95" s="7"/>
    </row>
    <row r="96">
      <c r="A96" s="23"/>
      <c r="B96" s="9"/>
      <c r="C96" s="10" t="s">
        <v>163</v>
      </c>
      <c r="D96" s="7" t="s">
        <v>114</v>
      </c>
      <c r="E96" s="128">
        <f t="shared" ref="E96:J96" si="40">E71+E78+E88</f>
        <v>1782.301601</v>
      </c>
      <c r="F96" s="128">
        <f t="shared" si="40"/>
        <v>2152.138442</v>
      </c>
      <c r="G96" s="129">
        <f t="shared" si="40"/>
        <v>2472.119841</v>
      </c>
      <c r="H96" s="130">
        <f t="shared" si="40"/>
        <v>4026.082494</v>
      </c>
      <c r="I96" s="128">
        <f t="shared" si="40"/>
        <v>4872.819014</v>
      </c>
      <c r="J96" s="129">
        <f t="shared" si="40"/>
        <v>5605.412164</v>
      </c>
      <c r="K96" s="36"/>
      <c r="L96" s="36"/>
    </row>
    <row r="97">
      <c r="A97" s="23"/>
      <c r="B97" s="9"/>
      <c r="C97" s="10"/>
      <c r="G97" s="34"/>
      <c r="H97" s="35"/>
      <c r="J97" s="34"/>
      <c r="K97" s="36"/>
      <c r="L97" s="36"/>
      <c r="M97" s="7"/>
    </row>
    <row r="98">
      <c r="A98" s="77" t="s">
        <v>164</v>
      </c>
      <c r="B98" s="17"/>
      <c r="C98" s="18"/>
      <c r="D98" s="19"/>
      <c r="E98" s="19"/>
      <c r="F98" s="19"/>
      <c r="G98" s="20"/>
      <c r="H98" s="21"/>
      <c r="I98" s="19"/>
      <c r="J98" s="20"/>
      <c r="K98" s="22"/>
      <c r="L98" s="22"/>
      <c r="M98" s="19"/>
      <c r="N98" s="19"/>
      <c r="O98" s="19"/>
      <c r="P98" s="19"/>
      <c r="Q98" s="19"/>
    </row>
    <row r="99">
      <c r="A99" s="79" t="s">
        <v>165</v>
      </c>
      <c r="B99" s="23"/>
      <c r="C99" s="33"/>
      <c r="G99" s="34"/>
      <c r="H99" s="35"/>
      <c r="J99" s="34"/>
      <c r="K99" s="36"/>
      <c r="L99" s="36"/>
    </row>
    <row r="100">
      <c r="A100" s="23"/>
      <c r="B100" s="9"/>
      <c r="C100" s="10" t="s">
        <v>113</v>
      </c>
      <c r="D100" s="7" t="s">
        <v>114</v>
      </c>
      <c r="E100" s="111">
        <f>'Equipment costs'!$N$2</f>
        <v>2749.666667</v>
      </c>
      <c r="F100" s="111">
        <f>'Equipment costs'!$N$3</f>
        <v>4004.333333</v>
      </c>
      <c r="G100" s="112">
        <f>'Equipment costs'!$N$3</f>
        <v>4004.333333</v>
      </c>
      <c r="H100" s="111">
        <f>'Equipment costs'!$N$2</f>
        <v>2749.666667</v>
      </c>
      <c r="I100" s="111">
        <f>'Equipment costs'!$N$3</f>
        <v>4004.333333</v>
      </c>
      <c r="J100" s="112">
        <f>'Equipment costs'!$N$3</f>
        <v>4004.333333</v>
      </c>
      <c r="K100" s="27"/>
      <c r="L100" s="27" t="s">
        <v>166</v>
      </c>
      <c r="M100" s="7" t="s">
        <v>167</v>
      </c>
    </row>
    <row r="101">
      <c r="A101" s="23"/>
      <c r="B101" s="9"/>
      <c r="C101" s="10" t="s">
        <v>168</v>
      </c>
      <c r="D101" s="7" t="s">
        <v>114</v>
      </c>
      <c r="E101" s="90">
        <v>0.0</v>
      </c>
      <c r="F101" s="90">
        <v>0.0</v>
      </c>
      <c r="G101" s="90">
        <v>0.0</v>
      </c>
      <c r="H101" s="90">
        <v>0.0</v>
      </c>
      <c r="I101" s="90">
        <v>0.0</v>
      </c>
      <c r="J101" s="90">
        <v>0.0</v>
      </c>
      <c r="K101" s="27"/>
      <c r="L101" s="27" t="s">
        <v>169</v>
      </c>
    </row>
    <row r="102">
      <c r="A102" s="23"/>
      <c r="B102" s="9"/>
      <c r="C102" s="102" t="s">
        <v>170</v>
      </c>
      <c r="D102" s="7" t="s">
        <v>114</v>
      </c>
      <c r="E102" s="90">
        <v>0.0</v>
      </c>
      <c r="F102" s="90">
        <v>0.0</v>
      </c>
      <c r="G102" s="91">
        <v>0.0</v>
      </c>
      <c r="H102" s="92">
        <v>0.0</v>
      </c>
      <c r="I102" s="90">
        <v>0.0</v>
      </c>
      <c r="J102" s="91">
        <v>0.0</v>
      </c>
      <c r="K102" s="131"/>
      <c r="L102" s="131" t="s">
        <v>171</v>
      </c>
      <c r="M102" s="7" t="s">
        <v>172</v>
      </c>
    </row>
    <row r="103">
      <c r="A103" s="23"/>
      <c r="B103" s="9"/>
      <c r="C103" s="10" t="s">
        <v>173</v>
      </c>
      <c r="D103" s="7" t="s">
        <v>114</v>
      </c>
      <c r="E103" s="90">
        <f t="shared" ref="E103:J103" si="41">E100-E101-E102</f>
        <v>2749.666667</v>
      </c>
      <c r="F103" s="90">
        <f t="shared" si="41"/>
        <v>4004.333333</v>
      </c>
      <c r="G103" s="91">
        <f t="shared" si="41"/>
        <v>4004.333333</v>
      </c>
      <c r="H103" s="92">
        <f t="shared" si="41"/>
        <v>2749.666667</v>
      </c>
      <c r="I103" s="90">
        <f t="shared" si="41"/>
        <v>4004.333333</v>
      </c>
      <c r="J103" s="91">
        <f t="shared" si="41"/>
        <v>4004.333333</v>
      </c>
      <c r="K103" s="14"/>
      <c r="L103" s="14"/>
      <c r="M103" s="7"/>
    </row>
    <row r="104">
      <c r="A104" s="23"/>
      <c r="B104" s="9"/>
      <c r="C104" s="10"/>
      <c r="E104" s="90"/>
      <c r="F104" s="90"/>
      <c r="G104" s="91"/>
      <c r="H104" s="92"/>
      <c r="I104" s="90"/>
      <c r="J104" s="91"/>
      <c r="K104" s="14"/>
      <c r="L104" s="14"/>
      <c r="M104" s="7"/>
    </row>
    <row r="105">
      <c r="A105" s="23"/>
      <c r="B105" s="9"/>
      <c r="C105" s="7" t="s">
        <v>174</v>
      </c>
      <c r="D105" s="7" t="s">
        <v>175</v>
      </c>
      <c r="E105" s="132">
        <v>10.0</v>
      </c>
      <c r="F105" s="132">
        <v>10.0</v>
      </c>
      <c r="G105" s="133">
        <v>10.0</v>
      </c>
      <c r="H105" s="132">
        <v>10.0</v>
      </c>
      <c r="I105" s="132">
        <v>10.0</v>
      </c>
      <c r="J105" s="133">
        <v>10.0</v>
      </c>
      <c r="K105" s="14"/>
      <c r="L105" s="14"/>
      <c r="M105" s="7" t="s">
        <v>176</v>
      </c>
    </row>
    <row r="106">
      <c r="A106" s="23"/>
      <c r="B106" s="9"/>
      <c r="C106" s="10" t="s">
        <v>177</v>
      </c>
      <c r="D106" s="7" t="s">
        <v>135</v>
      </c>
      <c r="E106" s="50">
        <f t="shared" ref="E106:J106" si="42">(E46/E105)/1000</f>
        <v>5059.028094</v>
      </c>
      <c r="F106" s="50">
        <f t="shared" si="42"/>
        <v>7257.543441</v>
      </c>
      <c r="G106" s="51">
        <f t="shared" si="42"/>
        <v>9159.690383</v>
      </c>
      <c r="H106" s="54">
        <f t="shared" si="42"/>
        <v>5059.028094</v>
      </c>
      <c r="I106" s="50">
        <f t="shared" si="42"/>
        <v>7257.543441</v>
      </c>
      <c r="J106" s="51">
        <f t="shared" si="42"/>
        <v>9159.690383</v>
      </c>
      <c r="K106" s="36"/>
      <c r="L106" s="36"/>
    </row>
    <row r="107">
      <c r="A107" s="23"/>
      <c r="B107" s="9"/>
      <c r="C107" s="102" t="s">
        <v>137</v>
      </c>
      <c r="D107" s="7" t="s">
        <v>114</v>
      </c>
      <c r="E107" s="114">
        <f t="shared" ref="E107:J107" si="43">E106*E5</f>
        <v>1095.632181</v>
      </c>
      <c r="F107" s="114">
        <f t="shared" si="43"/>
        <v>1571.763984</v>
      </c>
      <c r="G107" s="115">
        <f t="shared" si="43"/>
        <v>1983.711371</v>
      </c>
      <c r="H107" s="116">
        <f t="shared" si="43"/>
        <v>1095.632181</v>
      </c>
      <c r="I107" s="114">
        <f t="shared" si="43"/>
        <v>1571.763984</v>
      </c>
      <c r="J107" s="115">
        <f t="shared" si="43"/>
        <v>1983.711371</v>
      </c>
      <c r="K107" s="36"/>
      <c r="L107" s="36"/>
    </row>
    <row r="108">
      <c r="A108" s="23"/>
      <c r="B108" s="9"/>
      <c r="C108" s="10" t="s">
        <v>138</v>
      </c>
      <c r="D108" s="7" t="s">
        <v>114</v>
      </c>
      <c r="E108" s="134">
        <v>229.0</v>
      </c>
      <c r="F108" s="134">
        <v>229.0</v>
      </c>
      <c r="G108" s="135">
        <v>229.0</v>
      </c>
      <c r="H108" s="136">
        <v>229.0</v>
      </c>
      <c r="I108" s="134">
        <v>229.0</v>
      </c>
      <c r="J108" s="135">
        <v>229.0</v>
      </c>
      <c r="K108" s="36"/>
      <c r="L108" s="36"/>
    </row>
    <row r="109">
      <c r="A109" s="23"/>
      <c r="B109" s="9"/>
      <c r="C109" s="10" t="s">
        <v>140</v>
      </c>
      <c r="D109" s="7" t="s">
        <v>114</v>
      </c>
      <c r="E109" s="103">
        <f t="shared" ref="E109:J109" si="44">E107+E108</f>
        <v>1324.632181</v>
      </c>
      <c r="F109" s="103">
        <f t="shared" si="44"/>
        <v>1800.763984</v>
      </c>
      <c r="G109" s="104">
        <f t="shared" si="44"/>
        <v>2212.711371</v>
      </c>
      <c r="H109" s="105">
        <f t="shared" si="44"/>
        <v>1324.632181</v>
      </c>
      <c r="I109" s="103">
        <f t="shared" si="44"/>
        <v>1800.763984</v>
      </c>
      <c r="J109" s="104">
        <f t="shared" si="44"/>
        <v>2212.711371</v>
      </c>
      <c r="K109" s="36"/>
      <c r="L109" s="36"/>
    </row>
    <row r="110">
      <c r="A110" s="9"/>
      <c r="B110" s="23"/>
      <c r="C110" s="33"/>
      <c r="G110" s="34"/>
      <c r="H110" s="35"/>
      <c r="J110" s="34"/>
      <c r="K110" s="36"/>
      <c r="L110" s="36"/>
    </row>
    <row r="111">
      <c r="A111" s="79" t="s">
        <v>178</v>
      </c>
      <c r="B111" s="23"/>
      <c r="C111" s="33"/>
      <c r="G111" s="34"/>
      <c r="H111" s="35"/>
      <c r="J111" s="34"/>
      <c r="K111" s="36"/>
      <c r="L111" s="36"/>
    </row>
    <row r="112">
      <c r="A112" s="9"/>
      <c r="B112" s="9"/>
      <c r="C112" s="10" t="s">
        <v>179</v>
      </c>
      <c r="E112" s="111">
        <f>'Equipment costs'!$N$5</f>
        <v>1733.398</v>
      </c>
      <c r="F112" s="111">
        <f>'Equipment costs'!$N$5</f>
        <v>1733.398</v>
      </c>
      <c r="G112" s="112">
        <f>'Equipment costs'!$N$5</f>
        <v>1733.398</v>
      </c>
      <c r="H112" s="111">
        <f>'Equipment costs'!$N$5</f>
        <v>1733.398</v>
      </c>
      <c r="I112" s="111">
        <f>'Equipment costs'!$N$5</f>
        <v>1733.398</v>
      </c>
      <c r="J112" s="112">
        <f>'Equipment costs'!$N$5</f>
        <v>1733.398</v>
      </c>
      <c r="K112" s="27"/>
      <c r="L112" s="27" t="s">
        <v>180</v>
      </c>
      <c r="M112" s="7" t="s">
        <v>181</v>
      </c>
    </row>
    <row r="113">
      <c r="A113" s="9"/>
      <c r="B113" s="9"/>
      <c r="C113" s="10" t="s">
        <v>168</v>
      </c>
      <c r="E113" s="80">
        <f>'County information'!$H$66</f>
        <v>1132.059646</v>
      </c>
      <c r="F113" s="80">
        <f>'County information'!$H$67</f>
        <v>959.1666667</v>
      </c>
      <c r="G113" s="81">
        <f>'County information'!$H$68</f>
        <v>958.6253369</v>
      </c>
      <c r="H113" s="84">
        <f>'County information'!$H$66</f>
        <v>1132.059646</v>
      </c>
      <c r="I113" s="80">
        <f>'County information'!$H$67</f>
        <v>959.1666667</v>
      </c>
      <c r="J113" s="81">
        <f>'County information'!$H$68</f>
        <v>958.6253369</v>
      </c>
      <c r="K113" s="27"/>
      <c r="L113" s="27" t="s">
        <v>182</v>
      </c>
      <c r="M113" s="7" t="s">
        <v>183</v>
      </c>
    </row>
    <row r="114">
      <c r="A114" s="137"/>
      <c r="B114" s="137"/>
      <c r="C114" s="138" t="s">
        <v>184</v>
      </c>
      <c r="D114" s="139"/>
      <c r="E114" s="140">
        <f t="shared" ref="E114:J114" si="45">E112-(E113)</f>
        <v>601.3383541</v>
      </c>
      <c r="F114" s="140">
        <f t="shared" si="45"/>
        <v>774.2313333</v>
      </c>
      <c r="G114" s="141">
        <f t="shared" si="45"/>
        <v>774.7726631</v>
      </c>
      <c r="H114" s="142">
        <f t="shared" si="45"/>
        <v>601.3383541</v>
      </c>
      <c r="I114" s="140">
        <f t="shared" si="45"/>
        <v>774.2313333</v>
      </c>
      <c r="J114" s="141">
        <f t="shared" si="45"/>
        <v>774.7726631</v>
      </c>
      <c r="K114" s="143"/>
      <c r="L114" s="143"/>
      <c r="M114" s="144"/>
      <c r="N114" s="139"/>
      <c r="O114" s="139"/>
      <c r="P114" s="139"/>
      <c r="Q114" s="139"/>
    </row>
    <row r="115">
      <c r="A115" s="9"/>
      <c r="B115" s="9"/>
      <c r="C115" s="10"/>
      <c r="E115" s="90"/>
      <c r="F115" s="90"/>
      <c r="G115" s="91"/>
      <c r="H115" s="92"/>
      <c r="I115" s="90"/>
      <c r="J115" s="91"/>
      <c r="K115" s="14"/>
      <c r="L115" s="14"/>
      <c r="M115" s="7"/>
    </row>
    <row r="116">
      <c r="A116" s="23"/>
      <c r="B116" s="9"/>
      <c r="C116" s="10" t="s">
        <v>121</v>
      </c>
      <c r="D116" s="10" t="s">
        <v>185</v>
      </c>
      <c r="E116" s="145">
        <v>4.0</v>
      </c>
      <c r="F116" s="145">
        <v>4.0</v>
      </c>
      <c r="G116" s="146">
        <v>4.0</v>
      </c>
      <c r="H116" s="147">
        <v>4.0</v>
      </c>
      <c r="I116" s="145">
        <v>4.0</v>
      </c>
      <c r="J116" s="146">
        <v>4.0</v>
      </c>
      <c r="K116" s="7"/>
      <c r="L116" s="148" t="s">
        <v>186</v>
      </c>
    </row>
    <row r="117">
      <c r="A117" s="9"/>
      <c r="B117" s="9"/>
      <c r="C117" s="10" t="s">
        <v>134</v>
      </c>
      <c r="D117" s="7" t="s">
        <v>135</v>
      </c>
      <c r="E117" s="149">
        <f t="shared" ref="E117:J117" si="46">E116*365</f>
        <v>1460</v>
      </c>
      <c r="F117" s="149">
        <f t="shared" si="46"/>
        <v>1460</v>
      </c>
      <c r="G117" s="34">
        <f t="shared" si="46"/>
        <v>1460</v>
      </c>
      <c r="H117" s="35">
        <f t="shared" si="46"/>
        <v>1460</v>
      </c>
      <c r="I117" s="149">
        <f t="shared" si="46"/>
        <v>1460</v>
      </c>
      <c r="J117" s="34">
        <f t="shared" si="46"/>
        <v>1460</v>
      </c>
      <c r="K117" s="36"/>
      <c r="L117" s="36"/>
    </row>
    <row r="118">
      <c r="A118" s="9"/>
      <c r="B118" s="9"/>
      <c r="C118" s="102" t="s">
        <v>137</v>
      </c>
      <c r="D118" s="7" t="s">
        <v>114</v>
      </c>
      <c r="E118" s="150">
        <f t="shared" ref="E118:J118" si="47">E117*E5</f>
        <v>316.1917576</v>
      </c>
      <c r="F118" s="150">
        <f t="shared" si="47"/>
        <v>316.1917576</v>
      </c>
      <c r="G118" s="151">
        <f t="shared" si="47"/>
        <v>316.1917576</v>
      </c>
      <c r="H118" s="152">
        <f t="shared" si="47"/>
        <v>316.1917576</v>
      </c>
      <c r="I118" s="150">
        <f t="shared" si="47"/>
        <v>316.1917576</v>
      </c>
      <c r="J118" s="151">
        <f t="shared" si="47"/>
        <v>316.1917576</v>
      </c>
      <c r="K118" s="36"/>
      <c r="L118" s="36"/>
    </row>
    <row r="119">
      <c r="A119" s="9"/>
      <c r="B119" s="9"/>
      <c r="C119" s="10" t="s">
        <v>138</v>
      </c>
      <c r="D119" s="7" t="s">
        <v>114</v>
      </c>
      <c r="E119" s="114">
        <v>229.0</v>
      </c>
      <c r="F119" s="114">
        <v>229.0</v>
      </c>
      <c r="G119" s="115">
        <v>229.0</v>
      </c>
      <c r="H119" s="116">
        <v>229.0</v>
      </c>
      <c r="I119" s="114">
        <v>229.0</v>
      </c>
      <c r="J119" s="115">
        <v>229.0</v>
      </c>
      <c r="K119" s="36"/>
      <c r="L119" s="36"/>
      <c r="M119" s="7" t="s">
        <v>187</v>
      </c>
    </row>
    <row r="120">
      <c r="A120" s="9"/>
      <c r="B120" s="9"/>
      <c r="C120" s="10" t="s">
        <v>188</v>
      </c>
      <c r="D120" s="7" t="s">
        <v>114</v>
      </c>
      <c r="E120" s="150">
        <f t="shared" ref="E120:J120" si="48">E118+E119</f>
        <v>545.1917576</v>
      </c>
      <c r="F120" s="150">
        <f t="shared" si="48"/>
        <v>545.1917576</v>
      </c>
      <c r="G120" s="151">
        <f t="shared" si="48"/>
        <v>545.1917576</v>
      </c>
      <c r="H120" s="152">
        <f t="shared" si="48"/>
        <v>545.1917576</v>
      </c>
      <c r="I120" s="150">
        <f t="shared" si="48"/>
        <v>545.1917576</v>
      </c>
      <c r="J120" s="151">
        <f t="shared" si="48"/>
        <v>545.1917576</v>
      </c>
      <c r="K120" s="36"/>
      <c r="L120" s="36"/>
    </row>
    <row r="121">
      <c r="A121" s="79" t="s">
        <v>160</v>
      </c>
      <c r="B121" s="23"/>
      <c r="C121" s="33"/>
      <c r="G121" s="34"/>
      <c r="H121" s="35"/>
      <c r="J121" s="34"/>
      <c r="K121" s="36"/>
      <c r="L121" s="36"/>
    </row>
    <row r="122">
      <c r="A122" s="23"/>
      <c r="B122" s="9"/>
      <c r="C122" s="10" t="s">
        <v>189</v>
      </c>
      <c r="D122" s="7" t="s">
        <v>114</v>
      </c>
      <c r="E122" s="128">
        <f t="shared" ref="E122:J122" si="49">E103+E114</f>
        <v>3351.005021</v>
      </c>
      <c r="F122" s="128">
        <f t="shared" si="49"/>
        <v>4778.564667</v>
      </c>
      <c r="G122" s="128">
        <f t="shared" si="49"/>
        <v>4779.105996</v>
      </c>
      <c r="H122" s="130">
        <f t="shared" si="49"/>
        <v>3351.005021</v>
      </c>
      <c r="I122" s="128">
        <f t="shared" si="49"/>
        <v>4778.564667</v>
      </c>
      <c r="J122" s="129">
        <f t="shared" si="49"/>
        <v>4779.105996</v>
      </c>
      <c r="K122" s="36"/>
      <c r="L122" s="36"/>
      <c r="M122" s="7"/>
    </row>
    <row r="123">
      <c r="A123" s="23"/>
      <c r="B123" s="9"/>
      <c r="C123" s="10" t="s">
        <v>190</v>
      </c>
      <c r="D123" s="7" t="s">
        <v>114</v>
      </c>
      <c r="E123" s="128">
        <f t="shared" ref="E123:J123" si="50">E109+E120</f>
        <v>1869.823939</v>
      </c>
      <c r="F123" s="128">
        <f t="shared" si="50"/>
        <v>2345.955741</v>
      </c>
      <c r="G123" s="129">
        <f t="shared" si="50"/>
        <v>2757.903128</v>
      </c>
      <c r="H123" s="130">
        <f t="shared" si="50"/>
        <v>1869.823939</v>
      </c>
      <c r="I123" s="128">
        <f t="shared" si="50"/>
        <v>2345.955741</v>
      </c>
      <c r="J123" s="129">
        <f t="shared" si="50"/>
        <v>2757.903128</v>
      </c>
      <c r="K123" s="36"/>
      <c r="L123" s="36"/>
    </row>
    <row r="124">
      <c r="A124" s="9"/>
      <c r="B124" s="9"/>
      <c r="C124" s="10"/>
      <c r="G124" s="34"/>
      <c r="H124" s="35"/>
      <c r="J124" s="34"/>
      <c r="K124" s="36"/>
      <c r="L124" s="36"/>
    </row>
    <row r="125">
      <c r="A125" s="77" t="s">
        <v>191</v>
      </c>
      <c r="B125" s="17"/>
      <c r="C125" s="18"/>
      <c r="D125" s="19"/>
      <c r="E125" s="19"/>
      <c r="F125" s="19"/>
      <c r="G125" s="20"/>
      <c r="H125" s="21"/>
      <c r="I125" s="19"/>
      <c r="J125" s="20"/>
      <c r="K125" s="22"/>
      <c r="L125" s="22"/>
      <c r="M125" s="19"/>
      <c r="N125" s="19"/>
      <c r="O125" s="19"/>
      <c r="P125" s="19"/>
      <c r="Q125" s="19"/>
    </row>
    <row r="126">
      <c r="A126" s="23"/>
      <c r="B126" s="9"/>
      <c r="C126" s="10" t="s">
        <v>192</v>
      </c>
      <c r="D126" s="7" t="s">
        <v>36</v>
      </c>
      <c r="E126" s="153">
        <v>0.0638</v>
      </c>
      <c r="F126" s="153">
        <v>0.0638</v>
      </c>
      <c r="G126" s="154">
        <v>0.0638</v>
      </c>
      <c r="H126" s="153">
        <v>0.0638</v>
      </c>
      <c r="I126" s="153">
        <v>0.0638</v>
      </c>
      <c r="J126" s="154">
        <v>0.0638</v>
      </c>
      <c r="K126" s="58"/>
      <c r="L126" s="59" t="s">
        <v>193</v>
      </c>
      <c r="M126" s="7" t="s">
        <v>194</v>
      </c>
    </row>
    <row r="127">
      <c r="A127" s="23"/>
      <c r="B127" s="9"/>
      <c r="C127" s="10" t="s">
        <v>195</v>
      </c>
      <c r="D127" s="7"/>
      <c r="E127" s="90">
        <f t="shared" ref="E127:J127" si="51">E94-E122</f>
        <v>1494.694265</v>
      </c>
      <c r="F127" s="90">
        <f t="shared" si="51"/>
        <v>67.13461905</v>
      </c>
      <c r="G127" s="91">
        <f t="shared" si="51"/>
        <v>66.59328931</v>
      </c>
      <c r="H127" s="91">
        <f t="shared" si="51"/>
        <v>2894.694265</v>
      </c>
      <c r="I127" s="91">
        <f t="shared" si="51"/>
        <v>1467.134619</v>
      </c>
      <c r="J127" s="91">
        <f t="shared" si="51"/>
        <v>1466.593289</v>
      </c>
      <c r="K127" s="58"/>
      <c r="L127" s="58"/>
      <c r="M127" s="7"/>
    </row>
    <row r="128">
      <c r="A128" s="23"/>
      <c r="B128" s="9"/>
      <c r="C128" s="10" t="s">
        <v>196</v>
      </c>
      <c r="D128" s="7" t="s">
        <v>114</v>
      </c>
      <c r="E128" s="128">
        <f t="shared" ref="E128:J128" si="52">E95-E122</f>
        <v>13378.03024</v>
      </c>
      <c r="F128" s="128">
        <f t="shared" si="52"/>
        <v>4328.914183</v>
      </c>
      <c r="G128" s="129">
        <f t="shared" si="52"/>
        <v>6468.257389</v>
      </c>
      <c r="H128" s="130">
        <f t="shared" si="52"/>
        <v>2894.694265</v>
      </c>
      <c r="I128" s="128">
        <f t="shared" si="52"/>
        <v>1467.134619</v>
      </c>
      <c r="J128" s="129">
        <f t="shared" si="52"/>
        <v>1466.593289</v>
      </c>
      <c r="K128" s="36"/>
      <c r="L128" s="36"/>
      <c r="M128" s="7" t="s">
        <v>197</v>
      </c>
    </row>
    <row r="129">
      <c r="A129" s="23"/>
      <c r="B129" s="9"/>
      <c r="C129" s="10" t="s">
        <v>198</v>
      </c>
      <c r="D129" s="7"/>
      <c r="E129" s="108">
        <f t="shared" ref="E129:J129" si="53">PMT(E126,30,-E127)</f>
        <v>113.0393733</v>
      </c>
      <c r="F129" s="108">
        <f t="shared" si="53"/>
        <v>5.077195679</v>
      </c>
      <c r="G129" s="109">
        <f t="shared" si="53"/>
        <v>5.036256487</v>
      </c>
      <c r="H129" s="108">
        <f t="shared" si="53"/>
        <v>218.9172952</v>
      </c>
      <c r="I129" s="108">
        <f t="shared" si="53"/>
        <v>110.9551175</v>
      </c>
      <c r="J129" s="109">
        <f t="shared" si="53"/>
        <v>110.9141784</v>
      </c>
      <c r="K129" s="36"/>
      <c r="L129" s="36"/>
      <c r="M129" s="7"/>
    </row>
    <row r="130">
      <c r="A130" s="23"/>
      <c r="B130" s="9"/>
      <c r="C130" s="10" t="s">
        <v>199</v>
      </c>
      <c r="D130" s="7" t="s">
        <v>114</v>
      </c>
      <c r="E130" s="108">
        <f t="shared" ref="E130:J130" si="54">PMT(E126,30,-E128)</f>
        <v>1011.741457</v>
      </c>
      <c r="F130" s="108">
        <f t="shared" si="54"/>
        <v>327.3831697</v>
      </c>
      <c r="G130" s="109">
        <f t="shared" si="54"/>
        <v>489.1754647</v>
      </c>
      <c r="H130" s="110">
        <f t="shared" si="54"/>
        <v>218.9172952</v>
      </c>
      <c r="I130" s="108">
        <f t="shared" si="54"/>
        <v>110.9551175</v>
      </c>
      <c r="J130" s="109">
        <f t="shared" si="54"/>
        <v>110.9141784</v>
      </c>
      <c r="K130" s="36"/>
      <c r="L130" s="36"/>
    </row>
    <row r="131">
      <c r="A131" s="23"/>
      <c r="B131" s="9"/>
      <c r="C131" s="10" t="s">
        <v>200</v>
      </c>
      <c r="D131" s="7" t="s">
        <v>114</v>
      </c>
      <c r="E131" s="128">
        <f t="shared" ref="E131:J131" si="55">E96-E123</f>
        <v>-87.52233732</v>
      </c>
      <c r="F131" s="128">
        <f t="shared" si="55"/>
        <v>-193.8172989</v>
      </c>
      <c r="G131" s="129">
        <f t="shared" si="55"/>
        <v>-285.783287</v>
      </c>
      <c r="H131" s="130">
        <f t="shared" si="55"/>
        <v>2156.258555</v>
      </c>
      <c r="I131" s="128">
        <f t="shared" si="55"/>
        <v>2526.863273</v>
      </c>
      <c r="J131" s="129">
        <f t="shared" si="55"/>
        <v>2847.509036</v>
      </c>
      <c r="K131" s="36"/>
      <c r="L131" s="36"/>
    </row>
    <row r="132">
      <c r="A132" s="23"/>
      <c r="B132" s="9"/>
      <c r="C132" s="10" t="s">
        <v>201</v>
      </c>
      <c r="E132" s="90">
        <f t="shared" ref="E132:J132" si="56">E131+E129</f>
        <v>25.51703597</v>
      </c>
      <c r="F132" s="90">
        <f t="shared" si="56"/>
        <v>-188.7401033</v>
      </c>
      <c r="G132" s="91">
        <f t="shared" si="56"/>
        <v>-280.7470305</v>
      </c>
      <c r="H132" s="90">
        <f t="shared" si="56"/>
        <v>2375.17585</v>
      </c>
      <c r="I132" s="90">
        <f t="shared" si="56"/>
        <v>2637.818391</v>
      </c>
      <c r="J132" s="91">
        <f t="shared" si="56"/>
        <v>2958.423214</v>
      </c>
      <c r="K132" s="36"/>
      <c r="L132" s="36"/>
    </row>
    <row r="133">
      <c r="A133" s="23"/>
      <c r="B133" s="9"/>
      <c r="C133" s="10" t="s">
        <v>202</v>
      </c>
      <c r="D133" s="7" t="s">
        <v>114</v>
      </c>
      <c r="E133" s="128">
        <f t="shared" ref="E133:J133" si="57">E131+E130</f>
        <v>924.2191201</v>
      </c>
      <c r="F133" s="128">
        <f t="shared" si="57"/>
        <v>133.5658708</v>
      </c>
      <c r="G133" s="129">
        <f t="shared" si="57"/>
        <v>203.3921776</v>
      </c>
      <c r="H133" s="130">
        <f t="shared" si="57"/>
        <v>2375.17585</v>
      </c>
      <c r="I133" s="128">
        <f t="shared" si="57"/>
        <v>2637.818391</v>
      </c>
      <c r="J133" s="129">
        <f t="shared" si="57"/>
        <v>2958.423214</v>
      </c>
      <c r="K133" s="36"/>
      <c r="L133" s="36"/>
    </row>
    <row r="134">
      <c r="A134" s="23"/>
      <c r="B134" s="9"/>
      <c r="C134" s="10" t="s">
        <v>203</v>
      </c>
      <c r="D134" s="7" t="s">
        <v>114</v>
      </c>
      <c r="E134" s="108">
        <f t="shared" ref="E134:J134" si="58">PV(4%,15,-E133)</f>
        <v>10275.82625</v>
      </c>
      <c r="F134" s="108">
        <f t="shared" si="58"/>
        <v>1485.037099</v>
      </c>
      <c r="G134" s="109">
        <f t="shared" si="58"/>
        <v>2261.393032</v>
      </c>
      <c r="H134" s="110">
        <f t="shared" si="58"/>
        <v>26408.12532</v>
      </c>
      <c r="I134" s="108">
        <f t="shared" si="58"/>
        <v>29328.28684</v>
      </c>
      <c r="J134" s="109">
        <f t="shared" si="58"/>
        <v>32892.89549</v>
      </c>
      <c r="K134" s="36"/>
      <c r="L134" s="36"/>
    </row>
    <row r="135">
      <c r="A135" s="23"/>
      <c r="B135" s="23"/>
      <c r="C135" s="33"/>
      <c r="G135" s="34"/>
      <c r="H135" s="35"/>
      <c r="J135" s="34"/>
      <c r="K135" s="36"/>
      <c r="L135" s="36"/>
    </row>
    <row r="136">
      <c r="A136" s="77" t="s">
        <v>204</v>
      </c>
      <c r="B136" s="17"/>
      <c r="C136" s="18"/>
      <c r="D136" s="19"/>
      <c r="E136" s="19"/>
      <c r="F136" s="19"/>
      <c r="G136" s="20"/>
      <c r="H136" s="21"/>
      <c r="I136" s="19"/>
      <c r="J136" s="20"/>
      <c r="K136" s="22"/>
      <c r="L136" s="22"/>
      <c r="M136" s="19"/>
      <c r="N136" s="19"/>
      <c r="O136" s="19"/>
      <c r="P136" s="19"/>
      <c r="Q136" s="19"/>
    </row>
    <row r="137">
      <c r="A137" s="33"/>
      <c r="B137" s="33"/>
      <c r="C137" s="10" t="s">
        <v>205</v>
      </c>
      <c r="D137" s="10" t="s">
        <v>206</v>
      </c>
      <c r="E137" s="33">
        <f>'Heating type by zone'!B37 + 'Heating type by zone'!B39</f>
        <v>25</v>
      </c>
      <c r="F137" s="33">
        <f>'Heating type by zone'!D37 + 'Heating type by zone'!D39</f>
        <v>259</v>
      </c>
      <c r="G137" s="155">
        <f>'Heating type by zone'!F37+'Heating type by zone'!F39</f>
        <v>27</v>
      </c>
      <c r="H137" s="156">
        <f>'Heating type by zone'!B38</f>
        <v>2</v>
      </c>
      <c r="I137" s="33">
        <f>'Heating type by zone'!D38+'Heating type by zone'!D40</f>
        <v>72</v>
      </c>
      <c r="J137" s="155">
        <f>'Heating type by zone'!F38+'Heating type by zone'!F40</f>
        <v>55</v>
      </c>
      <c r="K137" s="33"/>
      <c r="L137" s="33"/>
      <c r="M137" s="33"/>
      <c r="N137" s="33"/>
      <c r="O137" s="33"/>
      <c r="P137" s="33"/>
      <c r="Q137" s="33"/>
    </row>
    <row r="138">
      <c r="A138" s="33"/>
      <c r="B138" s="33"/>
      <c r="C138" s="10" t="s">
        <v>207</v>
      </c>
      <c r="D138" s="10" t="s">
        <v>206</v>
      </c>
      <c r="E138" s="157">
        <f>$E$137+$H$137</f>
        <v>27</v>
      </c>
      <c r="F138" s="157">
        <f>$F$137+$I$137</f>
        <v>331</v>
      </c>
      <c r="G138" s="158">
        <f>$G$137+$J$137</f>
        <v>82</v>
      </c>
      <c r="H138" s="159">
        <f>$E$137+$H$137</f>
        <v>27</v>
      </c>
      <c r="I138" s="157">
        <f>$F$137+$I$137</f>
        <v>331</v>
      </c>
      <c r="J138" s="158">
        <f>$G$137+$J$137</f>
        <v>82</v>
      </c>
      <c r="K138" s="33"/>
      <c r="L138" s="33"/>
      <c r="M138" s="33"/>
      <c r="N138" s="33"/>
      <c r="O138" s="33"/>
      <c r="P138" s="33"/>
      <c r="Q138" s="33"/>
    </row>
    <row r="139">
      <c r="A139" s="33"/>
      <c r="B139" s="33"/>
      <c r="C139" s="10" t="s">
        <v>208</v>
      </c>
      <c r="D139" s="10" t="s">
        <v>36</v>
      </c>
      <c r="E139" s="160">
        <f t="shared" ref="E139:J139" si="59">E137/E138</f>
        <v>0.9259259259</v>
      </c>
      <c r="F139" s="160">
        <f t="shared" si="59"/>
        <v>0.7824773414</v>
      </c>
      <c r="G139" s="161">
        <f t="shared" si="59"/>
        <v>0.3292682927</v>
      </c>
      <c r="H139" s="162">
        <f t="shared" si="59"/>
        <v>0.07407407407</v>
      </c>
      <c r="I139" s="160">
        <f t="shared" si="59"/>
        <v>0.2175226586</v>
      </c>
      <c r="J139" s="161">
        <f t="shared" si="59"/>
        <v>0.6707317073</v>
      </c>
      <c r="K139" s="10"/>
      <c r="L139" s="10"/>
      <c r="M139" s="33"/>
      <c r="N139" s="33"/>
      <c r="O139" s="33"/>
      <c r="P139" s="33"/>
      <c r="Q139" s="33"/>
    </row>
    <row r="140">
      <c r="A140" s="33"/>
      <c r="B140" s="33"/>
      <c r="C140" s="10" t="s">
        <v>209</v>
      </c>
      <c r="D140" s="10" t="s">
        <v>36</v>
      </c>
      <c r="E140" s="163">
        <f>'County information'!$M$66</f>
        <v>0.2280067998</v>
      </c>
      <c r="F140" s="163">
        <f>'County information'!$M$67</f>
        <v>0.5354866128</v>
      </c>
      <c r="G140" s="164">
        <f>'County information'!$M$68</f>
        <v>0.2365065873</v>
      </c>
      <c r="H140" s="165">
        <f>'County information'!$M$66</f>
        <v>0.2280067998</v>
      </c>
      <c r="I140" s="163">
        <f>'County information'!$M$67</f>
        <v>0.5354866128</v>
      </c>
      <c r="J140" s="164">
        <f>'County information'!$M$68</f>
        <v>0.2365065873</v>
      </c>
      <c r="K140" s="10"/>
      <c r="L140" s="10"/>
      <c r="M140" s="9" t="s">
        <v>210</v>
      </c>
      <c r="N140" s="33"/>
      <c r="O140" s="33"/>
      <c r="P140" s="33"/>
      <c r="Q140" s="33"/>
    </row>
    <row r="141">
      <c r="A141" s="33"/>
      <c r="B141" s="33"/>
      <c r="C141" s="10" t="s">
        <v>211</v>
      </c>
      <c r="D141" s="10" t="s">
        <v>36</v>
      </c>
      <c r="E141" s="163">
        <f t="shared" ref="E141:J141" si="60">E140*E139</f>
        <v>0.2111174073</v>
      </c>
      <c r="F141" s="163">
        <f t="shared" si="60"/>
        <v>0.4190061412</v>
      </c>
      <c r="G141" s="164">
        <f t="shared" si="60"/>
        <v>0.07787412022</v>
      </c>
      <c r="H141" s="165">
        <f t="shared" si="60"/>
        <v>0.01688939258</v>
      </c>
      <c r="I141" s="163">
        <f t="shared" si="60"/>
        <v>0.1164804717</v>
      </c>
      <c r="J141" s="164">
        <f t="shared" si="60"/>
        <v>0.1586324671</v>
      </c>
      <c r="K141" s="10"/>
      <c r="L141" s="10"/>
      <c r="M141" s="33"/>
      <c r="N141" s="33"/>
      <c r="O141" s="33"/>
      <c r="P141" s="33"/>
      <c r="Q141" s="33"/>
    </row>
    <row r="142">
      <c r="A142" s="23"/>
      <c r="B142" s="23"/>
      <c r="C142" s="7"/>
      <c r="E142" s="153"/>
      <c r="F142" s="153"/>
      <c r="G142" s="154"/>
      <c r="H142" s="166"/>
      <c r="I142" s="153"/>
      <c r="J142" s="154"/>
      <c r="K142" s="14"/>
      <c r="L142" s="14"/>
    </row>
    <row r="143">
      <c r="A143" s="77" t="s">
        <v>212</v>
      </c>
      <c r="B143" s="17"/>
      <c r="C143" s="167"/>
      <c r="D143" s="19"/>
      <c r="E143" s="168"/>
      <c r="F143" s="168"/>
      <c r="G143" s="169"/>
      <c r="H143" s="170"/>
      <c r="I143" s="168"/>
      <c r="J143" s="169"/>
      <c r="K143" s="78"/>
      <c r="L143" s="78"/>
      <c r="M143" s="19"/>
      <c r="N143" s="19"/>
      <c r="O143" s="19"/>
      <c r="P143" s="19"/>
      <c r="Q143" s="19"/>
    </row>
    <row r="144">
      <c r="A144" s="33"/>
      <c r="B144" s="33"/>
      <c r="C144" s="10" t="s">
        <v>213</v>
      </c>
      <c r="D144" s="10" t="s">
        <v>114</v>
      </c>
      <c r="E144" s="171">
        <f>SUMPRODUCT(E133:G133,E140:G140)</f>
        <v>330.3545695</v>
      </c>
      <c r="F144" s="172"/>
      <c r="G144" s="173"/>
      <c r="H144" s="174">
        <f>SUMPRODUCT(H133:J133,H140:J140)</f>
        <v>2653.759258</v>
      </c>
      <c r="I144" s="172"/>
      <c r="J144" s="173"/>
      <c r="K144" s="10"/>
      <c r="L144" s="10"/>
      <c r="M144" s="33"/>
      <c r="N144" s="33"/>
      <c r="O144" s="33"/>
      <c r="P144" s="33"/>
      <c r="Q144" s="33"/>
    </row>
    <row r="145">
      <c r="A145" s="33"/>
      <c r="B145" s="33"/>
      <c r="C145" s="10"/>
      <c r="D145" s="10"/>
      <c r="E145" s="175"/>
      <c r="F145" s="172"/>
      <c r="G145" s="173"/>
      <c r="H145" s="176"/>
      <c r="I145" s="172"/>
      <c r="J145" s="173"/>
      <c r="K145" s="10"/>
      <c r="L145" s="10"/>
      <c r="M145" s="33"/>
      <c r="N145" s="33"/>
      <c r="O145" s="33"/>
      <c r="P145" s="33"/>
      <c r="Q145" s="33"/>
    </row>
    <row r="146">
      <c r="A146" s="33"/>
      <c r="B146" s="33"/>
      <c r="C146" s="10" t="s">
        <v>214</v>
      </c>
      <c r="D146" s="10" t="s">
        <v>114</v>
      </c>
      <c r="E146" s="177">
        <f>IFERROR(__xludf.DUMMYFUNCTION("AVERAGE.WEIGHTED($E$133:$J$133, ARRAYFORMULA(IFS(EXACT($E$3:$J$3,""Zone 4""),$E$139:$J$139, TRUE,0)))"),1031.6973964360907)</f>
        <v>1031.697396</v>
      </c>
      <c r="F146" s="177">
        <f>IFERROR(__xludf.DUMMYFUNCTION("AVERAGE.WEIGHTED($E$133:$J$133, ARRAYFORMULA(IFS(EXACT($E$3:$J$3,""Zone 5""),$E$139:$J$139, TRUE,0)))"),678.2975367367872)</f>
        <v>678.2975367</v>
      </c>
      <c r="G146" s="178">
        <f>IFERROR(__xludf.DUMMYFUNCTION("AVERAGE.WEIGHTED($E$133:$J$133, ARRAYFORMULA(IFS(EXACT($E$3:$J$3,""Zone 6""),$E$139:$J$139, TRUE,0)))"),2051.2788486164013)</f>
        <v>2051.278849</v>
      </c>
      <c r="H146" s="179"/>
      <c r="I146" s="172"/>
      <c r="J146" s="173"/>
      <c r="K146" s="10"/>
      <c r="L146" s="10"/>
      <c r="M146" s="33"/>
      <c r="N146" s="33"/>
      <c r="O146" s="33"/>
      <c r="P146" s="33"/>
      <c r="Q146" s="33"/>
    </row>
    <row r="147">
      <c r="A147" s="33"/>
      <c r="B147" s="33"/>
      <c r="C147" s="10"/>
      <c r="D147" s="10"/>
      <c r="E147" s="175"/>
      <c r="F147" s="172"/>
      <c r="G147" s="173"/>
      <c r="H147" s="176"/>
      <c r="I147" s="172"/>
      <c r="J147" s="173"/>
      <c r="K147" s="10"/>
      <c r="L147" s="10"/>
      <c r="M147" s="33"/>
      <c r="N147" s="33"/>
      <c r="O147" s="33"/>
      <c r="P147" s="33"/>
      <c r="Q147" s="33"/>
    </row>
    <row r="148">
      <c r="A148" s="33"/>
      <c r="B148" s="33"/>
      <c r="C148" s="10" t="s">
        <v>215</v>
      </c>
      <c r="D148" s="10" t="s">
        <v>114</v>
      </c>
      <c r="E148" s="180">
        <f>IFERROR(__xludf.DUMMYFUNCTION("AVERAGE.WEIGHTED(E133:J133,$E$141:$J$141)"),1083.5942323550114)</f>
        <v>1083.594232</v>
      </c>
      <c r="F148" s="172"/>
      <c r="G148" s="173"/>
      <c r="H148" s="179"/>
      <c r="I148" s="172"/>
      <c r="J148" s="173"/>
      <c r="K148" s="10"/>
      <c r="L148" s="10"/>
      <c r="M148" s="33"/>
      <c r="N148" s="33"/>
      <c r="O148" s="33"/>
      <c r="P148" s="33"/>
      <c r="Q148" s="33"/>
    </row>
    <row r="149" ht="15.0" customHeight="1">
      <c r="A149" s="33"/>
      <c r="B149" s="33"/>
      <c r="C149" s="10" t="s">
        <v>216</v>
      </c>
      <c r="D149" s="10" t="s">
        <v>114</v>
      </c>
      <c r="E149" s="181">
        <f>IFERROR(__xludf.DUMMYFUNCTION("AVERAGE.WEIGHTED(E134:J134,$E$141:$J$141)"),12047.820494585829)</f>
        <v>12047.82049</v>
      </c>
      <c r="F149" s="172"/>
      <c r="G149" s="173"/>
      <c r="H149" s="179"/>
      <c r="I149" s="172"/>
      <c r="J149" s="173"/>
      <c r="K149" s="10"/>
      <c r="L149" s="10"/>
      <c r="M149" s="33"/>
      <c r="N149" s="33"/>
      <c r="O149" s="33"/>
      <c r="P149" s="33"/>
      <c r="Q149" s="33"/>
    </row>
  </sheetData>
  <mergeCells count="3">
    <mergeCell ref="E2:G2"/>
    <mergeCell ref="H2:J2"/>
    <mergeCell ref="O56:P56"/>
  </mergeCells>
  <hyperlinks>
    <hyperlink r:id="rId2" ref="L10"/>
    <hyperlink r:id="rId3" ref="L13"/>
    <hyperlink r:id="rId4" ref="L16"/>
    <hyperlink r:id="rId5" ref="L26"/>
    <hyperlink r:id="rId6" ref="L27"/>
    <hyperlink r:id="rId7" ref="L28"/>
    <hyperlink r:id="rId8" ref="L29"/>
    <hyperlink r:id="rId9" ref="L30"/>
    <hyperlink r:id="rId10" ref="L31"/>
    <hyperlink r:id="rId11" ref="L32"/>
    <hyperlink r:id="rId12" ref="L33"/>
    <hyperlink r:id="rId13" ref="L34"/>
    <hyperlink r:id="rId14" ref="L35"/>
    <hyperlink r:id="rId15" ref="L36"/>
    <hyperlink r:id="rId16" ref="L37"/>
    <hyperlink r:id="rId17" ref="L38"/>
    <hyperlink r:id="rId18" ref="L39"/>
    <hyperlink r:id="rId19" ref="L43"/>
    <hyperlink r:id="rId20" location="tab-4" ref="L44"/>
    <hyperlink r:id="rId21" ref="L46"/>
    <hyperlink r:id="rId22" ref="L48"/>
    <hyperlink r:id="rId23" ref="L49"/>
    <hyperlink r:id="rId24" ref="L50"/>
    <hyperlink r:id="rId25" ref="M50"/>
    <hyperlink r:id="rId26" ref="L51"/>
    <hyperlink r:id="rId27" ref="L54"/>
    <hyperlink r:id="rId28" ref="L61"/>
    <hyperlink r:id="rId29" ref="L63"/>
    <hyperlink r:id="rId30" location=":~:text=Propane%20has%2091%2C500%20BTUs%20per,per%20kilowatt%20hour%20(kwh)." ref="L64"/>
    <hyperlink r:id="rId31" ref="L68"/>
    <hyperlink r:id="rId32" location=":~:text=An%20annual%20maintenance%20plan%3A%20Some,from%20%24200%20to%20%24400%20annually." ref="L70"/>
    <hyperlink r:id="rId33" ref="L102"/>
    <hyperlink r:id="rId34" ref="L116"/>
    <hyperlink r:id="rId35" ref="L126"/>
  </hyperlinks>
  <drawing r:id="rId36"/>
  <legacy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4.63"/>
    <col customWidth="1" min="5" max="5" width="19.5"/>
    <col customWidth="1" min="6" max="6" width="32.13"/>
  </cols>
  <sheetData>
    <row r="1">
      <c r="B1" s="32" t="s">
        <v>217</v>
      </c>
      <c r="C1" s="32" t="s">
        <v>218</v>
      </c>
      <c r="D1" s="32" t="s">
        <v>219</v>
      </c>
      <c r="E1" s="182" t="s">
        <v>9</v>
      </c>
      <c r="F1" s="182" t="s">
        <v>220</v>
      </c>
    </row>
    <row r="2">
      <c r="A2" s="149" t="s">
        <v>221</v>
      </c>
      <c r="B2" s="90">
        <v>500.0</v>
      </c>
      <c r="C2" s="90">
        <v>2000.0</v>
      </c>
      <c r="D2" s="90">
        <v>1000.0</v>
      </c>
      <c r="E2" s="59" t="s">
        <v>222</v>
      </c>
      <c r="F2" s="183" t="s">
        <v>223</v>
      </c>
    </row>
    <row r="3">
      <c r="A3" s="149" t="s">
        <v>224</v>
      </c>
      <c r="B3" s="90">
        <v>700.0</v>
      </c>
      <c r="C3" s="90">
        <v>2000.0</v>
      </c>
      <c r="D3" s="90">
        <v>1000.0</v>
      </c>
      <c r="E3" s="53" t="s">
        <v>222</v>
      </c>
      <c r="F3" s="183" t="s">
        <v>223</v>
      </c>
    </row>
    <row r="4">
      <c r="A4" s="149" t="s">
        <v>225</v>
      </c>
      <c r="B4" s="90">
        <v>1200.0</v>
      </c>
      <c r="C4" s="90">
        <v>2500.0</v>
      </c>
      <c r="D4" s="90">
        <v>1000.0</v>
      </c>
      <c r="E4" s="53" t="s">
        <v>222</v>
      </c>
      <c r="F4" s="183" t="s">
        <v>223</v>
      </c>
    </row>
    <row r="5">
      <c r="A5" s="149" t="s">
        <v>226</v>
      </c>
      <c r="B5" s="90">
        <f>2500*(1/(Model!$E$55/10000))</f>
        <v>756.3184942</v>
      </c>
      <c r="C5" s="90">
        <v>5000.0</v>
      </c>
      <c r="D5" s="90">
        <v>1000.0</v>
      </c>
      <c r="E5" s="53" t="s">
        <v>227</v>
      </c>
      <c r="F5" s="14" t="s">
        <v>228</v>
      </c>
    </row>
    <row r="6">
      <c r="A6" s="149" t="s">
        <v>229</v>
      </c>
      <c r="B6" s="90">
        <v>833.0</v>
      </c>
      <c r="C6" s="90">
        <v>1250.0</v>
      </c>
      <c r="D6" s="90">
        <v>1200.0</v>
      </c>
      <c r="E6" s="59" t="s">
        <v>230</v>
      </c>
      <c r="F6" s="14" t="s">
        <v>231</v>
      </c>
    </row>
    <row r="7">
      <c r="A7" s="149" t="s">
        <v>232</v>
      </c>
      <c r="B7" s="90">
        <v>1000.0</v>
      </c>
      <c r="C7" s="90">
        <v>2000.0</v>
      </c>
      <c r="D7" s="90">
        <v>900.0</v>
      </c>
      <c r="E7" s="53" t="s">
        <v>222</v>
      </c>
      <c r="F7" s="183" t="s">
        <v>223</v>
      </c>
    </row>
    <row r="8">
      <c r="A8" s="149" t="s">
        <v>233</v>
      </c>
      <c r="B8" s="90">
        <v>800.0</v>
      </c>
      <c r="C8" s="90">
        <v>1500.0</v>
      </c>
      <c r="D8" s="90">
        <v>900.0</v>
      </c>
      <c r="E8" s="53" t="s">
        <v>222</v>
      </c>
      <c r="F8" s="183" t="s">
        <v>223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9.75"/>
    <col customWidth="1" min="3" max="4" width="21.75"/>
    <col customWidth="1" min="5" max="5" width="19.38"/>
  </cols>
  <sheetData>
    <row r="1">
      <c r="A1" s="33"/>
      <c r="B1" s="184" t="s">
        <v>234</v>
      </c>
      <c r="C1" s="184" t="s">
        <v>235</v>
      </c>
      <c r="D1" s="184" t="s">
        <v>236</v>
      </c>
      <c r="E1" s="184" t="s">
        <v>9</v>
      </c>
    </row>
    <row r="2">
      <c r="A2" s="185" t="s">
        <v>237</v>
      </c>
      <c r="B2" s="186">
        <v>84.0</v>
      </c>
      <c r="C2" s="187">
        <v>18.0</v>
      </c>
      <c r="D2" s="187">
        <f t="shared" ref="D2:D10" si="1">B2*C2</f>
        <v>1512</v>
      </c>
      <c r="E2" s="188" t="s">
        <v>238</v>
      </c>
    </row>
    <row r="3">
      <c r="A3" s="189" t="s">
        <v>233</v>
      </c>
      <c r="B3" s="186">
        <v>67.0</v>
      </c>
      <c r="C3" s="187">
        <v>30.0</v>
      </c>
      <c r="D3" s="187">
        <f t="shared" si="1"/>
        <v>2010</v>
      </c>
      <c r="E3" s="188" t="s">
        <v>239</v>
      </c>
    </row>
    <row r="4">
      <c r="A4" s="185" t="s">
        <v>240</v>
      </c>
      <c r="B4" s="186">
        <v>74.0</v>
      </c>
      <c r="C4" s="187">
        <v>53.0</v>
      </c>
      <c r="D4" s="187">
        <f t="shared" si="1"/>
        <v>3922</v>
      </c>
      <c r="E4" s="188" t="s">
        <v>241</v>
      </c>
    </row>
    <row r="5">
      <c r="A5" s="185" t="s">
        <v>242</v>
      </c>
      <c r="B5" s="186">
        <v>65.0</v>
      </c>
      <c r="C5" s="187">
        <v>59.0</v>
      </c>
      <c r="D5" s="187">
        <f t="shared" si="1"/>
        <v>3835</v>
      </c>
      <c r="E5" s="188" t="s">
        <v>243</v>
      </c>
    </row>
    <row r="6">
      <c r="A6" s="185" t="s">
        <v>244</v>
      </c>
      <c r="B6" s="186">
        <v>81.0</v>
      </c>
      <c r="C6" s="187">
        <v>67.0</v>
      </c>
      <c r="D6" s="187">
        <f t="shared" si="1"/>
        <v>5427</v>
      </c>
      <c r="E6" s="190" t="s">
        <v>245</v>
      </c>
    </row>
    <row r="7">
      <c r="A7" s="189" t="s">
        <v>232</v>
      </c>
      <c r="B7" s="186">
        <v>98.0</v>
      </c>
      <c r="C7" s="187">
        <v>89.0</v>
      </c>
      <c r="D7" s="187">
        <f t="shared" si="1"/>
        <v>8722</v>
      </c>
      <c r="E7" s="188" t="s">
        <v>246</v>
      </c>
    </row>
    <row r="8">
      <c r="A8" s="185" t="s">
        <v>247</v>
      </c>
      <c r="B8" s="186">
        <v>71.0</v>
      </c>
      <c r="C8" s="187">
        <v>133.0</v>
      </c>
      <c r="D8" s="187">
        <f t="shared" si="1"/>
        <v>9443</v>
      </c>
      <c r="E8" s="188" t="s">
        <v>248</v>
      </c>
    </row>
    <row r="9">
      <c r="A9" s="185" t="s">
        <v>249</v>
      </c>
      <c r="B9" s="186">
        <v>46.0</v>
      </c>
      <c r="C9" s="187">
        <v>370.0</v>
      </c>
      <c r="D9" s="187">
        <f t="shared" si="1"/>
        <v>17020</v>
      </c>
      <c r="E9" s="188" t="s">
        <v>250</v>
      </c>
    </row>
    <row r="10">
      <c r="A10" s="189" t="s">
        <v>226</v>
      </c>
      <c r="B10" s="186">
        <v>43.0</v>
      </c>
      <c r="C10" s="187">
        <v>710.0</v>
      </c>
      <c r="D10" s="187">
        <f t="shared" si="1"/>
        <v>30530</v>
      </c>
      <c r="E10" s="190" t="s">
        <v>251</v>
      </c>
    </row>
    <row r="11">
      <c r="A11" s="185" t="s">
        <v>252</v>
      </c>
      <c r="B11" s="186">
        <v>105.0</v>
      </c>
      <c r="C11" s="187">
        <v>89.0</v>
      </c>
      <c r="D11" s="187">
        <f t="shared" ref="D11:D12" si="2">100*C11</f>
        <v>8900</v>
      </c>
      <c r="E11" s="190" t="s">
        <v>253</v>
      </c>
    </row>
    <row r="12">
      <c r="A12" s="185" t="s">
        <v>254</v>
      </c>
      <c r="B12" s="186">
        <v>215.0</v>
      </c>
      <c r="C12" s="187">
        <v>49.0</v>
      </c>
      <c r="D12" s="187">
        <f t="shared" si="2"/>
        <v>4900</v>
      </c>
      <c r="E12" s="190" t="s">
        <v>255</v>
      </c>
    </row>
  </sheetData>
  <hyperlinks>
    <hyperlink r:id="rId1" location="document/p11/a2674171" ref="E2"/>
    <hyperlink r:id="rId2" location="document/p13/a2674173" ref="E3"/>
    <hyperlink r:id="rId3" location="document/p10/a2674170" ref="E4"/>
    <hyperlink r:id="rId4" location="document/p14/a2674174" ref="E5"/>
    <hyperlink r:id="rId5" location="document/p9/a2674169" ref="E6"/>
    <hyperlink r:id="rId6" location="document/p12/a2674172" ref="E7"/>
    <hyperlink r:id="rId7" location="document/p4/a2674165" ref="E8"/>
    <hyperlink r:id="rId8" location="document/p8/a2674168" ref="E9"/>
    <hyperlink r:id="rId9" location="document/p5/a2674166" ref="E10"/>
    <hyperlink r:id="rId10" location="document/p7/a2674177" ref="E11"/>
    <hyperlink r:id="rId11" location="document/p6/a2674176" ref="E12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1.63"/>
    <col customWidth="1" min="3" max="3" width="30.63"/>
    <col customWidth="1" min="4" max="5" width="21.63"/>
  </cols>
  <sheetData>
    <row r="1">
      <c r="A1" s="191" t="s">
        <v>256</v>
      </c>
      <c r="B1" s="191" t="s">
        <v>257</v>
      </c>
      <c r="C1" s="191" t="s">
        <v>258</v>
      </c>
      <c r="D1" s="191" t="s">
        <v>259</v>
      </c>
      <c r="E1" s="192" t="s">
        <v>260</v>
      </c>
      <c r="F1" s="191" t="s">
        <v>261</v>
      </c>
      <c r="G1" s="192" t="s">
        <v>262</v>
      </c>
      <c r="H1" s="52"/>
      <c r="I1" s="52"/>
      <c r="J1" s="52"/>
      <c r="K1" s="52"/>
      <c r="L1" s="52"/>
      <c r="M1" s="52"/>
      <c r="N1" s="191" t="s">
        <v>263</v>
      </c>
    </row>
    <row r="2">
      <c r="A2" s="27" t="s">
        <v>264</v>
      </c>
      <c r="B2" s="193" t="s">
        <v>265</v>
      </c>
      <c r="C2" s="193" t="s">
        <v>266</v>
      </c>
      <c r="D2" s="193" t="s">
        <v>267</v>
      </c>
      <c r="E2" s="194" t="s">
        <v>268</v>
      </c>
      <c r="F2" s="195" t="s">
        <v>269</v>
      </c>
      <c r="G2" s="196">
        <v>2999.0</v>
      </c>
      <c r="H2" s="197">
        <v>2565.0</v>
      </c>
      <c r="I2" s="197">
        <v>2685.0</v>
      </c>
      <c r="K2" s="52"/>
      <c r="L2" s="52"/>
      <c r="M2" s="52"/>
      <c r="N2" s="198">
        <f t="shared" ref="N2:N7" si="1">AVERAGE(G2:M2)</f>
        <v>2749.666667</v>
      </c>
    </row>
    <row r="3">
      <c r="A3" s="27" t="s">
        <v>270</v>
      </c>
      <c r="B3" s="193" t="s">
        <v>271</v>
      </c>
      <c r="C3" s="193" t="s">
        <v>272</v>
      </c>
      <c r="D3" s="193" t="s">
        <v>267</v>
      </c>
      <c r="E3" s="193"/>
      <c r="F3" s="195" t="s">
        <v>269</v>
      </c>
      <c r="G3" s="196">
        <v>3790.0</v>
      </c>
      <c r="H3" s="197">
        <v>4648.0</v>
      </c>
      <c r="I3" s="197">
        <v>3575.0</v>
      </c>
      <c r="K3" s="193"/>
      <c r="L3" s="52"/>
      <c r="M3" s="52"/>
      <c r="N3" s="198">
        <f t="shared" si="1"/>
        <v>4004.333333</v>
      </c>
    </row>
    <row r="4">
      <c r="A4" s="199" t="s">
        <v>273</v>
      </c>
      <c r="B4" s="200" t="s">
        <v>274</v>
      </c>
      <c r="C4" s="200" t="s">
        <v>275</v>
      </c>
      <c r="D4" s="200"/>
      <c r="E4" s="201" t="s">
        <v>276</v>
      </c>
      <c r="F4" s="202" t="s">
        <v>269</v>
      </c>
      <c r="G4" s="203">
        <v>1761.0</v>
      </c>
      <c r="H4" s="203">
        <v>1400.0</v>
      </c>
      <c r="I4" s="203">
        <v>1712.0</v>
      </c>
      <c r="J4" s="203">
        <v>1750.0</v>
      </c>
      <c r="K4" s="203">
        <v>2066.0</v>
      </c>
      <c r="L4" s="203">
        <v>1592.0</v>
      </c>
      <c r="M4" s="203">
        <v>1715.0</v>
      </c>
      <c r="N4" s="204">
        <f t="shared" si="1"/>
        <v>1713.714286</v>
      </c>
    </row>
    <row r="5">
      <c r="A5" s="199" t="s">
        <v>277</v>
      </c>
      <c r="B5" s="199" t="s">
        <v>278</v>
      </c>
      <c r="C5" s="199" t="s">
        <v>279</v>
      </c>
      <c r="D5" s="199"/>
      <c r="E5" s="205" t="s">
        <v>280</v>
      </c>
      <c r="F5" s="202" t="s">
        <v>269</v>
      </c>
      <c r="G5" s="206">
        <v>1799.0</v>
      </c>
      <c r="H5" s="206">
        <v>1699.0</v>
      </c>
      <c r="I5" s="206">
        <v>1550.0</v>
      </c>
      <c r="J5" s="206">
        <v>1819.0</v>
      </c>
      <c r="K5" s="206">
        <v>1799.99</v>
      </c>
      <c r="L5" s="207"/>
      <c r="M5" s="208"/>
      <c r="N5" s="204">
        <f t="shared" si="1"/>
        <v>1733.398</v>
      </c>
    </row>
    <row r="6">
      <c r="A6" s="199" t="s">
        <v>147</v>
      </c>
      <c r="B6" s="199" t="s">
        <v>278</v>
      </c>
      <c r="C6" s="199" t="s">
        <v>281</v>
      </c>
      <c r="D6" s="199"/>
      <c r="E6" s="205" t="s">
        <v>282</v>
      </c>
      <c r="F6" s="202" t="s">
        <v>269</v>
      </c>
      <c r="G6" s="206">
        <v>709.0</v>
      </c>
      <c r="H6" s="206">
        <v>679.0</v>
      </c>
      <c r="I6" s="206">
        <v>779.0</v>
      </c>
      <c r="J6" s="206">
        <v>1079.8</v>
      </c>
      <c r="K6" s="206">
        <v>889.0</v>
      </c>
      <c r="L6" s="206">
        <v>729.9</v>
      </c>
      <c r="M6" s="206">
        <v>889.0</v>
      </c>
      <c r="N6" s="204">
        <f t="shared" si="1"/>
        <v>822.1</v>
      </c>
    </row>
    <row r="7">
      <c r="A7" s="199" t="s">
        <v>283</v>
      </c>
      <c r="B7" s="199" t="s">
        <v>284</v>
      </c>
      <c r="C7" s="199" t="s">
        <v>285</v>
      </c>
      <c r="D7" s="199"/>
      <c r="E7" s="205" t="s">
        <v>286</v>
      </c>
      <c r="F7" s="202" t="s">
        <v>269</v>
      </c>
      <c r="G7" s="206">
        <v>2046.43</v>
      </c>
      <c r="H7" s="206">
        <v>2312.09</v>
      </c>
      <c r="I7" s="209">
        <v>2584.0</v>
      </c>
      <c r="J7" s="209">
        <v>2501.79</v>
      </c>
      <c r="K7" s="209">
        <v>2180.0</v>
      </c>
      <c r="L7" s="206">
        <v>2235.0</v>
      </c>
      <c r="M7" s="208"/>
      <c r="N7" s="208">
        <f t="shared" si="1"/>
        <v>2309.885</v>
      </c>
    </row>
  </sheetData>
  <hyperlinks>
    <hyperlink r:id="rId1" ref="E2"/>
    <hyperlink r:id="rId2" ref="G2"/>
    <hyperlink r:id="rId3" ref="H2"/>
    <hyperlink r:id="rId4" ref="I2"/>
    <hyperlink r:id="rId5" ref="G3"/>
    <hyperlink r:id="rId6" ref="H3"/>
    <hyperlink r:id="rId7" ref="I3"/>
    <hyperlink r:id="rId8" ref="E4"/>
    <hyperlink r:id="rId9" ref="G4"/>
    <hyperlink r:id="rId10" ref="H4"/>
    <hyperlink r:id="rId11" ref="I4"/>
    <hyperlink r:id="rId12" ref="J4"/>
    <hyperlink r:id="rId13" ref="K4"/>
    <hyperlink r:id="rId14" ref="L4"/>
    <hyperlink r:id="rId15" ref="M4"/>
    <hyperlink r:id="rId16" ref="E5"/>
    <hyperlink r:id="rId17" ref="G5"/>
    <hyperlink r:id="rId18" ref="H5"/>
    <hyperlink r:id="rId19" ref="I5"/>
    <hyperlink r:id="rId20" ref="J5"/>
    <hyperlink r:id="rId21" ref="K5"/>
    <hyperlink r:id="rId22" ref="E6"/>
    <hyperlink r:id="rId23" ref="G6"/>
    <hyperlink r:id="rId24" ref="H6"/>
    <hyperlink r:id="rId25" ref="I6"/>
    <hyperlink r:id="rId26" ref="J6"/>
    <hyperlink r:id="rId27" ref="K6"/>
    <hyperlink r:id="rId28" ref="L6"/>
    <hyperlink r:id="rId29" ref="M6"/>
    <hyperlink r:id="rId30" ref="E7"/>
    <hyperlink r:id="rId31" ref="G7"/>
    <hyperlink r:id="rId32" ref="H7"/>
    <hyperlink r:id="rId33" ref="I7"/>
    <hyperlink r:id="rId34" ref="J7"/>
    <hyperlink r:id="rId35" ref="K7"/>
    <hyperlink r:id="rId36" ref="L7"/>
  </hyperlinks>
  <drawing r:id="rId3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4" max="4" width="20.63"/>
  </cols>
  <sheetData>
    <row r="1">
      <c r="A1" s="32" t="s">
        <v>287</v>
      </c>
      <c r="B1" s="7"/>
      <c r="C1" s="7"/>
      <c r="D1" s="7"/>
      <c r="E1" s="210" t="s">
        <v>288</v>
      </c>
      <c r="F1" s="102"/>
      <c r="G1" s="102"/>
      <c r="H1" s="211" t="s">
        <v>289</v>
      </c>
      <c r="I1" s="41"/>
      <c r="M1" s="7"/>
      <c r="N1" s="7"/>
      <c r="O1" s="7"/>
    </row>
    <row r="2">
      <c r="B2" s="7">
        <v>2025.0</v>
      </c>
      <c r="C2" s="7">
        <v>2024.0</v>
      </c>
      <c r="D2" s="7">
        <v>2023.0</v>
      </c>
      <c r="E2" s="7">
        <v>2022.0</v>
      </c>
      <c r="F2" s="7">
        <v>2021.0</v>
      </c>
      <c r="G2" s="7">
        <v>2020.0</v>
      </c>
      <c r="H2" s="7">
        <v>2019.0</v>
      </c>
      <c r="I2" s="7">
        <v>2018.0</v>
      </c>
      <c r="J2" s="7">
        <v>2017.0</v>
      </c>
      <c r="K2" s="7">
        <v>2016.0</v>
      </c>
      <c r="L2" s="7">
        <v>2015.0</v>
      </c>
      <c r="M2" s="7">
        <v>2014.0</v>
      </c>
      <c r="N2" s="7">
        <v>2013.0</v>
      </c>
      <c r="O2" s="7">
        <v>2012.0</v>
      </c>
    </row>
    <row r="3">
      <c r="A3" s="7" t="s">
        <v>290</v>
      </c>
      <c r="B3" s="67">
        <v>25.31</v>
      </c>
      <c r="C3" s="67">
        <v>23.44</v>
      </c>
      <c r="D3" s="67">
        <v>23.57</v>
      </c>
      <c r="E3" s="67">
        <v>21.0</v>
      </c>
      <c r="F3" s="67">
        <v>18.3</v>
      </c>
      <c r="G3" s="67">
        <v>17.6</v>
      </c>
      <c r="H3" s="67">
        <v>17.3</v>
      </c>
      <c r="I3" s="67">
        <v>17.8</v>
      </c>
      <c r="J3" s="67">
        <v>17.3</v>
      </c>
      <c r="K3" s="67">
        <v>16.5</v>
      </c>
      <c r="L3" s="7">
        <v>19.3</v>
      </c>
      <c r="M3" s="7">
        <v>19.5</v>
      </c>
      <c r="N3" s="7">
        <v>18.0</v>
      </c>
      <c r="O3" s="7">
        <v>16.8</v>
      </c>
    </row>
    <row r="4">
      <c r="A4" s="7" t="s">
        <v>291</v>
      </c>
      <c r="B4" s="67">
        <v>26.2</v>
      </c>
      <c r="C4" s="67">
        <v>24.23</v>
      </c>
      <c r="D4" s="67">
        <v>23.6</v>
      </c>
      <c r="E4" s="67">
        <v>21.6</v>
      </c>
      <c r="F4" s="67">
        <v>18.8</v>
      </c>
      <c r="G4" s="67">
        <v>17.4</v>
      </c>
      <c r="H4" s="67">
        <v>17.6</v>
      </c>
      <c r="I4" s="67">
        <v>18.2</v>
      </c>
      <c r="J4" s="67">
        <v>17.5</v>
      </c>
      <c r="K4" s="67">
        <v>16.8</v>
      </c>
      <c r="L4" s="7">
        <v>19.8</v>
      </c>
      <c r="M4" s="7">
        <v>21.7</v>
      </c>
      <c r="N4" s="7">
        <v>19.0</v>
      </c>
      <c r="O4" s="7">
        <v>16.6</v>
      </c>
    </row>
    <row r="5">
      <c r="A5" s="7" t="s">
        <v>292</v>
      </c>
      <c r="B5" s="67">
        <v>25.43</v>
      </c>
      <c r="C5" s="67">
        <v>23.64</v>
      </c>
      <c r="D5" s="67">
        <v>21.18</v>
      </c>
      <c r="E5" s="67">
        <v>19.7</v>
      </c>
      <c r="F5" s="67">
        <v>18.0</v>
      </c>
      <c r="G5" s="67">
        <v>17.2</v>
      </c>
      <c r="H5" s="67">
        <v>16.8</v>
      </c>
      <c r="I5" s="67">
        <v>17.5</v>
      </c>
      <c r="J5" s="67">
        <v>17.0</v>
      </c>
      <c r="K5" s="67">
        <v>16.9</v>
      </c>
      <c r="L5" s="7">
        <v>19.0</v>
      </c>
      <c r="M5" s="7">
        <v>20.9</v>
      </c>
      <c r="N5" s="7">
        <v>18.3</v>
      </c>
      <c r="O5" s="7">
        <v>16.7</v>
      </c>
    </row>
    <row r="6">
      <c r="A6" s="7" t="s">
        <v>293</v>
      </c>
      <c r="C6" s="67">
        <v>24.98</v>
      </c>
      <c r="D6" s="67">
        <v>22.7</v>
      </c>
      <c r="E6" s="67">
        <v>23.3</v>
      </c>
      <c r="F6" s="67">
        <v>20.6</v>
      </c>
      <c r="G6" s="67">
        <v>19.3</v>
      </c>
      <c r="H6" s="67">
        <v>18.6</v>
      </c>
      <c r="I6" s="67">
        <v>19.3</v>
      </c>
      <c r="J6" s="67">
        <v>18.7</v>
      </c>
      <c r="K6" s="67">
        <v>18.3</v>
      </c>
      <c r="L6" s="7">
        <v>18.3</v>
      </c>
      <c r="M6" s="7">
        <v>19.4</v>
      </c>
      <c r="N6" s="7">
        <v>18.9</v>
      </c>
      <c r="O6" s="7">
        <v>18.4</v>
      </c>
    </row>
    <row r="7">
      <c r="A7" s="7" t="s">
        <v>294</v>
      </c>
      <c r="C7" s="67">
        <v>24.69</v>
      </c>
      <c r="D7" s="67">
        <v>22.72</v>
      </c>
      <c r="E7" s="67">
        <v>23.7</v>
      </c>
      <c r="F7" s="67">
        <v>20.0</v>
      </c>
      <c r="G7" s="67">
        <v>19.0</v>
      </c>
      <c r="H7" s="67">
        <v>18.0</v>
      </c>
      <c r="I7" s="67">
        <v>18.2</v>
      </c>
      <c r="J7" s="67">
        <v>17.8</v>
      </c>
      <c r="K7" s="67">
        <v>17.7</v>
      </c>
      <c r="L7" s="7">
        <v>18.2</v>
      </c>
      <c r="M7" s="7">
        <v>19.5</v>
      </c>
      <c r="N7" s="7">
        <v>18.5</v>
      </c>
      <c r="O7" s="7">
        <v>17.4</v>
      </c>
    </row>
    <row r="8">
      <c r="A8" s="7" t="s">
        <v>295</v>
      </c>
      <c r="C8" s="67">
        <v>24.37</v>
      </c>
      <c r="D8" s="67">
        <v>22.52</v>
      </c>
      <c r="E8" s="67">
        <v>22.8</v>
      </c>
      <c r="F8" s="67">
        <v>19.5</v>
      </c>
      <c r="G8" s="67">
        <v>18.3</v>
      </c>
      <c r="H8" s="67">
        <v>17.3</v>
      </c>
      <c r="I8" s="67">
        <v>17.3</v>
      </c>
      <c r="J8" s="67">
        <v>17.0</v>
      </c>
      <c r="K8" s="67">
        <v>17.2</v>
      </c>
      <c r="L8" s="7">
        <v>17.5</v>
      </c>
      <c r="M8" s="7">
        <v>19.3</v>
      </c>
      <c r="N8" s="7">
        <v>18.2</v>
      </c>
      <c r="O8" s="7">
        <v>17.5</v>
      </c>
    </row>
    <row r="10">
      <c r="A10" s="32" t="s">
        <v>296</v>
      </c>
      <c r="B10" s="149">
        <f>AVERAGE(B3:G8)</f>
        <v>21.6569697</v>
      </c>
      <c r="D10" s="32" t="s">
        <v>297</v>
      </c>
      <c r="E10" s="149">
        <f>AVERAGE(B3:L8)</f>
        <v>19.83142857</v>
      </c>
    </row>
    <row r="11">
      <c r="A11" s="32" t="s">
        <v>298</v>
      </c>
      <c r="B11" s="149">
        <f>average(B3:B5)</f>
        <v>25.64666667</v>
      </c>
      <c r="D11" s="32" t="s">
        <v>299</v>
      </c>
      <c r="E11" s="149">
        <f>average(E3:E5)</f>
        <v>20.76666667</v>
      </c>
    </row>
    <row r="13">
      <c r="A13" s="32" t="s">
        <v>300</v>
      </c>
      <c r="E13" s="212" t="s">
        <v>301</v>
      </c>
      <c r="F13" s="52"/>
      <c r="G13" s="52"/>
      <c r="H13" s="213" t="s">
        <v>302</v>
      </c>
      <c r="I13" s="41"/>
    </row>
    <row r="14">
      <c r="B14" s="7">
        <v>2025.0</v>
      </c>
      <c r="C14" s="7">
        <v>2024.0</v>
      </c>
      <c r="D14" s="7">
        <v>2023.0</v>
      </c>
      <c r="E14" s="7">
        <v>2022.0</v>
      </c>
      <c r="F14" s="7">
        <v>2021.0</v>
      </c>
      <c r="G14" s="7">
        <v>2020.0</v>
      </c>
      <c r="H14" s="7">
        <v>2019.0</v>
      </c>
      <c r="I14" s="7">
        <v>2018.0</v>
      </c>
      <c r="J14" s="7">
        <v>2017.0</v>
      </c>
      <c r="K14" s="7">
        <v>2016.0</v>
      </c>
      <c r="L14" s="7">
        <v>2015.0</v>
      </c>
      <c r="M14" s="7">
        <v>2014.0</v>
      </c>
      <c r="N14" s="7">
        <v>2013.0</v>
      </c>
      <c r="O14" s="7">
        <v>2012.0</v>
      </c>
    </row>
    <row r="15">
      <c r="A15" s="7" t="s">
        <v>290</v>
      </c>
      <c r="B15" s="67">
        <v>14.48</v>
      </c>
      <c r="C15" s="67">
        <v>14.55</v>
      </c>
      <c r="D15" s="67">
        <v>17.2</v>
      </c>
      <c r="E15" s="67">
        <v>13.83</v>
      </c>
      <c r="F15" s="67">
        <v>11.21</v>
      </c>
      <c r="G15" s="67">
        <v>11.37</v>
      </c>
      <c r="H15" s="67">
        <v>12.28</v>
      </c>
      <c r="I15" s="7">
        <v>9.51</v>
      </c>
      <c r="J15" s="7">
        <v>9.86</v>
      </c>
      <c r="K15" s="7">
        <v>10.3</v>
      </c>
      <c r="L15" s="7">
        <v>10.51</v>
      </c>
      <c r="M15" s="7">
        <v>11.18</v>
      </c>
      <c r="N15" s="7">
        <v>11.27</v>
      </c>
      <c r="O15" s="7">
        <v>11.67</v>
      </c>
    </row>
    <row r="16">
      <c r="A16" s="7" t="s">
        <v>291</v>
      </c>
      <c r="B16" s="67">
        <v>14.54</v>
      </c>
      <c r="C16" s="67">
        <v>14.75</v>
      </c>
      <c r="D16" s="67">
        <v>16.57</v>
      </c>
      <c r="E16" s="67">
        <v>13.09</v>
      </c>
      <c r="F16" s="67">
        <v>10.87</v>
      </c>
      <c r="G16" s="67">
        <v>11.62</v>
      </c>
      <c r="H16" s="67">
        <v>11.44</v>
      </c>
      <c r="I16" s="7">
        <v>11.23</v>
      </c>
      <c r="J16" s="7">
        <v>11.04</v>
      </c>
      <c r="K16" s="7">
        <v>9.45</v>
      </c>
      <c r="L16" s="7">
        <v>9.79</v>
      </c>
      <c r="M16" s="7">
        <v>11.32</v>
      </c>
      <c r="N16" s="7">
        <v>10.8</v>
      </c>
      <c r="O16" s="7">
        <v>11.69</v>
      </c>
    </row>
    <row r="17">
      <c r="A17" s="7" t="s">
        <v>292</v>
      </c>
      <c r="B17" s="67">
        <v>16.12</v>
      </c>
      <c r="C17" s="67">
        <v>15.46</v>
      </c>
      <c r="D17" s="67">
        <v>16.08</v>
      </c>
      <c r="E17" s="67">
        <v>14.15</v>
      </c>
      <c r="F17" s="67">
        <v>11.53</v>
      </c>
      <c r="G17" s="67">
        <v>11.93</v>
      </c>
      <c r="H17" s="67">
        <v>10.86</v>
      </c>
      <c r="I17" s="7">
        <v>12.09</v>
      </c>
      <c r="J17" s="7">
        <v>10.81</v>
      </c>
      <c r="K17" s="7">
        <v>9.64</v>
      </c>
      <c r="L17" s="7">
        <v>9.34</v>
      </c>
      <c r="M17" s="7">
        <v>11.78</v>
      </c>
      <c r="N17" s="7">
        <v>11.41</v>
      </c>
      <c r="O17" s="7">
        <v>12.99</v>
      </c>
    </row>
    <row r="18">
      <c r="A18" s="7" t="s">
        <v>293</v>
      </c>
      <c r="C18" s="67">
        <v>22.31</v>
      </c>
      <c r="D18" s="67">
        <v>19.97</v>
      </c>
      <c r="E18" s="67">
        <v>21.93</v>
      </c>
      <c r="F18" s="67" t="s">
        <v>303</v>
      </c>
      <c r="G18" s="67">
        <v>16.08</v>
      </c>
      <c r="H18" s="67">
        <v>16.89</v>
      </c>
      <c r="I18" s="7">
        <v>17.15</v>
      </c>
      <c r="J18" s="7">
        <v>17.17</v>
      </c>
      <c r="K18" s="7">
        <v>14.87</v>
      </c>
      <c r="L18" s="7">
        <v>14.24</v>
      </c>
      <c r="M18" s="7">
        <v>15.99</v>
      </c>
      <c r="N18" s="7">
        <v>16.12</v>
      </c>
      <c r="O18" s="7">
        <v>15.26</v>
      </c>
    </row>
    <row r="19">
      <c r="A19" s="7" t="s">
        <v>294</v>
      </c>
      <c r="C19" s="67">
        <v>19.61</v>
      </c>
      <c r="D19" s="67">
        <v>16.28</v>
      </c>
      <c r="E19" s="67">
        <v>19.28</v>
      </c>
      <c r="F19" s="67">
        <v>17.29</v>
      </c>
      <c r="G19" s="67">
        <v>13.67</v>
      </c>
      <c r="H19" s="67">
        <v>12.45</v>
      </c>
      <c r="I19" s="7">
        <v>12.18</v>
      </c>
      <c r="J19" s="7">
        <v>13.07</v>
      </c>
      <c r="K19" s="7">
        <v>10.95</v>
      </c>
      <c r="L19" s="7">
        <v>12.26</v>
      </c>
      <c r="M19" s="7">
        <v>12.27</v>
      </c>
      <c r="N19" s="7">
        <v>12.27</v>
      </c>
      <c r="O19" s="7">
        <v>11.35</v>
      </c>
    </row>
    <row r="20">
      <c r="A20" s="7" t="s">
        <v>295</v>
      </c>
      <c r="C20" s="67">
        <v>15.34</v>
      </c>
      <c r="D20" s="67">
        <v>14.69</v>
      </c>
      <c r="E20" s="67">
        <v>16.75</v>
      </c>
      <c r="F20" s="67">
        <v>14.65</v>
      </c>
      <c r="G20" s="67">
        <v>12.15</v>
      </c>
      <c r="H20" s="67">
        <v>10.75</v>
      </c>
      <c r="I20" s="7">
        <v>11.64</v>
      </c>
      <c r="J20" s="7">
        <v>10.52</v>
      </c>
      <c r="K20" s="7">
        <v>9.6</v>
      </c>
      <c r="L20" s="7">
        <v>11.43</v>
      </c>
      <c r="M20" s="7">
        <v>10.66</v>
      </c>
      <c r="N20" s="7">
        <v>10.5</v>
      </c>
      <c r="O20" s="7">
        <v>11.97</v>
      </c>
    </row>
    <row r="22">
      <c r="A22" s="32" t="s">
        <v>304</v>
      </c>
      <c r="B22" s="149">
        <f>AVERAGE(B15:G20)</f>
        <v>15.2921875</v>
      </c>
      <c r="D22" s="32" t="s">
        <v>297</v>
      </c>
      <c r="E22" s="149">
        <f>AVERAGE(B15:L20)</f>
        <v>13.59145161</v>
      </c>
    </row>
    <row r="23">
      <c r="A23" s="32" t="s">
        <v>298</v>
      </c>
      <c r="B23" s="149">
        <f>average(B15:B17)</f>
        <v>15.04666667</v>
      </c>
      <c r="D23" s="32" t="s">
        <v>299</v>
      </c>
      <c r="E23" s="149">
        <f>average(E15:E17)</f>
        <v>13.69</v>
      </c>
    </row>
    <row r="25">
      <c r="A25" s="32" t="s">
        <v>305</v>
      </c>
      <c r="E25" s="212" t="s">
        <v>306</v>
      </c>
      <c r="F25" s="52"/>
      <c r="G25" s="52"/>
      <c r="H25" s="213" t="s">
        <v>307</v>
      </c>
      <c r="I25" s="41"/>
    </row>
    <row r="26">
      <c r="B26" s="7">
        <v>2025.0</v>
      </c>
      <c r="C26" s="7">
        <v>2024.0</v>
      </c>
      <c r="D26" s="7">
        <v>2023.0</v>
      </c>
      <c r="E26" s="7">
        <v>2022.0</v>
      </c>
      <c r="F26" s="7">
        <v>2021.0</v>
      </c>
      <c r="G26" s="7">
        <v>2020.0</v>
      </c>
      <c r="H26" s="7">
        <v>2019.0</v>
      </c>
      <c r="I26" s="7">
        <v>2018.0</v>
      </c>
      <c r="J26" s="7">
        <v>2017.0</v>
      </c>
      <c r="K26" s="7">
        <v>2016.0</v>
      </c>
      <c r="L26" s="7">
        <v>2015.0</v>
      </c>
      <c r="M26" s="7">
        <v>2014.0</v>
      </c>
      <c r="N26" s="7">
        <v>2013.0</v>
      </c>
      <c r="O26" s="7">
        <v>2012.0</v>
      </c>
    </row>
    <row r="27">
      <c r="A27" s="7" t="s">
        <v>290</v>
      </c>
      <c r="B27" s="67">
        <v>346.4</v>
      </c>
      <c r="C27" s="67">
        <v>342.6</v>
      </c>
      <c r="D27" s="67">
        <v>347.5</v>
      </c>
      <c r="E27" s="149">
        <v>334.4</v>
      </c>
      <c r="F27" s="149">
        <v>278.3</v>
      </c>
      <c r="G27" s="149">
        <v>287.8</v>
      </c>
      <c r="H27" s="149">
        <v>296.8</v>
      </c>
      <c r="I27" s="149">
        <v>310.6</v>
      </c>
      <c r="J27" s="149">
        <v>263.2</v>
      </c>
      <c r="K27" s="149">
        <v>231.5</v>
      </c>
      <c r="L27" s="149">
        <v>272.3</v>
      </c>
      <c r="M27" s="149">
        <v>335.4</v>
      </c>
      <c r="N27" s="149">
        <v>273.5</v>
      </c>
      <c r="O27" s="149">
        <v>309.3</v>
      </c>
    </row>
    <row r="28">
      <c r="A28" s="7" t="s">
        <v>291</v>
      </c>
      <c r="B28" s="67">
        <v>357.6</v>
      </c>
      <c r="C28" s="67">
        <v>351.3</v>
      </c>
      <c r="D28" s="67">
        <v>349.7</v>
      </c>
      <c r="E28" s="149">
        <v>348.7</v>
      </c>
      <c r="F28" s="149">
        <v>290.1</v>
      </c>
      <c r="G28" s="149">
        <v>285.7</v>
      </c>
      <c r="H28" s="149">
        <v>298.1</v>
      </c>
      <c r="I28" s="149">
        <v>313.6</v>
      </c>
      <c r="J28" s="149">
        <v>277.0</v>
      </c>
      <c r="K28" s="149">
        <v>233.5</v>
      </c>
      <c r="L28" s="149">
        <v>270.4</v>
      </c>
      <c r="M28" s="149">
        <v>377.5</v>
      </c>
      <c r="N28" s="149">
        <v>278.7</v>
      </c>
      <c r="O28" s="149">
        <v>311.9</v>
      </c>
    </row>
    <row r="29">
      <c r="A29" s="7" t="s">
        <v>292</v>
      </c>
      <c r="B29" s="67">
        <v>356.5</v>
      </c>
      <c r="C29" s="67">
        <v>348.6</v>
      </c>
      <c r="D29" s="67">
        <v>346.2</v>
      </c>
      <c r="E29" s="149">
        <v>372.0</v>
      </c>
      <c r="F29" s="149">
        <v>295.8</v>
      </c>
      <c r="G29" s="149">
        <v>284.0</v>
      </c>
      <c r="H29" s="149">
        <v>299.1</v>
      </c>
      <c r="I29" s="149">
        <v>310.2</v>
      </c>
      <c r="J29" s="149">
        <v>276.4</v>
      </c>
      <c r="K29" s="149">
        <v>235.7</v>
      </c>
      <c r="L29" s="149">
        <v>270.8</v>
      </c>
      <c r="M29" s="149">
        <v>366.3</v>
      </c>
      <c r="N29" s="149">
        <v>281.3</v>
      </c>
      <c r="O29" s="149">
        <v>311.6</v>
      </c>
    </row>
    <row r="30">
      <c r="A30" s="7" t="s">
        <v>293</v>
      </c>
      <c r="C30" s="67">
        <v>318.4</v>
      </c>
      <c r="D30" s="67">
        <v>327.3</v>
      </c>
      <c r="E30" s="67">
        <v>350.6</v>
      </c>
      <c r="F30" s="149">
        <v>322.4</v>
      </c>
      <c r="G30" s="149">
        <v>249.0</v>
      </c>
      <c r="H30" s="149">
        <v>273.1</v>
      </c>
      <c r="I30" s="149">
        <v>295.8</v>
      </c>
      <c r="J30" s="149">
        <v>265.5</v>
      </c>
      <c r="K30" s="149">
        <v>230.7</v>
      </c>
      <c r="L30" s="149">
        <v>220.9</v>
      </c>
      <c r="M30" s="149">
        <v>288.5</v>
      </c>
      <c r="N30" s="149">
        <v>273.2</v>
      </c>
      <c r="O30" s="149">
        <v>266.0</v>
      </c>
    </row>
    <row r="31">
      <c r="A31" s="7" t="s">
        <v>294</v>
      </c>
      <c r="C31" s="67">
        <v>326.3</v>
      </c>
      <c r="D31" s="67">
        <v>316.2</v>
      </c>
      <c r="E31" s="67">
        <v>351.8</v>
      </c>
      <c r="F31" s="149">
        <v>329.4</v>
      </c>
      <c r="G31" s="149">
        <v>255.0</v>
      </c>
      <c r="H31" s="149">
        <v>275.0</v>
      </c>
      <c r="I31" s="149">
        <v>296.1</v>
      </c>
      <c r="J31" s="149">
        <v>276.6</v>
      </c>
      <c r="K31" s="149">
        <v>237.5</v>
      </c>
      <c r="L31" s="149">
        <v>224.7</v>
      </c>
      <c r="M31" s="149">
        <v>281.0</v>
      </c>
      <c r="N31" s="149">
        <v>286.2</v>
      </c>
      <c r="O31" s="149">
        <v>268.2</v>
      </c>
    </row>
    <row r="32">
      <c r="A32" s="7" t="s">
        <v>295</v>
      </c>
      <c r="C32" s="67">
        <v>330.1</v>
      </c>
      <c r="D32" s="67">
        <v>329.3</v>
      </c>
      <c r="E32" s="67">
        <v>352.7</v>
      </c>
      <c r="F32" s="149">
        <v>329.3</v>
      </c>
      <c r="G32" s="149">
        <v>264.1</v>
      </c>
      <c r="H32" s="149">
        <v>284.8</v>
      </c>
      <c r="I32" s="149">
        <v>296.4</v>
      </c>
      <c r="J32" s="149">
        <v>291.6</v>
      </c>
      <c r="K32" s="149">
        <v>247.9</v>
      </c>
      <c r="L32" s="149">
        <v>228.9</v>
      </c>
      <c r="M32" s="149">
        <v>278.0</v>
      </c>
      <c r="N32" s="149">
        <v>309.4</v>
      </c>
      <c r="O32" s="149">
        <v>270.3</v>
      </c>
    </row>
    <row r="34">
      <c r="A34" s="32" t="s">
        <v>304</v>
      </c>
      <c r="B34" s="149">
        <f>AVERAGE(B27:G32)</f>
        <v>323.4878788</v>
      </c>
      <c r="D34" s="32" t="s">
        <v>297</v>
      </c>
      <c r="E34" s="149">
        <f>AVERAGE(B27:L32)</f>
        <v>298.0920635</v>
      </c>
    </row>
    <row r="35">
      <c r="A35" s="32" t="s">
        <v>298</v>
      </c>
      <c r="B35" s="149">
        <f>average(B27:B29)</f>
        <v>353.5</v>
      </c>
      <c r="D35" s="32" t="s">
        <v>299</v>
      </c>
      <c r="E35" s="149">
        <f>average(E27:E29)</f>
        <v>351.7</v>
      </c>
    </row>
  </sheetData>
  <hyperlinks>
    <hyperlink r:id="rId1" ref="E1"/>
    <hyperlink r:id="rId2" ref="E13"/>
    <hyperlink r:id="rId3" ref="E25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25"/>
    <col customWidth="1" min="2" max="7" width="15.63"/>
    <col customWidth="1" min="8" max="8" width="17.13"/>
    <col customWidth="1" min="9" max="10" width="20.0"/>
    <col customWidth="1" hidden="1" min="11" max="11" width="19.38"/>
    <col customWidth="1" hidden="1" min="12" max="12" width="15.63"/>
    <col customWidth="1" min="13" max="13" width="41.13"/>
  </cols>
  <sheetData>
    <row r="1">
      <c r="A1" s="214" t="s">
        <v>308</v>
      </c>
      <c r="B1" s="214" t="s">
        <v>309</v>
      </c>
      <c r="C1" s="184" t="s">
        <v>310</v>
      </c>
      <c r="D1" s="184" t="s">
        <v>311</v>
      </c>
      <c r="E1" s="184" t="s">
        <v>312</v>
      </c>
      <c r="F1" s="184" t="s">
        <v>313</v>
      </c>
      <c r="G1" s="184" t="s">
        <v>314</v>
      </c>
      <c r="H1" s="184" t="s">
        <v>315</v>
      </c>
      <c r="I1" s="184" t="s">
        <v>316</v>
      </c>
      <c r="J1" s="184" t="s">
        <v>317</v>
      </c>
      <c r="K1" s="184" t="s">
        <v>318</v>
      </c>
      <c r="L1" s="184" t="s">
        <v>319</v>
      </c>
      <c r="M1" s="184" t="s">
        <v>320</v>
      </c>
    </row>
    <row r="2">
      <c r="A2" s="68" t="s">
        <v>321</v>
      </c>
      <c r="B2" s="73">
        <v>2641052.0</v>
      </c>
      <c r="C2" s="7" t="s">
        <v>226</v>
      </c>
      <c r="D2" s="7" t="s">
        <v>249</v>
      </c>
      <c r="E2" s="149">
        <f t="array" ref="E2">INDEX('County zone mapping'!$E$2:$E$63,MATCH(A2,'County zone mapping'!$B$2:$B$63,0))</f>
        <v>4</v>
      </c>
      <c r="F2" s="128">
        <f t="array" ref="F2">XLOOKUP(C2, 'Utility rebates'!$A$2:$A$8, 'Utility rebates'!$B$2:$B$8)</f>
        <v>756.3184942</v>
      </c>
      <c r="G2" s="128">
        <f t="array" ref="G2">XLOOKUP(C2, 'Utility rebates'!$A$2:$A$8, 'Utility rebates'!$C$2:$C$8)</f>
        <v>5000</v>
      </c>
      <c r="H2" s="128">
        <f t="array" ref="H2">XLOOKUP(C2, 'Utility rebates'!$A$2:$A$8, 'Utility rebates'!$D$2:$D$8)</f>
        <v>1000</v>
      </c>
      <c r="I2" s="128">
        <f t="array" ref="I2">XLOOKUP(D2, 'Service line costs'!$A$2:$A$12, 'Service line costs'!$D$2:$D$12)</f>
        <v>17020</v>
      </c>
      <c r="J2" s="149">
        <f t="array" ref="J2">XLOOKUP(A2,'Design temperatures'!A:A,'Design temperatures'!B:B)</f>
        <v>13</v>
      </c>
      <c r="K2" s="128" t="str">
        <f t="shared" ref="K2:K63" si="1">IFS(EQ(E2,4),'Heat Pump vs Gas/Propane Model (OLD)'!$I$138,EQ(E2,5),'Heat Pump vs Gas/Propane Model (OLD)'!$J$138,EQ(E2,6),'Heat Pump vs Gas/Propane Model (OLD)'!$K$138)</f>
        <v>#REF!</v>
      </c>
      <c r="L2" s="128" t="str">
        <f t="shared" ref="L2:L63" si="2">IFS(EQ(E2,4),'Heat Pump vs Gas/Propane Model (OLD)'!$I$139,EQ(E2,5),'Heat Pump vs Gas/Propane Model (OLD)'!$J$139,EQ(E2,6),'Heat Pump vs Gas/Propane Model (OLD)'!$K$139)</f>
        <v>#REF!</v>
      </c>
      <c r="M2" s="215">
        <f t="array" ref="M2">INDEX('2019 Building Permits Survey'!$C$2:$C$63,MATCH(A2,'2019 Building Permits Survey'!$A$2:$A$63,0))</f>
        <v>0.003718657034</v>
      </c>
    </row>
    <row r="3">
      <c r="A3" s="68" t="s">
        <v>322</v>
      </c>
      <c r="B3" s="73">
        <v>2331143.0</v>
      </c>
      <c r="C3" s="7" t="s">
        <v>226</v>
      </c>
      <c r="D3" s="7" t="s">
        <v>249</v>
      </c>
      <c r="E3" s="149">
        <f t="array" ref="E3">INDEX('County zone mapping'!$E$2:$E$63,MATCH(A3,'County zone mapping'!$B$2:$B$63,0))</f>
        <v>4</v>
      </c>
      <c r="F3" s="128">
        <f t="array" ref="F3">XLOOKUP(C3, 'Utility rebates'!$A$2:$A$8, 'Utility rebates'!$B$2:$B$8)</f>
        <v>756.3184942</v>
      </c>
      <c r="G3" s="128">
        <f t="array" ref="G3">XLOOKUP(C3, 'Utility rebates'!$A$2:$A$8, 'Utility rebates'!$C$2:$C$8)</f>
        <v>5000</v>
      </c>
      <c r="H3" s="128">
        <f t="array" ref="H3">XLOOKUP(C3, 'Utility rebates'!$A$2:$A$8, 'Utility rebates'!$D$2:$D$8)</f>
        <v>1000</v>
      </c>
      <c r="I3" s="128">
        <f t="array" ref="I3">XLOOKUP(D3, 'Service line costs'!$A$2:$A$12, 'Service line costs'!$D$2:$D$12)</f>
        <v>17020</v>
      </c>
      <c r="J3" s="149">
        <f t="array" ref="J3">XLOOKUP(A3,'Design temperatures'!A:A,'Design temperatures'!B:B)</f>
        <v>17</v>
      </c>
      <c r="K3" s="128" t="str">
        <f t="shared" si="1"/>
        <v>#REF!</v>
      </c>
      <c r="L3" s="128" t="str">
        <f t="shared" si="2"/>
        <v>#REF!</v>
      </c>
      <c r="M3" s="215">
        <f t="array" ref="M3">INDEX('2019 Building Permits Survey'!$C$2:$C$63,MATCH(A3,'2019 Building Permits Survey'!$A$2:$A$63,0))</f>
        <v>0.009987250319</v>
      </c>
    </row>
    <row r="4">
      <c r="A4" s="68" t="s">
        <v>323</v>
      </c>
      <c r="B4" s="73">
        <v>1576876.0</v>
      </c>
      <c r="C4" s="7" t="s">
        <v>226</v>
      </c>
      <c r="D4" s="7" t="s">
        <v>226</v>
      </c>
      <c r="E4" s="149">
        <f t="array" ref="E4">INDEX('County zone mapping'!$E$2:$E$63,MATCH(A4,'County zone mapping'!$B$2:$B$63,0))</f>
        <v>4</v>
      </c>
      <c r="F4" s="128">
        <f t="array" ref="F4">XLOOKUP(C4, 'Utility rebates'!$A$2:$A$8, 'Utility rebates'!$B$2:$B$8)</f>
        <v>756.3184942</v>
      </c>
      <c r="G4" s="128">
        <f t="array" ref="G4">XLOOKUP(C4, 'Utility rebates'!$A$2:$A$8, 'Utility rebates'!$C$2:$C$8)</f>
        <v>5000</v>
      </c>
      <c r="H4" s="128">
        <f t="array" ref="H4">XLOOKUP(C4, 'Utility rebates'!$A$2:$A$8, 'Utility rebates'!$D$2:$D$8)</f>
        <v>1000</v>
      </c>
      <c r="I4" s="128">
        <f t="array" ref="I4">XLOOKUP(D4, 'Service line costs'!$A$2:$A$12, 'Service line costs'!$D$2:$D$12)</f>
        <v>30530</v>
      </c>
      <c r="J4" s="149">
        <f t="array" ref="J4">XLOOKUP(A4,'Design temperatures'!A:A,'Design temperatures'!B:B)</f>
        <v>13</v>
      </c>
      <c r="K4" s="128" t="str">
        <f t="shared" si="1"/>
        <v>#REF!</v>
      </c>
      <c r="L4" s="128" t="str">
        <f t="shared" si="2"/>
        <v>#REF!</v>
      </c>
      <c r="M4" s="215">
        <f t="array" ref="M4">INDEX('2019 Building Permits Survey'!$C$2:$C$63,MATCH(A4,'2019 Building Permits Survey'!$A$2:$A$63,0))</f>
        <v>0.0001062473438</v>
      </c>
    </row>
    <row r="5">
      <c r="A5" s="68" t="s">
        <v>324</v>
      </c>
      <c r="B5" s="73">
        <v>1526344.0</v>
      </c>
      <c r="C5" s="7" t="s">
        <v>229</v>
      </c>
      <c r="D5" s="7" t="s">
        <v>244</v>
      </c>
      <c r="E5" s="149">
        <f t="array" ref="E5">INDEX('County zone mapping'!$E$2:$E$63,MATCH(A5,'County zone mapping'!$B$2:$B$63,0))</f>
        <v>4</v>
      </c>
      <c r="F5" s="128">
        <f t="array" ref="F5">XLOOKUP(C5, 'Utility rebates'!$A$2:$A$8, 'Utility rebates'!$B$2:$B$8)</f>
        <v>833</v>
      </c>
      <c r="G5" s="128">
        <f t="array" ref="G5">XLOOKUP(C5, 'Utility rebates'!$A$2:$A$8, 'Utility rebates'!$C$2:$C$8)</f>
        <v>1250</v>
      </c>
      <c r="H5" s="128">
        <f t="array" ref="H5">XLOOKUP(C5, 'Utility rebates'!$A$2:$A$8, 'Utility rebates'!$D$2:$D$8)</f>
        <v>1200</v>
      </c>
      <c r="I5" s="128">
        <f t="array" ref="I5">XLOOKUP(D5, 'Service line costs'!$A$2:$A$12, 'Service line costs'!$D$2:$D$12)</f>
        <v>5427</v>
      </c>
      <c r="J5" s="149">
        <f t="array" ref="J5">XLOOKUP(A5,'Design temperatures'!A:A,'Design temperatures'!B:B)</f>
        <v>10</v>
      </c>
      <c r="K5" s="128" t="str">
        <f t="shared" si="1"/>
        <v>#REF!</v>
      </c>
      <c r="L5" s="128" t="str">
        <f t="shared" si="2"/>
        <v>#REF!</v>
      </c>
      <c r="M5" s="215">
        <f t="array" ref="M5">INDEX('2019 Building Permits Survey'!$C$2:$C$63,MATCH(A5,'2019 Building Permits Survey'!$A$2:$A$63,0))</f>
        <v>0.07235444114</v>
      </c>
    </row>
    <row r="6">
      <c r="A6" s="68" t="s">
        <v>325</v>
      </c>
      <c r="B6" s="73">
        <v>1424948.0</v>
      </c>
      <c r="C6" s="7" t="s">
        <v>226</v>
      </c>
      <c r="D6" s="7" t="s">
        <v>226</v>
      </c>
      <c r="E6" s="149">
        <f t="array" ref="E6">INDEX('County zone mapping'!$E$2:$E$63,MATCH(A6,'County zone mapping'!$B$2:$B$63,0))</f>
        <v>4</v>
      </c>
      <c r="F6" s="128">
        <f t="array" ref="F6">XLOOKUP(C6, 'Utility rebates'!$A$2:$A$8, 'Utility rebates'!$B$2:$B$8)</f>
        <v>756.3184942</v>
      </c>
      <c r="G6" s="128">
        <f t="array" ref="G6">XLOOKUP(C6, 'Utility rebates'!$A$2:$A$8, 'Utility rebates'!$C$2:$C$8)</f>
        <v>5000</v>
      </c>
      <c r="H6" s="128">
        <f t="array" ref="H6">XLOOKUP(C6, 'Utility rebates'!$A$2:$A$8, 'Utility rebates'!$D$2:$D$8)</f>
        <v>1000</v>
      </c>
      <c r="I6" s="128">
        <f t="array" ref="I6">XLOOKUP(D6, 'Service line costs'!$A$2:$A$12, 'Service line costs'!$D$2:$D$12)</f>
        <v>30530</v>
      </c>
      <c r="J6" s="149">
        <f t="array" ref="J6">XLOOKUP(A6,'Design temperatures'!A:A,'Design temperatures'!B:B)</f>
        <v>17</v>
      </c>
      <c r="K6" s="128" t="str">
        <f t="shared" si="1"/>
        <v>#REF!</v>
      </c>
      <c r="L6" s="128" t="str">
        <f t="shared" si="2"/>
        <v>#REF!</v>
      </c>
      <c r="M6" s="215">
        <f t="array" ref="M6">INDEX('2019 Building Permits Survey'!$C$2:$C$63,MATCH(A6,'2019 Building Permits Survey'!$A$2:$A$63,0))</f>
        <v>0.0002124946876</v>
      </c>
    </row>
    <row r="7">
      <c r="A7" s="68" t="s">
        <v>326</v>
      </c>
      <c r="B7" s="73">
        <v>1390907.0</v>
      </c>
      <c r="C7" s="7" t="s">
        <v>229</v>
      </c>
      <c r="D7" s="7" t="s">
        <v>244</v>
      </c>
      <c r="E7" s="149">
        <f t="array" ref="E7">INDEX('County zone mapping'!$E$2:$E$63,MATCH(A7,'County zone mapping'!$B$2:$B$63,0))</f>
        <v>4</v>
      </c>
      <c r="F7" s="128">
        <f t="array" ref="F7">XLOOKUP(C7, 'Utility rebates'!$A$2:$A$8, 'Utility rebates'!$B$2:$B$8)</f>
        <v>833</v>
      </c>
      <c r="G7" s="128">
        <f t="array" ref="G7">XLOOKUP(C7, 'Utility rebates'!$A$2:$A$8, 'Utility rebates'!$C$2:$C$8)</f>
        <v>1250</v>
      </c>
      <c r="H7" s="128">
        <f t="array" ref="H7">XLOOKUP(C7, 'Utility rebates'!$A$2:$A$8, 'Utility rebates'!$D$2:$D$8)</f>
        <v>1200</v>
      </c>
      <c r="I7" s="128">
        <f t="array" ref="I7">XLOOKUP(D7, 'Service line costs'!$A$2:$A$12, 'Service line costs'!$D$2:$D$12)</f>
        <v>5427</v>
      </c>
      <c r="J7" s="149">
        <f t="array" ref="J7">XLOOKUP(A7,'Design temperatures'!A:A,'Design temperatures'!B:B)</f>
        <v>17</v>
      </c>
      <c r="K7" s="128" t="str">
        <f t="shared" si="1"/>
        <v>#REF!</v>
      </c>
      <c r="L7" s="128" t="str">
        <f t="shared" si="2"/>
        <v>#REF!</v>
      </c>
      <c r="M7" s="215">
        <f t="array" ref="M7">INDEX('2019 Building Permits Survey'!$C$2:$C$63,MATCH(A7,'2019 Building Permits Survey'!$A$2:$A$63,0))</f>
        <v>0.07819804505</v>
      </c>
    </row>
    <row r="8">
      <c r="A8" s="68" t="s">
        <v>327</v>
      </c>
      <c r="B8" s="73">
        <v>997895.0</v>
      </c>
      <c r="C8" s="7" t="s">
        <v>226</v>
      </c>
      <c r="D8" s="7" t="s">
        <v>226</v>
      </c>
      <c r="E8" s="149">
        <f t="array" ref="E8">INDEX('County zone mapping'!$E$2:$E$63,MATCH(A8,'County zone mapping'!$B$2:$B$63,0))</f>
        <v>4</v>
      </c>
      <c r="F8" s="128">
        <f t="array" ref="F8">XLOOKUP(C8, 'Utility rebates'!$A$2:$A$8, 'Utility rebates'!$B$2:$B$8)</f>
        <v>756.3184942</v>
      </c>
      <c r="G8" s="128">
        <f t="array" ref="G8">XLOOKUP(C8, 'Utility rebates'!$A$2:$A$8, 'Utility rebates'!$C$2:$C$8)</f>
        <v>5000</v>
      </c>
      <c r="H8" s="128">
        <f t="array" ref="H8">XLOOKUP(C8, 'Utility rebates'!$A$2:$A$8, 'Utility rebates'!$D$2:$D$8)</f>
        <v>1000</v>
      </c>
      <c r="I8" s="128">
        <f t="array" ref="I8">XLOOKUP(D8, 'Service line costs'!$A$2:$A$12, 'Service line costs'!$D$2:$D$12)</f>
        <v>30530</v>
      </c>
      <c r="J8" s="149">
        <f t="array" ref="J8">XLOOKUP(A8,'Design temperatures'!A:A,'Design temperatures'!B:B)</f>
        <v>12</v>
      </c>
      <c r="K8" s="128" t="str">
        <f t="shared" si="1"/>
        <v>#REF!</v>
      </c>
      <c r="L8" s="128" t="str">
        <f t="shared" si="2"/>
        <v>#REF!</v>
      </c>
      <c r="M8" s="215">
        <f t="array" ref="M8">INDEX('2019 Building Permits Survey'!$C$2:$C$63,MATCH(A8,'2019 Building Permits Survey'!$A$2:$A$63,0))</f>
        <v>0.0421801955</v>
      </c>
    </row>
    <row r="9">
      <c r="A9" s="68" t="s">
        <v>328</v>
      </c>
      <c r="B9" s="73">
        <v>950683.0</v>
      </c>
      <c r="C9" s="7" t="s">
        <v>232</v>
      </c>
      <c r="D9" s="7" t="s">
        <v>237</v>
      </c>
      <c r="E9" s="149">
        <f t="array" ref="E9">INDEX('County zone mapping'!$E$2:$E$63,MATCH(A9,'County zone mapping'!$B$2:$B$63,0))</f>
        <v>5</v>
      </c>
      <c r="F9" s="128">
        <f t="array" ref="F9">XLOOKUP(C9, 'Utility rebates'!$A$2:$A$8, 'Utility rebates'!$B$2:$B$8)</f>
        <v>1000</v>
      </c>
      <c r="G9" s="128">
        <f t="array" ref="G9">XLOOKUP(C9, 'Utility rebates'!$A$2:$A$8, 'Utility rebates'!$C$2:$C$8)</f>
        <v>2000</v>
      </c>
      <c r="H9" s="128">
        <f t="array" ref="H9">XLOOKUP(C9, 'Utility rebates'!$A$2:$A$8, 'Utility rebates'!$D$2:$D$8)</f>
        <v>900</v>
      </c>
      <c r="I9" s="128">
        <f t="array" ref="I9">XLOOKUP(D9, 'Service line costs'!$A$2:$A$12, 'Service line costs'!$D$2:$D$12)</f>
        <v>1512</v>
      </c>
      <c r="J9" s="149">
        <f t="array" ref="J9">XLOOKUP(A9,'Design temperatures'!A:A,'Design temperatures'!B:B)</f>
        <v>7</v>
      </c>
      <c r="K9" s="128" t="str">
        <f t="shared" si="1"/>
        <v>#REF!</v>
      </c>
      <c r="L9" s="128" t="str">
        <f t="shared" si="2"/>
        <v>#REF!</v>
      </c>
      <c r="M9" s="215">
        <f t="array" ref="M9">INDEX('2019 Building Permits Survey'!$C$2:$C$63,MATCH(A9,'2019 Building Permits Survey'!$A$2:$A$63,0))</f>
        <v>0.08032299193</v>
      </c>
    </row>
    <row r="10">
      <c r="A10" s="68" t="s">
        <v>329</v>
      </c>
      <c r="B10" s="73">
        <v>755160.0</v>
      </c>
      <c r="C10" s="7" t="s">
        <v>233</v>
      </c>
      <c r="D10" s="7" t="s">
        <v>233</v>
      </c>
      <c r="E10" s="149">
        <f t="array" ref="E10">INDEX('County zone mapping'!$E$2:$E$63,MATCH(A10,'County zone mapping'!$B$2:$B$63,0))</f>
        <v>5</v>
      </c>
      <c r="F10" s="128">
        <f t="array" ref="F10">XLOOKUP(C10, 'Utility rebates'!$A$2:$A$8, 'Utility rebates'!$B$2:$B$8)</f>
        <v>800</v>
      </c>
      <c r="G10" s="128">
        <f t="array" ref="G10">XLOOKUP(C10, 'Utility rebates'!$A$2:$A$8, 'Utility rebates'!$C$2:$C$8)</f>
        <v>1500</v>
      </c>
      <c r="H10" s="128">
        <f t="array" ref="H10">XLOOKUP(C10, 'Utility rebates'!$A$2:$A$8, 'Utility rebates'!$D$2:$D$8)</f>
        <v>900</v>
      </c>
      <c r="I10" s="128">
        <f t="array" ref="I10">XLOOKUP(D10, 'Service line costs'!$A$2:$A$12, 'Service line costs'!$D$2:$D$12)</f>
        <v>2010</v>
      </c>
      <c r="J10" s="149">
        <f t="array" ref="J10">XLOOKUP(A10,'Design temperatures'!A:A,'Design temperatures'!B:B)</f>
        <v>6</v>
      </c>
      <c r="K10" s="128" t="str">
        <f t="shared" si="1"/>
        <v>#REF!</v>
      </c>
      <c r="L10" s="128" t="str">
        <f t="shared" si="2"/>
        <v>#REF!</v>
      </c>
      <c r="M10" s="215">
        <f t="array" ref="M10">INDEX('2019 Building Permits Survey'!$C$2:$C$63,MATCH(A10,'2019 Building Permits Survey'!$A$2:$A$63,0))</f>
        <v>0.06661708457</v>
      </c>
    </row>
    <row r="11">
      <c r="A11" s="68" t="s">
        <v>330</v>
      </c>
      <c r="B11" s="73">
        <v>493494.0</v>
      </c>
      <c r="C11" s="7" t="s">
        <v>226</v>
      </c>
      <c r="D11" s="7" t="s">
        <v>249</v>
      </c>
      <c r="E11" s="149">
        <f t="array" ref="E11">INDEX('County zone mapping'!$E$2:$E$63,MATCH(A11,'County zone mapping'!$B$2:$B$63,0))</f>
        <v>4</v>
      </c>
      <c r="F11" s="128">
        <f t="array" ref="F11">XLOOKUP(C11, 'Utility rebates'!$A$2:$A$8, 'Utility rebates'!$B$2:$B$8)</f>
        <v>756.3184942</v>
      </c>
      <c r="G11" s="128">
        <f t="array" ref="G11">XLOOKUP(C11, 'Utility rebates'!$A$2:$A$8, 'Utility rebates'!$C$2:$C$8)</f>
        <v>5000</v>
      </c>
      <c r="H11" s="128">
        <f t="array" ref="H11">XLOOKUP(C11, 'Utility rebates'!$A$2:$A$8, 'Utility rebates'!$D$2:$D$8)</f>
        <v>1000</v>
      </c>
      <c r="I11" s="128">
        <f t="array" ref="I11">XLOOKUP(D11, 'Service line costs'!$A$2:$A$12, 'Service line costs'!$D$2:$D$12)</f>
        <v>17020</v>
      </c>
      <c r="J11" s="149">
        <f t="array" ref="J11">XLOOKUP(A11,'Design temperatures'!A:A,'Design temperatures'!B:B)</f>
        <v>17</v>
      </c>
      <c r="K11" s="128" t="str">
        <f t="shared" si="1"/>
        <v>#REF!</v>
      </c>
      <c r="L11" s="128" t="str">
        <f t="shared" si="2"/>
        <v>#REF!</v>
      </c>
      <c r="M11" s="215">
        <f t="array" ref="M11">INDEX('2019 Building Permits Survey'!$C$2:$C$63,MATCH(A11,'2019 Building Permits Survey'!$A$2:$A$63,0))</f>
        <v>0.02124946876</v>
      </c>
    </row>
    <row r="12">
      <c r="A12" s="68" t="s">
        <v>331</v>
      </c>
      <c r="B12" s="73">
        <v>473236.0</v>
      </c>
      <c r="C12" s="7" t="s">
        <v>225</v>
      </c>
      <c r="D12" s="7" t="s">
        <v>240</v>
      </c>
      <c r="E12" s="149">
        <f t="array" ref="E12">INDEX('County zone mapping'!$E$2:$E$63,MATCH(A12,'County zone mapping'!$B$2:$B$63,0))</f>
        <v>5</v>
      </c>
      <c r="F12" s="128">
        <f t="array" ref="F12">XLOOKUP(C12, 'Utility rebates'!$A$2:$A$8, 'Utility rebates'!$B$2:$B$8)</f>
        <v>1200</v>
      </c>
      <c r="G12" s="128">
        <f t="array" ref="G12">XLOOKUP(C12, 'Utility rebates'!$A$2:$A$8, 'Utility rebates'!$C$2:$C$8)</f>
        <v>2500</v>
      </c>
      <c r="H12" s="128">
        <f t="array" ref="H12">XLOOKUP(C12, 'Utility rebates'!$A$2:$A$8, 'Utility rebates'!$D$2:$D$8)</f>
        <v>1000</v>
      </c>
      <c r="I12" s="128">
        <f t="array" ref="I12">XLOOKUP(D12, 'Service line costs'!$A$2:$A$12, 'Service line costs'!$D$2:$D$12)</f>
        <v>3922</v>
      </c>
      <c r="J12" s="149">
        <f t="array" ref="J12">XLOOKUP(A12,'Design temperatures'!A:A,'Design temperatures'!B:B)</f>
        <v>3</v>
      </c>
      <c r="K12" s="128" t="str">
        <f t="shared" si="1"/>
        <v>#REF!</v>
      </c>
      <c r="L12" s="128" t="str">
        <f t="shared" si="2"/>
        <v>#REF!</v>
      </c>
      <c r="M12" s="215">
        <f t="array" ref="M12">INDEX('2019 Building Permits Survey'!$C$2:$C$63,MATCH(A12,'2019 Building Permits Survey'!$A$2:$A$63,0))</f>
        <v>0.03431789205</v>
      </c>
    </row>
    <row r="13">
      <c r="A13" s="68" t="s">
        <v>332</v>
      </c>
      <c r="B13" s="73">
        <v>404525.0</v>
      </c>
      <c r="C13" s="7" t="s">
        <v>224</v>
      </c>
      <c r="D13" s="7" t="s">
        <v>242</v>
      </c>
      <c r="E13" s="149">
        <f t="array" ref="E13">INDEX('County zone mapping'!$E$2:$E$63,MATCH(A13,'County zone mapping'!$B$2:$B$63,0))</f>
        <v>5</v>
      </c>
      <c r="F13" s="128">
        <f t="array" ref="F13">XLOOKUP(C13, 'Utility rebates'!$A$2:$A$8, 'Utility rebates'!$B$2:$B$8)</f>
        <v>700</v>
      </c>
      <c r="G13" s="128">
        <f t="array" ref="G13">XLOOKUP(C13, 'Utility rebates'!$A$2:$A$8, 'Utility rebates'!$C$2:$C$8)</f>
        <v>2000</v>
      </c>
      <c r="H13" s="128">
        <f t="array" ref="H13">XLOOKUP(C13, 'Utility rebates'!$A$2:$A$8, 'Utility rebates'!$D$2:$D$8)</f>
        <v>1000</v>
      </c>
      <c r="I13" s="128">
        <f t="array" ref="I13">XLOOKUP(D13, 'Service line costs'!$A$2:$A$12, 'Service line costs'!$D$2:$D$12)</f>
        <v>3835</v>
      </c>
      <c r="J13" s="149">
        <f t="array" ref="J13">XLOOKUP(A13,'Design temperatures'!A:A,'Design temperatures'!B:B)</f>
        <v>9</v>
      </c>
      <c r="K13" s="128" t="str">
        <f t="shared" si="1"/>
        <v>#REF!</v>
      </c>
      <c r="L13" s="128" t="str">
        <f t="shared" si="2"/>
        <v>#REF!</v>
      </c>
      <c r="M13" s="215">
        <f t="array" ref="M13">INDEX('2019 Building Permits Survey'!$C$2:$C$63,MATCH(A13,'2019 Building Permits Survey'!$A$2:$A$63,0))</f>
        <v>0.05439864003</v>
      </c>
    </row>
    <row r="14">
      <c r="A14" s="68" t="s">
        <v>333</v>
      </c>
      <c r="B14" s="73">
        <v>339227.0</v>
      </c>
      <c r="C14" s="7" t="s">
        <v>224</v>
      </c>
      <c r="D14" s="7" t="s">
        <v>242</v>
      </c>
      <c r="E14" s="149">
        <f t="array" ref="E14">INDEX('County zone mapping'!$E$2:$E$63,MATCH(A14,'County zone mapping'!$B$2:$B$63,0))</f>
        <v>5</v>
      </c>
      <c r="F14" s="128">
        <f t="array" ref="F14">XLOOKUP(C14, 'Utility rebates'!$A$2:$A$8, 'Utility rebates'!$B$2:$B$8)</f>
        <v>700</v>
      </c>
      <c r="G14" s="128">
        <f t="array" ref="G14">XLOOKUP(C14, 'Utility rebates'!$A$2:$A$8, 'Utility rebates'!$C$2:$C$8)</f>
        <v>2000</v>
      </c>
      <c r="H14" s="128">
        <f t="array" ref="H14">XLOOKUP(C14, 'Utility rebates'!$A$2:$A$8, 'Utility rebates'!$D$2:$D$8)</f>
        <v>1000</v>
      </c>
      <c r="I14" s="128">
        <f t="array" ref="I14">XLOOKUP(D14, 'Service line costs'!$A$2:$A$12, 'Service line costs'!$D$2:$D$12)</f>
        <v>3835</v>
      </c>
      <c r="J14" s="149">
        <f t="array" ref="J14">XLOOKUP(A14,'Design temperatures'!A:A,'Design temperatures'!B:B)</f>
        <v>15</v>
      </c>
      <c r="K14" s="128" t="str">
        <f t="shared" si="1"/>
        <v>#REF!</v>
      </c>
      <c r="L14" s="128" t="str">
        <f t="shared" si="2"/>
        <v>#REF!</v>
      </c>
      <c r="M14" s="215">
        <f t="array" ref="M14">INDEX('2019 Building Permits Survey'!$C$2:$C$63,MATCH(A14,'2019 Building Permits Survey'!$A$2:$A$63,0))</f>
        <v>0.009243518912</v>
      </c>
    </row>
    <row r="15">
      <c r="A15" s="68" t="s">
        <v>334</v>
      </c>
      <c r="B15" s="73">
        <v>313743.0</v>
      </c>
      <c r="C15" s="7" t="s">
        <v>225</v>
      </c>
      <c r="D15" s="7" t="s">
        <v>240</v>
      </c>
      <c r="E15" s="149">
        <f t="array" ref="E15">INDEX('County zone mapping'!$E$2:$E$63,MATCH(A15,'County zone mapping'!$B$2:$B$63,0))</f>
        <v>5</v>
      </c>
      <c r="F15" s="128">
        <f t="array" ref="F15">XLOOKUP(C15, 'Utility rebates'!$A$2:$A$8, 'Utility rebates'!$B$2:$B$8)</f>
        <v>1200</v>
      </c>
      <c r="G15" s="128">
        <f t="array" ref="G15">XLOOKUP(C15, 'Utility rebates'!$A$2:$A$8, 'Utility rebates'!$C$2:$C$8)</f>
        <v>2500</v>
      </c>
      <c r="H15" s="128">
        <f t="array" ref="H15">XLOOKUP(C15, 'Utility rebates'!$A$2:$A$8, 'Utility rebates'!$D$2:$D$8)</f>
        <v>1000</v>
      </c>
      <c r="I15" s="128">
        <f t="array" ref="I15">XLOOKUP(D15, 'Service line costs'!$A$2:$A$12, 'Service line costs'!$D$2:$D$12)</f>
        <v>3922</v>
      </c>
      <c r="J15" s="149">
        <f t="array" ref="J15">XLOOKUP(A15,'Design temperatures'!A:A,'Design temperatures'!B:B)</f>
        <v>1</v>
      </c>
      <c r="K15" s="128" t="str">
        <f t="shared" si="1"/>
        <v>#REF!</v>
      </c>
      <c r="L15" s="128" t="str">
        <f t="shared" si="2"/>
        <v>#REF!</v>
      </c>
      <c r="M15" s="215">
        <f t="array" ref="M15">INDEX('2019 Building Permits Survey'!$C$2:$C$63,MATCH(A15,'2019 Building Permits Survey'!$A$2:$A$63,0))</f>
        <v>0.0249681258</v>
      </c>
    </row>
    <row r="16">
      <c r="A16" s="68" t="s">
        <v>335</v>
      </c>
      <c r="B16" s="73">
        <v>297112.0</v>
      </c>
      <c r="C16" s="7" t="s">
        <v>221</v>
      </c>
      <c r="D16" s="7" t="s">
        <v>247</v>
      </c>
      <c r="E16" s="149">
        <f t="array" ref="E16">INDEX('County zone mapping'!$E$2:$E$63,MATCH(A16,'County zone mapping'!$B$2:$B$63,0))</f>
        <v>5</v>
      </c>
      <c r="F16" s="128">
        <f t="array" ref="F16">XLOOKUP(C16, 'Utility rebates'!$A$2:$A$8, 'Utility rebates'!$B$2:$B$8)</f>
        <v>500</v>
      </c>
      <c r="G16" s="128">
        <f t="array" ref="G16">XLOOKUP(C16, 'Utility rebates'!$A$2:$A$8, 'Utility rebates'!$C$2:$C$8)</f>
        <v>2000</v>
      </c>
      <c r="H16" s="128">
        <f t="array" ref="H16">XLOOKUP(C16, 'Utility rebates'!$A$2:$A$8, 'Utility rebates'!$D$2:$D$8)</f>
        <v>1000</v>
      </c>
      <c r="I16" s="128">
        <f t="array" ref="I16">XLOOKUP(D16, 'Service line costs'!$A$2:$A$12, 'Service line costs'!$D$2:$D$12)</f>
        <v>9443</v>
      </c>
      <c r="J16" s="149">
        <f t="array" ref="J16">XLOOKUP(A16,'Design temperatures'!A:A,'Design temperatures'!B:B)</f>
        <v>6</v>
      </c>
      <c r="K16" s="128" t="str">
        <f t="shared" si="1"/>
        <v>#REF!</v>
      </c>
      <c r="L16" s="128" t="str">
        <f t="shared" si="2"/>
        <v>#REF!</v>
      </c>
      <c r="M16" s="215">
        <f t="array" ref="M16">INDEX('2019 Building Permits Survey'!$C$2:$C$63,MATCH(A16,'2019 Building Permits Survey'!$A$2:$A$63,0))</f>
        <v>0.03017424564</v>
      </c>
    </row>
    <row r="17">
      <c r="A17" s="68" t="s">
        <v>336</v>
      </c>
      <c r="B17" s="73">
        <v>237359.0</v>
      </c>
      <c r="C17" s="7" t="s">
        <v>225</v>
      </c>
      <c r="D17" s="7" t="s">
        <v>240</v>
      </c>
      <c r="E17" s="149">
        <f t="array" ref="E17">INDEX('County zone mapping'!$E$2:$E$63,MATCH(A17,'County zone mapping'!$B$2:$B$63,0))</f>
        <v>5</v>
      </c>
      <c r="F17" s="128">
        <f t="array" ref="F17">XLOOKUP(C17, 'Utility rebates'!$A$2:$A$8, 'Utility rebates'!$B$2:$B$8)</f>
        <v>1200</v>
      </c>
      <c r="G17" s="128">
        <f t="array" ref="G17">XLOOKUP(C17, 'Utility rebates'!$A$2:$A$8, 'Utility rebates'!$C$2:$C$8)</f>
        <v>2500</v>
      </c>
      <c r="H17" s="128">
        <f t="array" ref="H17">XLOOKUP(C17, 'Utility rebates'!$A$2:$A$8, 'Utility rebates'!$D$2:$D$8)</f>
        <v>1000</v>
      </c>
      <c r="I17" s="128">
        <f t="array" ref="I17">XLOOKUP(D17, 'Service line costs'!$A$2:$A$12, 'Service line costs'!$D$2:$D$12)</f>
        <v>3922</v>
      </c>
      <c r="J17" s="149">
        <f t="array" ref="J17">XLOOKUP(A17,'Design temperatures'!A:A,'Design temperatures'!B:B)</f>
        <v>1</v>
      </c>
      <c r="K17" s="128" t="str">
        <f t="shared" si="1"/>
        <v>#REF!</v>
      </c>
      <c r="L17" s="128" t="str">
        <f t="shared" si="2"/>
        <v>#REF!</v>
      </c>
      <c r="M17" s="215">
        <f t="array" ref="M17">INDEX('2019 Building Permits Survey'!$C$2:$C$63,MATCH(A17,'2019 Building Permits Survey'!$A$2:$A$63,0))</f>
        <v>0.07203569911</v>
      </c>
    </row>
    <row r="18">
      <c r="A18" s="68" t="s">
        <v>337</v>
      </c>
      <c r="B18" s="73">
        <v>230274.0</v>
      </c>
      <c r="C18" s="7" t="s">
        <v>225</v>
      </c>
      <c r="D18" s="7" t="s">
        <v>240</v>
      </c>
      <c r="E18" s="149">
        <f t="array" ref="E18">INDEX('County zone mapping'!$E$2:$E$63,MATCH(A18,'County zone mapping'!$B$2:$B$63,0))</f>
        <v>6</v>
      </c>
      <c r="F18" s="128">
        <f t="array" ref="F18">XLOOKUP(C18, 'Utility rebates'!$A$2:$A$8, 'Utility rebates'!$B$2:$B$8)</f>
        <v>1200</v>
      </c>
      <c r="G18" s="128">
        <f t="array" ref="G18">XLOOKUP(C18, 'Utility rebates'!$A$2:$A$8, 'Utility rebates'!$C$2:$C$8)</f>
        <v>2500</v>
      </c>
      <c r="H18" s="128">
        <f t="array" ref="H18">XLOOKUP(C18, 'Utility rebates'!$A$2:$A$8, 'Utility rebates'!$D$2:$D$8)</f>
        <v>1000</v>
      </c>
      <c r="I18" s="128">
        <f t="array" ref="I18">XLOOKUP(D18, 'Service line costs'!$A$2:$A$12, 'Service line costs'!$D$2:$D$12)</f>
        <v>3922</v>
      </c>
      <c r="J18" s="149">
        <f t="array" ref="J18">XLOOKUP(A18,'Design temperatures'!A:A,'Design temperatures'!B:B)</f>
        <v>0</v>
      </c>
      <c r="K18" s="128" t="str">
        <f t="shared" si="1"/>
        <v>#REF!</v>
      </c>
      <c r="L18" s="128" t="str">
        <f t="shared" si="2"/>
        <v>#REF!</v>
      </c>
      <c r="M18" s="215">
        <f t="array" ref="M18">INDEX('2019 Building Permits Survey'!$C$2:$C$63,MATCH(A18,'2019 Building Permits Survey'!$A$2:$A$63,0))</f>
        <v>0.01423714407</v>
      </c>
    </row>
    <row r="19">
      <c r="A19" s="68" t="s">
        <v>338</v>
      </c>
      <c r="B19" s="73">
        <v>211653.0</v>
      </c>
      <c r="C19" s="7" t="s">
        <v>225</v>
      </c>
      <c r="D19" s="7" t="s">
        <v>232</v>
      </c>
      <c r="E19" s="149">
        <f t="array" ref="E19">INDEX('County zone mapping'!$E$2:$E$63,MATCH(A19,'County zone mapping'!$B$2:$B$63,0))</f>
        <v>5</v>
      </c>
      <c r="F19" s="128">
        <f t="array" ref="F19">XLOOKUP(C19, 'Utility rebates'!$A$2:$A$8, 'Utility rebates'!$B$2:$B$8)</f>
        <v>1200</v>
      </c>
      <c r="G19" s="128">
        <f t="array" ref="G19">XLOOKUP(C19, 'Utility rebates'!$A$2:$A$8, 'Utility rebates'!$C$2:$C$8)</f>
        <v>2500</v>
      </c>
      <c r="H19" s="128">
        <f t="array" ref="H19">XLOOKUP(C19, 'Utility rebates'!$A$2:$A$8, 'Utility rebates'!$D$2:$D$8)</f>
        <v>1000</v>
      </c>
      <c r="I19" s="128">
        <f t="array" ref="I19">XLOOKUP(D19, 'Service line costs'!$A$2:$A$12, 'Service line costs'!$D$2:$D$12)</f>
        <v>8722</v>
      </c>
      <c r="J19" s="149">
        <f t="array" ref="J19">XLOOKUP(A19,'Design temperatures'!A:A,'Design temperatures'!B:B)</f>
        <v>7</v>
      </c>
      <c r="K19" s="128" t="str">
        <f t="shared" si="1"/>
        <v>#REF!</v>
      </c>
      <c r="L19" s="128" t="str">
        <f t="shared" si="2"/>
        <v>#REF!</v>
      </c>
      <c r="M19" s="215">
        <f t="array" ref="M19">INDEX('2019 Building Permits Survey'!$C$2:$C$63,MATCH(A19,'2019 Building Permits Survey'!$A$2:$A$63,0))</f>
        <v>0.01657458564</v>
      </c>
    </row>
    <row r="20">
      <c r="A20" s="68" t="s">
        <v>339</v>
      </c>
      <c r="B20" s="73">
        <v>197240.0</v>
      </c>
      <c r="C20" s="7" t="s">
        <v>232</v>
      </c>
      <c r="D20" s="7" t="s">
        <v>232</v>
      </c>
      <c r="E20" s="149">
        <f t="array" ref="E20">INDEX('County zone mapping'!$E$2:$E$63,MATCH(A20,'County zone mapping'!$B$2:$B$63,0))</f>
        <v>6</v>
      </c>
      <c r="F20" s="128">
        <f t="array" ref="F20">XLOOKUP(C20, 'Utility rebates'!$A$2:$A$8, 'Utility rebates'!$B$2:$B$8)</f>
        <v>1000</v>
      </c>
      <c r="G20" s="128">
        <f t="array" ref="G20">XLOOKUP(C20, 'Utility rebates'!$A$2:$A$8, 'Utility rebates'!$C$2:$C$8)</f>
        <v>2000</v>
      </c>
      <c r="H20" s="128">
        <f t="array" ref="H20">XLOOKUP(C20, 'Utility rebates'!$A$2:$A$8, 'Utility rebates'!$D$2:$D$8)</f>
        <v>900</v>
      </c>
      <c r="I20" s="128">
        <f t="array" ref="I20">XLOOKUP(D20, 'Service line costs'!$A$2:$A$12, 'Service line costs'!$D$2:$D$12)</f>
        <v>8722</v>
      </c>
      <c r="J20" s="149">
        <f t="array" ref="J20">XLOOKUP(A20,'Design temperatures'!A:A,'Design temperatures'!B:B)</f>
        <v>4</v>
      </c>
      <c r="K20" s="128" t="str">
        <f t="shared" si="1"/>
        <v>#REF!</v>
      </c>
      <c r="L20" s="128" t="str">
        <f t="shared" si="2"/>
        <v>#REF!</v>
      </c>
      <c r="M20" s="215">
        <f t="array" ref="M20">INDEX('2019 Building Permits Survey'!$C$2:$C$63,MATCH(A20,'2019 Building Permits Survey'!$A$2:$A$63,0))</f>
        <v>0.004037399065</v>
      </c>
    </row>
    <row r="21">
      <c r="A21" s="68" t="s">
        <v>340</v>
      </c>
      <c r="B21" s="73">
        <v>182951.0</v>
      </c>
      <c r="C21" s="7" t="s">
        <v>221</v>
      </c>
      <c r="D21" s="7" t="s">
        <v>247</v>
      </c>
      <c r="E21" s="149">
        <f t="array" ref="E21">INDEX('County zone mapping'!$E$2:$E$63,MATCH(A21,'County zone mapping'!$B$2:$B$63,0))</f>
        <v>6</v>
      </c>
      <c r="F21" s="128">
        <f t="array" ref="F21">XLOOKUP(C21, 'Utility rebates'!$A$2:$A$8, 'Utility rebates'!$B$2:$B$8)</f>
        <v>500</v>
      </c>
      <c r="G21" s="128">
        <f t="array" ref="G21">XLOOKUP(C21, 'Utility rebates'!$A$2:$A$8, 'Utility rebates'!$C$2:$C$8)</f>
        <v>2000</v>
      </c>
      <c r="H21" s="128">
        <f t="array" ref="H21">XLOOKUP(C21, 'Utility rebates'!$A$2:$A$8, 'Utility rebates'!$D$2:$D$8)</f>
        <v>1000</v>
      </c>
      <c r="I21" s="128">
        <f t="array" ref="I21">XLOOKUP(D21, 'Service line costs'!$A$2:$A$12, 'Service line costs'!$D$2:$D$12)</f>
        <v>9443</v>
      </c>
      <c r="J21" s="149">
        <f t="array" ref="J21">XLOOKUP(A21,'Design temperatures'!A:A,'Design temperatures'!B:B)</f>
        <v>2</v>
      </c>
      <c r="K21" s="128" t="str">
        <f t="shared" si="1"/>
        <v>#REF!</v>
      </c>
      <c r="L21" s="128" t="str">
        <f t="shared" si="2"/>
        <v>#REF!</v>
      </c>
      <c r="M21" s="215">
        <f t="array" ref="M21">INDEX('2019 Building Permits Survey'!$C$2:$C$63,MATCH(A21,'2019 Building Permits Survey'!$A$2:$A$63,0))</f>
        <v>0.01997450064</v>
      </c>
    </row>
    <row r="22">
      <c r="A22" s="68" t="s">
        <v>341</v>
      </c>
      <c r="B22" s="73">
        <v>160232.0</v>
      </c>
      <c r="C22" s="7" t="s">
        <v>225</v>
      </c>
      <c r="D22" s="7" t="s">
        <v>240</v>
      </c>
      <c r="E22" s="149">
        <f t="array" ref="E22">INDEX('County zone mapping'!$E$2:$E$63,MATCH(A22,'County zone mapping'!$B$2:$B$63,0))</f>
        <v>5</v>
      </c>
      <c r="F22" s="128">
        <f t="array" ref="F22">XLOOKUP(C22, 'Utility rebates'!$A$2:$A$8, 'Utility rebates'!$B$2:$B$8)</f>
        <v>1200</v>
      </c>
      <c r="G22" s="128">
        <f t="array" ref="G22">XLOOKUP(C22, 'Utility rebates'!$A$2:$A$8, 'Utility rebates'!$C$2:$C$8)</f>
        <v>2500</v>
      </c>
      <c r="H22" s="128">
        <f t="array" ref="H22">XLOOKUP(C22, 'Utility rebates'!$A$2:$A$8, 'Utility rebates'!$D$2:$D$8)</f>
        <v>1000</v>
      </c>
      <c r="I22" s="128">
        <f t="array" ref="I22">XLOOKUP(D22, 'Service line costs'!$A$2:$A$12, 'Service line costs'!$D$2:$D$12)</f>
        <v>3922</v>
      </c>
      <c r="J22" s="149">
        <f t="array" ref="J22">XLOOKUP(A22,'Design temperatures'!A:A,'Design temperatures'!B:B)</f>
        <v>1</v>
      </c>
      <c r="K22" s="128" t="str">
        <f t="shared" si="1"/>
        <v>#REF!</v>
      </c>
      <c r="L22" s="128" t="str">
        <f t="shared" si="2"/>
        <v>#REF!</v>
      </c>
      <c r="M22" s="215">
        <f t="array" ref="M22">INDEX('2019 Building Permits Survey'!$C$2:$C$63,MATCH(A22,'2019 Building Permits Survey'!$A$2:$A$63,0))</f>
        <v>0.01073098173</v>
      </c>
    </row>
    <row r="23">
      <c r="A23" s="68" t="s">
        <v>342</v>
      </c>
      <c r="B23" s="73">
        <v>158089.0</v>
      </c>
      <c r="C23" s="7" t="s">
        <v>225</v>
      </c>
      <c r="D23" s="7" t="s">
        <v>240</v>
      </c>
      <c r="E23" s="149">
        <f t="array" ref="E23">INDEX('County zone mapping'!$E$2:$E$63,MATCH(A23,'County zone mapping'!$B$2:$B$63,0))</f>
        <v>5</v>
      </c>
      <c r="F23" s="128">
        <f t="array" ref="F23">XLOOKUP(C23, 'Utility rebates'!$A$2:$A$8, 'Utility rebates'!$B$2:$B$8)</f>
        <v>1200</v>
      </c>
      <c r="G23" s="128">
        <f t="array" ref="G23">XLOOKUP(C23, 'Utility rebates'!$A$2:$A$8, 'Utility rebates'!$C$2:$C$8)</f>
        <v>2500</v>
      </c>
      <c r="H23" s="128">
        <f t="array" ref="H23">XLOOKUP(C23, 'Utility rebates'!$A$2:$A$8, 'Utility rebates'!$D$2:$D$8)</f>
        <v>1000</v>
      </c>
      <c r="I23" s="128">
        <f t="array" ref="I23">XLOOKUP(D23, 'Service line costs'!$A$2:$A$12, 'Service line costs'!$D$2:$D$12)</f>
        <v>3922</v>
      </c>
      <c r="J23" s="149">
        <f t="array" ref="J23">XLOOKUP(A23,'Design temperatures'!A:A,'Design temperatures'!B:B)</f>
        <v>1</v>
      </c>
      <c r="K23" s="128" t="str">
        <f t="shared" si="1"/>
        <v>#REF!</v>
      </c>
      <c r="L23" s="128" t="str">
        <f t="shared" si="2"/>
        <v>#REF!</v>
      </c>
      <c r="M23" s="215">
        <f t="array" ref="M23">INDEX('2019 Building Permits Survey'!$C$2:$C$63,MATCH(A23,'2019 Building Permits Survey'!$A$2:$A$63,0))</f>
        <v>0.008393540161</v>
      </c>
    </row>
    <row r="24">
      <c r="A24" s="68" t="s">
        <v>343</v>
      </c>
      <c r="B24" s="73">
        <v>126807.0</v>
      </c>
      <c r="C24" s="7" t="s">
        <v>225</v>
      </c>
      <c r="D24" s="7" t="s">
        <v>237</v>
      </c>
      <c r="E24" s="149">
        <f t="array" ref="E24">INDEX('County zone mapping'!$E$2:$E$63,MATCH(A24,'County zone mapping'!$B$2:$B$63,0))</f>
        <v>5</v>
      </c>
      <c r="F24" s="128">
        <f t="array" ref="F24">XLOOKUP(C24, 'Utility rebates'!$A$2:$A$8, 'Utility rebates'!$B$2:$B$8)</f>
        <v>1200</v>
      </c>
      <c r="G24" s="128">
        <f t="array" ref="G24">XLOOKUP(C24, 'Utility rebates'!$A$2:$A$8, 'Utility rebates'!$C$2:$C$8)</f>
        <v>2500</v>
      </c>
      <c r="H24" s="128">
        <f t="array" ref="H24">XLOOKUP(C24, 'Utility rebates'!$A$2:$A$8, 'Utility rebates'!$D$2:$D$8)</f>
        <v>1000</v>
      </c>
      <c r="I24" s="128">
        <f t="array" ref="I24">XLOOKUP(D24, 'Service line costs'!$A$2:$A$12, 'Service line costs'!$D$2:$D$12)</f>
        <v>1512</v>
      </c>
      <c r="J24" s="149">
        <f t="array" ref="J24">XLOOKUP(A24,'Design temperatures'!A:A,'Design temperatures'!B:B)</f>
        <v>3</v>
      </c>
      <c r="K24" s="128" t="str">
        <f t="shared" si="1"/>
        <v>#REF!</v>
      </c>
      <c r="L24" s="128" t="str">
        <f t="shared" si="2"/>
        <v>#REF!</v>
      </c>
      <c r="M24" s="215">
        <f t="array" ref="M24">INDEX('2019 Building Permits Survey'!$C$2:$C$63,MATCH(A24,'2019 Building Permits Survey'!$A$2:$A$63,0))</f>
        <v>0.0111559711</v>
      </c>
    </row>
    <row r="25">
      <c r="A25" s="68" t="s">
        <v>344</v>
      </c>
      <c r="B25" s="73">
        <v>117387.0</v>
      </c>
      <c r="C25" s="7" t="s">
        <v>225</v>
      </c>
      <c r="D25" s="7" t="s">
        <v>240</v>
      </c>
      <c r="E25" s="149">
        <f t="array" ref="E25">INDEX('County zone mapping'!$E$2:$E$63,MATCH(A25,'County zone mapping'!$B$2:$B$63,0))</f>
        <v>5</v>
      </c>
      <c r="F25" s="128">
        <f t="array" ref="F25">XLOOKUP(C25, 'Utility rebates'!$A$2:$A$8, 'Utility rebates'!$B$2:$B$8)</f>
        <v>1200</v>
      </c>
      <c r="G25" s="128">
        <f t="array" ref="G25">XLOOKUP(C25, 'Utility rebates'!$A$2:$A$8, 'Utility rebates'!$C$2:$C$8)</f>
        <v>2500</v>
      </c>
      <c r="H25" s="128">
        <f t="array" ref="H25">XLOOKUP(C25, 'Utility rebates'!$A$2:$A$8, 'Utility rebates'!$D$2:$D$8)</f>
        <v>1000</v>
      </c>
      <c r="I25" s="128">
        <f t="array" ref="I25">XLOOKUP(D25, 'Service line costs'!$A$2:$A$12, 'Service line costs'!$D$2:$D$12)</f>
        <v>3922</v>
      </c>
      <c r="J25" s="149">
        <f t="array" ref="J25">XLOOKUP(A25,'Design temperatures'!A:A,'Design temperatures'!B:B)</f>
        <v>3</v>
      </c>
      <c r="K25" s="128" t="str">
        <f t="shared" si="1"/>
        <v>#REF!</v>
      </c>
      <c r="L25" s="128" t="str">
        <f t="shared" si="2"/>
        <v>#REF!</v>
      </c>
      <c r="M25" s="215">
        <f t="array" ref="M25">INDEX('2019 Building Permits Survey'!$C$2:$C$63,MATCH(A25,'2019 Building Permits Survey'!$A$2:$A$63,0))</f>
        <v>0.01529961751</v>
      </c>
    </row>
    <row r="26">
      <c r="A26" s="68" t="s">
        <v>345</v>
      </c>
      <c r="B26" s="73">
        <v>116295.0</v>
      </c>
      <c r="C26" s="7" t="s">
        <v>225</v>
      </c>
      <c r="D26" s="7" t="s">
        <v>240</v>
      </c>
      <c r="E26" s="149">
        <f t="array" ref="E26">INDEX('County zone mapping'!$E$2:$E$63,MATCH(A26,'County zone mapping'!$B$2:$B$63,0))</f>
        <v>6</v>
      </c>
      <c r="F26" s="128">
        <f t="array" ref="F26">XLOOKUP(C26, 'Utility rebates'!$A$2:$A$8, 'Utility rebates'!$B$2:$B$8)</f>
        <v>1200</v>
      </c>
      <c r="G26" s="128">
        <f t="array" ref="G26">XLOOKUP(C26, 'Utility rebates'!$A$2:$A$8, 'Utility rebates'!$C$2:$C$8)</f>
        <v>2500</v>
      </c>
      <c r="H26" s="128">
        <f t="array" ref="H26">XLOOKUP(C26, 'Utility rebates'!$A$2:$A$8, 'Utility rebates'!$D$2:$D$8)</f>
        <v>1000</v>
      </c>
      <c r="I26" s="128">
        <f t="array" ref="I26">XLOOKUP(D26, 'Service line costs'!$A$2:$A$12, 'Service line costs'!$D$2:$D$12)</f>
        <v>3922</v>
      </c>
      <c r="J26" s="149">
        <f t="array" ref="J26">XLOOKUP(A26,'Design temperatures'!A:A,'Design temperatures'!B:B)</f>
        <v>-6</v>
      </c>
      <c r="K26" s="128" t="str">
        <f t="shared" si="1"/>
        <v>#REF!</v>
      </c>
      <c r="L26" s="128" t="str">
        <f t="shared" si="2"/>
        <v>#REF!</v>
      </c>
      <c r="M26" s="215">
        <f t="array" ref="M26">INDEX('2019 Building Permits Survey'!$C$2:$C$63,MATCH(A26,'2019 Building Permits Survey'!$A$2:$A$63,0))</f>
        <v>0.01466213345</v>
      </c>
    </row>
    <row r="27">
      <c r="A27" s="68" t="s">
        <v>346</v>
      </c>
      <c r="B27" s="73">
        <v>112508.0</v>
      </c>
      <c r="C27" s="7" t="s">
        <v>233</v>
      </c>
      <c r="D27" s="7" t="s">
        <v>232</v>
      </c>
      <c r="E27" s="149">
        <f t="array" ref="E27">INDEX('County zone mapping'!$E$2:$E$63,MATCH(A27,'County zone mapping'!$B$2:$B$63,0))</f>
        <v>5</v>
      </c>
      <c r="F27" s="128">
        <f t="array" ref="F27">XLOOKUP(C27, 'Utility rebates'!$A$2:$A$8, 'Utility rebates'!$B$2:$B$8)</f>
        <v>800</v>
      </c>
      <c r="G27" s="128">
        <f t="array" ref="G27">XLOOKUP(C27, 'Utility rebates'!$A$2:$A$8, 'Utility rebates'!$C$2:$C$8)</f>
        <v>1500</v>
      </c>
      <c r="H27" s="128">
        <f t="array" ref="H27">XLOOKUP(C27, 'Utility rebates'!$A$2:$A$8, 'Utility rebates'!$D$2:$D$8)</f>
        <v>900</v>
      </c>
      <c r="I27" s="128">
        <f t="array" ref="I27">XLOOKUP(D27, 'Service line costs'!$A$2:$A$12, 'Service line costs'!$D$2:$D$12)</f>
        <v>8722</v>
      </c>
      <c r="J27" s="149">
        <f t="array" ref="J27">XLOOKUP(A27,'Design temperatures'!A:A,'Design temperatures'!B:B)</f>
        <v>2</v>
      </c>
      <c r="K27" s="128" t="str">
        <f t="shared" si="1"/>
        <v>#REF!</v>
      </c>
      <c r="L27" s="128" t="str">
        <f t="shared" si="2"/>
        <v>#REF!</v>
      </c>
      <c r="M27" s="215">
        <f t="array" ref="M27">INDEX('2019 Building Permits Survey'!$C$2:$C$63,MATCH(A27,'2019 Building Permits Survey'!$A$2:$A$63,0))</f>
        <v>0.02560560986</v>
      </c>
    </row>
    <row r="28">
      <c r="A28" s="68" t="s">
        <v>347</v>
      </c>
      <c r="B28" s="73">
        <v>108051.0</v>
      </c>
      <c r="C28" s="7" t="s">
        <v>225</v>
      </c>
      <c r="D28" s="7" t="s">
        <v>252</v>
      </c>
      <c r="E28" s="149">
        <f t="array" ref="E28">INDEX('County zone mapping'!$E$2:$E$63,MATCH(A28,'County zone mapping'!$B$2:$B$63,0))</f>
        <v>6</v>
      </c>
      <c r="F28" s="128">
        <f t="array" ref="F28">XLOOKUP(C28, 'Utility rebates'!$A$2:$A$8, 'Utility rebates'!$B$2:$B$8)</f>
        <v>1200</v>
      </c>
      <c r="G28" s="128">
        <f t="array" ref="G28">XLOOKUP(C28, 'Utility rebates'!$A$2:$A$8, 'Utility rebates'!$C$2:$C$8)</f>
        <v>2500</v>
      </c>
      <c r="H28" s="128">
        <f t="array" ref="H28">XLOOKUP(C28, 'Utility rebates'!$A$2:$A$8, 'Utility rebates'!$D$2:$D$8)</f>
        <v>1000</v>
      </c>
      <c r="I28" s="128">
        <f t="array" ref="I28">XLOOKUP(D28, 'Service line costs'!$A$2:$A$12, 'Service line costs'!$D$2:$D$12)</f>
        <v>8900</v>
      </c>
      <c r="J28" s="149">
        <f t="array" ref="J28">XLOOKUP(A28,'Design temperatures'!A:A,'Design temperatures'!B:B)</f>
        <v>-9</v>
      </c>
      <c r="K28" s="128" t="str">
        <f t="shared" si="1"/>
        <v>#REF!</v>
      </c>
      <c r="L28" s="128" t="str">
        <f t="shared" si="2"/>
        <v>#REF!</v>
      </c>
      <c r="M28" s="215">
        <f t="array" ref="M28">INDEX('2019 Building Permits Survey'!$C$2:$C$63,MATCH(A28,'2019 Building Permits Survey'!$A$2:$A$63,0))</f>
        <v>0.01583085423</v>
      </c>
    </row>
    <row r="29">
      <c r="A29" s="68" t="s">
        <v>348</v>
      </c>
      <c r="B29" s="73">
        <v>105162.0</v>
      </c>
      <c r="C29" s="7" t="s">
        <v>232</v>
      </c>
      <c r="D29" s="7" t="s">
        <v>232</v>
      </c>
      <c r="E29" s="149">
        <f t="array" ref="E29">INDEX('County zone mapping'!$E$2:$E$63,MATCH(A29,'County zone mapping'!$B$2:$B$63,0))</f>
        <v>6</v>
      </c>
      <c r="F29" s="128">
        <f t="array" ref="F29">XLOOKUP(C29, 'Utility rebates'!$A$2:$A$8, 'Utility rebates'!$B$2:$B$8)</f>
        <v>1000</v>
      </c>
      <c r="G29" s="128">
        <f t="array" ref="G29">XLOOKUP(C29, 'Utility rebates'!$A$2:$A$8, 'Utility rebates'!$C$2:$C$8)</f>
        <v>2000</v>
      </c>
      <c r="H29" s="128">
        <f t="array" ref="H29">XLOOKUP(C29, 'Utility rebates'!$A$2:$A$8, 'Utility rebates'!$D$2:$D$8)</f>
        <v>900</v>
      </c>
      <c r="I29" s="128">
        <f t="array" ref="I29">XLOOKUP(D29, 'Service line costs'!$A$2:$A$12, 'Service line costs'!$D$2:$D$12)</f>
        <v>8722</v>
      </c>
      <c r="J29" s="149">
        <f t="array" ref="J29">XLOOKUP(A29,'Design temperatures'!A:A,'Design temperatures'!B:B)</f>
        <v>0</v>
      </c>
      <c r="K29" s="128" t="str">
        <f t="shared" si="1"/>
        <v>#REF!</v>
      </c>
      <c r="L29" s="128" t="str">
        <f t="shared" si="2"/>
        <v>#REF!</v>
      </c>
      <c r="M29" s="215">
        <f t="array" ref="M29">INDEX('2019 Building Permits Survey'!$C$2:$C$63,MATCH(A29,'2019 Building Permits Survey'!$A$2:$A$63,0))</f>
        <v>0.009243518912</v>
      </c>
    </row>
    <row r="30">
      <c r="A30" s="68" t="s">
        <v>349</v>
      </c>
      <c r="B30" s="73">
        <v>97936.0</v>
      </c>
      <c r="C30" s="7" t="s">
        <v>221</v>
      </c>
      <c r="D30" s="7" t="s">
        <v>247</v>
      </c>
      <c r="E30" s="149">
        <f t="array" ref="E30">INDEX('County zone mapping'!$E$2:$E$63,MATCH(A30,'County zone mapping'!$B$2:$B$63,0))</f>
        <v>5</v>
      </c>
      <c r="F30" s="128">
        <f t="array" ref="F30">XLOOKUP(C30, 'Utility rebates'!$A$2:$A$8, 'Utility rebates'!$B$2:$B$8)</f>
        <v>500</v>
      </c>
      <c r="G30" s="128">
        <f t="array" ref="G30">XLOOKUP(C30, 'Utility rebates'!$A$2:$A$8, 'Utility rebates'!$C$2:$C$8)</f>
        <v>2000</v>
      </c>
      <c r="H30" s="128">
        <f t="array" ref="H30">XLOOKUP(C30, 'Utility rebates'!$A$2:$A$8, 'Utility rebates'!$D$2:$D$8)</f>
        <v>1000</v>
      </c>
      <c r="I30" s="128">
        <f t="array" ref="I30">XLOOKUP(D30, 'Service line costs'!$A$2:$A$12, 'Service line costs'!$D$2:$D$12)</f>
        <v>9443</v>
      </c>
      <c r="J30" s="149">
        <f t="array" ref="J30">XLOOKUP(A30,'Design temperatures'!A:A,'Design temperatures'!B:B)</f>
        <v>6</v>
      </c>
      <c r="K30" s="128" t="str">
        <f t="shared" si="1"/>
        <v>#REF!</v>
      </c>
      <c r="L30" s="128" t="str">
        <f t="shared" si="2"/>
        <v>#REF!</v>
      </c>
      <c r="M30" s="215">
        <f t="array" ref="M30">INDEX('2019 Building Permits Survey'!$C$2:$C$63,MATCH(A30,'2019 Building Permits Survey'!$A$2:$A$63,0))</f>
        <v>0.003824904377</v>
      </c>
    </row>
    <row r="31">
      <c r="A31" s="68" t="s">
        <v>350</v>
      </c>
      <c r="B31" s="73">
        <v>92948.0</v>
      </c>
      <c r="C31" s="7" t="s">
        <v>232</v>
      </c>
      <c r="D31" s="7" t="s">
        <v>254</v>
      </c>
      <c r="E31" s="149">
        <f t="array" ref="E31">INDEX('County zone mapping'!$E$2:$E$63,MATCH(A31,'County zone mapping'!$B$2:$B$63,0))</f>
        <v>6</v>
      </c>
      <c r="F31" s="128">
        <f t="array" ref="F31">XLOOKUP(C31, 'Utility rebates'!$A$2:$A$8, 'Utility rebates'!$B$2:$B$8)</f>
        <v>1000</v>
      </c>
      <c r="G31" s="128">
        <f t="array" ref="G31">XLOOKUP(C31, 'Utility rebates'!$A$2:$A$8, 'Utility rebates'!$C$2:$C$8)</f>
        <v>2000</v>
      </c>
      <c r="H31" s="128">
        <f t="array" ref="H31">XLOOKUP(C31, 'Utility rebates'!$A$2:$A$8, 'Utility rebates'!$D$2:$D$8)</f>
        <v>900</v>
      </c>
      <c r="I31" s="128">
        <f t="array" ref="I31">XLOOKUP(D31, 'Service line costs'!$A$2:$A$12, 'Service line costs'!$D$2:$D$12)</f>
        <v>4900</v>
      </c>
      <c r="J31" s="149">
        <f t="array" ref="J31">XLOOKUP(A31,'Design temperatures'!A:A,'Design temperatures'!B:B)</f>
        <v>0</v>
      </c>
      <c r="K31" s="128" t="str">
        <f t="shared" si="1"/>
        <v>#REF!</v>
      </c>
      <c r="L31" s="128" t="str">
        <f t="shared" si="2"/>
        <v>#REF!</v>
      </c>
      <c r="M31" s="215">
        <f t="array" ref="M31">INDEX('2019 Building Permits Survey'!$C$2:$C$63,MATCH(A31,'2019 Building Permits Survey'!$A$2:$A$63,0))</f>
        <v>0.008818529537</v>
      </c>
    </row>
    <row r="32">
      <c r="A32" s="68" t="s">
        <v>351</v>
      </c>
      <c r="B32" s="73">
        <v>90923.0</v>
      </c>
      <c r="C32" s="7" t="s">
        <v>233</v>
      </c>
      <c r="D32" s="7" t="s">
        <v>233</v>
      </c>
      <c r="E32" s="149">
        <f t="array" ref="E32">INDEX('County zone mapping'!$E$2:$E$63,MATCH(A32,'County zone mapping'!$B$2:$B$63,0))</f>
        <v>6</v>
      </c>
      <c r="F32" s="128">
        <f t="array" ref="F32">XLOOKUP(C32, 'Utility rebates'!$A$2:$A$8, 'Utility rebates'!$B$2:$B$8)</f>
        <v>800</v>
      </c>
      <c r="G32" s="128">
        <f t="array" ref="G32">XLOOKUP(C32, 'Utility rebates'!$A$2:$A$8, 'Utility rebates'!$C$2:$C$8)</f>
        <v>1500</v>
      </c>
      <c r="H32" s="128">
        <f t="array" ref="H32">XLOOKUP(C32, 'Utility rebates'!$A$2:$A$8, 'Utility rebates'!$D$2:$D$8)</f>
        <v>900</v>
      </c>
      <c r="I32" s="128">
        <f t="array" ref="I32">XLOOKUP(D32, 'Service line costs'!$A$2:$A$12, 'Service line costs'!$D$2:$D$12)</f>
        <v>2010</v>
      </c>
      <c r="J32" s="149">
        <f t="array" ref="J32">XLOOKUP(A32,'Design temperatures'!A:A,'Design temperatures'!B:B)</f>
        <v>2</v>
      </c>
      <c r="K32" s="128" t="str">
        <f t="shared" si="1"/>
        <v>#REF!</v>
      </c>
      <c r="L32" s="128" t="str">
        <f t="shared" si="2"/>
        <v>#REF!</v>
      </c>
      <c r="M32" s="215">
        <f t="array" ref="M32">INDEX('2019 Building Permits Survey'!$C$2:$C$63,MATCH(A32,'2019 Building Permits Survey'!$A$2:$A$63,0))</f>
        <v>0.009137271568</v>
      </c>
    </row>
    <row r="33">
      <c r="A33" s="68" t="s">
        <v>352</v>
      </c>
      <c r="B33" s="73">
        <v>83045.0</v>
      </c>
      <c r="C33" s="7" t="s">
        <v>232</v>
      </c>
      <c r="D33" s="7" t="s">
        <v>232</v>
      </c>
      <c r="E33" s="149">
        <f t="array" ref="E33">INDEX('County zone mapping'!$E$2:$E$63,MATCH(A33,'County zone mapping'!$B$2:$B$63,0))</f>
        <v>5</v>
      </c>
      <c r="F33" s="128">
        <f t="array" ref="F33">XLOOKUP(C33, 'Utility rebates'!$A$2:$A$8, 'Utility rebates'!$B$2:$B$8)</f>
        <v>1000</v>
      </c>
      <c r="G33" s="128">
        <f t="array" ref="G33">XLOOKUP(C33, 'Utility rebates'!$A$2:$A$8, 'Utility rebates'!$C$2:$C$8)</f>
        <v>2000</v>
      </c>
      <c r="H33" s="128">
        <f t="array" ref="H33">XLOOKUP(C33, 'Utility rebates'!$A$2:$A$8, 'Utility rebates'!$D$2:$D$8)</f>
        <v>900</v>
      </c>
      <c r="I33" s="128">
        <f t="array" ref="I33">XLOOKUP(D33, 'Service line costs'!$A$2:$A$12, 'Service line costs'!$D$2:$D$12)</f>
        <v>8722</v>
      </c>
      <c r="J33" s="149">
        <f t="array" ref="J33">XLOOKUP(A33,'Design temperatures'!A:A,'Design temperatures'!B:B)</f>
        <v>3</v>
      </c>
      <c r="K33" s="128" t="str">
        <f t="shared" si="1"/>
        <v>#REF!</v>
      </c>
      <c r="L33" s="128" t="str">
        <f t="shared" si="2"/>
        <v>#REF!</v>
      </c>
      <c r="M33" s="215">
        <f t="array" ref="M33">INDEX('2019 Building Permits Survey'!$C$2:$C$63,MATCH(A33,'2019 Building Permits Survey'!$A$2:$A$63,0))</f>
        <v>0.002549936252</v>
      </c>
    </row>
    <row r="34">
      <c r="A34" s="68" t="s">
        <v>353</v>
      </c>
      <c r="B34" s="73">
        <v>79806.0</v>
      </c>
      <c r="C34" s="7" t="s">
        <v>232</v>
      </c>
      <c r="D34" s="7" t="s">
        <v>247</v>
      </c>
      <c r="E34" s="149">
        <f t="array" ref="E34">INDEX('County zone mapping'!$E$2:$E$63,MATCH(A34,'County zone mapping'!$B$2:$B$63,0))</f>
        <v>6</v>
      </c>
      <c r="F34" s="128">
        <f t="array" ref="F34">XLOOKUP(C34, 'Utility rebates'!$A$2:$A$8, 'Utility rebates'!$B$2:$B$8)</f>
        <v>1000</v>
      </c>
      <c r="G34" s="128">
        <f t="array" ref="G34">XLOOKUP(C34, 'Utility rebates'!$A$2:$A$8, 'Utility rebates'!$C$2:$C$8)</f>
        <v>2000</v>
      </c>
      <c r="H34" s="128">
        <f t="array" ref="H34">XLOOKUP(C34, 'Utility rebates'!$A$2:$A$8, 'Utility rebates'!$D$2:$D$8)</f>
        <v>900</v>
      </c>
      <c r="I34" s="128">
        <f t="array" ref="I34">XLOOKUP(D34, 'Service line costs'!$A$2:$A$12, 'Service line costs'!$D$2:$D$12)</f>
        <v>9443</v>
      </c>
      <c r="J34" s="149">
        <f t="array" ref="J34">XLOOKUP(A34,'Design temperatures'!A:A,'Design temperatures'!B:B)</f>
        <v>3</v>
      </c>
      <c r="K34" s="128" t="str">
        <f t="shared" si="1"/>
        <v>#REF!</v>
      </c>
      <c r="L34" s="128" t="str">
        <f t="shared" si="2"/>
        <v>#REF!</v>
      </c>
      <c r="M34" s="215">
        <f t="array" ref="M34">INDEX('2019 Building Permits Survey'!$C$2:$C$63,MATCH(A34,'2019 Building Permits Survey'!$A$2:$A$63,0))</f>
        <v>0.0206119847</v>
      </c>
    </row>
    <row r="35">
      <c r="A35" s="68" t="s">
        <v>354</v>
      </c>
      <c r="B35" s="73">
        <v>79596.0</v>
      </c>
      <c r="C35" s="7" t="s">
        <v>232</v>
      </c>
      <c r="D35" s="7" t="s">
        <v>232</v>
      </c>
      <c r="E35" s="149">
        <f t="array" ref="E35">INDEX('County zone mapping'!$E$2:$E$63,MATCH(A35,'County zone mapping'!$B$2:$B$63,0))</f>
        <v>6</v>
      </c>
      <c r="F35" s="128">
        <f t="array" ref="F35">XLOOKUP(C35, 'Utility rebates'!$A$2:$A$8, 'Utility rebates'!$B$2:$B$8)</f>
        <v>1000</v>
      </c>
      <c r="G35" s="128">
        <f t="array" ref="G35">XLOOKUP(C35, 'Utility rebates'!$A$2:$A$8, 'Utility rebates'!$C$2:$C$8)</f>
        <v>2000</v>
      </c>
      <c r="H35" s="128">
        <f t="array" ref="H35">XLOOKUP(C35, 'Utility rebates'!$A$2:$A$8, 'Utility rebates'!$D$2:$D$8)</f>
        <v>900</v>
      </c>
      <c r="I35" s="128">
        <f t="array" ref="I35">XLOOKUP(D35, 'Service line costs'!$A$2:$A$12, 'Service line costs'!$D$2:$D$12)</f>
        <v>8722</v>
      </c>
      <c r="J35" s="149">
        <f t="array" ref="J35">XLOOKUP(A35,'Design temperatures'!A:A,'Design temperatures'!B:B)</f>
        <v>-5</v>
      </c>
      <c r="K35" s="128" t="str">
        <f t="shared" si="1"/>
        <v>#REF!</v>
      </c>
      <c r="L35" s="128" t="str">
        <f t="shared" si="2"/>
        <v>#REF!</v>
      </c>
      <c r="M35" s="215">
        <f t="array" ref="M35">INDEX('2019 Building Permits Survey'!$C$2:$C$63,MATCH(A35,'2019 Building Permits Survey'!$A$2:$A$63,0))</f>
        <v>0.008499787505</v>
      </c>
    </row>
    <row r="36">
      <c r="A36" s="68" t="s">
        <v>355</v>
      </c>
      <c r="B36" s="73">
        <v>76426.0</v>
      </c>
      <c r="C36" s="7" t="s">
        <v>225</v>
      </c>
      <c r="D36" s="7" t="s">
        <v>237</v>
      </c>
      <c r="E36" s="149">
        <f t="array" ref="E36">INDEX('County zone mapping'!$E$2:$E$63,MATCH(A36,'County zone mapping'!$B$2:$B$63,0))</f>
        <v>6</v>
      </c>
      <c r="F36" s="128">
        <f t="array" ref="F36">XLOOKUP(C36, 'Utility rebates'!$A$2:$A$8, 'Utility rebates'!$B$2:$B$8)</f>
        <v>1200</v>
      </c>
      <c r="G36" s="128">
        <f t="array" ref="G36">XLOOKUP(C36, 'Utility rebates'!$A$2:$A$8, 'Utility rebates'!$C$2:$C$8)</f>
        <v>2500</v>
      </c>
      <c r="H36" s="128">
        <f t="array" ref="H36">XLOOKUP(C36, 'Utility rebates'!$A$2:$A$8, 'Utility rebates'!$D$2:$D$8)</f>
        <v>1000</v>
      </c>
      <c r="I36" s="128">
        <f t="array" ref="I36">XLOOKUP(D36, 'Service line costs'!$A$2:$A$12, 'Service line costs'!$D$2:$D$12)</f>
        <v>1512</v>
      </c>
      <c r="J36" s="149">
        <f t="array" ref="J36">XLOOKUP(A36,'Design temperatures'!A:A,'Design temperatures'!B:B)</f>
        <v>2</v>
      </c>
      <c r="K36" s="128" t="str">
        <f t="shared" si="1"/>
        <v>#REF!</v>
      </c>
      <c r="L36" s="128" t="str">
        <f t="shared" si="2"/>
        <v>#REF!</v>
      </c>
      <c r="M36" s="215">
        <f t="array" ref="M36">INDEX('2019 Building Permits Survey'!$C$2:$C$63,MATCH(A36,'2019 Building Permits Survey'!$A$2:$A$63,0))</f>
        <v>0.008393540161</v>
      </c>
    </row>
    <row r="37">
      <c r="A37" s="68" t="s">
        <v>356</v>
      </c>
      <c r="B37" s="73">
        <v>75880.0</v>
      </c>
      <c r="C37" s="7" t="s">
        <v>233</v>
      </c>
      <c r="D37" s="7" t="s">
        <v>232</v>
      </c>
      <c r="E37" s="149">
        <f t="array" ref="E37">INDEX('County zone mapping'!$E$2:$E$63,MATCH(A37,'County zone mapping'!$B$2:$B$63,0))</f>
        <v>5</v>
      </c>
      <c r="F37" s="128">
        <f t="array" ref="F37">XLOOKUP(C37, 'Utility rebates'!$A$2:$A$8, 'Utility rebates'!$B$2:$B$8)</f>
        <v>800</v>
      </c>
      <c r="G37" s="128">
        <f t="array" ref="G37">XLOOKUP(C37, 'Utility rebates'!$A$2:$A$8, 'Utility rebates'!$C$2:$C$8)</f>
        <v>1500</v>
      </c>
      <c r="H37" s="128">
        <f t="array" ref="H37">XLOOKUP(C37, 'Utility rebates'!$A$2:$A$8, 'Utility rebates'!$D$2:$D$8)</f>
        <v>900</v>
      </c>
      <c r="I37" s="128">
        <f t="array" ref="I37">XLOOKUP(D37, 'Service line costs'!$A$2:$A$12, 'Service line costs'!$D$2:$D$12)</f>
        <v>8722</v>
      </c>
      <c r="J37" s="149">
        <f t="array" ref="J37">XLOOKUP(A37,'Design temperatures'!A:A,'Design temperatures'!B:B)</f>
        <v>2</v>
      </c>
      <c r="K37" s="128" t="str">
        <f t="shared" si="1"/>
        <v>#REF!</v>
      </c>
      <c r="L37" s="128" t="str">
        <f t="shared" si="2"/>
        <v>#REF!</v>
      </c>
      <c r="M37" s="215">
        <f t="array" ref="M37">INDEX('2019 Building Permits Survey'!$C$2:$C$63,MATCH(A37,'2019 Building Permits Survey'!$A$2:$A$63,0))</f>
        <v>0.01274968126</v>
      </c>
    </row>
    <row r="38">
      <c r="A38" s="68" t="s">
        <v>357</v>
      </c>
      <c r="B38" s="73">
        <v>67658.0</v>
      </c>
      <c r="C38" s="7" t="s">
        <v>232</v>
      </c>
      <c r="D38" s="7" t="s">
        <v>240</v>
      </c>
      <c r="E38" s="149">
        <f t="array" ref="E38">INDEX('County zone mapping'!$E$2:$E$63,MATCH(A38,'County zone mapping'!$B$2:$B$63,0))</f>
        <v>6</v>
      </c>
      <c r="F38" s="128">
        <f t="array" ref="F38">XLOOKUP(C38, 'Utility rebates'!$A$2:$A$8, 'Utility rebates'!$B$2:$B$8)</f>
        <v>1000</v>
      </c>
      <c r="G38" s="128">
        <f t="array" ref="G38">XLOOKUP(C38, 'Utility rebates'!$A$2:$A$8, 'Utility rebates'!$C$2:$C$8)</f>
        <v>2000</v>
      </c>
      <c r="H38" s="128">
        <f t="array" ref="H38">XLOOKUP(C38, 'Utility rebates'!$A$2:$A$8, 'Utility rebates'!$D$2:$D$8)</f>
        <v>900</v>
      </c>
      <c r="I38" s="128">
        <f t="array" ref="I38">XLOOKUP(D38, 'Service line costs'!$A$2:$A$12, 'Service line costs'!$D$2:$D$12)</f>
        <v>3922</v>
      </c>
      <c r="J38" s="149">
        <f t="array" ref="J38">XLOOKUP(A38,'Design temperatures'!A:A,'Design temperatures'!B:B)</f>
        <v>0</v>
      </c>
      <c r="K38" s="128" t="str">
        <f t="shared" si="1"/>
        <v>#REF!</v>
      </c>
      <c r="L38" s="128" t="str">
        <f t="shared" si="2"/>
        <v>#REF!</v>
      </c>
      <c r="M38" s="215">
        <f t="array" ref="M38">INDEX('2019 Building Permits Survey'!$C$2:$C$63,MATCH(A38,'2019 Building Permits Survey'!$A$2:$A$63,0))</f>
        <v>0.007543561411</v>
      </c>
    </row>
    <row r="39">
      <c r="A39" s="68" t="s">
        <v>358</v>
      </c>
      <c r="B39" s="73">
        <v>65618.0</v>
      </c>
      <c r="C39" s="7" t="s">
        <v>225</v>
      </c>
      <c r="D39" s="7" t="s">
        <v>240</v>
      </c>
      <c r="E39" s="149">
        <f t="array" ref="E39">INDEX('County zone mapping'!$E$2:$E$63,MATCH(A39,'County zone mapping'!$B$2:$B$63,0))</f>
        <v>6</v>
      </c>
      <c r="F39" s="128">
        <f t="array" ref="F39">XLOOKUP(C39, 'Utility rebates'!$A$2:$A$8, 'Utility rebates'!$B$2:$B$8)</f>
        <v>1200</v>
      </c>
      <c r="G39" s="128">
        <f t="array" ref="G39">XLOOKUP(C39, 'Utility rebates'!$A$2:$A$8, 'Utility rebates'!$C$2:$C$8)</f>
        <v>2500</v>
      </c>
      <c r="H39" s="128">
        <f t="array" ref="H39">XLOOKUP(C39, 'Utility rebates'!$A$2:$A$8, 'Utility rebates'!$D$2:$D$8)</f>
        <v>1000</v>
      </c>
      <c r="I39" s="128">
        <f t="array" ref="I39">XLOOKUP(D39, 'Service line costs'!$A$2:$A$12, 'Service line costs'!$D$2:$D$12)</f>
        <v>3922</v>
      </c>
      <c r="J39" s="149">
        <f t="array" ref="J39">XLOOKUP(A39,'Design temperatures'!A:A,'Design temperatures'!B:B)</f>
        <v>-3</v>
      </c>
      <c r="K39" s="128" t="str">
        <f t="shared" si="1"/>
        <v>#REF!</v>
      </c>
      <c r="L39" s="128" t="str">
        <f t="shared" si="2"/>
        <v>#REF!</v>
      </c>
      <c r="M39" s="215">
        <f t="array" ref="M39">INDEX('2019 Building Permits Survey'!$C$2:$C$63,MATCH(A39,'2019 Building Permits Survey'!$A$2:$A$63,0))</f>
        <v>0.01498087548</v>
      </c>
    </row>
    <row r="40">
      <c r="A40" s="68" t="s">
        <v>359</v>
      </c>
      <c r="B40" s="73">
        <v>61778.0</v>
      </c>
      <c r="C40" s="7" t="s">
        <v>232</v>
      </c>
      <c r="D40" s="7" t="s">
        <v>240</v>
      </c>
      <c r="E40" s="149">
        <f t="array" ref="E40">INDEX('County zone mapping'!$E$2:$E$63,MATCH(A40,'County zone mapping'!$B$2:$B$63,0))</f>
        <v>5</v>
      </c>
      <c r="F40" s="128">
        <f t="array" ref="F40">XLOOKUP(C40, 'Utility rebates'!$A$2:$A$8, 'Utility rebates'!$B$2:$B$8)</f>
        <v>1000</v>
      </c>
      <c r="G40" s="128">
        <f t="array" ref="G40">XLOOKUP(C40, 'Utility rebates'!$A$2:$A$8, 'Utility rebates'!$C$2:$C$8)</f>
        <v>2000</v>
      </c>
      <c r="H40" s="128">
        <f t="array" ref="H40">XLOOKUP(C40, 'Utility rebates'!$A$2:$A$8, 'Utility rebates'!$D$2:$D$8)</f>
        <v>900</v>
      </c>
      <c r="I40" s="128">
        <f t="array" ref="I40">XLOOKUP(D40, 'Service line costs'!$A$2:$A$12, 'Service line costs'!$D$2:$D$12)</f>
        <v>3922</v>
      </c>
      <c r="J40" s="149">
        <f t="array" ref="J40">XLOOKUP(A40,'Design temperatures'!A:A,'Design temperatures'!B:B)</f>
        <v>-3</v>
      </c>
      <c r="K40" s="128" t="str">
        <f t="shared" si="1"/>
        <v>#REF!</v>
      </c>
      <c r="L40" s="128" t="str">
        <f t="shared" si="2"/>
        <v>#REF!</v>
      </c>
      <c r="M40" s="215">
        <f t="array" ref="M40">INDEX('2019 Building Permits Survey'!$C$2:$C$63,MATCH(A40,'2019 Building Permits Survey'!$A$2:$A$63,0))</f>
        <v>0.007756056099</v>
      </c>
    </row>
    <row r="41">
      <c r="A41" s="68" t="s">
        <v>360</v>
      </c>
      <c r="B41" s="73">
        <v>61578.0</v>
      </c>
      <c r="C41" s="7" t="s">
        <v>233</v>
      </c>
      <c r="D41" s="7" t="s">
        <v>233</v>
      </c>
      <c r="E41" s="149">
        <f t="array" ref="E41">INDEX('County zone mapping'!$E$2:$E$63,MATCH(A41,'County zone mapping'!$B$2:$B$63,0))</f>
        <v>5</v>
      </c>
      <c r="F41" s="128">
        <f t="array" ref="F41">XLOOKUP(C41, 'Utility rebates'!$A$2:$A$8, 'Utility rebates'!$B$2:$B$8)</f>
        <v>800</v>
      </c>
      <c r="G41" s="128">
        <f t="array" ref="G41">XLOOKUP(C41, 'Utility rebates'!$A$2:$A$8, 'Utility rebates'!$C$2:$C$8)</f>
        <v>1500</v>
      </c>
      <c r="H41" s="128">
        <f t="array" ref="H41">XLOOKUP(C41, 'Utility rebates'!$A$2:$A$8, 'Utility rebates'!$D$2:$D$8)</f>
        <v>900</v>
      </c>
      <c r="I41" s="128">
        <f t="array" ref="I41">XLOOKUP(D41, 'Service line costs'!$A$2:$A$12, 'Service line costs'!$D$2:$D$12)</f>
        <v>2010</v>
      </c>
      <c r="J41" s="149">
        <f t="array" ref="J41">XLOOKUP(A41,'Design temperatures'!A:A,'Design temperatures'!B:B)</f>
        <v>6</v>
      </c>
      <c r="K41" s="128" t="str">
        <f t="shared" si="1"/>
        <v>#REF!</v>
      </c>
      <c r="L41" s="128" t="str">
        <f t="shared" si="2"/>
        <v>#REF!</v>
      </c>
      <c r="M41" s="215">
        <f t="array" ref="M41">INDEX('2019 Building Permits Survey'!$C$2:$C$63,MATCH(A41,'2019 Building Permits Survey'!$A$2:$A$63,0))</f>
        <v>0.006162345941</v>
      </c>
    </row>
    <row r="42">
      <c r="A42" s="68" t="s">
        <v>361</v>
      </c>
      <c r="B42" s="73">
        <v>60956.0</v>
      </c>
      <c r="C42" s="7" t="s">
        <v>225</v>
      </c>
      <c r="D42" s="7" t="s">
        <v>240</v>
      </c>
      <c r="E42" s="149">
        <f t="array" ref="E42">INDEX('County zone mapping'!$E$2:$E$63,MATCH(A42,'County zone mapping'!$B$2:$B$63,0))</f>
        <v>5</v>
      </c>
      <c r="F42" s="128">
        <f t="array" ref="F42">XLOOKUP(C42, 'Utility rebates'!$A$2:$A$8, 'Utility rebates'!$B$2:$B$8)</f>
        <v>1200</v>
      </c>
      <c r="G42" s="128">
        <f t="array" ref="G42">XLOOKUP(C42, 'Utility rebates'!$A$2:$A$8, 'Utility rebates'!$C$2:$C$8)</f>
        <v>2500</v>
      </c>
      <c r="H42" s="128">
        <f t="array" ref="H42">XLOOKUP(C42, 'Utility rebates'!$A$2:$A$8, 'Utility rebates'!$D$2:$D$8)</f>
        <v>1000</v>
      </c>
      <c r="I42" s="128">
        <f t="array" ref="I42">XLOOKUP(D42, 'Service line costs'!$A$2:$A$12, 'Service line costs'!$D$2:$D$12)</f>
        <v>3922</v>
      </c>
      <c r="J42" s="149">
        <f t="array" ref="J42">XLOOKUP(A42,'Design temperatures'!A:A,'Design temperatures'!B:B)</f>
        <v>-4</v>
      </c>
      <c r="K42" s="128" t="str">
        <f t="shared" si="1"/>
        <v>#REF!</v>
      </c>
      <c r="L42" s="128" t="str">
        <f t="shared" si="2"/>
        <v>#REF!</v>
      </c>
      <c r="M42" s="215">
        <f t="array" ref="M42">INDEX('2019 Building Permits Survey'!$C$2:$C$63,MATCH(A42,'2019 Building Permits Survey'!$A$2:$A$63,0))</f>
        <v>0.009349766256</v>
      </c>
    </row>
    <row r="43">
      <c r="A43" s="68" t="s">
        <v>362</v>
      </c>
      <c r="B43" s="73">
        <v>59937.0</v>
      </c>
      <c r="C43" s="7" t="s">
        <v>225</v>
      </c>
      <c r="D43" s="7" t="s">
        <v>240</v>
      </c>
      <c r="E43" s="149">
        <f t="array" ref="E43">INDEX('County zone mapping'!$E$2:$E$63,MATCH(A43,'County zone mapping'!$B$2:$B$63,0))</f>
        <v>6</v>
      </c>
      <c r="F43" s="128">
        <f t="array" ref="F43">XLOOKUP(C43, 'Utility rebates'!$A$2:$A$8, 'Utility rebates'!$B$2:$B$8)</f>
        <v>1200</v>
      </c>
      <c r="G43" s="128">
        <f t="array" ref="G43">XLOOKUP(C43, 'Utility rebates'!$A$2:$A$8, 'Utility rebates'!$C$2:$C$8)</f>
        <v>2500</v>
      </c>
      <c r="H43" s="128">
        <f t="array" ref="H43">XLOOKUP(C43, 'Utility rebates'!$A$2:$A$8, 'Utility rebates'!$D$2:$D$8)</f>
        <v>1000</v>
      </c>
      <c r="I43" s="128">
        <f t="array" ref="I43">XLOOKUP(D43, 'Service line costs'!$A$2:$A$12, 'Service line costs'!$D$2:$D$12)</f>
        <v>3922</v>
      </c>
      <c r="J43" s="149">
        <f t="array" ref="J43">XLOOKUP(A43,'Design temperatures'!A:A,'Design temperatures'!B:B)</f>
        <v>0</v>
      </c>
      <c r="K43" s="128" t="str">
        <f t="shared" si="1"/>
        <v>#REF!</v>
      </c>
      <c r="L43" s="128" t="str">
        <f t="shared" si="2"/>
        <v>#REF!</v>
      </c>
      <c r="M43" s="215">
        <f t="array" ref="M43">INDEX('2019 Building Permits Survey'!$C$2:$C$63,MATCH(A43,'2019 Building Permits Survey'!$A$2:$A$63,0))</f>
        <v>0.006906077348</v>
      </c>
    </row>
    <row r="44">
      <c r="A44" s="68" t="s">
        <v>363</v>
      </c>
      <c r="B44" s="73">
        <v>58123.0</v>
      </c>
      <c r="C44" s="7" t="s">
        <v>232</v>
      </c>
      <c r="D44" s="7" t="s">
        <v>232</v>
      </c>
      <c r="E44" s="149">
        <f t="array" ref="E44">INDEX('County zone mapping'!$E$2:$E$63,MATCH(A44,'County zone mapping'!$B$2:$B$63,0))</f>
        <v>6</v>
      </c>
      <c r="F44" s="128">
        <f t="array" ref="F44">XLOOKUP(C44, 'Utility rebates'!$A$2:$A$8, 'Utility rebates'!$B$2:$B$8)</f>
        <v>1000</v>
      </c>
      <c r="G44" s="128">
        <f t="array" ref="G44">XLOOKUP(C44, 'Utility rebates'!$A$2:$A$8, 'Utility rebates'!$C$2:$C$8)</f>
        <v>2000</v>
      </c>
      <c r="H44" s="128">
        <f t="array" ref="H44">XLOOKUP(C44, 'Utility rebates'!$A$2:$A$8, 'Utility rebates'!$D$2:$D$8)</f>
        <v>900</v>
      </c>
      <c r="I44" s="128">
        <f t="array" ref="I44">XLOOKUP(D44, 'Service line costs'!$A$2:$A$12, 'Service line costs'!$D$2:$D$12)</f>
        <v>8722</v>
      </c>
      <c r="J44" s="149">
        <f t="array" ref="J44">XLOOKUP(A44,'Design temperatures'!A:A,'Design temperatures'!B:B)</f>
        <v>-4</v>
      </c>
      <c r="K44" s="128" t="str">
        <f t="shared" si="1"/>
        <v>#REF!</v>
      </c>
      <c r="L44" s="128" t="str">
        <f t="shared" si="2"/>
        <v>#REF!</v>
      </c>
      <c r="M44" s="215">
        <f t="array" ref="M44">INDEX('2019 Building Permits Survey'!$C$2:$C$63,MATCH(A44,'2019 Building Permits Survey'!$A$2:$A$63,0))</f>
        <v>0.005099872503</v>
      </c>
    </row>
    <row r="45">
      <c r="A45" s="68" t="s">
        <v>364</v>
      </c>
      <c r="B45" s="73">
        <v>57853.0</v>
      </c>
      <c r="C45" s="7" t="s">
        <v>225</v>
      </c>
      <c r="D45" s="7" t="s">
        <v>237</v>
      </c>
      <c r="E45" s="149">
        <f t="array" ref="E45">INDEX('County zone mapping'!$E$2:$E$63,MATCH(A45,'County zone mapping'!$B$2:$B$63,0))</f>
        <v>5</v>
      </c>
      <c r="F45" s="128">
        <f t="array" ref="F45">XLOOKUP(C45, 'Utility rebates'!$A$2:$A$8, 'Utility rebates'!$B$2:$B$8)</f>
        <v>1200</v>
      </c>
      <c r="G45" s="128">
        <f t="array" ref="G45">XLOOKUP(C45, 'Utility rebates'!$A$2:$A$8, 'Utility rebates'!$C$2:$C$8)</f>
        <v>2500</v>
      </c>
      <c r="H45" s="128">
        <f t="array" ref="H45">XLOOKUP(C45, 'Utility rebates'!$A$2:$A$8, 'Utility rebates'!$D$2:$D$8)</f>
        <v>1000</v>
      </c>
      <c r="I45" s="128">
        <f t="array" ref="I45">XLOOKUP(D45, 'Service line costs'!$A$2:$A$12, 'Service line costs'!$D$2:$D$12)</f>
        <v>1512</v>
      </c>
      <c r="J45" s="149">
        <f t="array" ref="J45">XLOOKUP(A45,'Design temperatures'!A:A,'Design temperatures'!B:B)</f>
        <v>5</v>
      </c>
      <c r="K45" s="128" t="str">
        <f t="shared" si="1"/>
        <v>#REF!</v>
      </c>
      <c r="L45" s="128" t="str">
        <f t="shared" si="2"/>
        <v>#REF!</v>
      </c>
      <c r="M45" s="215">
        <f t="array" ref="M45">INDEX('2019 Building Permits Survey'!$C$2:$C$63,MATCH(A45,'2019 Building Permits Survey'!$A$2:$A$63,0))</f>
        <v>0.005206119847</v>
      </c>
    </row>
    <row r="46">
      <c r="A46" s="68" t="s">
        <v>365</v>
      </c>
      <c r="B46" s="73">
        <v>53116.0</v>
      </c>
      <c r="C46" s="7" t="s">
        <v>225</v>
      </c>
      <c r="D46" s="7" t="s">
        <v>240</v>
      </c>
      <c r="E46" s="149">
        <f t="array" ref="E46">INDEX('County zone mapping'!$E$2:$E$63,MATCH(A46,'County zone mapping'!$B$2:$B$63,0))</f>
        <v>6</v>
      </c>
      <c r="F46" s="128">
        <f t="array" ref="F46">XLOOKUP(C46, 'Utility rebates'!$A$2:$A$8, 'Utility rebates'!$B$2:$B$8)</f>
        <v>1200</v>
      </c>
      <c r="G46" s="128">
        <f t="array" ref="G46">XLOOKUP(C46, 'Utility rebates'!$A$2:$A$8, 'Utility rebates'!$C$2:$C$8)</f>
        <v>2500</v>
      </c>
      <c r="H46" s="128">
        <f t="array" ref="H46">XLOOKUP(C46, 'Utility rebates'!$A$2:$A$8, 'Utility rebates'!$D$2:$D$8)</f>
        <v>1000</v>
      </c>
      <c r="I46" s="128">
        <f t="array" ref="I46">XLOOKUP(D46, 'Service line costs'!$A$2:$A$12, 'Service line costs'!$D$2:$D$12)</f>
        <v>3922</v>
      </c>
      <c r="J46" s="149">
        <f t="array" ref="J46">XLOOKUP(A46,'Design temperatures'!A:A,'Design temperatures'!B:B)</f>
        <v>-2</v>
      </c>
      <c r="K46" s="128" t="str">
        <f t="shared" si="1"/>
        <v>#REF!</v>
      </c>
      <c r="L46" s="128" t="str">
        <f t="shared" si="2"/>
        <v>#REF!</v>
      </c>
      <c r="M46" s="215">
        <f t="array" ref="M46">INDEX('2019 Building Permits Survey'!$C$2:$C$63,MATCH(A46,'2019 Building Permits Survey'!$A$2:$A$63,0))</f>
        <v>0.005631109222</v>
      </c>
    </row>
    <row r="47">
      <c r="A47" s="68" t="s">
        <v>366</v>
      </c>
      <c r="B47" s="73">
        <v>49558.0</v>
      </c>
      <c r="C47" s="7" t="s">
        <v>225</v>
      </c>
      <c r="D47" s="7" t="s">
        <v>240</v>
      </c>
      <c r="E47" s="149">
        <f t="array" ref="E47">INDEX('County zone mapping'!$E$2:$E$63,MATCH(A47,'County zone mapping'!$B$2:$B$63,0))</f>
        <v>6</v>
      </c>
      <c r="F47" s="128">
        <f t="array" ref="F47">XLOOKUP(C47, 'Utility rebates'!$A$2:$A$8, 'Utility rebates'!$B$2:$B$8)</f>
        <v>1200</v>
      </c>
      <c r="G47" s="128">
        <f t="array" ref="G47">XLOOKUP(C47, 'Utility rebates'!$A$2:$A$8, 'Utility rebates'!$C$2:$C$8)</f>
        <v>2500</v>
      </c>
      <c r="H47" s="128">
        <f t="array" ref="H47">XLOOKUP(C47, 'Utility rebates'!$A$2:$A$8, 'Utility rebates'!$D$2:$D$8)</f>
        <v>1000</v>
      </c>
      <c r="I47" s="128">
        <f t="array" ref="I47">XLOOKUP(D47, 'Service line costs'!$A$2:$A$12, 'Service line costs'!$D$2:$D$12)</f>
        <v>3922</v>
      </c>
      <c r="J47" s="149">
        <f t="array" ref="J47">XLOOKUP(A47,'Design temperatures'!A:A,'Design temperatures'!B:B)</f>
        <v>-2</v>
      </c>
      <c r="K47" s="128" t="str">
        <f t="shared" si="1"/>
        <v>#REF!</v>
      </c>
      <c r="L47" s="128" t="str">
        <f t="shared" si="2"/>
        <v>#REF!</v>
      </c>
      <c r="M47" s="215">
        <f t="array" ref="M47">INDEX('2019 Building Permits Survey'!$C$2:$C$63,MATCH(A47,'2019 Building Permits Survey'!$A$2:$A$63,0))</f>
        <v>0.004356141096</v>
      </c>
    </row>
    <row r="48">
      <c r="A48" s="68" t="s">
        <v>367</v>
      </c>
      <c r="B48" s="73">
        <v>48499.0</v>
      </c>
      <c r="C48" s="7" t="s">
        <v>221</v>
      </c>
      <c r="D48" s="7" t="s">
        <v>247</v>
      </c>
      <c r="E48" s="149">
        <f t="array" ref="E48">INDEX('County zone mapping'!$E$2:$E$63,MATCH(A48,'County zone mapping'!$B$2:$B$63,0))</f>
        <v>5</v>
      </c>
      <c r="F48" s="128">
        <f t="array" ref="F48">XLOOKUP(C48, 'Utility rebates'!$A$2:$A$8, 'Utility rebates'!$B$2:$B$8)</f>
        <v>500</v>
      </c>
      <c r="G48" s="128">
        <f t="array" ref="G48">XLOOKUP(C48, 'Utility rebates'!$A$2:$A$8, 'Utility rebates'!$C$2:$C$8)</f>
        <v>2000</v>
      </c>
      <c r="H48" s="128">
        <f t="array" ref="H48">XLOOKUP(C48, 'Utility rebates'!$A$2:$A$8, 'Utility rebates'!$D$2:$D$8)</f>
        <v>1000</v>
      </c>
      <c r="I48" s="128">
        <f t="array" ref="I48">XLOOKUP(D48, 'Service line costs'!$A$2:$A$12, 'Service line costs'!$D$2:$D$12)</f>
        <v>9443</v>
      </c>
      <c r="J48" s="149">
        <f t="array" ref="J48">XLOOKUP(A48,'Design temperatures'!A:A,'Design temperatures'!B:B)</f>
        <v>2</v>
      </c>
      <c r="K48" s="128" t="str">
        <f t="shared" si="1"/>
        <v>#REF!</v>
      </c>
      <c r="L48" s="128" t="str">
        <f t="shared" si="2"/>
        <v>#REF!</v>
      </c>
      <c r="M48" s="215">
        <f t="array" ref="M48">INDEX('2019 Building Permits Survey'!$C$2:$C$63,MATCH(A48,'2019 Building Permits Survey'!$A$2:$A$63,0))</f>
        <v>0.006587335317</v>
      </c>
    </row>
    <row r="49">
      <c r="A49" s="68" t="s">
        <v>368</v>
      </c>
      <c r="B49" s="73">
        <v>47980.0</v>
      </c>
      <c r="C49" s="7" t="s">
        <v>232</v>
      </c>
      <c r="D49" s="7" t="s">
        <v>232</v>
      </c>
      <c r="E49" s="149">
        <f t="array" ref="E49">INDEX('County zone mapping'!$E$2:$E$63,MATCH(A49,'County zone mapping'!$B$2:$B$63,0))</f>
        <v>5</v>
      </c>
      <c r="F49" s="128">
        <f t="array" ref="F49">XLOOKUP(C49, 'Utility rebates'!$A$2:$A$8, 'Utility rebates'!$B$2:$B$8)</f>
        <v>1000</v>
      </c>
      <c r="G49" s="128">
        <f t="array" ref="G49">XLOOKUP(C49, 'Utility rebates'!$A$2:$A$8, 'Utility rebates'!$C$2:$C$8)</f>
        <v>2000</v>
      </c>
      <c r="H49" s="128">
        <f t="array" ref="H49">XLOOKUP(C49, 'Utility rebates'!$A$2:$A$8, 'Utility rebates'!$D$2:$D$8)</f>
        <v>900</v>
      </c>
      <c r="I49" s="128">
        <f t="array" ref="I49">XLOOKUP(D49, 'Service line costs'!$A$2:$A$12, 'Service line costs'!$D$2:$D$12)</f>
        <v>8722</v>
      </c>
      <c r="J49" s="149">
        <f t="array" ref="J49">XLOOKUP(A49,'Design temperatures'!A:A,'Design temperatures'!B:B)</f>
        <v>4</v>
      </c>
      <c r="K49" s="128" t="str">
        <f t="shared" si="1"/>
        <v>#REF!</v>
      </c>
      <c r="L49" s="128" t="str">
        <f t="shared" si="2"/>
        <v>#REF!</v>
      </c>
      <c r="M49" s="215">
        <f t="array" ref="M49">INDEX('2019 Building Permits Survey'!$C$2:$C$63,MATCH(A49,'2019 Building Permits Survey'!$A$2:$A$63,0))</f>
        <v>0.002762430939</v>
      </c>
    </row>
    <row r="50">
      <c r="A50" s="68" t="s">
        <v>369</v>
      </c>
      <c r="B50" s="73">
        <v>47456.0</v>
      </c>
      <c r="C50" s="7" t="s">
        <v>225</v>
      </c>
      <c r="D50" s="7" t="s">
        <v>252</v>
      </c>
      <c r="E50" s="149">
        <f t="array" ref="E50">INDEX('County zone mapping'!$E$2:$E$63,MATCH(A50,'County zone mapping'!$B$2:$B$63,0))</f>
        <v>6</v>
      </c>
      <c r="F50" s="128">
        <f t="array" ref="F50">XLOOKUP(C50, 'Utility rebates'!$A$2:$A$8, 'Utility rebates'!$B$2:$B$8)</f>
        <v>1200</v>
      </c>
      <c r="G50" s="128">
        <f t="array" ref="G50">XLOOKUP(C50, 'Utility rebates'!$A$2:$A$8, 'Utility rebates'!$C$2:$C$8)</f>
        <v>2500</v>
      </c>
      <c r="H50" s="128">
        <f t="array" ref="H50">XLOOKUP(C50, 'Utility rebates'!$A$2:$A$8, 'Utility rebates'!$D$2:$D$8)</f>
        <v>1000</v>
      </c>
      <c r="I50" s="128">
        <f t="array" ref="I50">XLOOKUP(D50, 'Service line costs'!$A$2:$A$12, 'Service line costs'!$D$2:$D$12)</f>
        <v>8900</v>
      </c>
      <c r="J50" s="149">
        <f t="array" ref="J50">XLOOKUP(A50,'Design temperatures'!A:A,'Design temperatures'!B:B)</f>
        <v>-11</v>
      </c>
      <c r="K50" s="128" t="str">
        <f t="shared" si="1"/>
        <v>#REF!</v>
      </c>
      <c r="L50" s="128" t="str">
        <f t="shared" si="2"/>
        <v>#REF!</v>
      </c>
      <c r="M50" s="215">
        <f t="array" ref="M50">INDEX('2019 Building Permits Survey'!$C$2:$C$63,MATCH(A50,'2019 Building Permits Survey'!$A$2:$A$63,0))</f>
        <v>0.009774755631</v>
      </c>
    </row>
    <row r="51">
      <c r="A51" s="68" t="s">
        <v>370</v>
      </c>
      <c r="B51" s="73">
        <v>46537.0</v>
      </c>
      <c r="C51" s="7" t="s">
        <v>232</v>
      </c>
      <c r="D51" s="7" t="s">
        <v>232</v>
      </c>
      <c r="E51" s="149">
        <f t="array" ref="E51">INDEX('County zone mapping'!$E$2:$E$63,MATCH(A51,'County zone mapping'!$B$2:$B$63,0))</f>
        <v>6</v>
      </c>
      <c r="F51" s="128">
        <f t="array" ref="F51">XLOOKUP(C51, 'Utility rebates'!$A$2:$A$8, 'Utility rebates'!$B$2:$B$8)</f>
        <v>1000</v>
      </c>
      <c r="G51" s="128">
        <f t="array" ref="G51">XLOOKUP(C51, 'Utility rebates'!$A$2:$A$8, 'Utility rebates'!$C$2:$C$8)</f>
        <v>2000</v>
      </c>
      <c r="H51" s="128">
        <f t="array" ref="H51">XLOOKUP(C51, 'Utility rebates'!$A$2:$A$8, 'Utility rebates'!$D$2:$D$8)</f>
        <v>900</v>
      </c>
      <c r="I51" s="128">
        <f t="array" ref="I51">XLOOKUP(D51, 'Service line costs'!$A$2:$A$12, 'Service line costs'!$D$2:$D$12)</f>
        <v>8722</v>
      </c>
      <c r="J51" s="149">
        <f t="array" ref="J51">XLOOKUP(A51,'Design temperatures'!A:A,'Design temperatures'!B:B)</f>
        <v>4</v>
      </c>
      <c r="K51" s="128" t="str">
        <f t="shared" si="1"/>
        <v>#REF!</v>
      </c>
      <c r="L51" s="128" t="str">
        <f t="shared" si="2"/>
        <v>#REF!</v>
      </c>
      <c r="M51" s="215">
        <f t="array" ref="M51">INDEX('2019 Building Permits Survey'!$C$2:$C$63,MATCH(A51,'2019 Building Permits Survey'!$A$2:$A$63,0))</f>
        <v>0.003718657034</v>
      </c>
    </row>
    <row r="52">
      <c r="A52" s="68" t="s">
        <v>371</v>
      </c>
      <c r="B52" s="73">
        <v>46311.0</v>
      </c>
      <c r="C52" s="7" t="s">
        <v>225</v>
      </c>
      <c r="D52" s="7" t="s">
        <v>232</v>
      </c>
      <c r="E52" s="149">
        <f t="array" ref="E52">INDEX('County zone mapping'!$E$2:$E$63,MATCH(A52,'County zone mapping'!$B$2:$B$63,0))</f>
        <v>5</v>
      </c>
      <c r="F52" s="128">
        <f t="array" ref="F52">XLOOKUP(C52, 'Utility rebates'!$A$2:$A$8, 'Utility rebates'!$B$2:$B$8)</f>
        <v>1200</v>
      </c>
      <c r="G52" s="128">
        <f t="array" ref="G52">XLOOKUP(C52, 'Utility rebates'!$A$2:$A$8, 'Utility rebates'!$C$2:$C$8)</f>
        <v>2500</v>
      </c>
      <c r="H52" s="128">
        <f t="array" ref="H52">XLOOKUP(C52, 'Utility rebates'!$A$2:$A$8, 'Utility rebates'!$D$2:$D$8)</f>
        <v>1000</v>
      </c>
      <c r="I52" s="128">
        <f t="array" ref="I52">XLOOKUP(D52, 'Service line costs'!$A$2:$A$12, 'Service line costs'!$D$2:$D$12)</f>
        <v>8722</v>
      </c>
      <c r="J52" s="149">
        <f t="array" ref="J52">XLOOKUP(A52,'Design temperatures'!A:A,'Design temperatures'!B:B)</f>
        <v>0</v>
      </c>
      <c r="K52" s="128" t="str">
        <f t="shared" si="1"/>
        <v>#REF!</v>
      </c>
      <c r="L52" s="128" t="str">
        <f t="shared" si="2"/>
        <v>#REF!</v>
      </c>
      <c r="M52" s="215">
        <f t="array" ref="M52">INDEX('2019 Building Permits Survey'!$C$2:$C$63,MATCH(A52,'2019 Building Permits Survey'!$A$2:$A$63,0))</f>
        <v>0.002549936252</v>
      </c>
    </row>
    <row r="53">
      <c r="A53" s="68" t="s">
        <v>372</v>
      </c>
      <c r="B53" s="73">
        <v>46106.0</v>
      </c>
      <c r="C53" s="7" t="s">
        <v>233</v>
      </c>
      <c r="D53" s="7" t="s">
        <v>237</v>
      </c>
      <c r="E53" s="149">
        <f t="array" ref="E53">INDEX('County zone mapping'!$E$2:$E$63,MATCH(A53,'County zone mapping'!$B$2:$B$63,0))</f>
        <v>6</v>
      </c>
      <c r="F53" s="128">
        <f t="array" ref="F53">XLOOKUP(C53, 'Utility rebates'!$A$2:$A$8, 'Utility rebates'!$B$2:$B$8)</f>
        <v>800</v>
      </c>
      <c r="G53" s="128">
        <f t="array" ref="G53">XLOOKUP(C53, 'Utility rebates'!$A$2:$A$8, 'Utility rebates'!$C$2:$C$8)</f>
        <v>1500</v>
      </c>
      <c r="H53" s="128">
        <f t="array" ref="H53">XLOOKUP(C53, 'Utility rebates'!$A$2:$A$8, 'Utility rebates'!$D$2:$D$8)</f>
        <v>900</v>
      </c>
      <c r="I53" s="128">
        <f t="array" ref="I53">XLOOKUP(D53, 'Service line costs'!$A$2:$A$12, 'Service line costs'!$D$2:$D$12)</f>
        <v>1512</v>
      </c>
      <c r="J53" s="149">
        <f t="array" ref="J53">XLOOKUP(A53,'Design temperatures'!A:A,'Design temperatures'!B:B)</f>
        <v>3</v>
      </c>
      <c r="K53" s="128" t="str">
        <f t="shared" si="1"/>
        <v>#REF!</v>
      </c>
      <c r="L53" s="128" t="str">
        <f t="shared" si="2"/>
        <v>#REF!</v>
      </c>
      <c r="M53" s="215">
        <f t="array" ref="M53">INDEX('2019 Building Permits Survey'!$C$2:$C$63,MATCH(A53,'2019 Building Permits Survey'!$A$2:$A$63,0))</f>
        <v>0.005312367191</v>
      </c>
    </row>
    <row r="54">
      <c r="A54" s="68" t="s">
        <v>373</v>
      </c>
      <c r="B54" s="73">
        <v>44378.0</v>
      </c>
      <c r="C54" s="7" t="s">
        <v>232</v>
      </c>
      <c r="D54" s="7" t="s">
        <v>232</v>
      </c>
      <c r="E54" s="149">
        <f t="array" ref="E54">INDEX('County zone mapping'!$E$2:$E$63,MATCH(A54,'County zone mapping'!$B$2:$B$63,0))</f>
        <v>6</v>
      </c>
      <c r="F54" s="128">
        <f t="array" ref="F54">XLOOKUP(C54, 'Utility rebates'!$A$2:$A$8, 'Utility rebates'!$B$2:$B$8)</f>
        <v>1000</v>
      </c>
      <c r="G54" s="128">
        <f t="array" ref="G54">XLOOKUP(C54, 'Utility rebates'!$A$2:$A$8, 'Utility rebates'!$C$2:$C$8)</f>
        <v>2000</v>
      </c>
      <c r="H54" s="128">
        <f t="array" ref="H54">XLOOKUP(C54, 'Utility rebates'!$A$2:$A$8, 'Utility rebates'!$D$2:$D$8)</f>
        <v>900</v>
      </c>
      <c r="I54" s="128">
        <f t="array" ref="I54">XLOOKUP(D54, 'Service line costs'!$A$2:$A$12, 'Service line costs'!$D$2:$D$12)</f>
        <v>8722</v>
      </c>
      <c r="J54" s="149">
        <f t="array" ref="J54">XLOOKUP(A54,'Design temperatures'!A:A,'Design temperatures'!B:B)</f>
        <v>-4</v>
      </c>
      <c r="K54" s="128" t="str">
        <f t="shared" si="1"/>
        <v>#REF!</v>
      </c>
      <c r="L54" s="128" t="str">
        <f t="shared" si="2"/>
        <v>#REF!</v>
      </c>
      <c r="M54" s="215">
        <f t="array" ref="M54">INDEX('2019 Building Permits Survey'!$C$2:$C$63,MATCH(A54,'2019 Building Permits Survey'!$A$2:$A$63,0))</f>
        <v>0.00722481938</v>
      </c>
    </row>
    <row r="55">
      <c r="A55" s="68" t="s">
        <v>374</v>
      </c>
      <c r="B55" s="73">
        <v>40491.0</v>
      </c>
      <c r="C55" s="7" t="s">
        <v>232</v>
      </c>
      <c r="D55" s="7" t="s">
        <v>237</v>
      </c>
      <c r="E55" s="149">
        <f t="array" ref="E55">INDEX('County zone mapping'!$E$2:$E$63,MATCH(A55,'County zone mapping'!$B$2:$B$63,0))</f>
        <v>6</v>
      </c>
      <c r="F55" s="128">
        <f t="array" ref="F55">XLOOKUP(C55, 'Utility rebates'!$A$2:$A$8, 'Utility rebates'!$B$2:$B$8)</f>
        <v>1000</v>
      </c>
      <c r="G55" s="128">
        <f t="array" ref="G55">XLOOKUP(C55, 'Utility rebates'!$A$2:$A$8, 'Utility rebates'!$C$2:$C$8)</f>
        <v>2000</v>
      </c>
      <c r="H55" s="128">
        <f t="array" ref="H55">XLOOKUP(C55, 'Utility rebates'!$A$2:$A$8, 'Utility rebates'!$D$2:$D$8)</f>
        <v>900</v>
      </c>
      <c r="I55" s="128">
        <f t="array" ref="I55">XLOOKUP(D55, 'Service line costs'!$A$2:$A$12, 'Service line costs'!$D$2:$D$12)</f>
        <v>1512</v>
      </c>
      <c r="J55" s="149">
        <f t="array" ref="J55">XLOOKUP(A55,'Design temperatures'!A:A,'Design temperatures'!B:B)</f>
        <v>5</v>
      </c>
      <c r="K55" s="128" t="str">
        <f t="shared" si="1"/>
        <v>#REF!</v>
      </c>
      <c r="L55" s="128" t="str">
        <f t="shared" si="2"/>
        <v>#REF!</v>
      </c>
      <c r="M55" s="215">
        <f t="array" ref="M55">INDEX('2019 Building Permits Survey'!$C$2:$C$63,MATCH(A55,'2019 Building Permits Survey'!$A$2:$A$63,0))</f>
        <v>0.003506162346</v>
      </c>
    </row>
    <row r="56">
      <c r="A56" s="68" t="s">
        <v>375</v>
      </c>
      <c r="B56" s="73">
        <v>40191.0</v>
      </c>
      <c r="C56" s="7" t="s">
        <v>225</v>
      </c>
      <c r="D56" s="7" t="s">
        <v>232</v>
      </c>
      <c r="E56" s="149">
        <f t="array" ref="E56">INDEX('County zone mapping'!$E$2:$E$63,MATCH(A56,'County zone mapping'!$B$2:$B$63,0))</f>
        <v>5</v>
      </c>
      <c r="F56" s="128">
        <f t="array" ref="F56">XLOOKUP(C56, 'Utility rebates'!$A$2:$A$8, 'Utility rebates'!$B$2:$B$8)</f>
        <v>1200</v>
      </c>
      <c r="G56" s="128">
        <f t="array" ref="G56">XLOOKUP(C56, 'Utility rebates'!$A$2:$A$8, 'Utility rebates'!$C$2:$C$8)</f>
        <v>2500</v>
      </c>
      <c r="H56" s="128">
        <f t="array" ref="H56">XLOOKUP(C56, 'Utility rebates'!$A$2:$A$8, 'Utility rebates'!$D$2:$D$8)</f>
        <v>1000</v>
      </c>
      <c r="I56" s="128">
        <f t="array" ref="I56">XLOOKUP(D56, 'Service line costs'!$A$2:$A$12, 'Service line costs'!$D$2:$D$12)</f>
        <v>8722</v>
      </c>
      <c r="J56" s="149">
        <f t="array" ref="J56">XLOOKUP(A56,'Design temperatures'!A:A,'Design temperatures'!B:B)</f>
        <v>5</v>
      </c>
      <c r="K56" s="128" t="str">
        <f t="shared" si="1"/>
        <v>#REF!</v>
      </c>
      <c r="L56" s="128" t="str">
        <f t="shared" si="2"/>
        <v>#REF!</v>
      </c>
      <c r="M56" s="215">
        <f t="array" ref="M56">INDEX('2019 Building Permits Survey'!$C$2:$C$63,MATCH(A56,'2019 Building Permits Survey'!$A$2:$A$63,0))</f>
        <v>0.002018699533</v>
      </c>
    </row>
    <row r="57">
      <c r="A57" s="68" t="s">
        <v>376</v>
      </c>
      <c r="B57" s="73">
        <v>37268.0</v>
      </c>
      <c r="C57" s="7" t="s">
        <v>225</v>
      </c>
      <c r="D57" s="7" t="s">
        <v>377</v>
      </c>
      <c r="E57" s="149">
        <f t="array" ref="E57">INDEX('County zone mapping'!$E$2:$E$63,MATCH(A57,'County zone mapping'!$B$2:$B$63,0))</f>
        <v>6</v>
      </c>
      <c r="F57" s="128">
        <f t="array" ref="F57">XLOOKUP(C57, 'Utility rebates'!$A$2:$A$8, 'Utility rebates'!$B$2:$B$8)</f>
        <v>1200</v>
      </c>
      <c r="G57" s="128">
        <f t="array" ref="G57">XLOOKUP(C57, 'Utility rebates'!$A$2:$A$8, 'Utility rebates'!$C$2:$C$8)</f>
        <v>2500</v>
      </c>
      <c r="H57" s="128">
        <f t="array" ref="H57">XLOOKUP(C57, 'Utility rebates'!$A$2:$A$8, 'Utility rebates'!$D$2:$D$8)</f>
        <v>1000</v>
      </c>
      <c r="I57" s="90"/>
      <c r="J57" s="149">
        <f t="array" ref="J57">XLOOKUP(A57,'Design temperatures'!A:A,'Design temperatures'!B:B)</f>
        <v>-11</v>
      </c>
      <c r="K57" s="128" t="str">
        <f t="shared" si="1"/>
        <v>#REF!</v>
      </c>
      <c r="L57" s="128" t="str">
        <f t="shared" si="2"/>
        <v>#REF!</v>
      </c>
      <c r="M57" s="215">
        <f t="array" ref="M57">INDEX('2019 Building Permits Survey'!$C$2:$C$63,MATCH(A57,'2019 Building Permits Survey'!$A$2:$A$63,0))</f>
        <v>0.01126221844</v>
      </c>
    </row>
    <row r="58">
      <c r="A58" s="68" t="s">
        <v>378</v>
      </c>
      <c r="B58" s="73">
        <v>33688.0</v>
      </c>
      <c r="C58" s="7" t="s">
        <v>232</v>
      </c>
      <c r="D58" s="7" t="s">
        <v>232</v>
      </c>
      <c r="E58" s="149">
        <f t="array" ref="E58">INDEX('County zone mapping'!$E$2:$E$63,MATCH(A58,'County zone mapping'!$B$2:$B$63,0))</f>
        <v>5</v>
      </c>
      <c r="F58" s="128">
        <f t="array" ref="F58">XLOOKUP(C58, 'Utility rebates'!$A$2:$A$8, 'Utility rebates'!$B$2:$B$8)</f>
        <v>1000</v>
      </c>
      <c r="G58" s="128">
        <f t="array" ref="G58">XLOOKUP(C58, 'Utility rebates'!$A$2:$A$8, 'Utility rebates'!$C$2:$C$8)</f>
        <v>2000</v>
      </c>
      <c r="H58" s="128">
        <f t="array" ref="H58">XLOOKUP(C58, 'Utility rebates'!$A$2:$A$8, 'Utility rebates'!$D$2:$D$8)</f>
        <v>900</v>
      </c>
      <c r="I58" s="128">
        <f t="array" ref="I58">XLOOKUP(D58, 'Service line costs'!$A$2:$A$12, 'Service line costs'!$D$2:$D$12)</f>
        <v>8722</v>
      </c>
      <c r="J58" s="149">
        <f t="array" ref="J58">XLOOKUP(A58,'Design temperatures'!A:A,'Design temperatures'!B:B)</f>
        <v>2</v>
      </c>
      <c r="K58" s="128" t="str">
        <f t="shared" si="1"/>
        <v>#REF!</v>
      </c>
      <c r="L58" s="128" t="str">
        <f t="shared" si="2"/>
        <v>#REF!</v>
      </c>
      <c r="M58" s="215">
        <f t="array" ref="M58">INDEX('2019 Building Permits Survey'!$C$2:$C$63,MATCH(A58,'2019 Building Permits Survey'!$A$2:$A$63,0))</f>
        <v>0.005099872503</v>
      </c>
    </row>
    <row r="59">
      <c r="A59" s="68" t="s">
        <v>379</v>
      </c>
      <c r="B59" s="73">
        <v>29863.0</v>
      </c>
      <c r="C59" s="7" t="s">
        <v>225</v>
      </c>
      <c r="D59" s="7" t="s">
        <v>232</v>
      </c>
      <c r="E59" s="149">
        <f t="array" ref="E59">INDEX('County zone mapping'!$E$2:$E$63,MATCH(A59,'County zone mapping'!$B$2:$B$63,0))</f>
        <v>6</v>
      </c>
      <c r="F59" s="128">
        <f t="array" ref="F59">XLOOKUP(C59, 'Utility rebates'!$A$2:$A$8, 'Utility rebates'!$B$2:$B$8)</f>
        <v>1200</v>
      </c>
      <c r="G59" s="128">
        <f t="array" ref="G59">XLOOKUP(C59, 'Utility rebates'!$A$2:$A$8, 'Utility rebates'!$C$2:$C$8)</f>
        <v>2500</v>
      </c>
      <c r="H59" s="128">
        <f t="array" ref="H59">XLOOKUP(C59, 'Utility rebates'!$A$2:$A$8, 'Utility rebates'!$D$2:$D$8)</f>
        <v>1000</v>
      </c>
      <c r="I59" s="128">
        <f t="array" ref="I59">XLOOKUP(D59, 'Service line costs'!$A$2:$A$12, 'Service line costs'!$D$2:$D$12)</f>
        <v>8722</v>
      </c>
      <c r="J59" s="149">
        <f t="array" ref="J59">XLOOKUP(A59,'Design temperatures'!A:A,'Design temperatures'!B:B)</f>
        <v>-2</v>
      </c>
      <c r="K59" s="128" t="str">
        <f t="shared" si="1"/>
        <v>#REF!</v>
      </c>
      <c r="L59" s="128" t="str">
        <f t="shared" si="2"/>
        <v>#REF!</v>
      </c>
      <c r="M59" s="215">
        <f t="array" ref="M59">INDEX('2019 Building Permits Survey'!$C$2:$C$63,MATCH(A59,'2019 Building Permits Survey'!$A$2:$A$63,0))</f>
        <v>0.002868678283</v>
      </c>
    </row>
    <row r="60">
      <c r="A60" s="68" t="s">
        <v>380</v>
      </c>
      <c r="B60" s="73">
        <v>26573.0</v>
      </c>
      <c r="C60" s="7" t="s">
        <v>225</v>
      </c>
      <c r="D60" s="7" t="s">
        <v>252</v>
      </c>
      <c r="E60" s="149">
        <f t="array" ref="E60">INDEX('County zone mapping'!$E$2:$E$63,MATCH(A60,'County zone mapping'!$B$2:$B$63,0))</f>
        <v>6</v>
      </c>
      <c r="F60" s="128">
        <f t="array" ref="F60">XLOOKUP(C60, 'Utility rebates'!$A$2:$A$8, 'Utility rebates'!$B$2:$B$8)</f>
        <v>1200</v>
      </c>
      <c r="G60" s="128">
        <f t="array" ref="G60">XLOOKUP(C60, 'Utility rebates'!$A$2:$A$8, 'Utility rebates'!$C$2:$C$8)</f>
        <v>2500</v>
      </c>
      <c r="H60" s="128">
        <f t="array" ref="H60">XLOOKUP(C60, 'Utility rebates'!$A$2:$A$8, 'Utility rebates'!$D$2:$D$8)</f>
        <v>1000</v>
      </c>
      <c r="I60" s="128">
        <f t="array" ref="I60">XLOOKUP(D60, 'Service line costs'!$A$2:$A$12, 'Service line costs'!$D$2:$D$12)</f>
        <v>8900</v>
      </c>
      <c r="J60" s="149">
        <f t="array" ref="J60">XLOOKUP(A60,'Design temperatures'!A:A,'Design temperatures'!B:B)</f>
        <v>0</v>
      </c>
      <c r="K60" s="128" t="str">
        <f t="shared" si="1"/>
        <v>#REF!</v>
      </c>
      <c r="L60" s="128" t="str">
        <f t="shared" si="2"/>
        <v>#REF!</v>
      </c>
      <c r="M60" s="215">
        <f t="array" ref="M60">INDEX('2019 Building Permits Survey'!$C$2:$C$63,MATCH(A60,'2019 Building Permits Survey'!$A$2:$A$63,0))</f>
        <v>0.005312367191</v>
      </c>
    </row>
    <row r="61">
      <c r="A61" s="68" t="s">
        <v>381</v>
      </c>
      <c r="B61" s="73">
        <v>24613.0</v>
      </c>
      <c r="C61" s="7" t="s">
        <v>232</v>
      </c>
      <c r="D61" s="7" t="s">
        <v>240</v>
      </c>
      <c r="E61" s="149">
        <f t="array" ref="E61">INDEX('County zone mapping'!$E$2:$E$63,MATCH(A61,'County zone mapping'!$B$2:$B$63,0))</f>
        <v>5</v>
      </c>
      <c r="F61" s="128">
        <f t="array" ref="F61">XLOOKUP(C61, 'Utility rebates'!$A$2:$A$8, 'Utility rebates'!$B$2:$B$8)</f>
        <v>1000</v>
      </c>
      <c r="G61" s="128">
        <f t="array" ref="G61">XLOOKUP(C61, 'Utility rebates'!$A$2:$A$8, 'Utility rebates'!$C$2:$C$8)</f>
        <v>2000</v>
      </c>
      <c r="H61" s="128">
        <f t="array" ref="H61">XLOOKUP(C61, 'Utility rebates'!$A$2:$A$8, 'Utility rebates'!$D$2:$D$8)</f>
        <v>900</v>
      </c>
      <c r="I61" s="128">
        <f t="array" ref="I61">XLOOKUP(D61, 'Service line costs'!$A$2:$A$12, 'Service line costs'!$D$2:$D$12)</f>
        <v>3922</v>
      </c>
      <c r="J61" s="149">
        <f t="array" ref="J61">XLOOKUP(A61,'Design temperatures'!A:A,'Design temperatures'!B:B)</f>
        <v>7</v>
      </c>
      <c r="K61" s="128" t="str">
        <f t="shared" si="1"/>
        <v>#REF!</v>
      </c>
      <c r="L61" s="128" t="str">
        <f t="shared" si="2"/>
        <v>#REF!</v>
      </c>
      <c r="M61" s="215">
        <f t="array" ref="M61">INDEX('2019 Building Permits Survey'!$C$2:$C$63,MATCH(A61,'2019 Building Permits Survey'!$A$2:$A$63,0))</f>
        <v>0.009031024224</v>
      </c>
    </row>
    <row r="62">
      <c r="A62" s="68" t="s">
        <v>382</v>
      </c>
      <c r="B62" s="73">
        <v>17752.0</v>
      </c>
      <c r="C62" s="7" t="s">
        <v>232</v>
      </c>
      <c r="D62" s="7" t="s">
        <v>232</v>
      </c>
      <c r="E62" s="149">
        <f t="array" ref="E62">INDEX('County zone mapping'!$E$2:$E$63,MATCH(A62,'County zone mapping'!$B$2:$B$63,0))</f>
        <v>6</v>
      </c>
      <c r="F62" s="128">
        <f t="array" ref="F62">XLOOKUP(C62, 'Utility rebates'!$A$2:$A$8, 'Utility rebates'!$B$2:$B$8)</f>
        <v>1000</v>
      </c>
      <c r="G62" s="128">
        <f t="array" ref="G62">XLOOKUP(C62, 'Utility rebates'!$A$2:$A$8, 'Utility rebates'!$C$2:$C$8)</f>
        <v>2000</v>
      </c>
      <c r="H62" s="128">
        <f t="array" ref="H62">XLOOKUP(C62, 'Utility rebates'!$A$2:$A$8, 'Utility rebates'!$D$2:$D$8)</f>
        <v>900</v>
      </c>
      <c r="I62" s="128">
        <f t="array" ref="I62">XLOOKUP(D62, 'Service line costs'!$A$2:$A$12, 'Service line costs'!$D$2:$D$12)</f>
        <v>8722</v>
      </c>
      <c r="J62" s="149">
        <f t="array" ref="J62">XLOOKUP(A62,'Design temperatures'!A:A,'Design temperatures'!B:B)</f>
        <v>7</v>
      </c>
      <c r="K62" s="128" t="str">
        <f t="shared" si="1"/>
        <v>#REF!</v>
      </c>
      <c r="L62" s="128" t="str">
        <f t="shared" si="2"/>
        <v>#REF!</v>
      </c>
      <c r="M62" s="215">
        <f t="array" ref="M62">INDEX('2019 Building Permits Survey'!$C$2:$C$63,MATCH(A62,'2019 Building Permits Survey'!$A$2:$A$63,0))</f>
        <v>0.005099872503</v>
      </c>
    </row>
    <row r="63">
      <c r="A63" s="68" t="s">
        <v>383</v>
      </c>
      <c r="B63" s="73">
        <v>5119.0</v>
      </c>
      <c r="C63" s="7" t="s">
        <v>225</v>
      </c>
      <c r="D63" s="7" t="s">
        <v>377</v>
      </c>
      <c r="E63" s="149">
        <f t="array" ref="E63">INDEX('County zone mapping'!$E$2:$E$63,MATCH(A63,'County zone mapping'!$B$2:$B$63,0))</f>
        <v>6</v>
      </c>
      <c r="F63" s="128">
        <f t="array" ref="F63">XLOOKUP(C63, 'Utility rebates'!$A$2:$A$8, 'Utility rebates'!$B$2:$B$8)</f>
        <v>1200</v>
      </c>
      <c r="G63" s="128">
        <f t="array" ref="G63">XLOOKUP(C63, 'Utility rebates'!$A$2:$A$8, 'Utility rebates'!$C$2:$C$8)</f>
        <v>2500</v>
      </c>
      <c r="H63" s="128">
        <f t="array" ref="H63">XLOOKUP(C63, 'Utility rebates'!$A$2:$A$8, 'Utility rebates'!$D$2:$D$8)</f>
        <v>1000</v>
      </c>
      <c r="J63" s="149">
        <f t="array" ref="J63">XLOOKUP(A63,'Design temperatures'!A:A,'Design temperatures'!B:B)</f>
        <v>-2</v>
      </c>
      <c r="K63" s="128" t="str">
        <f t="shared" si="1"/>
        <v>#REF!</v>
      </c>
      <c r="L63" s="128" t="str">
        <f t="shared" si="2"/>
        <v>#REF!</v>
      </c>
      <c r="M63" s="215">
        <f t="array" ref="M63">INDEX('2019 Building Permits Survey'!$C$2:$C$63,MATCH(A63,'2019 Building Permits Survey'!$A$2:$A$63,0))</f>
        <v>0.00446238844</v>
      </c>
    </row>
    <row r="65">
      <c r="D65" s="27"/>
    </row>
    <row r="66">
      <c r="A66" s="67" t="s">
        <v>6</v>
      </c>
      <c r="D66" s="52"/>
      <c r="F66" s="128">
        <f t="array" ref="F66">SUM(IFS(EQ($E$2:$E$63,4),F$2:F$63,TRUE,0) * $M$2:$M$63)/SUM(IFS(EQ($E$2:$E$63,4),$M$2:$M$63,TRUE,0))</f>
        <v>806.9511567</v>
      </c>
      <c r="G66" s="128">
        <f t="array" ref="G66">SUM(IFS(EQ($E$2:$E$63,4),G$2:G$63,TRUE,0) * $M$2:$M$63)/SUM(IFS(EQ($E$2:$E$63,4),$M$2:$M$63,TRUE,0))</f>
        <v>2523.88164</v>
      </c>
      <c r="H66" s="128">
        <f t="array" ref="H66">SUM(IFS(EQ($E$2:$E$63,4),H$2:H$63,TRUE,0) * $M$2:$M$63)/SUM(IFS(EQ($E$2:$E$63,4),$M$2:$M$63,TRUE,0))</f>
        <v>1132.059646</v>
      </c>
      <c r="I66" s="216">
        <f t="array" ref="I66">SUM(IFS(EQ($E$2:$E$63,4),I$2:I$63,TRUE,0) * $M$2:$M$63)/SUM(IFS(EQ($E$2:$E$63,4),$M$2:$M$63,TRUE,0))</f>
        <v>11883.33597</v>
      </c>
      <c r="J66" s="217">
        <f t="array" ref="J66">SUM(IFS(EQ($E$2:$E$63,4),J$2:J$63,TRUE,0) * $M$2:$M$63)/SUM(IFS(EQ($E$2:$E$63,4),$M$2:$M$63,TRUE,0))</f>
        <v>13.78657968</v>
      </c>
      <c r="M66" s="215">
        <f t="array" ref="M66">SUM(IFS(EQ($E$2:$E$63,4),M$2:M$63,TRUE,0))</f>
        <v>0.2280067998</v>
      </c>
    </row>
    <row r="67">
      <c r="A67" s="67" t="s">
        <v>7</v>
      </c>
      <c r="D67" s="52"/>
      <c r="F67" s="128">
        <f t="array" ref="F67">SUM(IFS(EQ($E$2:$E$63,5),$F$2:$F$63,TRUE,0) * $M$2:$M$63)/SUM(IFS(EQ($E$2:$E$63,5),$M$2:$M$63,TRUE,0))</f>
        <v>964.3452381</v>
      </c>
      <c r="G67" s="128">
        <f t="array" ref="G67">SUM(IFS(EQ($E$2:$E$63,5),$G$2:$G$63,TRUE,0) * $M$2:$M$63)/SUM(IFS(EQ($E$2:$E$63,5),$M$2:$M$63,TRUE,0))</f>
        <v>2094.742063</v>
      </c>
      <c r="H67" s="128">
        <f t="array" ref="H67">SUM(IFS(EQ($E$2:$E$63,5),$H$2:$H$63,TRUE,0) * $M$2:$M$63)/SUM(IFS(EQ($E$2:$E$63,5),$M$2:$M$63,TRUE,0))</f>
        <v>959.1666667</v>
      </c>
      <c r="I67" s="216">
        <f t="array" ref="I67">SUM(IFS(EQ($E$2:$E$63,5),I$2:I$63,TRUE,0) * $M$2:$M$63)/SUM(IFS(EQ($E$2:$E$63,5),$M$2:$M$63,TRUE,0))</f>
        <v>4261.779563</v>
      </c>
      <c r="J67" s="217">
        <f t="array" ref="J67">SUM(IFS(EQ($E$2:$E$63,5),J$2:J$63,TRUE,0) * $M$2:$M$63)/SUM(IFS(EQ($E$2:$E$63,5),$M$2:$M$63,TRUE,0))</f>
        <v>4.487698413</v>
      </c>
      <c r="M67" s="215">
        <f t="array" ref="M67">SUM(IFS(EQ($E$2:$E$63,5),M$2:M$63,TRUE,0))</f>
        <v>0.5354866128</v>
      </c>
    </row>
    <row r="68">
      <c r="A68" s="67" t="s">
        <v>8</v>
      </c>
      <c r="D68" s="52"/>
      <c r="F68" s="128">
        <f t="array" ref="F68">SUM(IFS(EQ($E$2:$E$63,6),$F$2:$F$63,TRUE,0) * $M$2:$M$63)/SUM(IFS(EQ($E$2:$E$63,6),$M$2:$M$63,TRUE,0))</f>
        <v>1045.91195</v>
      </c>
      <c r="G68" s="128">
        <f t="array" ref="G68">SUM(IFS(EQ($E$2:$E$63,6),$G$2:$G$63,TRUE,0) * $M$2:$M$63)/SUM(IFS(EQ($E$2:$E$63,6),$M$2:$M$63,TRUE,0))</f>
        <v>2220.350404</v>
      </c>
      <c r="H68" s="128">
        <f t="array" ref="H68">SUM(IFS(EQ($E$2:$E$63,6),$H$2:$H$63,TRUE,0) * $M$2:$M$63)/SUM(IFS(EQ($E$2:$E$63,6),$M$2:$M$63,TRUE,0))</f>
        <v>958.6253369</v>
      </c>
      <c r="I68" s="216">
        <f t="array" ref="I68">SUM((($E$2:$E$63=6)*(I$2:I$63&lt;&gt;"")) * I$2:I$63 * $M$2:$M$63)/SUM((($E$2:$E$63=6)*(I$2:I$63&lt;&gt;"")) * $M$2:$M$63)</f>
        <v>6401.6641</v>
      </c>
      <c r="J68" s="217">
        <f t="array" ref="J68">SUM(IFS(EQ($E$2:$E$63,6),J$2:J$63,TRUE,0) * $M$2:$M$63)/SUM(IFS(EQ($E$2:$E$63,6),$M$2:$M$63,TRUE,0))</f>
        <v>-1.675202156</v>
      </c>
      <c r="M68" s="215">
        <f t="array" ref="M68">SUM(IFS(EQ($E$2:$E$63,6),M$2:M$63,TRUE,0))</f>
        <v>0.2365065873</v>
      </c>
    </row>
    <row r="69">
      <c r="D69" s="52"/>
    </row>
  </sheetData>
  <hyperlinks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</hyperlinks>
  <drawing r:id="rId64"/>
  <legacyDrawing r:id="rId6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6.0"/>
  </cols>
  <sheetData>
    <row r="1">
      <c r="A1" s="32" t="s">
        <v>308</v>
      </c>
      <c r="B1" s="32" t="s">
        <v>384</v>
      </c>
    </row>
    <row r="2">
      <c r="A2" s="7" t="s">
        <v>334</v>
      </c>
      <c r="B2" s="7">
        <v>1.0</v>
      </c>
    </row>
    <row r="3">
      <c r="A3" s="7" t="s">
        <v>372</v>
      </c>
      <c r="B3" s="7">
        <v>3.0</v>
      </c>
    </row>
    <row r="4">
      <c r="A4" s="7" t="s">
        <v>325</v>
      </c>
      <c r="B4" s="7">
        <v>17.0</v>
      </c>
    </row>
    <row r="5">
      <c r="A5" s="7" t="s">
        <v>339</v>
      </c>
      <c r="B5" s="7">
        <v>4.0</v>
      </c>
    </row>
    <row r="6">
      <c r="A6" s="7" t="s">
        <v>355</v>
      </c>
      <c r="B6" s="7">
        <v>2.0</v>
      </c>
    </row>
    <row r="7">
      <c r="A7" s="7" t="s">
        <v>356</v>
      </c>
      <c r="B7" s="7">
        <v>2.0</v>
      </c>
    </row>
    <row r="8">
      <c r="A8" s="7" t="s">
        <v>343</v>
      </c>
      <c r="B8" s="7">
        <v>3.0</v>
      </c>
    </row>
    <row r="9">
      <c r="A9" s="7" t="s">
        <v>352</v>
      </c>
      <c r="B9" s="7">
        <v>3.0</v>
      </c>
    </row>
    <row r="10">
      <c r="A10" s="7" t="s">
        <v>370</v>
      </c>
      <c r="B10" s="7">
        <v>4.0</v>
      </c>
    </row>
    <row r="11">
      <c r="A11" s="7" t="s">
        <v>354</v>
      </c>
      <c r="B11" s="7">
        <v>-5.0</v>
      </c>
    </row>
    <row r="12">
      <c r="A12" s="7" t="s">
        <v>359</v>
      </c>
      <c r="B12" s="7">
        <v>-3.0</v>
      </c>
    </row>
    <row r="13">
      <c r="A13" s="7" t="s">
        <v>371</v>
      </c>
      <c r="B13" s="7">
        <v>0.0</v>
      </c>
    </row>
    <row r="14">
      <c r="A14" s="7" t="s">
        <v>373</v>
      </c>
      <c r="B14" s="7">
        <v>-4.0</v>
      </c>
    </row>
    <row r="15">
      <c r="A15" s="7" t="s">
        <v>335</v>
      </c>
      <c r="B15" s="7">
        <v>6.0</v>
      </c>
    </row>
    <row r="16">
      <c r="A16" s="7" t="s">
        <v>328</v>
      </c>
      <c r="B16" s="7">
        <v>7.0</v>
      </c>
    </row>
    <row r="17">
      <c r="A17" s="7" t="s">
        <v>376</v>
      </c>
      <c r="B17" s="7">
        <v>-11.0</v>
      </c>
    </row>
    <row r="18">
      <c r="A18" s="7" t="s">
        <v>369</v>
      </c>
      <c r="B18" s="7">
        <v>-11.0</v>
      </c>
    </row>
    <row r="19">
      <c r="A19" s="7" t="s">
        <v>365</v>
      </c>
      <c r="B19" s="7">
        <v>-2.0</v>
      </c>
    </row>
    <row r="20">
      <c r="A20" s="7" t="s">
        <v>364</v>
      </c>
      <c r="B20" s="7">
        <v>5.0</v>
      </c>
    </row>
    <row r="21">
      <c r="A21" s="7" t="s">
        <v>367</v>
      </c>
      <c r="B21" s="7">
        <v>2.0</v>
      </c>
    </row>
    <row r="22">
      <c r="A22" s="7" t="s">
        <v>383</v>
      </c>
      <c r="B22" s="7">
        <v>-2.0</v>
      </c>
    </row>
    <row r="23">
      <c r="A23" s="7" t="s">
        <v>362</v>
      </c>
      <c r="B23" s="7">
        <v>0.0</v>
      </c>
    </row>
    <row r="24">
      <c r="A24" s="7" t="s">
        <v>345</v>
      </c>
      <c r="B24" s="7">
        <v>-6.0</v>
      </c>
    </row>
    <row r="25">
      <c r="A25" s="7" t="s">
        <v>321</v>
      </c>
      <c r="B25" s="7">
        <v>13.0</v>
      </c>
    </row>
    <row r="26">
      <c r="A26" s="7" t="s">
        <v>380</v>
      </c>
      <c r="B26" s="7">
        <v>0.0</v>
      </c>
    </row>
    <row r="27">
      <c r="A27" s="7" t="s">
        <v>360</v>
      </c>
      <c r="B27" s="7">
        <v>6.0</v>
      </c>
    </row>
    <row r="28">
      <c r="A28" s="7" t="s">
        <v>357</v>
      </c>
      <c r="B28" s="7">
        <v>0.0</v>
      </c>
    </row>
    <row r="29">
      <c r="A29" s="7" t="s">
        <v>329</v>
      </c>
      <c r="B29" s="7">
        <v>6.0</v>
      </c>
    </row>
    <row r="30">
      <c r="A30" s="7" t="s">
        <v>366</v>
      </c>
      <c r="B30" s="7">
        <v>-2.0</v>
      </c>
    </row>
    <row r="31">
      <c r="A31" s="7" t="s">
        <v>326</v>
      </c>
      <c r="B31" s="7">
        <v>17.0</v>
      </c>
    </row>
    <row r="32">
      <c r="A32" s="7" t="s">
        <v>323</v>
      </c>
      <c r="B32" s="7">
        <v>13.0</v>
      </c>
    </row>
    <row r="33">
      <c r="A33" s="7" t="s">
        <v>338</v>
      </c>
      <c r="B33" s="7">
        <v>7.0</v>
      </c>
    </row>
    <row r="34">
      <c r="A34" s="7" t="s">
        <v>337</v>
      </c>
      <c r="B34" s="7">
        <v>0.0</v>
      </c>
    </row>
    <row r="35">
      <c r="A35" s="7" t="s">
        <v>331</v>
      </c>
      <c r="B35" s="7">
        <v>3.0</v>
      </c>
    </row>
    <row r="36">
      <c r="A36" s="7" t="s">
        <v>346</v>
      </c>
      <c r="B36" s="7">
        <v>2.0</v>
      </c>
    </row>
    <row r="37">
      <c r="A37" s="7" t="s">
        <v>332</v>
      </c>
      <c r="B37" s="7">
        <v>9.0</v>
      </c>
    </row>
    <row r="38">
      <c r="A38" s="7" t="s">
        <v>375</v>
      </c>
      <c r="B38" s="7">
        <v>5.0</v>
      </c>
    </row>
    <row r="39">
      <c r="A39" s="7" t="s">
        <v>344</v>
      </c>
      <c r="B39" s="7">
        <v>3.0</v>
      </c>
    </row>
    <row r="40">
      <c r="A40" s="7" t="s">
        <v>363</v>
      </c>
      <c r="B40" s="7">
        <v>-4.0</v>
      </c>
    </row>
    <row r="41">
      <c r="A41" s="7" t="s">
        <v>349</v>
      </c>
      <c r="B41" s="7">
        <v>6.0</v>
      </c>
    </row>
    <row r="42">
      <c r="A42" s="7" t="s">
        <v>322</v>
      </c>
      <c r="B42" s="7">
        <v>17.0</v>
      </c>
    </row>
    <row r="43">
      <c r="A43" s="7" t="s">
        <v>341</v>
      </c>
      <c r="B43" s="7">
        <v>1.0</v>
      </c>
    </row>
    <row r="44">
      <c r="A44" s="7" t="s">
        <v>330</v>
      </c>
      <c r="B44" s="7">
        <v>17.0</v>
      </c>
    </row>
    <row r="45">
      <c r="A45" s="7" t="s">
        <v>333</v>
      </c>
      <c r="B45" s="7">
        <v>15.0</v>
      </c>
    </row>
    <row r="46">
      <c r="A46" s="7" t="s">
        <v>347</v>
      </c>
      <c r="B46" s="7">
        <v>-9.0</v>
      </c>
    </row>
    <row r="47">
      <c r="A47" s="7" t="s">
        <v>336</v>
      </c>
      <c r="B47" s="7">
        <v>1.0</v>
      </c>
    </row>
    <row r="48">
      <c r="A48" s="7" t="s">
        <v>342</v>
      </c>
      <c r="B48" s="7">
        <v>1.0</v>
      </c>
    </row>
    <row r="49">
      <c r="A49" s="7" t="s">
        <v>379</v>
      </c>
      <c r="B49" s="7">
        <v>-2.0</v>
      </c>
    </row>
    <row r="50">
      <c r="A50" s="7" t="s">
        <v>382</v>
      </c>
      <c r="B50" s="7">
        <v>7.0</v>
      </c>
    </row>
    <row r="51">
      <c r="A51" s="7" t="s">
        <v>378</v>
      </c>
      <c r="B51" s="7">
        <v>2.0</v>
      </c>
    </row>
    <row r="52">
      <c r="A52" s="7" t="s">
        <v>350</v>
      </c>
      <c r="B52" s="7">
        <v>0.0</v>
      </c>
    </row>
    <row r="53">
      <c r="A53" s="7" t="s">
        <v>324</v>
      </c>
      <c r="B53" s="7">
        <v>10.0</v>
      </c>
    </row>
    <row r="54">
      <c r="A54" s="7" t="s">
        <v>353</v>
      </c>
      <c r="B54" s="7">
        <v>3.0</v>
      </c>
    </row>
    <row r="55">
      <c r="A55" s="7" t="s">
        <v>368</v>
      </c>
      <c r="B55" s="7">
        <v>4.0</v>
      </c>
    </row>
    <row r="56">
      <c r="A56" s="7" t="s">
        <v>348</v>
      </c>
      <c r="B56" s="7">
        <v>0.0</v>
      </c>
    </row>
    <row r="57">
      <c r="A57" s="7" t="s">
        <v>340</v>
      </c>
      <c r="B57" s="7">
        <v>2.0</v>
      </c>
    </row>
    <row r="58">
      <c r="A58" s="7" t="s">
        <v>358</v>
      </c>
      <c r="B58" s="7">
        <v>-3.0</v>
      </c>
    </row>
    <row r="59">
      <c r="A59" s="7" t="s">
        <v>361</v>
      </c>
      <c r="B59" s="7">
        <v>-4.0</v>
      </c>
    </row>
    <row r="60">
      <c r="A60" s="7" t="s">
        <v>351</v>
      </c>
      <c r="B60" s="7">
        <v>2.0</v>
      </c>
    </row>
    <row r="61">
      <c r="A61" s="7" t="s">
        <v>327</v>
      </c>
      <c r="B61" s="7">
        <v>12.0</v>
      </c>
    </row>
    <row r="62">
      <c r="A62" s="7" t="s">
        <v>374</v>
      </c>
      <c r="B62" s="7">
        <v>5.0</v>
      </c>
    </row>
    <row r="63">
      <c r="A63" s="7" t="s">
        <v>381</v>
      </c>
      <c r="B63" s="7">
        <v>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38"/>
    <col customWidth="1" min="2" max="2" width="28.13"/>
    <col customWidth="1" min="3" max="3" width="25.0"/>
  </cols>
  <sheetData>
    <row r="1">
      <c r="A1" s="184" t="s">
        <v>308</v>
      </c>
      <c r="B1" s="184" t="s">
        <v>385</v>
      </c>
      <c r="C1" s="184" t="s">
        <v>386</v>
      </c>
    </row>
    <row r="2">
      <c r="A2" s="7" t="s">
        <v>334</v>
      </c>
      <c r="B2" s="7">
        <v>235.0</v>
      </c>
      <c r="C2" s="215">
        <f t="shared" ref="C2:C63" si="1">B2/SUM($B$2:$B$63)</f>
        <v>0.0249681258</v>
      </c>
    </row>
    <row r="3">
      <c r="A3" s="7" t="s">
        <v>372</v>
      </c>
      <c r="B3" s="7">
        <v>50.0</v>
      </c>
      <c r="C3" s="215">
        <f t="shared" si="1"/>
        <v>0.005312367191</v>
      </c>
    </row>
    <row r="4">
      <c r="A4" s="7" t="s">
        <v>325</v>
      </c>
      <c r="B4" s="7">
        <v>2.0</v>
      </c>
      <c r="C4" s="215">
        <f t="shared" si="1"/>
        <v>0.0002124946876</v>
      </c>
    </row>
    <row r="5">
      <c r="A5" s="7" t="s">
        <v>339</v>
      </c>
      <c r="B5" s="7">
        <v>38.0</v>
      </c>
      <c r="C5" s="215">
        <f t="shared" si="1"/>
        <v>0.004037399065</v>
      </c>
    </row>
    <row r="6">
      <c r="A6" s="7" t="s">
        <v>355</v>
      </c>
      <c r="B6" s="7">
        <v>79.0</v>
      </c>
      <c r="C6" s="215">
        <f t="shared" si="1"/>
        <v>0.008393540161</v>
      </c>
    </row>
    <row r="7">
      <c r="A7" s="7" t="s">
        <v>356</v>
      </c>
      <c r="B7" s="7">
        <v>120.0</v>
      </c>
      <c r="C7" s="215">
        <f t="shared" si="1"/>
        <v>0.01274968126</v>
      </c>
    </row>
    <row r="8">
      <c r="A8" s="7" t="s">
        <v>343</v>
      </c>
      <c r="B8" s="7">
        <v>105.0</v>
      </c>
      <c r="C8" s="215">
        <f t="shared" si="1"/>
        <v>0.0111559711</v>
      </c>
    </row>
    <row r="9">
      <c r="A9" s="7" t="s">
        <v>352</v>
      </c>
      <c r="B9" s="7">
        <v>24.0</v>
      </c>
      <c r="C9" s="215">
        <f t="shared" si="1"/>
        <v>0.002549936252</v>
      </c>
    </row>
    <row r="10">
      <c r="A10" s="7" t="s">
        <v>370</v>
      </c>
      <c r="B10" s="7">
        <v>35.0</v>
      </c>
      <c r="C10" s="215">
        <f t="shared" si="1"/>
        <v>0.003718657034</v>
      </c>
    </row>
    <row r="11">
      <c r="A11" s="7" t="s">
        <v>354</v>
      </c>
      <c r="B11" s="7">
        <v>80.0</v>
      </c>
      <c r="C11" s="215">
        <f t="shared" si="1"/>
        <v>0.008499787505</v>
      </c>
    </row>
    <row r="12">
      <c r="A12" s="7" t="s">
        <v>359</v>
      </c>
      <c r="B12" s="7">
        <v>73.0</v>
      </c>
      <c r="C12" s="215">
        <f t="shared" si="1"/>
        <v>0.007756056099</v>
      </c>
    </row>
    <row r="13">
      <c r="A13" s="7" t="s">
        <v>371</v>
      </c>
      <c r="B13" s="7">
        <v>24.0</v>
      </c>
      <c r="C13" s="215">
        <f t="shared" si="1"/>
        <v>0.002549936252</v>
      </c>
    </row>
    <row r="14">
      <c r="A14" s="7" t="s">
        <v>373</v>
      </c>
      <c r="B14" s="7">
        <v>68.0</v>
      </c>
      <c r="C14" s="215">
        <f t="shared" si="1"/>
        <v>0.00722481938</v>
      </c>
    </row>
    <row r="15">
      <c r="A15" s="7" t="s">
        <v>335</v>
      </c>
      <c r="B15" s="7">
        <v>284.0</v>
      </c>
      <c r="C15" s="215">
        <f t="shared" si="1"/>
        <v>0.03017424564</v>
      </c>
    </row>
    <row r="16">
      <c r="A16" s="7" t="s">
        <v>328</v>
      </c>
      <c r="B16" s="7">
        <v>756.0</v>
      </c>
      <c r="C16" s="215">
        <f t="shared" si="1"/>
        <v>0.08032299193</v>
      </c>
    </row>
    <row r="17">
      <c r="A17" s="7" t="s">
        <v>376</v>
      </c>
      <c r="B17" s="7">
        <v>106.0</v>
      </c>
      <c r="C17" s="215">
        <f t="shared" si="1"/>
        <v>0.01126221844</v>
      </c>
    </row>
    <row r="18">
      <c r="A18" s="7" t="s">
        <v>369</v>
      </c>
      <c r="B18" s="7">
        <v>92.0</v>
      </c>
      <c r="C18" s="215">
        <f t="shared" si="1"/>
        <v>0.009774755631</v>
      </c>
    </row>
    <row r="19">
      <c r="A19" s="7" t="s">
        <v>365</v>
      </c>
      <c r="B19" s="7">
        <v>53.0</v>
      </c>
      <c r="C19" s="215">
        <f t="shared" si="1"/>
        <v>0.005631109222</v>
      </c>
    </row>
    <row r="20">
      <c r="A20" s="7" t="s">
        <v>364</v>
      </c>
      <c r="B20" s="7">
        <v>49.0</v>
      </c>
      <c r="C20" s="215">
        <f t="shared" si="1"/>
        <v>0.005206119847</v>
      </c>
    </row>
    <row r="21">
      <c r="A21" s="7" t="s">
        <v>367</v>
      </c>
      <c r="B21" s="7">
        <v>62.0</v>
      </c>
      <c r="C21" s="215">
        <f t="shared" si="1"/>
        <v>0.006587335317</v>
      </c>
    </row>
    <row r="22">
      <c r="A22" s="7" t="s">
        <v>383</v>
      </c>
      <c r="B22" s="7">
        <v>42.0</v>
      </c>
      <c r="C22" s="215">
        <f t="shared" si="1"/>
        <v>0.00446238844</v>
      </c>
    </row>
    <row r="23">
      <c r="A23" s="7" t="s">
        <v>362</v>
      </c>
      <c r="B23" s="7">
        <v>65.0</v>
      </c>
      <c r="C23" s="215">
        <f t="shared" si="1"/>
        <v>0.006906077348</v>
      </c>
    </row>
    <row r="24">
      <c r="A24" s="7" t="s">
        <v>345</v>
      </c>
      <c r="B24" s="7">
        <v>138.0</v>
      </c>
      <c r="C24" s="215">
        <f t="shared" si="1"/>
        <v>0.01466213345</v>
      </c>
    </row>
    <row r="25">
      <c r="A25" s="7" t="s">
        <v>321</v>
      </c>
      <c r="B25" s="7">
        <v>35.0</v>
      </c>
      <c r="C25" s="215">
        <f t="shared" si="1"/>
        <v>0.003718657034</v>
      </c>
    </row>
    <row r="26">
      <c r="A26" s="7" t="s">
        <v>380</v>
      </c>
      <c r="B26" s="7">
        <v>50.0</v>
      </c>
      <c r="C26" s="215">
        <f t="shared" si="1"/>
        <v>0.005312367191</v>
      </c>
    </row>
    <row r="27">
      <c r="A27" s="7" t="s">
        <v>360</v>
      </c>
      <c r="B27" s="7">
        <v>58.0</v>
      </c>
      <c r="C27" s="215">
        <f t="shared" si="1"/>
        <v>0.006162345941</v>
      </c>
    </row>
    <row r="28">
      <c r="A28" s="7" t="s">
        <v>357</v>
      </c>
      <c r="B28" s="7">
        <v>71.0</v>
      </c>
      <c r="C28" s="215">
        <f t="shared" si="1"/>
        <v>0.007543561411</v>
      </c>
    </row>
    <row r="29">
      <c r="A29" s="7" t="s">
        <v>329</v>
      </c>
      <c r="B29" s="7">
        <v>627.0</v>
      </c>
      <c r="C29" s="215">
        <f t="shared" si="1"/>
        <v>0.06661708457</v>
      </c>
    </row>
    <row r="30">
      <c r="A30" s="7" t="s">
        <v>366</v>
      </c>
      <c r="B30" s="7">
        <v>41.0</v>
      </c>
      <c r="C30" s="215">
        <f t="shared" si="1"/>
        <v>0.004356141096</v>
      </c>
    </row>
    <row r="31">
      <c r="A31" s="7" t="s">
        <v>326</v>
      </c>
      <c r="B31" s="7">
        <v>736.0</v>
      </c>
      <c r="C31" s="215">
        <f t="shared" si="1"/>
        <v>0.07819804505</v>
      </c>
    </row>
    <row r="32">
      <c r="A32" s="7" t="s">
        <v>323</v>
      </c>
      <c r="B32" s="7">
        <v>1.0</v>
      </c>
      <c r="C32" s="215">
        <f t="shared" si="1"/>
        <v>0.0001062473438</v>
      </c>
    </row>
    <row r="33">
      <c r="A33" s="7" t="s">
        <v>338</v>
      </c>
      <c r="B33" s="7">
        <v>156.0</v>
      </c>
      <c r="C33" s="215">
        <f t="shared" si="1"/>
        <v>0.01657458564</v>
      </c>
    </row>
    <row r="34">
      <c r="A34" s="7" t="s">
        <v>337</v>
      </c>
      <c r="B34" s="7">
        <v>134.0</v>
      </c>
      <c r="C34" s="215">
        <f t="shared" si="1"/>
        <v>0.01423714407</v>
      </c>
    </row>
    <row r="35">
      <c r="A35" s="7" t="s">
        <v>331</v>
      </c>
      <c r="B35" s="7">
        <v>323.0</v>
      </c>
      <c r="C35" s="215">
        <f t="shared" si="1"/>
        <v>0.03431789205</v>
      </c>
    </row>
    <row r="36">
      <c r="A36" s="7" t="s">
        <v>346</v>
      </c>
      <c r="B36" s="7">
        <v>241.0</v>
      </c>
      <c r="C36" s="215">
        <f t="shared" si="1"/>
        <v>0.02560560986</v>
      </c>
    </row>
    <row r="37">
      <c r="A37" s="7" t="s">
        <v>332</v>
      </c>
      <c r="B37" s="7">
        <v>512.0</v>
      </c>
      <c r="C37" s="215">
        <f t="shared" si="1"/>
        <v>0.05439864003</v>
      </c>
    </row>
    <row r="38">
      <c r="A38" s="7" t="s">
        <v>375</v>
      </c>
      <c r="B38" s="7">
        <v>19.0</v>
      </c>
      <c r="C38" s="215">
        <f t="shared" si="1"/>
        <v>0.002018699533</v>
      </c>
    </row>
    <row r="39">
      <c r="A39" s="7" t="s">
        <v>344</v>
      </c>
      <c r="B39" s="7">
        <v>144.0</v>
      </c>
      <c r="C39" s="215">
        <f t="shared" si="1"/>
        <v>0.01529961751</v>
      </c>
    </row>
    <row r="40">
      <c r="A40" s="7" t="s">
        <v>363</v>
      </c>
      <c r="B40" s="7">
        <v>48.0</v>
      </c>
      <c r="C40" s="215">
        <f t="shared" si="1"/>
        <v>0.005099872503</v>
      </c>
    </row>
    <row r="41">
      <c r="A41" s="7" t="s">
        <v>349</v>
      </c>
      <c r="B41" s="7">
        <v>36.0</v>
      </c>
      <c r="C41" s="215">
        <f t="shared" si="1"/>
        <v>0.003824904377</v>
      </c>
    </row>
    <row r="42">
      <c r="A42" s="7" t="s">
        <v>322</v>
      </c>
      <c r="B42" s="7">
        <v>94.0</v>
      </c>
      <c r="C42" s="215">
        <f t="shared" si="1"/>
        <v>0.009987250319</v>
      </c>
    </row>
    <row r="43">
      <c r="A43" s="7" t="s">
        <v>341</v>
      </c>
      <c r="B43" s="7">
        <v>101.0</v>
      </c>
      <c r="C43" s="215">
        <f t="shared" si="1"/>
        <v>0.01073098173</v>
      </c>
    </row>
    <row r="44">
      <c r="A44" s="7" t="s">
        <v>330</v>
      </c>
      <c r="B44" s="7">
        <v>200.0</v>
      </c>
      <c r="C44" s="215">
        <f t="shared" si="1"/>
        <v>0.02124946876</v>
      </c>
    </row>
    <row r="45">
      <c r="A45" s="7" t="s">
        <v>333</v>
      </c>
      <c r="B45" s="7">
        <v>87.0</v>
      </c>
      <c r="C45" s="215">
        <f t="shared" si="1"/>
        <v>0.009243518912</v>
      </c>
    </row>
    <row r="46">
      <c r="A46" s="7" t="s">
        <v>347</v>
      </c>
      <c r="B46" s="7">
        <v>149.0</v>
      </c>
      <c r="C46" s="215">
        <f t="shared" si="1"/>
        <v>0.01583085423</v>
      </c>
    </row>
    <row r="47">
      <c r="A47" s="7" t="s">
        <v>336</v>
      </c>
      <c r="B47" s="7">
        <v>678.0</v>
      </c>
      <c r="C47" s="215">
        <f t="shared" si="1"/>
        <v>0.07203569911</v>
      </c>
    </row>
    <row r="48">
      <c r="A48" s="7" t="s">
        <v>342</v>
      </c>
      <c r="B48" s="7">
        <v>79.0</v>
      </c>
      <c r="C48" s="215">
        <f t="shared" si="1"/>
        <v>0.008393540161</v>
      </c>
    </row>
    <row r="49">
      <c r="A49" s="7" t="s">
        <v>379</v>
      </c>
      <c r="B49" s="7">
        <v>27.0</v>
      </c>
      <c r="C49" s="215">
        <f t="shared" si="1"/>
        <v>0.002868678283</v>
      </c>
    </row>
    <row r="50">
      <c r="A50" s="7" t="s">
        <v>382</v>
      </c>
      <c r="B50" s="7">
        <v>48.0</v>
      </c>
      <c r="C50" s="215">
        <f t="shared" si="1"/>
        <v>0.005099872503</v>
      </c>
    </row>
    <row r="51">
      <c r="A51" s="7" t="s">
        <v>378</v>
      </c>
      <c r="B51" s="7">
        <v>48.0</v>
      </c>
      <c r="C51" s="215">
        <f t="shared" si="1"/>
        <v>0.005099872503</v>
      </c>
    </row>
    <row r="52">
      <c r="A52" s="7" t="s">
        <v>350</v>
      </c>
      <c r="B52" s="7">
        <v>83.0</v>
      </c>
      <c r="C52" s="215">
        <f t="shared" si="1"/>
        <v>0.008818529537</v>
      </c>
    </row>
    <row r="53">
      <c r="A53" s="7" t="s">
        <v>324</v>
      </c>
      <c r="B53" s="7">
        <v>681.0</v>
      </c>
      <c r="C53" s="215">
        <f t="shared" si="1"/>
        <v>0.07235444114</v>
      </c>
    </row>
    <row r="54">
      <c r="A54" s="7" t="s">
        <v>353</v>
      </c>
      <c r="B54" s="7">
        <v>194.0</v>
      </c>
      <c r="C54" s="215">
        <f t="shared" si="1"/>
        <v>0.0206119847</v>
      </c>
    </row>
    <row r="55">
      <c r="A55" s="7" t="s">
        <v>368</v>
      </c>
      <c r="B55" s="7">
        <v>26.0</v>
      </c>
      <c r="C55" s="215">
        <f t="shared" si="1"/>
        <v>0.002762430939</v>
      </c>
    </row>
    <row r="56">
      <c r="A56" s="7" t="s">
        <v>348</v>
      </c>
      <c r="B56" s="7">
        <v>87.0</v>
      </c>
      <c r="C56" s="215">
        <f t="shared" si="1"/>
        <v>0.009243518912</v>
      </c>
    </row>
    <row r="57">
      <c r="A57" s="7" t="s">
        <v>340</v>
      </c>
      <c r="B57" s="7">
        <v>188.0</v>
      </c>
      <c r="C57" s="215">
        <f t="shared" si="1"/>
        <v>0.01997450064</v>
      </c>
    </row>
    <row r="58">
      <c r="A58" s="7" t="s">
        <v>358</v>
      </c>
      <c r="B58" s="7">
        <v>141.0</v>
      </c>
      <c r="C58" s="215">
        <f t="shared" si="1"/>
        <v>0.01498087548</v>
      </c>
    </row>
    <row r="59">
      <c r="A59" s="7" t="s">
        <v>361</v>
      </c>
      <c r="B59" s="7">
        <v>88.0</v>
      </c>
      <c r="C59" s="215">
        <f t="shared" si="1"/>
        <v>0.009349766256</v>
      </c>
    </row>
    <row r="60">
      <c r="A60" s="7" t="s">
        <v>351</v>
      </c>
      <c r="B60" s="7">
        <v>86.0</v>
      </c>
      <c r="C60" s="215">
        <f t="shared" si="1"/>
        <v>0.009137271568</v>
      </c>
    </row>
    <row r="61">
      <c r="A61" s="7" t="s">
        <v>327</v>
      </c>
      <c r="B61" s="7">
        <v>397.0</v>
      </c>
      <c r="C61" s="215">
        <f t="shared" si="1"/>
        <v>0.0421801955</v>
      </c>
    </row>
    <row r="62">
      <c r="A62" s="7" t="s">
        <v>374</v>
      </c>
      <c r="B62" s="7">
        <v>33.0</v>
      </c>
      <c r="C62" s="215">
        <f t="shared" si="1"/>
        <v>0.003506162346</v>
      </c>
    </row>
    <row r="63">
      <c r="A63" s="7" t="s">
        <v>381</v>
      </c>
      <c r="B63" s="7">
        <v>85.0</v>
      </c>
      <c r="C63" s="215">
        <f t="shared" si="1"/>
        <v>0.009031024224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5.5"/>
  </cols>
  <sheetData>
    <row r="1">
      <c r="A1" s="214" t="s">
        <v>387</v>
      </c>
      <c r="B1" s="214" t="s">
        <v>388</v>
      </c>
      <c r="C1" s="214" t="s">
        <v>389</v>
      </c>
      <c r="D1" s="214" t="s">
        <v>390</v>
      </c>
      <c r="E1" s="214" t="s">
        <v>391</v>
      </c>
    </row>
    <row r="2">
      <c r="A2" s="67" t="s">
        <v>392</v>
      </c>
      <c r="B2" s="67" t="str">
        <f t="shared" ref="B2:B63" si="1">A2&amp;" County"</f>
        <v>Albany County</v>
      </c>
      <c r="C2" s="67" t="s">
        <v>393</v>
      </c>
      <c r="D2" s="67" t="s">
        <v>394</v>
      </c>
      <c r="E2" s="67">
        <v>5.0</v>
      </c>
    </row>
    <row r="3">
      <c r="A3" s="67" t="s">
        <v>395</v>
      </c>
      <c r="B3" s="67" t="str">
        <f t="shared" si="1"/>
        <v>Allegany County</v>
      </c>
      <c r="C3" s="67" t="s">
        <v>396</v>
      </c>
      <c r="D3" s="67" t="s">
        <v>397</v>
      </c>
      <c r="E3" s="67">
        <v>6.0</v>
      </c>
    </row>
    <row r="4">
      <c r="A4" s="67" t="s">
        <v>398</v>
      </c>
      <c r="B4" s="67" t="str">
        <f t="shared" si="1"/>
        <v>Bronx County</v>
      </c>
      <c r="C4" s="67" t="s">
        <v>399</v>
      </c>
      <c r="D4" s="67" t="s">
        <v>400</v>
      </c>
      <c r="E4" s="67">
        <v>4.0</v>
      </c>
    </row>
    <row r="5">
      <c r="A5" s="67" t="s">
        <v>401</v>
      </c>
      <c r="B5" s="67" t="str">
        <f t="shared" si="1"/>
        <v>Broome County</v>
      </c>
      <c r="C5" s="67" t="s">
        <v>402</v>
      </c>
      <c r="D5" s="67" t="s">
        <v>397</v>
      </c>
      <c r="E5" s="67">
        <v>6.0</v>
      </c>
    </row>
    <row r="6">
      <c r="A6" s="67" t="s">
        <v>403</v>
      </c>
      <c r="B6" s="67" t="str">
        <f t="shared" si="1"/>
        <v>Cattaraugus County</v>
      </c>
      <c r="C6" s="67" t="s">
        <v>404</v>
      </c>
      <c r="D6" s="67" t="s">
        <v>397</v>
      </c>
      <c r="E6" s="67">
        <v>6.0</v>
      </c>
    </row>
    <row r="7">
      <c r="A7" s="67" t="s">
        <v>405</v>
      </c>
      <c r="B7" s="67" t="str">
        <f t="shared" si="1"/>
        <v>Cayuga County</v>
      </c>
      <c r="C7" s="67" t="s">
        <v>402</v>
      </c>
      <c r="D7" s="67" t="s">
        <v>397</v>
      </c>
      <c r="E7" s="67">
        <v>5.0</v>
      </c>
    </row>
    <row r="8">
      <c r="A8" s="67" t="s">
        <v>406</v>
      </c>
      <c r="B8" s="67" t="str">
        <f t="shared" si="1"/>
        <v>Chautauqua County</v>
      </c>
      <c r="C8" s="67" t="s">
        <v>404</v>
      </c>
      <c r="D8" s="67" t="s">
        <v>397</v>
      </c>
      <c r="E8" s="67">
        <v>5.0</v>
      </c>
    </row>
    <row r="9">
      <c r="A9" s="67" t="s">
        <v>407</v>
      </c>
      <c r="B9" s="67" t="str">
        <f t="shared" si="1"/>
        <v>Chemung County</v>
      </c>
      <c r="C9" s="67" t="s">
        <v>402</v>
      </c>
      <c r="D9" s="67" t="s">
        <v>397</v>
      </c>
      <c r="E9" s="67">
        <v>5.0</v>
      </c>
    </row>
    <row r="10">
      <c r="A10" s="67" t="s">
        <v>408</v>
      </c>
      <c r="B10" s="67" t="str">
        <f t="shared" si="1"/>
        <v>Chenango County</v>
      </c>
      <c r="C10" s="67" t="s">
        <v>409</v>
      </c>
      <c r="D10" s="67" t="s">
        <v>397</v>
      </c>
      <c r="E10" s="67">
        <v>6.0</v>
      </c>
    </row>
    <row r="11">
      <c r="A11" s="67" t="s">
        <v>410</v>
      </c>
      <c r="B11" s="67" t="str">
        <f t="shared" si="1"/>
        <v>Clinton County</v>
      </c>
      <c r="C11" s="67" t="s">
        <v>411</v>
      </c>
      <c r="D11" s="67" t="s">
        <v>397</v>
      </c>
      <c r="E11" s="67">
        <v>6.0</v>
      </c>
    </row>
    <row r="12">
      <c r="A12" s="67" t="s">
        <v>412</v>
      </c>
      <c r="B12" s="67" t="str">
        <f t="shared" si="1"/>
        <v>Columbia County</v>
      </c>
      <c r="C12" s="67" t="s">
        <v>393</v>
      </c>
      <c r="D12" s="67" t="s">
        <v>394</v>
      </c>
      <c r="E12" s="67">
        <v>5.0</v>
      </c>
    </row>
    <row r="13">
      <c r="A13" s="67" t="s">
        <v>413</v>
      </c>
      <c r="B13" s="67" t="str">
        <f t="shared" si="1"/>
        <v>Cortland County</v>
      </c>
      <c r="C13" s="67" t="s">
        <v>402</v>
      </c>
      <c r="D13" s="67" t="s">
        <v>397</v>
      </c>
      <c r="E13" s="67">
        <v>5.0</v>
      </c>
    </row>
    <row r="14">
      <c r="A14" s="67" t="s">
        <v>414</v>
      </c>
      <c r="B14" s="67" t="str">
        <f t="shared" si="1"/>
        <v>Delaware County</v>
      </c>
      <c r="C14" s="67" t="s">
        <v>409</v>
      </c>
      <c r="D14" s="67" t="s">
        <v>397</v>
      </c>
      <c r="E14" s="67">
        <v>6.0</v>
      </c>
    </row>
    <row r="15">
      <c r="A15" s="67" t="s">
        <v>415</v>
      </c>
      <c r="B15" s="67" t="str">
        <f t="shared" si="1"/>
        <v>Dutchess County</v>
      </c>
      <c r="C15" s="67" t="s">
        <v>416</v>
      </c>
      <c r="D15" s="67" t="s">
        <v>417</v>
      </c>
      <c r="E15" s="67">
        <v>5.0</v>
      </c>
    </row>
    <row r="16">
      <c r="A16" s="67" t="s">
        <v>418</v>
      </c>
      <c r="B16" s="67" t="str">
        <f t="shared" si="1"/>
        <v>Erie County</v>
      </c>
      <c r="C16" s="67" t="s">
        <v>404</v>
      </c>
      <c r="D16" s="67" t="s">
        <v>397</v>
      </c>
      <c r="E16" s="67">
        <v>5.0</v>
      </c>
    </row>
    <row r="17">
      <c r="A17" s="67" t="s">
        <v>419</v>
      </c>
      <c r="B17" s="67" t="str">
        <f t="shared" si="1"/>
        <v>Essex County</v>
      </c>
      <c r="C17" s="67" t="s">
        <v>393</v>
      </c>
      <c r="D17" s="67" t="s">
        <v>394</v>
      </c>
      <c r="E17" s="67">
        <v>6.0</v>
      </c>
    </row>
    <row r="18">
      <c r="A18" s="67" t="s">
        <v>420</v>
      </c>
      <c r="B18" s="67" t="str">
        <f t="shared" si="1"/>
        <v>Franklin County</v>
      </c>
      <c r="C18" s="67" t="s">
        <v>409</v>
      </c>
      <c r="D18" s="67" t="s">
        <v>397</v>
      </c>
      <c r="E18" s="67">
        <v>6.0</v>
      </c>
    </row>
    <row r="19">
      <c r="A19" s="67" t="s">
        <v>421</v>
      </c>
      <c r="B19" s="67" t="str">
        <f t="shared" si="1"/>
        <v>Fulton County</v>
      </c>
      <c r="C19" s="67" t="s">
        <v>393</v>
      </c>
      <c r="D19" s="67" t="s">
        <v>394</v>
      </c>
      <c r="E19" s="67">
        <v>6.0</v>
      </c>
    </row>
    <row r="20">
      <c r="A20" s="67" t="s">
        <v>422</v>
      </c>
      <c r="B20" s="67" t="str">
        <f t="shared" si="1"/>
        <v>Genesee County</v>
      </c>
      <c r="C20" s="67" t="s">
        <v>404</v>
      </c>
      <c r="D20" s="67" t="s">
        <v>397</v>
      </c>
      <c r="E20" s="67">
        <v>5.0</v>
      </c>
    </row>
    <row r="21">
      <c r="A21" s="67" t="s">
        <v>423</v>
      </c>
      <c r="B21" s="67" t="str">
        <f t="shared" si="1"/>
        <v>Greene County</v>
      </c>
      <c r="C21" s="67" t="s">
        <v>416</v>
      </c>
      <c r="D21" s="67" t="s">
        <v>417</v>
      </c>
      <c r="E21" s="67">
        <v>5.0</v>
      </c>
    </row>
    <row r="22">
      <c r="A22" s="67" t="s">
        <v>424</v>
      </c>
      <c r="B22" s="67" t="str">
        <f t="shared" si="1"/>
        <v>Hamilton County</v>
      </c>
      <c r="C22" s="67" t="s">
        <v>393</v>
      </c>
      <c r="D22" s="67" t="s">
        <v>394</v>
      </c>
      <c r="E22" s="67">
        <v>6.0</v>
      </c>
    </row>
    <row r="23">
      <c r="A23" s="67" t="s">
        <v>425</v>
      </c>
      <c r="B23" s="67" t="str">
        <f t="shared" si="1"/>
        <v>Herkimer County</v>
      </c>
      <c r="C23" s="67" t="s">
        <v>409</v>
      </c>
      <c r="D23" s="67" t="s">
        <v>397</v>
      </c>
      <c r="E23" s="67">
        <v>6.0</v>
      </c>
    </row>
    <row r="24">
      <c r="A24" s="67" t="s">
        <v>426</v>
      </c>
      <c r="B24" s="67" t="str">
        <f t="shared" si="1"/>
        <v>Jefferson County</v>
      </c>
      <c r="C24" s="67" t="s">
        <v>409</v>
      </c>
      <c r="D24" s="67" t="s">
        <v>397</v>
      </c>
      <c r="E24" s="67">
        <v>6.0</v>
      </c>
    </row>
    <row r="25">
      <c r="A25" s="67" t="s">
        <v>427</v>
      </c>
      <c r="B25" s="67" t="str">
        <f t="shared" si="1"/>
        <v>Kings County</v>
      </c>
      <c r="C25" s="67" t="s">
        <v>399</v>
      </c>
      <c r="D25" s="67" t="s">
        <v>400</v>
      </c>
      <c r="E25" s="67">
        <v>4.0</v>
      </c>
    </row>
    <row r="26">
      <c r="A26" s="67" t="s">
        <v>428</v>
      </c>
      <c r="B26" s="67" t="str">
        <f t="shared" si="1"/>
        <v>Lewis County</v>
      </c>
      <c r="C26" s="67" t="s">
        <v>409</v>
      </c>
      <c r="D26" s="67" t="s">
        <v>397</v>
      </c>
      <c r="E26" s="67">
        <v>6.0</v>
      </c>
    </row>
    <row r="27">
      <c r="A27" s="67" t="s">
        <v>429</v>
      </c>
      <c r="B27" s="67" t="str">
        <f t="shared" si="1"/>
        <v>Livingston County</v>
      </c>
      <c r="C27" s="67" t="s">
        <v>404</v>
      </c>
      <c r="D27" s="67" t="s">
        <v>397</v>
      </c>
      <c r="E27" s="67">
        <v>5.0</v>
      </c>
    </row>
    <row r="28">
      <c r="A28" s="67" t="s">
        <v>430</v>
      </c>
      <c r="B28" s="67" t="str">
        <f t="shared" si="1"/>
        <v>Madison County</v>
      </c>
      <c r="C28" s="67" t="s">
        <v>409</v>
      </c>
      <c r="D28" s="67" t="s">
        <v>397</v>
      </c>
      <c r="E28" s="67">
        <v>6.0</v>
      </c>
    </row>
    <row r="29">
      <c r="A29" s="67" t="s">
        <v>431</v>
      </c>
      <c r="B29" s="67" t="str">
        <f t="shared" si="1"/>
        <v>Monroe County</v>
      </c>
      <c r="C29" s="67" t="s">
        <v>396</v>
      </c>
      <c r="D29" s="67" t="s">
        <v>397</v>
      </c>
      <c r="E29" s="67">
        <v>5.0</v>
      </c>
    </row>
    <row r="30">
      <c r="A30" s="67" t="s">
        <v>432</v>
      </c>
      <c r="B30" s="67" t="str">
        <f t="shared" si="1"/>
        <v>Montgomery County</v>
      </c>
      <c r="C30" s="67" t="s">
        <v>393</v>
      </c>
      <c r="D30" s="67" t="s">
        <v>394</v>
      </c>
      <c r="E30" s="67">
        <v>6.0</v>
      </c>
    </row>
    <row r="31">
      <c r="A31" s="67" t="s">
        <v>433</v>
      </c>
      <c r="B31" s="67" t="str">
        <f t="shared" si="1"/>
        <v>Nassau County</v>
      </c>
      <c r="C31" s="67" t="s">
        <v>434</v>
      </c>
      <c r="D31" s="67" t="s">
        <v>435</v>
      </c>
      <c r="E31" s="67">
        <v>4.0</v>
      </c>
    </row>
    <row r="32">
      <c r="A32" s="67" t="s">
        <v>436</v>
      </c>
      <c r="B32" s="67" t="str">
        <f t="shared" si="1"/>
        <v>New York County</v>
      </c>
      <c r="C32" s="67" t="s">
        <v>399</v>
      </c>
      <c r="D32" s="67" t="s">
        <v>400</v>
      </c>
      <c r="E32" s="67">
        <v>4.0</v>
      </c>
    </row>
    <row r="33">
      <c r="A33" s="67" t="s">
        <v>437</v>
      </c>
      <c r="B33" s="67" t="str">
        <f t="shared" si="1"/>
        <v>Niagara County</v>
      </c>
      <c r="C33" s="67" t="s">
        <v>404</v>
      </c>
      <c r="D33" s="67" t="s">
        <v>397</v>
      </c>
      <c r="E33" s="67">
        <v>5.0</v>
      </c>
    </row>
    <row r="34">
      <c r="A34" s="67" t="s">
        <v>438</v>
      </c>
      <c r="B34" s="67" t="str">
        <f t="shared" si="1"/>
        <v>Oneida County</v>
      </c>
      <c r="C34" s="67" t="s">
        <v>409</v>
      </c>
      <c r="D34" s="67" t="s">
        <v>397</v>
      </c>
      <c r="E34" s="67">
        <v>6.0</v>
      </c>
    </row>
    <row r="35">
      <c r="A35" s="67" t="s">
        <v>439</v>
      </c>
      <c r="B35" s="67" t="str">
        <f t="shared" si="1"/>
        <v>Onondaga County</v>
      </c>
      <c r="C35" s="67" t="s">
        <v>402</v>
      </c>
      <c r="D35" s="67" t="s">
        <v>397</v>
      </c>
      <c r="E35" s="67">
        <v>5.0</v>
      </c>
    </row>
    <row r="36">
      <c r="A36" s="67" t="s">
        <v>440</v>
      </c>
      <c r="B36" s="67" t="str">
        <f t="shared" si="1"/>
        <v>Ontario County</v>
      </c>
      <c r="C36" s="67" t="s">
        <v>396</v>
      </c>
      <c r="D36" s="67" t="s">
        <v>397</v>
      </c>
      <c r="E36" s="67">
        <v>5.0</v>
      </c>
    </row>
    <row r="37">
      <c r="A37" s="67" t="s">
        <v>441</v>
      </c>
      <c r="B37" s="67" t="str">
        <f t="shared" si="1"/>
        <v>Orange County</v>
      </c>
      <c r="C37" s="67" t="s">
        <v>416</v>
      </c>
      <c r="D37" s="67" t="s">
        <v>417</v>
      </c>
      <c r="E37" s="67">
        <v>5.0</v>
      </c>
    </row>
    <row r="38">
      <c r="A38" s="67" t="s">
        <v>442</v>
      </c>
      <c r="B38" s="67" t="str">
        <f t="shared" si="1"/>
        <v>Orleans County</v>
      </c>
      <c r="C38" s="67" t="s">
        <v>404</v>
      </c>
      <c r="D38" s="67" t="s">
        <v>397</v>
      </c>
      <c r="E38" s="67">
        <v>5.0</v>
      </c>
    </row>
    <row r="39">
      <c r="A39" s="67" t="s">
        <v>443</v>
      </c>
      <c r="B39" s="67" t="str">
        <f t="shared" si="1"/>
        <v>Oswego County</v>
      </c>
      <c r="C39" s="67" t="s">
        <v>402</v>
      </c>
      <c r="D39" s="67" t="s">
        <v>397</v>
      </c>
      <c r="E39" s="67">
        <v>5.0</v>
      </c>
    </row>
    <row r="40">
      <c r="A40" s="67" t="s">
        <v>444</v>
      </c>
      <c r="B40" s="67" t="str">
        <f t="shared" si="1"/>
        <v>Otsego County</v>
      </c>
      <c r="C40" s="67" t="s">
        <v>409</v>
      </c>
      <c r="D40" s="67" t="s">
        <v>397</v>
      </c>
      <c r="E40" s="67">
        <v>6.0</v>
      </c>
    </row>
    <row r="41">
      <c r="A41" s="67" t="s">
        <v>445</v>
      </c>
      <c r="B41" s="67" t="str">
        <f t="shared" si="1"/>
        <v>Putnam County</v>
      </c>
      <c r="C41" s="67" t="s">
        <v>416</v>
      </c>
      <c r="D41" s="67" t="s">
        <v>417</v>
      </c>
      <c r="E41" s="67">
        <v>5.0</v>
      </c>
    </row>
    <row r="42">
      <c r="A42" s="67" t="s">
        <v>446</v>
      </c>
      <c r="B42" s="67" t="str">
        <f t="shared" si="1"/>
        <v>Queens County</v>
      </c>
      <c r="C42" s="67" t="s">
        <v>399</v>
      </c>
      <c r="D42" s="67" t="s">
        <v>400</v>
      </c>
      <c r="E42" s="67">
        <v>4.0</v>
      </c>
    </row>
    <row r="43">
      <c r="A43" s="67" t="s">
        <v>447</v>
      </c>
      <c r="B43" s="67" t="str">
        <f t="shared" si="1"/>
        <v>Rensselaer County</v>
      </c>
      <c r="C43" s="67" t="s">
        <v>393</v>
      </c>
      <c r="D43" s="67" t="s">
        <v>394</v>
      </c>
      <c r="E43" s="67">
        <v>5.0</v>
      </c>
    </row>
    <row r="44">
      <c r="A44" s="67" t="s">
        <v>448</v>
      </c>
      <c r="B44" s="67" t="str">
        <f t="shared" si="1"/>
        <v>Richmond County</v>
      </c>
      <c r="C44" s="67" t="s">
        <v>399</v>
      </c>
      <c r="D44" s="67" t="s">
        <v>400</v>
      </c>
      <c r="E44" s="67">
        <v>4.0</v>
      </c>
    </row>
    <row r="45">
      <c r="A45" s="67" t="s">
        <v>449</v>
      </c>
      <c r="B45" s="67" t="str">
        <f t="shared" si="1"/>
        <v>Rockland County</v>
      </c>
      <c r="C45" s="67" t="s">
        <v>416</v>
      </c>
      <c r="D45" s="67" t="s">
        <v>417</v>
      </c>
      <c r="E45" s="67">
        <v>5.0</v>
      </c>
    </row>
    <row r="46">
      <c r="A46" s="67" t="s">
        <v>252</v>
      </c>
      <c r="B46" s="67" t="str">
        <f t="shared" si="1"/>
        <v>St. Lawrence County</v>
      </c>
      <c r="C46" s="67" t="s">
        <v>409</v>
      </c>
      <c r="D46" s="67" t="s">
        <v>397</v>
      </c>
      <c r="E46" s="67">
        <v>6.0</v>
      </c>
    </row>
    <row r="47">
      <c r="A47" s="67" t="s">
        <v>450</v>
      </c>
      <c r="B47" s="67" t="str">
        <f t="shared" si="1"/>
        <v>Saratoga County</v>
      </c>
      <c r="C47" s="67" t="s">
        <v>393</v>
      </c>
      <c r="D47" s="67" t="s">
        <v>394</v>
      </c>
      <c r="E47" s="67">
        <v>5.0</v>
      </c>
    </row>
    <row r="48">
      <c r="A48" s="67" t="s">
        <v>451</v>
      </c>
      <c r="B48" s="67" t="str">
        <f t="shared" si="1"/>
        <v>Schenectady County</v>
      </c>
      <c r="C48" s="67" t="s">
        <v>393</v>
      </c>
      <c r="D48" s="67" t="s">
        <v>394</v>
      </c>
      <c r="E48" s="67">
        <v>5.0</v>
      </c>
    </row>
    <row r="49">
      <c r="A49" s="67" t="s">
        <v>452</v>
      </c>
      <c r="B49" s="67" t="str">
        <f t="shared" si="1"/>
        <v>Schoharie County</v>
      </c>
      <c r="C49" s="67" t="s">
        <v>393</v>
      </c>
      <c r="D49" s="67" t="s">
        <v>394</v>
      </c>
      <c r="E49" s="67">
        <v>6.0</v>
      </c>
    </row>
    <row r="50">
      <c r="A50" s="67" t="s">
        <v>453</v>
      </c>
      <c r="B50" s="67" t="str">
        <f t="shared" si="1"/>
        <v>Schuyler County</v>
      </c>
      <c r="C50" s="67" t="s">
        <v>402</v>
      </c>
      <c r="D50" s="67" t="s">
        <v>397</v>
      </c>
      <c r="E50" s="67">
        <v>6.0</v>
      </c>
    </row>
    <row r="51">
      <c r="A51" s="67" t="s">
        <v>454</v>
      </c>
      <c r="B51" s="67" t="str">
        <f t="shared" si="1"/>
        <v>Seneca County</v>
      </c>
      <c r="C51" s="67" t="s">
        <v>402</v>
      </c>
      <c r="D51" s="67" t="s">
        <v>397</v>
      </c>
      <c r="E51" s="67">
        <v>5.0</v>
      </c>
    </row>
    <row r="52">
      <c r="A52" s="67" t="s">
        <v>455</v>
      </c>
      <c r="B52" s="67" t="str">
        <f t="shared" si="1"/>
        <v>Steuben County</v>
      </c>
      <c r="C52" s="67" t="s">
        <v>402</v>
      </c>
      <c r="D52" s="67" t="s">
        <v>397</v>
      </c>
      <c r="E52" s="67">
        <v>6.0</v>
      </c>
    </row>
    <row r="53">
      <c r="A53" s="67" t="s">
        <v>456</v>
      </c>
      <c r="B53" s="67" t="str">
        <f t="shared" si="1"/>
        <v>Suffolk County</v>
      </c>
      <c r="C53" s="67" t="s">
        <v>434</v>
      </c>
      <c r="D53" s="67" t="s">
        <v>435</v>
      </c>
      <c r="E53" s="67">
        <v>4.0</v>
      </c>
    </row>
    <row r="54">
      <c r="A54" s="67" t="s">
        <v>457</v>
      </c>
      <c r="B54" s="67" t="str">
        <f t="shared" si="1"/>
        <v>Sullivan County</v>
      </c>
      <c r="C54" s="67" t="s">
        <v>409</v>
      </c>
      <c r="D54" s="67" t="s">
        <v>397</v>
      </c>
      <c r="E54" s="67">
        <v>6.0</v>
      </c>
    </row>
    <row r="55">
      <c r="A55" s="67" t="s">
        <v>458</v>
      </c>
      <c r="B55" s="67" t="str">
        <f t="shared" si="1"/>
        <v>Tioga County</v>
      </c>
      <c r="C55" s="67" t="s">
        <v>402</v>
      </c>
      <c r="D55" s="67" t="s">
        <v>397</v>
      </c>
      <c r="E55" s="67">
        <v>5.0</v>
      </c>
    </row>
    <row r="56">
      <c r="A56" s="67" t="s">
        <v>459</v>
      </c>
      <c r="B56" s="67" t="str">
        <f t="shared" si="1"/>
        <v>Tompkins County</v>
      </c>
      <c r="C56" s="67" t="s">
        <v>402</v>
      </c>
      <c r="D56" s="67" t="s">
        <v>397</v>
      </c>
      <c r="E56" s="67">
        <v>6.0</v>
      </c>
    </row>
    <row r="57">
      <c r="A57" s="67" t="s">
        <v>460</v>
      </c>
      <c r="B57" s="67" t="str">
        <f t="shared" si="1"/>
        <v>Ulster County</v>
      </c>
      <c r="C57" s="67" t="s">
        <v>416</v>
      </c>
      <c r="D57" s="67" t="s">
        <v>417</v>
      </c>
      <c r="E57" s="67">
        <v>6.0</v>
      </c>
    </row>
    <row r="58">
      <c r="A58" s="67" t="s">
        <v>461</v>
      </c>
      <c r="B58" s="67" t="str">
        <f t="shared" si="1"/>
        <v>Warren County</v>
      </c>
      <c r="C58" s="67" t="s">
        <v>393</v>
      </c>
      <c r="D58" s="67" t="s">
        <v>394</v>
      </c>
      <c r="E58" s="67">
        <v>6.0</v>
      </c>
    </row>
    <row r="59">
      <c r="A59" s="67" t="s">
        <v>462</v>
      </c>
      <c r="B59" s="67" t="str">
        <f t="shared" si="1"/>
        <v>Washington County</v>
      </c>
      <c r="C59" s="67" t="s">
        <v>393</v>
      </c>
      <c r="D59" s="67" t="s">
        <v>394</v>
      </c>
      <c r="E59" s="67">
        <v>5.0</v>
      </c>
    </row>
    <row r="60">
      <c r="A60" s="67" t="s">
        <v>463</v>
      </c>
      <c r="B60" s="67" t="str">
        <f t="shared" si="1"/>
        <v>Wayne County</v>
      </c>
      <c r="C60" s="67" t="s">
        <v>396</v>
      </c>
      <c r="D60" s="67" t="s">
        <v>397</v>
      </c>
      <c r="E60" s="67">
        <v>6.0</v>
      </c>
    </row>
    <row r="61">
      <c r="A61" s="67" t="s">
        <v>464</v>
      </c>
      <c r="B61" s="67" t="str">
        <f t="shared" si="1"/>
        <v>Westchester County</v>
      </c>
      <c r="C61" s="67" t="s">
        <v>465</v>
      </c>
      <c r="D61" s="67" t="s">
        <v>417</v>
      </c>
      <c r="E61" s="67">
        <v>4.0</v>
      </c>
    </row>
    <row r="62">
      <c r="A62" s="67" t="s">
        <v>466</v>
      </c>
      <c r="B62" s="67" t="str">
        <f t="shared" si="1"/>
        <v>Wyoming County</v>
      </c>
      <c r="C62" s="67" t="s">
        <v>404</v>
      </c>
      <c r="D62" s="67" t="s">
        <v>397</v>
      </c>
      <c r="E62" s="67">
        <v>6.0</v>
      </c>
    </row>
    <row r="63">
      <c r="A63" s="67" t="s">
        <v>467</v>
      </c>
      <c r="B63" s="67" t="str">
        <f t="shared" si="1"/>
        <v>Yates County</v>
      </c>
      <c r="C63" s="67" t="s">
        <v>402</v>
      </c>
      <c r="D63" s="67" t="s">
        <v>397</v>
      </c>
      <c r="E63" s="67">
        <v>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9.38"/>
    <col customWidth="1" min="3" max="3" width="29.88"/>
    <col customWidth="1" min="4" max="4" width="30.38"/>
    <col customWidth="1" min="5" max="5" width="29.75"/>
    <col customWidth="1" min="6" max="6" width="30.38"/>
    <col customWidth="1" min="7" max="7" width="30.13"/>
    <col customWidth="1" min="8" max="8" width="24.13"/>
  </cols>
  <sheetData>
    <row r="1">
      <c r="A1" s="52"/>
      <c r="B1" s="52"/>
      <c r="C1" s="192" t="s">
        <v>468</v>
      </c>
      <c r="D1" s="52"/>
      <c r="E1" s="52"/>
      <c r="F1" s="52"/>
      <c r="G1" s="52"/>
      <c r="H1" s="52"/>
      <c r="I1" s="52"/>
      <c r="J1" s="52"/>
    </row>
    <row r="2">
      <c r="A2" s="218" t="s">
        <v>469</v>
      </c>
      <c r="B2" s="192" t="s">
        <v>470</v>
      </c>
      <c r="C2" s="192" t="s">
        <v>471</v>
      </c>
      <c r="D2" s="192" t="s">
        <v>472</v>
      </c>
      <c r="E2" s="192" t="s">
        <v>473</v>
      </c>
      <c r="F2" s="192" t="s">
        <v>474</v>
      </c>
      <c r="G2" s="192" t="s">
        <v>475</v>
      </c>
      <c r="H2" s="192" t="s">
        <v>476</v>
      </c>
      <c r="I2" s="192" t="s">
        <v>477</v>
      </c>
      <c r="J2" s="192" t="s">
        <v>478</v>
      </c>
    </row>
    <row r="3">
      <c r="A3" s="219">
        <v>4.0</v>
      </c>
      <c r="B3" s="52" t="s">
        <v>479</v>
      </c>
      <c r="C3" s="220">
        <v>1.0</v>
      </c>
      <c r="D3" s="52"/>
      <c r="E3" s="220">
        <v>0.0</v>
      </c>
      <c r="F3" s="52"/>
      <c r="G3" s="52"/>
      <c r="H3" s="220">
        <v>0.0</v>
      </c>
      <c r="I3" s="220">
        <v>0.0</v>
      </c>
      <c r="J3" s="220">
        <v>1.0</v>
      </c>
    </row>
    <row r="4">
      <c r="A4" s="219"/>
      <c r="B4" s="52" t="s">
        <v>480</v>
      </c>
      <c r="C4" s="220">
        <v>1.0</v>
      </c>
      <c r="D4" s="52"/>
      <c r="E4" s="220">
        <v>1.0</v>
      </c>
      <c r="F4" s="52"/>
      <c r="G4" s="52"/>
      <c r="H4" s="220">
        <v>0.0</v>
      </c>
      <c r="I4" s="220">
        <v>0.0</v>
      </c>
      <c r="J4" s="220">
        <v>2.0</v>
      </c>
    </row>
    <row r="5">
      <c r="A5" s="219"/>
      <c r="B5" s="52" t="s">
        <v>481</v>
      </c>
      <c r="C5" s="220">
        <v>1.0</v>
      </c>
      <c r="D5" s="52"/>
      <c r="E5" s="220">
        <v>0.0</v>
      </c>
      <c r="F5" s="52"/>
      <c r="G5" s="52"/>
      <c r="H5" s="220">
        <v>0.0</v>
      </c>
      <c r="I5" s="220">
        <v>0.0</v>
      </c>
      <c r="J5" s="220">
        <v>1.0</v>
      </c>
    </row>
    <row r="6">
      <c r="A6" s="219"/>
      <c r="B6" s="52" t="s">
        <v>482</v>
      </c>
      <c r="C6" s="220">
        <v>18.0</v>
      </c>
      <c r="D6" s="220">
        <v>7.0</v>
      </c>
      <c r="E6" s="220">
        <v>0.0</v>
      </c>
      <c r="F6" s="52"/>
      <c r="G6" s="52"/>
      <c r="H6" s="220">
        <v>0.0</v>
      </c>
      <c r="I6" s="220">
        <v>1.0</v>
      </c>
      <c r="J6" s="220">
        <v>26.0</v>
      </c>
    </row>
    <row r="7">
      <c r="A7" s="219"/>
      <c r="B7" s="52" t="s">
        <v>483</v>
      </c>
      <c r="C7" s="220">
        <v>1.0</v>
      </c>
      <c r="D7" s="52"/>
      <c r="E7" s="220">
        <v>0.0</v>
      </c>
      <c r="F7" s="52"/>
      <c r="G7" s="52"/>
      <c r="H7" s="220">
        <v>0.0</v>
      </c>
      <c r="I7" s="220">
        <v>0.0</v>
      </c>
      <c r="J7" s="220">
        <v>1.0</v>
      </c>
    </row>
    <row r="8">
      <c r="A8" s="219"/>
      <c r="B8" s="191" t="s">
        <v>160</v>
      </c>
      <c r="C8" s="221">
        <v>22.0</v>
      </c>
      <c r="D8" s="221">
        <v>7.0</v>
      </c>
      <c r="E8" s="221">
        <v>1.0</v>
      </c>
      <c r="F8" s="192"/>
      <c r="G8" s="192"/>
      <c r="H8" s="221">
        <v>0.0</v>
      </c>
      <c r="I8" s="221">
        <v>1.0</v>
      </c>
      <c r="J8" s="221">
        <v>31.0</v>
      </c>
    </row>
    <row r="9">
      <c r="A9" s="219"/>
      <c r="B9" s="52"/>
      <c r="C9" s="220"/>
      <c r="D9" s="220"/>
      <c r="E9" s="220"/>
      <c r="F9" s="52"/>
      <c r="G9" s="52"/>
      <c r="H9" s="220"/>
      <c r="I9" s="220"/>
      <c r="J9" s="220"/>
    </row>
    <row r="10">
      <c r="A10" s="219"/>
      <c r="B10" s="52"/>
      <c r="C10" s="220"/>
      <c r="D10" s="220"/>
      <c r="E10" s="220"/>
      <c r="F10" s="52"/>
      <c r="G10" s="52"/>
      <c r="H10" s="220"/>
      <c r="I10" s="220"/>
      <c r="J10" s="220"/>
    </row>
    <row r="11">
      <c r="A11" s="219">
        <v>5.0</v>
      </c>
      <c r="B11" s="52" t="s">
        <v>479</v>
      </c>
      <c r="C11" s="220">
        <v>2.0</v>
      </c>
      <c r="D11" s="220">
        <v>0.0</v>
      </c>
      <c r="E11" s="220">
        <v>0.0</v>
      </c>
      <c r="F11" s="52"/>
      <c r="G11" s="52"/>
      <c r="H11" s="220">
        <v>0.0</v>
      </c>
      <c r="I11" s="220">
        <v>0.0</v>
      </c>
      <c r="J11" s="220">
        <v>2.0</v>
      </c>
    </row>
    <row r="12">
      <c r="A12" s="219"/>
      <c r="B12" s="52" t="s">
        <v>480</v>
      </c>
      <c r="C12" s="220">
        <v>24.0</v>
      </c>
      <c r="D12" s="52"/>
      <c r="E12" s="220">
        <v>9.0</v>
      </c>
      <c r="F12" s="220">
        <v>15.0</v>
      </c>
      <c r="G12" s="220">
        <v>2.0</v>
      </c>
      <c r="H12" s="220">
        <v>0.0</v>
      </c>
      <c r="I12" s="220">
        <v>0.0</v>
      </c>
      <c r="J12" s="220">
        <v>50.0</v>
      </c>
    </row>
    <row r="13">
      <c r="A13" s="219"/>
      <c r="B13" s="52" t="s">
        <v>481</v>
      </c>
      <c r="C13" s="220">
        <v>1.0</v>
      </c>
      <c r="D13" s="220">
        <v>1.0</v>
      </c>
      <c r="E13" s="220">
        <v>0.0</v>
      </c>
      <c r="F13" s="52"/>
      <c r="G13" s="52"/>
      <c r="H13" s="220">
        <v>0.0</v>
      </c>
      <c r="I13" s="220">
        <v>0.0</v>
      </c>
      <c r="J13" s="220">
        <v>2.0</v>
      </c>
    </row>
    <row r="14">
      <c r="A14" s="219"/>
      <c r="B14" s="52" t="s">
        <v>482</v>
      </c>
      <c r="C14" s="220">
        <v>252.0</v>
      </c>
      <c r="D14" s="220">
        <v>7.0</v>
      </c>
      <c r="E14" s="220">
        <v>0.0</v>
      </c>
      <c r="F14" s="52"/>
      <c r="G14" s="52"/>
      <c r="H14" s="220">
        <v>1.0</v>
      </c>
      <c r="I14" s="220">
        <v>1.0</v>
      </c>
      <c r="J14" s="220">
        <v>261.0</v>
      </c>
    </row>
    <row r="15">
      <c r="A15" s="219"/>
      <c r="B15" s="52" t="s">
        <v>483</v>
      </c>
      <c r="C15" s="220">
        <v>57.0</v>
      </c>
      <c r="D15" s="220">
        <v>13.0</v>
      </c>
      <c r="E15" s="220">
        <v>0.0</v>
      </c>
      <c r="F15" s="52"/>
      <c r="G15" s="52"/>
      <c r="H15" s="220">
        <v>0.0</v>
      </c>
      <c r="I15" s="220">
        <v>2.0</v>
      </c>
      <c r="J15" s="220">
        <v>72.0</v>
      </c>
    </row>
    <row r="16">
      <c r="A16" s="219"/>
      <c r="B16" s="52" t="s">
        <v>484</v>
      </c>
      <c r="C16" s="220">
        <v>2.0</v>
      </c>
      <c r="D16" s="220">
        <v>1.0</v>
      </c>
      <c r="E16" s="220">
        <v>0.0</v>
      </c>
      <c r="F16" s="52"/>
      <c r="G16" s="52"/>
      <c r="H16" s="220">
        <v>0.0</v>
      </c>
      <c r="I16" s="220">
        <v>1.0</v>
      </c>
      <c r="J16" s="220">
        <v>4.0</v>
      </c>
    </row>
    <row r="17">
      <c r="A17" s="219"/>
      <c r="B17" s="52" t="s">
        <v>485</v>
      </c>
      <c r="C17" s="220">
        <v>1.0</v>
      </c>
      <c r="D17" s="52"/>
      <c r="E17" s="220">
        <v>0.0</v>
      </c>
      <c r="F17" s="52"/>
      <c r="G17" s="52"/>
      <c r="H17" s="220">
        <v>1.0</v>
      </c>
      <c r="I17" s="220">
        <v>0.0</v>
      </c>
      <c r="J17" s="220">
        <v>2.0</v>
      </c>
    </row>
    <row r="18">
      <c r="A18" s="219"/>
      <c r="B18" s="52" t="s">
        <v>486</v>
      </c>
      <c r="C18" s="220">
        <v>2.0</v>
      </c>
      <c r="D18" s="52"/>
      <c r="E18" s="220">
        <v>0.0</v>
      </c>
      <c r="F18" s="52"/>
      <c r="G18" s="52"/>
      <c r="H18" s="220">
        <v>0.0</v>
      </c>
      <c r="I18" s="220">
        <v>0.0</v>
      </c>
      <c r="J18" s="220">
        <v>2.0</v>
      </c>
    </row>
    <row r="19">
      <c r="A19" s="219"/>
      <c r="B19" s="52" t="s">
        <v>487</v>
      </c>
      <c r="C19" s="220">
        <v>0.0</v>
      </c>
      <c r="D19" s="52"/>
      <c r="E19" s="220">
        <v>0.0</v>
      </c>
      <c r="F19" s="52"/>
      <c r="G19" s="52"/>
      <c r="H19" s="220">
        <v>0.0</v>
      </c>
      <c r="I19" s="220">
        <v>0.0</v>
      </c>
      <c r="J19" s="220">
        <v>0.0</v>
      </c>
    </row>
    <row r="20">
      <c r="A20" s="219"/>
      <c r="B20" s="191" t="s">
        <v>160</v>
      </c>
      <c r="C20" s="221">
        <v>341.0</v>
      </c>
      <c r="D20" s="221">
        <v>22.0</v>
      </c>
      <c r="E20" s="221">
        <v>9.0</v>
      </c>
      <c r="F20" s="221">
        <v>15.0</v>
      </c>
      <c r="G20" s="221">
        <v>2.0</v>
      </c>
      <c r="H20" s="221">
        <v>2.0</v>
      </c>
      <c r="I20" s="221">
        <v>4.0</v>
      </c>
      <c r="J20" s="221">
        <v>395.0</v>
      </c>
    </row>
    <row r="21">
      <c r="A21" s="219"/>
      <c r="B21" s="52"/>
      <c r="C21" s="220"/>
      <c r="D21" s="220"/>
      <c r="E21" s="220"/>
      <c r="F21" s="220"/>
      <c r="G21" s="220"/>
      <c r="H21" s="220"/>
      <c r="I21" s="220"/>
      <c r="J21" s="220"/>
    </row>
    <row r="22">
      <c r="A22" s="219"/>
      <c r="B22" s="52"/>
      <c r="C22" s="220"/>
      <c r="D22" s="220"/>
      <c r="E22" s="220"/>
      <c r="F22" s="220"/>
      <c r="G22" s="220"/>
      <c r="H22" s="220"/>
      <c r="I22" s="220"/>
      <c r="J22" s="220"/>
    </row>
    <row r="23">
      <c r="A23" s="219">
        <v>6.0</v>
      </c>
      <c r="B23" s="52" t="s">
        <v>479</v>
      </c>
      <c r="C23" s="52"/>
      <c r="D23" s="220">
        <v>0.0</v>
      </c>
      <c r="E23" s="220">
        <v>0.0</v>
      </c>
      <c r="F23" s="52"/>
      <c r="G23" s="52"/>
      <c r="H23" s="220">
        <v>0.0</v>
      </c>
      <c r="I23" s="220">
        <v>0.0</v>
      </c>
      <c r="J23" s="220">
        <v>0.0</v>
      </c>
    </row>
    <row r="24">
      <c r="A24" s="222"/>
      <c r="B24" s="52" t="s">
        <v>480</v>
      </c>
      <c r="C24" s="220">
        <v>2.0</v>
      </c>
      <c r="D24" s="52"/>
      <c r="E24" s="220">
        <v>4.0</v>
      </c>
      <c r="F24" s="220">
        <v>8.0</v>
      </c>
      <c r="G24" s="220">
        <v>7.0</v>
      </c>
      <c r="H24" s="220">
        <v>0.0</v>
      </c>
      <c r="I24" s="220">
        <v>0.0</v>
      </c>
      <c r="J24" s="220">
        <v>21.0</v>
      </c>
    </row>
    <row r="25">
      <c r="A25" s="222"/>
      <c r="B25" s="52" t="s">
        <v>481</v>
      </c>
      <c r="C25" s="220">
        <v>2.0</v>
      </c>
      <c r="D25" s="220">
        <v>2.0</v>
      </c>
      <c r="E25" s="220">
        <v>0.0</v>
      </c>
      <c r="F25" s="52"/>
      <c r="G25" s="52"/>
      <c r="H25" s="220">
        <v>0.0</v>
      </c>
      <c r="I25" s="220">
        <v>1.0</v>
      </c>
      <c r="J25" s="220">
        <v>5.0</v>
      </c>
    </row>
    <row r="26">
      <c r="A26" s="222"/>
      <c r="B26" s="52" t="s">
        <v>482</v>
      </c>
      <c r="C26" s="220">
        <v>23.0</v>
      </c>
      <c r="D26" s="220">
        <v>4.0</v>
      </c>
      <c r="E26" s="220">
        <v>0.0</v>
      </c>
      <c r="F26" s="52"/>
      <c r="G26" s="52"/>
      <c r="H26" s="220">
        <v>0.0</v>
      </c>
      <c r="I26" s="220">
        <v>1.0</v>
      </c>
      <c r="J26" s="220">
        <v>28.0</v>
      </c>
    </row>
    <row r="27">
      <c r="A27" s="222"/>
      <c r="B27" s="52" t="s">
        <v>483</v>
      </c>
      <c r="C27" s="220">
        <v>29.0</v>
      </c>
      <c r="D27" s="220">
        <v>22.0</v>
      </c>
      <c r="E27" s="220">
        <v>0.0</v>
      </c>
      <c r="F27" s="52"/>
      <c r="G27" s="52"/>
      <c r="H27" s="220">
        <v>0.0</v>
      </c>
      <c r="I27" s="220">
        <v>4.0</v>
      </c>
      <c r="J27" s="220">
        <v>55.0</v>
      </c>
    </row>
    <row r="28">
      <c r="A28" s="222"/>
      <c r="B28" s="52" t="s">
        <v>485</v>
      </c>
      <c r="C28" s="220">
        <v>1.0</v>
      </c>
      <c r="D28" s="220">
        <v>1.0</v>
      </c>
      <c r="E28" s="220">
        <v>0.0</v>
      </c>
      <c r="F28" s="52"/>
      <c r="G28" s="52"/>
      <c r="H28" s="220">
        <v>1.0</v>
      </c>
      <c r="I28" s="220">
        <v>0.0</v>
      </c>
      <c r="J28" s="220">
        <v>3.0</v>
      </c>
    </row>
    <row r="29">
      <c r="A29" s="222"/>
      <c r="B29" s="52" t="s">
        <v>486</v>
      </c>
      <c r="C29" s="52"/>
      <c r="D29" s="52"/>
      <c r="E29" s="220">
        <v>0.0</v>
      </c>
      <c r="F29" s="52"/>
      <c r="G29" s="52"/>
      <c r="H29" s="220">
        <v>3.0</v>
      </c>
      <c r="I29" s="220">
        <v>0.0</v>
      </c>
      <c r="J29" s="220">
        <v>3.0</v>
      </c>
    </row>
    <row r="30">
      <c r="A30" s="222"/>
      <c r="B30" s="191" t="s">
        <v>160</v>
      </c>
      <c r="C30" s="221">
        <v>57.0</v>
      </c>
      <c r="D30" s="221">
        <v>29.0</v>
      </c>
      <c r="E30" s="221">
        <v>4.0</v>
      </c>
      <c r="F30" s="221">
        <v>8.0</v>
      </c>
      <c r="G30" s="221">
        <v>7.0</v>
      </c>
      <c r="H30" s="221">
        <v>4.0</v>
      </c>
      <c r="I30" s="221">
        <v>6.0</v>
      </c>
      <c r="J30" s="221">
        <v>115.0</v>
      </c>
    </row>
    <row r="31">
      <c r="A31" s="222"/>
      <c r="B31" s="52"/>
      <c r="C31" s="220"/>
      <c r="D31" s="220"/>
      <c r="E31" s="220"/>
      <c r="F31" s="220"/>
      <c r="G31" s="220"/>
      <c r="H31" s="220"/>
      <c r="I31" s="220"/>
      <c r="J31" s="220"/>
    </row>
    <row r="32">
      <c r="A32" s="222"/>
      <c r="B32" s="191" t="s">
        <v>478</v>
      </c>
      <c r="C32" s="221">
        <v>420.0</v>
      </c>
      <c r="D32" s="221">
        <v>58.0</v>
      </c>
      <c r="E32" s="221">
        <v>14.0</v>
      </c>
      <c r="F32" s="221">
        <v>23.0</v>
      </c>
      <c r="G32" s="221">
        <v>9.0</v>
      </c>
      <c r="H32" s="221">
        <v>6.0</v>
      </c>
      <c r="I32" s="221">
        <v>11.0</v>
      </c>
      <c r="J32" s="221">
        <v>541.0</v>
      </c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</row>
    <row r="36">
      <c r="A36" s="52"/>
      <c r="B36" s="191" t="s">
        <v>488</v>
      </c>
      <c r="C36" s="191" t="s">
        <v>489</v>
      </c>
      <c r="D36" s="191" t="s">
        <v>490</v>
      </c>
      <c r="E36" s="191" t="s">
        <v>491</v>
      </c>
      <c r="F36" s="191" t="s">
        <v>492</v>
      </c>
      <c r="G36" s="191" t="s">
        <v>493</v>
      </c>
      <c r="H36" s="32"/>
      <c r="I36" s="32"/>
      <c r="J36" s="32"/>
    </row>
    <row r="37">
      <c r="A37" s="79" t="s">
        <v>494</v>
      </c>
      <c r="B37" s="223">
        <f>C6</f>
        <v>18</v>
      </c>
      <c r="C37" s="224">
        <f t="shared" ref="C37:C46" si="1">B37/$B$45</f>
        <v>0.5806451613</v>
      </c>
      <c r="D37" s="223">
        <f>C14</f>
        <v>252</v>
      </c>
      <c r="E37" s="224">
        <f t="shared" ref="E37:E46" si="2">D37/$D$45</f>
        <v>0.6379746835</v>
      </c>
      <c r="F37" s="223">
        <f>C26</f>
        <v>23</v>
      </c>
      <c r="G37" s="225">
        <f t="shared" ref="G37:G46" si="3">F37/$F$45</f>
        <v>0.2</v>
      </c>
      <c r="H37" s="226"/>
      <c r="I37" s="23"/>
      <c r="J37" s="23"/>
    </row>
    <row r="38">
      <c r="A38" s="79" t="s">
        <v>495</v>
      </c>
      <c r="B38" s="223">
        <f>C7+C5</f>
        <v>2</v>
      </c>
      <c r="C38" s="224">
        <f t="shared" si="1"/>
        <v>0.06451612903</v>
      </c>
      <c r="D38" s="223">
        <f>C13+C15</f>
        <v>58</v>
      </c>
      <c r="E38" s="224">
        <f t="shared" si="2"/>
        <v>0.146835443</v>
      </c>
      <c r="F38" s="223">
        <f>C27+C25</f>
        <v>31</v>
      </c>
      <c r="G38" s="225">
        <f t="shared" si="3"/>
        <v>0.2695652174</v>
      </c>
      <c r="H38" s="23" t="str">
        <f>'Heat Pump vs Gas/Propane Model (OLD)'!W203</f>
        <v>#REF!</v>
      </c>
      <c r="I38" s="23" t="str">
        <f>'GSHP vs Furnace'!R166</f>
        <v>#REF!</v>
      </c>
      <c r="J38" s="23"/>
    </row>
    <row r="39">
      <c r="A39" s="79" t="s">
        <v>496</v>
      </c>
      <c r="B39" s="223">
        <f>D6</f>
        <v>7</v>
      </c>
      <c r="C39" s="224">
        <f t="shared" si="1"/>
        <v>0.2258064516</v>
      </c>
      <c r="D39" s="223">
        <f>D14</f>
        <v>7</v>
      </c>
      <c r="E39" s="224">
        <f t="shared" si="2"/>
        <v>0.01772151899</v>
      </c>
      <c r="F39" s="223">
        <f>D26</f>
        <v>4</v>
      </c>
      <c r="G39" s="225">
        <f t="shared" si="3"/>
        <v>0.0347826087</v>
      </c>
      <c r="H39" s="23" t="str">
        <f>'ASHP vs Boiler'!R166</f>
        <v>#REF!</v>
      </c>
      <c r="I39" s="23" t="str">
        <f>'GSHP vs Boiler'!R166</f>
        <v>#REF!</v>
      </c>
      <c r="J39" s="23"/>
    </row>
    <row r="40">
      <c r="A40" s="79" t="s">
        <v>497</v>
      </c>
      <c r="B40" s="223">
        <f>D5+D7</f>
        <v>0</v>
      </c>
      <c r="C40" s="224">
        <f t="shared" si="1"/>
        <v>0</v>
      </c>
      <c r="D40" s="223">
        <f>D15+D13</f>
        <v>14</v>
      </c>
      <c r="E40" s="224">
        <f t="shared" si="2"/>
        <v>0.03544303797</v>
      </c>
      <c r="F40" s="223">
        <f>D27+D25</f>
        <v>24</v>
      </c>
      <c r="G40" s="225">
        <f t="shared" si="3"/>
        <v>0.2086956522</v>
      </c>
      <c r="H40" s="23" t="str">
        <f>'ASHP vs Boiler'!M166</f>
        <v>#REF!</v>
      </c>
      <c r="I40" s="23" t="str">
        <f>'GSHP vs Boiler'!M166</f>
        <v>#REF!</v>
      </c>
      <c r="J40" s="23"/>
    </row>
    <row r="41">
      <c r="A41" s="79" t="s">
        <v>164</v>
      </c>
      <c r="B41" s="223">
        <f>E8+F8</f>
        <v>1</v>
      </c>
      <c r="C41" s="224">
        <f t="shared" si="1"/>
        <v>0.03225806452</v>
      </c>
      <c r="D41" s="223">
        <f>E20+F20</f>
        <v>24</v>
      </c>
      <c r="E41" s="224">
        <f t="shared" si="2"/>
        <v>0.06075949367</v>
      </c>
      <c r="F41" s="223">
        <f>E30+F30</f>
        <v>12</v>
      </c>
      <c r="G41" s="225">
        <f t="shared" si="3"/>
        <v>0.1043478261</v>
      </c>
      <c r="H41" s="223"/>
      <c r="I41" s="223"/>
      <c r="J41" s="223"/>
    </row>
    <row r="42">
      <c r="A42" s="79" t="s">
        <v>498</v>
      </c>
      <c r="B42" s="223">
        <f>G8+C4</f>
        <v>1</v>
      </c>
      <c r="C42" s="224">
        <f t="shared" si="1"/>
        <v>0.03225806452</v>
      </c>
      <c r="D42" s="223">
        <f>C12+G12</f>
        <v>26</v>
      </c>
      <c r="E42" s="224">
        <f t="shared" si="2"/>
        <v>0.06582278481</v>
      </c>
      <c r="F42" s="223">
        <f>C24+G24</f>
        <v>9</v>
      </c>
      <c r="G42" s="225">
        <f t="shared" si="3"/>
        <v>0.07826086957</v>
      </c>
      <c r="H42" s="223"/>
      <c r="I42" s="223"/>
      <c r="J42" s="223"/>
    </row>
    <row r="43">
      <c r="A43" s="79" t="s">
        <v>499</v>
      </c>
      <c r="B43" s="223">
        <f>H8</f>
        <v>0</v>
      </c>
      <c r="C43" s="224">
        <f t="shared" si="1"/>
        <v>0</v>
      </c>
      <c r="D43" s="223">
        <f>H20+C17+C18</f>
        <v>5</v>
      </c>
      <c r="E43" s="224">
        <f t="shared" si="2"/>
        <v>0.01265822785</v>
      </c>
      <c r="F43" s="223">
        <f>H30+C28+D28</f>
        <v>6</v>
      </c>
      <c r="G43" s="225">
        <f t="shared" si="3"/>
        <v>0.05217391304</v>
      </c>
      <c r="H43" s="223"/>
      <c r="I43" s="223"/>
      <c r="J43" s="223"/>
    </row>
    <row r="44">
      <c r="A44" s="79" t="s">
        <v>500</v>
      </c>
      <c r="B44" s="223">
        <f>I8+C3</f>
        <v>2</v>
      </c>
      <c r="C44" s="224">
        <f t="shared" si="1"/>
        <v>0.06451612903</v>
      </c>
      <c r="D44" s="223">
        <f>C11+C19+C16+D16+I20</f>
        <v>9</v>
      </c>
      <c r="E44" s="224">
        <f t="shared" si="2"/>
        <v>0.02278481013</v>
      </c>
      <c r="F44" s="223">
        <f>I30</f>
        <v>6</v>
      </c>
      <c r="G44" s="225">
        <f t="shared" si="3"/>
        <v>0.05217391304</v>
      </c>
      <c r="H44" s="223"/>
      <c r="I44" s="223"/>
      <c r="J44" s="223"/>
    </row>
    <row r="45">
      <c r="A45" s="79" t="s">
        <v>501</v>
      </c>
      <c r="B45" s="223">
        <f>SUM(B37:B44)</f>
        <v>31</v>
      </c>
      <c r="C45" s="224">
        <f t="shared" si="1"/>
        <v>1</v>
      </c>
      <c r="D45" s="223">
        <f>SUM(D37:D44)</f>
        <v>395</v>
      </c>
      <c r="E45" s="224">
        <f t="shared" si="2"/>
        <v>1</v>
      </c>
      <c r="F45" s="223">
        <f>SUM(F37:F44)</f>
        <v>115</v>
      </c>
      <c r="G45" s="225">
        <f t="shared" si="3"/>
        <v>1</v>
      </c>
      <c r="H45" s="223"/>
      <c r="I45" s="223"/>
      <c r="J45" s="223"/>
    </row>
    <row r="46">
      <c r="A46" s="79" t="s">
        <v>502</v>
      </c>
      <c r="B46" s="223">
        <f>sum(B37:B40)</f>
        <v>27</v>
      </c>
      <c r="C46" s="224">
        <f t="shared" si="1"/>
        <v>0.8709677419</v>
      </c>
      <c r="D46" s="223">
        <f>sum(D37:D40)</f>
        <v>331</v>
      </c>
      <c r="E46" s="224">
        <f t="shared" si="2"/>
        <v>0.8379746835</v>
      </c>
      <c r="F46" s="223">
        <f>sum(F37:F40)</f>
        <v>82</v>
      </c>
      <c r="G46" s="225">
        <f t="shared" si="3"/>
        <v>0.7130434783</v>
      </c>
      <c r="H46" s="223"/>
      <c r="I46" s="223"/>
      <c r="J46" s="223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5.25"/>
    <col customWidth="1" min="3" max="3" width="25.5"/>
    <col customWidth="1" min="4" max="4" width="4.63"/>
    <col customWidth="1" min="5" max="5" width="14.38"/>
    <col customWidth="1" min="6" max="6" width="4.63"/>
    <col customWidth="1" min="8" max="9" width="4.63"/>
    <col customWidth="1" min="12" max="12" width="33.5"/>
  </cols>
  <sheetData>
    <row r="1">
      <c r="B1" s="7"/>
      <c r="C1" s="10"/>
      <c r="D1" s="7"/>
      <c r="E1" s="9"/>
      <c r="F1" s="7"/>
      <c r="G1" s="7"/>
    </row>
    <row r="2">
      <c r="B2" s="227" t="s">
        <v>503</v>
      </c>
      <c r="C2" s="10"/>
      <c r="D2" s="7"/>
      <c r="E2" s="9"/>
      <c r="F2" s="7"/>
      <c r="G2" s="7"/>
    </row>
    <row r="3">
      <c r="B3" s="228" t="s">
        <v>504</v>
      </c>
      <c r="C3" s="10"/>
      <c r="D3" s="7"/>
      <c r="E3" s="9"/>
      <c r="F3" s="7"/>
      <c r="G3" s="7"/>
    </row>
    <row r="4">
      <c r="B4" s="7"/>
      <c r="C4" s="10"/>
      <c r="D4" s="7"/>
      <c r="E4" s="9"/>
      <c r="F4" s="7"/>
      <c r="G4" s="7"/>
    </row>
    <row r="5">
      <c r="B5" s="7"/>
      <c r="C5" s="10"/>
      <c r="D5" s="7"/>
      <c r="E5" s="229" t="s">
        <v>505</v>
      </c>
      <c r="F5" s="7" t="s">
        <v>506</v>
      </c>
      <c r="G5" s="230" t="s">
        <v>507</v>
      </c>
      <c r="H5" s="230" t="s">
        <v>508</v>
      </c>
      <c r="J5" s="230" t="s">
        <v>10</v>
      </c>
    </row>
    <row r="6">
      <c r="B6" s="7" t="s">
        <v>19</v>
      </c>
      <c r="C6" s="33"/>
      <c r="E6" s="23"/>
      <c r="F6" s="7" t="s">
        <v>506</v>
      </c>
    </row>
    <row r="7">
      <c r="C7" s="10" t="s">
        <v>509</v>
      </c>
      <c r="E7" s="231" t="s">
        <v>23</v>
      </c>
      <c r="F7" s="7" t="s">
        <v>506</v>
      </c>
      <c r="G7" s="37">
        <v>2534.0</v>
      </c>
      <c r="H7" s="7" t="s">
        <v>22</v>
      </c>
      <c r="J7" s="41" t="s">
        <v>510</v>
      </c>
    </row>
    <row r="8">
      <c r="C8" s="10" t="s">
        <v>511</v>
      </c>
      <c r="E8" s="232" t="s">
        <v>512</v>
      </c>
      <c r="F8" s="7" t="s">
        <v>506</v>
      </c>
      <c r="G8" s="50">
        <v>50.0</v>
      </c>
      <c r="H8" s="7" t="s">
        <v>513</v>
      </c>
    </row>
    <row r="9">
      <c r="C9" s="10" t="s">
        <v>514</v>
      </c>
      <c r="E9" s="9"/>
      <c r="F9" s="7"/>
      <c r="G9" s="50">
        <f>G7*G8</f>
        <v>126700</v>
      </c>
      <c r="H9" s="7" t="s">
        <v>515</v>
      </c>
    </row>
    <row r="10">
      <c r="C10" s="10" t="s">
        <v>516</v>
      </c>
      <c r="E10" s="232" t="s">
        <v>517</v>
      </c>
      <c r="F10" s="7"/>
      <c r="G10" s="50">
        <v>30.0</v>
      </c>
      <c r="H10" s="7" t="s">
        <v>513</v>
      </c>
    </row>
    <row r="11">
      <c r="C11" s="10" t="s">
        <v>518</v>
      </c>
      <c r="E11" s="9"/>
      <c r="F11" s="7"/>
      <c r="G11" s="50">
        <f>G10*G7</f>
        <v>76020</v>
      </c>
      <c r="H11" s="7" t="s">
        <v>515</v>
      </c>
    </row>
    <row r="12">
      <c r="B12" s="23"/>
      <c r="C12" s="33"/>
      <c r="E12" s="23"/>
      <c r="F12" s="7" t="s">
        <v>506</v>
      </c>
    </row>
    <row r="13">
      <c r="B13" s="9" t="s">
        <v>519</v>
      </c>
      <c r="C13" s="33"/>
      <c r="E13" s="232" t="s">
        <v>520</v>
      </c>
      <c r="F13" s="7" t="s">
        <v>506</v>
      </c>
    </row>
    <row r="14">
      <c r="B14" s="23"/>
      <c r="C14" s="10" t="s">
        <v>521</v>
      </c>
      <c r="E14" s="232" t="s">
        <v>522</v>
      </c>
      <c r="F14" s="7" t="s">
        <v>506</v>
      </c>
      <c r="G14" s="233">
        <v>3085.0</v>
      </c>
      <c r="J14" s="7" t="s">
        <v>523</v>
      </c>
    </row>
    <row r="15">
      <c r="B15" s="23"/>
      <c r="C15" s="10" t="s">
        <v>524</v>
      </c>
      <c r="E15" s="9"/>
      <c r="F15" s="7"/>
      <c r="G15" s="234"/>
      <c r="J15" s="7" t="s">
        <v>525</v>
      </c>
    </row>
    <row r="16">
      <c r="B16" s="23"/>
      <c r="C16" s="10" t="s">
        <v>177</v>
      </c>
      <c r="E16" s="23"/>
      <c r="F16" s="7" t="s">
        <v>506</v>
      </c>
      <c r="G16" s="235">
        <v>322.0</v>
      </c>
      <c r="J16" s="148" t="s">
        <v>526</v>
      </c>
    </row>
    <row r="17">
      <c r="B17" s="23"/>
      <c r="C17" s="10" t="s">
        <v>527</v>
      </c>
      <c r="E17" s="23"/>
      <c r="F17" s="7"/>
      <c r="G17" s="236">
        <f>G16/27</f>
        <v>11.92592593</v>
      </c>
      <c r="J17" s="7"/>
    </row>
    <row r="18">
      <c r="B18" s="23"/>
      <c r="C18" s="10" t="s">
        <v>528</v>
      </c>
      <c r="E18" s="23"/>
      <c r="F18" s="7" t="s">
        <v>506</v>
      </c>
      <c r="G18" s="237">
        <v>2.678</v>
      </c>
      <c r="J18" s="7" t="s">
        <v>529</v>
      </c>
    </row>
    <row r="19">
      <c r="B19" s="23"/>
      <c r="C19" s="10" t="s">
        <v>138</v>
      </c>
      <c r="E19" s="23"/>
      <c r="F19" s="7"/>
      <c r="G19" s="237"/>
      <c r="J19" s="7"/>
    </row>
    <row r="20">
      <c r="C20" s="10" t="s">
        <v>188</v>
      </c>
      <c r="E20" s="23"/>
      <c r="F20" s="7"/>
      <c r="G20" s="108">
        <f>G16*G18</f>
        <v>862.316</v>
      </c>
    </row>
    <row r="21">
      <c r="C21" s="10"/>
      <c r="E21" s="23"/>
      <c r="F21" s="7"/>
    </row>
    <row r="22">
      <c r="B22" s="9" t="s">
        <v>530</v>
      </c>
      <c r="C22" s="33"/>
      <c r="E22" s="23"/>
      <c r="F22" s="7" t="s">
        <v>506</v>
      </c>
    </row>
    <row r="23">
      <c r="B23" s="23"/>
      <c r="C23" s="10" t="s">
        <v>521</v>
      </c>
      <c r="E23" s="23"/>
      <c r="F23" s="7" t="s">
        <v>506</v>
      </c>
      <c r="G23" s="233">
        <v>4726.0</v>
      </c>
    </row>
    <row r="24">
      <c r="B24" s="23"/>
      <c r="C24" s="10" t="s">
        <v>177</v>
      </c>
      <c r="E24" s="23"/>
      <c r="F24" s="7"/>
      <c r="G24" s="238"/>
    </row>
    <row r="25">
      <c r="B25" s="23"/>
      <c r="C25" s="10" t="s">
        <v>13</v>
      </c>
      <c r="E25" s="23"/>
      <c r="F25" s="7"/>
      <c r="G25" s="238"/>
    </row>
    <row r="26">
      <c r="B26" s="23"/>
      <c r="C26" s="10" t="s">
        <v>138</v>
      </c>
      <c r="E26" s="23"/>
      <c r="F26" s="7"/>
      <c r="G26" s="238"/>
    </row>
    <row r="27">
      <c r="B27" s="23"/>
      <c r="C27" s="10" t="s">
        <v>188</v>
      </c>
      <c r="E27" s="23"/>
      <c r="F27" s="7"/>
    </row>
    <row r="28">
      <c r="C28" s="33"/>
      <c r="E28" s="23"/>
      <c r="F28" s="7" t="s">
        <v>506</v>
      </c>
    </row>
    <row r="29">
      <c r="B29" s="9" t="s">
        <v>531</v>
      </c>
      <c r="C29" s="33"/>
      <c r="E29" s="23"/>
      <c r="F29" s="7" t="s">
        <v>506</v>
      </c>
      <c r="J29" s="239" t="s">
        <v>532</v>
      </c>
    </row>
    <row r="30">
      <c r="B30" s="23"/>
      <c r="C30" s="10" t="s">
        <v>533</v>
      </c>
      <c r="E30" s="9" t="s">
        <v>506</v>
      </c>
      <c r="F30" s="7" t="s">
        <v>506</v>
      </c>
      <c r="G30" s="233">
        <v>3093.0</v>
      </c>
      <c r="J30" s="7" t="s">
        <v>534</v>
      </c>
    </row>
    <row r="31">
      <c r="B31" s="23"/>
      <c r="C31" s="10" t="s">
        <v>535</v>
      </c>
      <c r="E31" s="9"/>
      <c r="F31" s="7"/>
      <c r="G31" s="233"/>
      <c r="J31" s="7"/>
    </row>
    <row r="32">
      <c r="B32" s="23"/>
      <c r="C32" s="10" t="s">
        <v>524</v>
      </c>
      <c r="E32" s="9"/>
      <c r="F32" s="7"/>
      <c r="G32" s="234"/>
      <c r="J32" s="7" t="s">
        <v>525</v>
      </c>
    </row>
    <row r="33">
      <c r="B33" s="23"/>
      <c r="C33" s="10" t="s">
        <v>536</v>
      </c>
      <c r="E33" s="232" t="s">
        <v>537</v>
      </c>
      <c r="F33" s="7" t="s">
        <v>506</v>
      </c>
      <c r="G33" s="235">
        <v>243.0</v>
      </c>
      <c r="J33" s="7" t="s">
        <v>538</v>
      </c>
    </row>
    <row r="34">
      <c r="B34" s="9"/>
      <c r="C34" s="10" t="s">
        <v>528</v>
      </c>
      <c r="E34" s="232" t="s">
        <v>539</v>
      </c>
      <c r="F34" s="7" t="s">
        <v>506</v>
      </c>
      <c r="G34" s="103">
        <v>3.466</v>
      </c>
      <c r="J34" s="7" t="s">
        <v>529</v>
      </c>
    </row>
    <row r="35">
      <c r="B35" s="9"/>
      <c r="C35" s="10" t="s">
        <v>138</v>
      </c>
      <c r="E35" s="9"/>
      <c r="F35" s="7"/>
      <c r="G35" s="103"/>
      <c r="J35" s="7"/>
    </row>
    <row r="36">
      <c r="B36" s="9"/>
      <c r="C36" s="10" t="s">
        <v>188</v>
      </c>
      <c r="E36" s="23"/>
      <c r="F36" s="7"/>
      <c r="G36" s="108">
        <f>G33*G34</f>
        <v>842.238</v>
      </c>
    </row>
    <row r="37">
      <c r="B37" s="9"/>
      <c r="C37" s="33"/>
      <c r="E37" s="23"/>
      <c r="F37" s="7"/>
    </row>
    <row r="38">
      <c r="B38" s="9" t="s">
        <v>540</v>
      </c>
      <c r="C38" s="33"/>
      <c r="E38" s="23"/>
      <c r="F38" s="7" t="s">
        <v>506</v>
      </c>
    </row>
    <row r="39">
      <c r="B39" s="23"/>
      <c r="C39" s="10" t="s">
        <v>521</v>
      </c>
      <c r="E39" s="232" t="s">
        <v>541</v>
      </c>
      <c r="F39" s="7" t="s">
        <v>506</v>
      </c>
      <c r="G39" s="233">
        <v>14678.0</v>
      </c>
      <c r="J39" s="7" t="s">
        <v>542</v>
      </c>
    </row>
    <row r="40">
      <c r="B40" s="23"/>
      <c r="C40" s="10" t="s">
        <v>524</v>
      </c>
      <c r="E40" s="23"/>
      <c r="F40" s="7"/>
      <c r="G40" s="234"/>
      <c r="J40" s="7" t="s">
        <v>525</v>
      </c>
    </row>
    <row r="41">
      <c r="B41" s="23"/>
      <c r="C41" s="10" t="s">
        <v>543</v>
      </c>
      <c r="E41" s="23"/>
      <c r="F41" s="7"/>
      <c r="G41" s="235"/>
    </row>
    <row r="42">
      <c r="B42" s="23"/>
      <c r="C42" s="10" t="s">
        <v>544</v>
      </c>
      <c r="E42" s="23"/>
      <c r="F42" s="7"/>
      <c r="G42" s="235"/>
    </row>
    <row r="43">
      <c r="B43" s="23"/>
      <c r="C43" s="10" t="s">
        <v>177</v>
      </c>
      <c r="E43" s="23"/>
      <c r="F43" s="7" t="s">
        <v>506</v>
      </c>
      <c r="G43" s="235">
        <v>1500.0</v>
      </c>
    </row>
    <row r="44">
      <c r="B44" s="23"/>
      <c r="C44" s="10" t="s">
        <v>13</v>
      </c>
      <c r="E44" s="23"/>
      <c r="F44" s="7" t="s">
        <v>506</v>
      </c>
      <c r="G44" s="237">
        <v>0.24</v>
      </c>
    </row>
    <row r="45">
      <c r="B45" s="23"/>
      <c r="C45" s="10" t="s">
        <v>138</v>
      </c>
      <c r="E45" s="23"/>
      <c r="F45" s="7"/>
      <c r="G45" s="237"/>
    </row>
    <row r="46">
      <c r="B46" s="23"/>
      <c r="C46" s="10" t="s">
        <v>188</v>
      </c>
      <c r="E46" s="23"/>
      <c r="F46" s="7" t="s">
        <v>506</v>
      </c>
      <c r="G46" s="108">
        <f>G43*G44</f>
        <v>360</v>
      </c>
    </row>
    <row r="47">
      <c r="B47" s="9"/>
      <c r="C47" s="33"/>
      <c r="E47" s="23"/>
      <c r="F47" s="7"/>
    </row>
    <row r="48">
      <c r="B48" s="9" t="s">
        <v>545</v>
      </c>
      <c r="C48" s="33"/>
      <c r="E48" s="23"/>
      <c r="F48" s="7"/>
    </row>
    <row r="49">
      <c r="B49" s="9"/>
      <c r="C49" s="10" t="s">
        <v>521</v>
      </c>
      <c r="E49" s="23"/>
      <c r="F49" s="7"/>
      <c r="G49" s="233">
        <v>3267.0</v>
      </c>
    </row>
    <row r="50">
      <c r="B50" s="9"/>
      <c r="C50" s="10" t="s">
        <v>524</v>
      </c>
      <c r="E50" s="23"/>
      <c r="F50" s="7"/>
      <c r="G50" s="234"/>
      <c r="J50" s="7" t="s">
        <v>525</v>
      </c>
    </row>
    <row r="51">
      <c r="B51" s="9"/>
      <c r="C51" s="10" t="s">
        <v>543</v>
      </c>
      <c r="E51" s="23"/>
      <c r="F51" s="7"/>
      <c r="G51" s="238"/>
      <c r="J51" s="7"/>
    </row>
    <row r="52">
      <c r="B52" s="9"/>
      <c r="C52" s="10" t="s">
        <v>544</v>
      </c>
      <c r="E52" s="23"/>
      <c r="F52" s="7"/>
      <c r="G52" s="238"/>
      <c r="J52" s="7"/>
    </row>
    <row r="53">
      <c r="B53" s="9"/>
      <c r="C53" s="10" t="s">
        <v>177</v>
      </c>
      <c r="E53" s="23"/>
      <c r="F53" s="7"/>
      <c r="G53" s="238"/>
    </row>
    <row r="54">
      <c r="B54" s="9"/>
      <c r="C54" s="10" t="s">
        <v>13</v>
      </c>
      <c r="E54" s="23"/>
      <c r="F54" s="7"/>
      <c r="G54" s="238"/>
    </row>
    <row r="55">
      <c r="B55" s="9"/>
      <c r="C55" s="10" t="s">
        <v>138</v>
      </c>
      <c r="E55" s="23"/>
      <c r="F55" s="7"/>
      <c r="G55" s="238"/>
    </row>
    <row r="56">
      <c r="B56" s="9"/>
      <c r="C56" s="10" t="s">
        <v>188</v>
      </c>
      <c r="E56" s="23"/>
      <c r="F56" s="7"/>
    </row>
    <row r="57">
      <c r="B57" s="9"/>
      <c r="C57" s="10"/>
      <c r="E57" s="23"/>
      <c r="F57" s="7"/>
    </row>
    <row r="58">
      <c r="B58" s="9" t="s">
        <v>546</v>
      </c>
      <c r="C58" s="33"/>
      <c r="E58" s="23"/>
      <c r="F58" s="7" t="s">
        <v>506</v>
      </c>
    </row>
    <row r="59">
      <c r="B59" s="23"/>
      <c r="C59" s="10" t="s">
        <v>547</v>
      </c>
      <c r="E59" s="23"/>
      <c r="F59" s="7" t="s">
        <v>506</v>
      </c>
      <c r="G59" s="128">
        <f>G39-(G14+G30)</f>
        <v>8500</v>
      </c>
      <c r="J59" s="7" t="s">
        <v>548</v>
      </c>
    </row>
    <row r="60">
      <c r="B60" s="23"/>
      <c r="C60" s="10" t="s">
        <v>192</v>
      </c>
      <c r="E60" s="23"/>
      <c r="F60" s="7"/>
      <c r="G60" s="240">
        <v>0.05</v>
      </c>
    </row>
    <row r="61">
      <c r="B61" s="23"/>
      <c r="C61" s="10" t="s">
        <v>549</v>
      </c>
      <c r="E61" s="23"/>
      <c r="F61" s="7"/>
      <c r="G61" s="108">
        <f>PMT(G60,30,-G59)</f>
        <v>552.9371982</v>
      </c>
    </row>
    <row r="62">
      <c r="B62" s="23"/>
      <c r="C62" s="10" t="s">
        <v>550</v>
      </c>
      <c r="E62" s="23"/>
      <c r="F62" s="7" t="s">
        <v>506</v>
      </c>
      <c r="G62" s="108">
        <f>G46-(G1+G20)</f>
        <v>-502.316</v>
      </c>
    </row>
    <row r="63">
      <c r="B63" s="23"/>
      <c r="C63" s="10" t="s">
        <v>551</v>
      </c>
      <c r="E63" s="23"/>
      <c r="F63" s="7" t="s">
        <v>506</v>
      </c>
      <c r="G63" s="108">
        <f>G62-G61</f>
        <v>-1055.253198</v>
      </c>
    </row>
    <row r="64">
      <c r="B64" s="23"/>
      <c r="C64" s="10" t="s">
        <v>552</v>
      </c>
      <c r="E64" s="23"/>
      <c r="F64" s="7" t="s">
        <v>506</v>
      </c>
      <c r="G64" s="108">
        <f>30*G63</f>
        <v>-31657.59595</v>
      </c>
    </row>
    <row r="65">
      <c r="B65" s="23"/>
      <c r="C65" s="33"/>
      <c r="E65" s="23"/>
      <c r="F65" s="7" t="s">
        <v>506</v>
      </c>
    </row>
    <row r="66">
      <c r="B66" s="23"/>
      <c r="C66" s="33"/>
      <c r="E66" s="23"/>
      <c r="F66" s="7" t="s">
        <v>506</v>
      </c>
    </row>
    <row r="67">
      <c r="B67" s="23"/>
      <c r="C67" s="33"/>
      <c r="E67" s="23"/>
      <c r="F67" s="7" t="s">
        <v>506</v>
      </c>
    </row>
    <row r="68">
      <c r="B68" s="23"/>
      <c r="C68" s="33"/>
      <c r="E68" s="23"/>
      <c r="F68" s="7" t="s">
        <v>506</v>
      </c>
    </row>
    <row r="69">
      <c r="B69" s="23"/>
      <c r="C69" s="33"/>
      <c r="E69" s="23"/>
      <c r="F69" s="7" t="s">
        <v>506</v>
      </c>
    </row>
    <row r="70">
      <c r="B70" s="23"/>
      <c r="C70" s="33"/>
      <c r="E70" s="23"/>
      <c r="F70" s="7" t="s">
        <v>506</v>
      </c>
    </row>
    <row r="71">
      <c r="B71" s="23"/>
      <c r="C71" s="33"/>
      <c r="E71" s="23"/>
      <c r="F71" s="7" t="s">
        <v>506</v>
      </c>
    </row>
    <row r="72">
      <c r="B72" s="23"/>
      <c r="C72" s="33"/>
      <c r="E72" s="23"/>
      <c r="F72" s="7" t="s">
        <v>506</v>
      </c>
    </row>
    <row r="73">
      <c r="B73" s="23"/>
      <c r="C73" s="33"/>
      <c r="E73" s="23"/>
      <c r="F73" s="7" t="s">
        <v>506</v>
      </c>
    </row>
    <row r="74">
      <c r="B74" s="23"/>
      <c r="C74" s="33"/>
      <c r="E74" s="23"/>
      <c r="F74" s="7" t="s">
        <v>506</v>
      </c>
    </row>
    <row r="75">
      <c r="B75" s="23"/>
      <c r="C75" s="33"/>
      <c r="E75" s="23"/>
      <c r="F75" s="7" t="s">
        <v>506</v>
      </c>
    </row>
    <row r="76">
      <c r="B76" s="23"/>
      <c r="C76" s="33"/>
      <c r="E76" s="23"/>
      <c r="F76" s="7" t="s">
        <v>506</v>
      </c>
    </row>
    <row r="77">
      <c r="B77" s="23"/>
      <c r="C77" s="33"/>
      <c r="E77" s="23"/>
      <c r="F77" s="7" t="s">
        <v>506</v>
      </c>
    </row>
    <row r="78">
      <c r="B78" s="23"/>
      <c r="C78" s="33"/>
      <c r="E78" s="23"/>
      <c r="F78" s="7" t="s">
        <v>506</v>
      </c>
    </row>
    <row r="79">
      <c r="B79" s="23"/>
      <c r="C79" s="33"/>
      <c r="E79" s="23"/>
      <c r="F79" s="7" t="s">
        <v>506</v>
      </c>
    </row>
    <row r="80">
      <c r="B80" s="23"/>
      <c r="C80" s="33"/>
      <c r="E80" s="23"/>
      <c r="F80" s="7" t="s">
        <v>506</v>
      </c>
    </row>
    <row r="81">
      <c r="B81" s="23"/>
      <c r="C81" s="33"/>
      <c r="E81" s="23"/>
      <c r="F81" s="7" t="s">
        <v>506</v>
      </c>
    </row>
    <row r="82">
      <c r="B82" s="23"/>
      <c r="C82" s="33"/>
      <c r="E82" s="23"/>
      <c r="F82" s="7" t="s">
        <v>506</v>
      </c>
    </row>
    <row r="83">
      <c r="B83" s="23"/>
      <c r="C83" s="33"/>
      <c r="E83" s="23"/>
      <c r="F83" s="7" t="s">
        <v>506</v>
      </c>
    </row>
    <row r="84">
      <c r="B84" s="23"/>
      <c r="C84" s="33"/>
      <c r="E84" s="23"/>
      <c r="F84" s="7" t="s">
        <v>506</v>
      </c>
    </row>
    <row r="85">
      <c r="B85" s="23"/>
      <c r="C85" s="33"/>
      <c r="E85" s="23"/>
      <c r="F85" s="7" t="s">
        <v>506</v>
      </c>
    </row>
    <row r="86">
      <c r="B86" s="23"/>
      <c r="C86" s="33"/>
      <c r="E86" s="23"/>
      <c r="F86" s="7" t="s">
        <v>506</v>
      </c>
    </row>
    <row r="87">
      <c r="B87" s="23"/>
      <c r="C87" s="33"/>
      <c r="E87" s="23"/>
      <c r="F87" s="7" t="s">
        <v>506</v>
      </c>
    </row>
    <row r="88">
      <c r="B88" s="23"/>
      <c r="C88" s="33"/>
      <c r="E88" s="23"/>
      <c r="F88" s="7" t="s">
        <v>506</v>
      </c>
    </row>
    <row r="89">
      <c r="B89" s="23"/>
      <c r="C89" s="33"/>
      <c r="E89" s="23"/>
    </row>
    <row r="90">
      <c r="B90" s="23"/>
      <c r="C90" s="33"/>
      <c r="E90" s="23"/>
    </row>
    <row r="91">
      <c r="B91" s="23"/>
      <c r="C91" s="33"/>
      <c r="E91" s="23"/>
    </row>
    <row r="92">
      <c r="B92" s="23"/>
      <c r="C92" s="33"/>
      <c r="E92" s="23"/>
    </row>
    <row r="93">
      <c r="B93" s="23"/>
      <c r="C93" s="33"/>
      <c r="E93" s="23"/>
    </row>
    <row r="94">
      <c r="B94" s="23"/>
      <c r="C94" s="33"/>
      <c r="E94" s="23"/>
    </row>
    <row r="95">
      <c r="B95" s="23"/>
      <c r="C95" s="33"/>
      <c r="E95" s="23"/>
    </row>
    <row r="96">
      <c r="B96" s="23"/>
      <c r="C96" s="33"/>
      <c r="E96" s="23"/>
    </row>
    <row r="97">
      <c r="B97" s="23"/>
      <c r="C97" s="33"/>
      <c r="E97" s="23"/>
    </row>
    <row r="98">
      <c r="B98" s="23"/>
      <c r="C98" s="33"/>
      <c r="E98" s="23"/>
    </row>
    <row r="99">
      <c r="B99" s="23"/>
      <c r="C99" s="33"/>
      <c r="E99" s="23"/>
    </row>
    <row r="100">
      <c r="B100" s="23"/>
      <c r="C100" s="33"/>
      <c r="E100" s="23"/>
    </row>
    <row r="101">
      <c r="B101" s="23"/>
      <c r="C101" s="33"/>
      <c r="E101" s="23"/>
    </row>
    <row r="102">
      <c r="B102" s="23"/>
      <c r="C102" s="33"/>
      <c r="E102" s="23"/>
    </row>
    <row r="103">
      <c r="B103" s="23"/>
      <c r="C103" s="33"/>
      <c r="E103" s="23"/>
    </row>
    <row r="104">
      <c r="B104" s="23"/>
      <c r="C104" s="33"/>
      <c r="E104" s="23"/>
    </row>
    <row r="105">
      <c r="B105" s="23"/>
      <c r="C105" s="33"/>
      <c r="E105" s="23"/>
    </row>
    <row r="106">
      <c r="B106" s="23"/>
      <c r="C106" s="33"/>
      <c r="E106" s="23"/>
    </row>
    <row r="107">
      <c r="B107" s="23"/>
      <c r="C107" s="33"/>
      <c r="E107" s="23"/>
    </row>
    <row r="108">
      <c r="B108" s="23"/>
      <c r="C108" s="33"/>
      <c r="E108" s="23"/>
    </row>
    <row r="109">
      <c r="B109" s="23"/>
      <c r="C109" s="33"/>
      <c r="E109" s="23"/>
    </row>
    <row r="110">
      <c r="B110" s="23"/>
      <c r="C110" s="33"/>
      <c r="E110" s="23"/>
    </row>
    <row r="111">
      <c r="B111" s="23"/>
      <c r="C111" s="33"/>
      <c r="E111" s="23"/>
    </row>
    <row r="112">
      <c r="B112" s="23"/>
      <c r="C112" s="33"/>
      <c r="E112" s="23"/>
    </row>
    <row r="113">
      <c r="B113" s="23"/>
      <c r="C113" s="33"/>
      <c r="E113" s="23"/>
    </row>
    <row r="114">
      <c r="B114" s="23"/>
      <c r="C114" s="33"/>
      <c r="E114" s="23"/>
    </row>
    <row r="115">
      <c r="B115" s="23"/>
      <c r="C115" s="33"/>
      <c r="E115" s="23"/>
    </row>
    <row r="116">
      <c r="B116" s="23"/>
      <c r="C116" s="33"/>
      <c r="E116" s="23"/>
    </row>
    <row r="117">
      <c r="B117" s="23"/>
      <c r="C117" s="33"/>
      <c r="E117" s="23"/>
    </row>
    <row r="118">
      <c r="B118" s="23"/>
      <c r="C118" s="33"/>
      <c r="E118" s="23"/>
    </row>
    <row r="119">
      <c r="B119" s="23"/>
      <c r="C119" s="33"/>
      <c r="E119" s="23"/>
    </row>
    <row r="120">
      <c r="B120" s="23"/>
      <c r="C120" s="33"/>
      <c r="E120" s="23"/>
    </row>
    <row r="121">
      <c r="B121" s="23"/>
      <c r="C121" s="33"/>
      <c r="E121" s="23"/>
    </row>
    <row r="122">
      <c r="B122" s="23"/>
      <c r="C122" s="33"/>
      <c r="E122" s="23"/>
    </row>
    <row r="123">
      <c r="B123" s="23"/>
      <c r="C123" s="33"/>
      <c r="E123" s="23"/>
    </row>
    <row r="124">
      <c r="B124" s="23"/>
      <c r="C124" s="33"/>
      <c r="E124" s="23"/>
    </row>
    <row r="125">
      <c r="B125" s="23"/>
      <c r="C125" s="33"/>
      <c r="E125" s="23"/>
    </row>
    <row r="126">
      <c r="B126" s="23"/>
      <c r="C126" s="33"/>
      <c r="E126" s="23"/>
    </row>
    <row r="127">
      <c r="B127" s="23"/>
      <c r="C127" s="33"/>
      <c r="E127" s="23"/>
    </row>
    <row r="128">
      <c r="B128" s="23"/>
      <c r="C128" s="33"/>
      <c r="E128" s="23"/>
    </row>
    <row r="129">
      <c r="B129" s="23"/>
      <c r="C129" s="33"/>
      <c r="E129" s="23"/>
    </row>
    <row r="130">
      <c r="B130" s="23"/>
      <c r="C130" s="33"/>
      <c r="E130" s="23"/>
    </row>
    <row r="131">
      <c r="B131" s="23"/>
      <c r="C131" s="33"/>
      <c r="E131" s="23"/>
    </row>
    <row r="132">
      <c r="B132" s="23"/>
      <c r="C132" s="33"/>
      <c r="E132" s="23"/>
    </row>
    <row r="133">
      <c r="B133" s="23"/>
      <c r="C133" s="33"/>
      <c r="E133" s="23"/>
    </row>
    <row r="134">
      <c r="B134" s="23"/>
      <c r="C134" s="33"/>
      <c r="E134" s="23"/>
    </row>
    <row r="135">
      <c r="B135" s="23"/>
      <c r="C135" s="33"/>
      <c r="E135" s="23"/>
    </row>
    <row r="136">
      <c r="B136" s="23"/>
      <c r="C136" s="33"/>
      <c r="E136" s="23"/>
    </row>
    <row r="137">
      <c r="B137" s="23"/>
      <c r="C137" s="33"/>
      <c r="E137" s="23"/>
    </row>
    <row r="138">
      <c r="B138" s="23"/>
      <c r="C138" s="33"/>
      <c r="E138" s="23"/>
    </row>
    <row r="139">
      <c r="B139" s="23"/>
      <c r="C139" s="33"/>
      <c r="E139" s="23"/>
    </row>
    <row r="140">
      <c r="B140" s="23"/>
      <c r="C140" s="33"/>
      <c r="E140" s="23"/>
    </row>
    <row r="141">
      <c r="B141" s="23"/>
      <c r="C141" s="33"/>
      <c r="E141" s="23"/>
    </row>
    <row r="142">
      <c r="B142" s="23"/>
      <c r="C142" s="33"/>
      <c r="E142" s="23"/>
    </row>
    <row r="143">
      <c r="B143" s="23"/>
      <c r="C143" s="33"/>
      <c r="E143" s="23"/>
    </row>
    <row r="144">
      <c r="B144" s="23"/>
      <c r="C144" s="33"/>
      <c r="E144" s="23"/>
    </row>
    <row r="145">
      <c r="B145" s="23"/>
      <c r="C145" s="33"/>
      <c r="E145" s="23"/>
    </row>
    <row r="146">
      <c r="B146" s="23"/>
      <c r="C146" s="33"/>
      <c r="E146" s="23"/>
    </row>
    <row r="147">
      <c r="B147" s="23"/>
      <c r="C147" s="33"/>
      <c r="E147" s="23"/>
    </row>
    <row r="148">
      <c r="B148" s="23"/>
      <c r="C148" s="33"/>
      <c r="E148" s="23"/>
    </row>
    <row r="149">
      <c r="B149" s="23"/>
      <c r="C149" s="33"/>
      <c r="E149" s="23"/>
    </row>
    <row r="150">
      <c r="B150" s="23"/>
      <c r="C150" s="33"/>
      <c r="E150" s="23"/>
    </row>
    <row r="151">
      <c r="B151" s="23"/>
      <c r="C151" s="33"/>
      <c r="E151" s="23"/>
    </row>
    <row r="152">
      <c r="B152" s="23"/>
      <c r="C152" s="33"/>
      <c r="E152" s="23"/>
    </row>
    <row r="153">
      <c r="B153" s="23"/>
      <c r="C153" s="33"/>
      <c r="E153" s="23"/>
    </row>
    <row r="154">
      <c r="B154" s="23"/>
      <c r="C154" s="33"/>
      <c r="E154" s="23"/>
    </row>
    <row r="155">
      <c r="B155" s="23"/>
      <c r="C155" s="33"/>
      <c r="E155" s="23"/>
    </row>
    <row r="156">
      <c r="B156" s="23"/>
      <c r="C156" s="33"/>
      <c r="E156" s="23"/>
    </row>
    <row r="157">
      <c r="B157" s="23"/>
      <c r="C157" s="33"/>
      <c r="E157" s="23"/>
    </row>
    <row r="158">
      <c r="B158" s="23"/>
      <c r="C158" s="33"/>
      <c r="E158" s="23"/>
    </row>
    <row r="159">
      <c r="B159" s="23"/>
      <c r="C159" s="33"/>
      <c r="E159" s="23"/>
    </row>
    <row r="160">
      <c r="B160" s="23"/>
      <c r="C160" s="33"/>
      <c r="E160" s="23"/>
    </row>
    <row r="161">
      <c r="B161" s="23"/>
      <c r="C161" s="33"/>
      <c r="E161" s="23"/>
    </row>
    <row r="162">
      <c r="B162" s="23"/>
      <c r="C162" s="33"/>
      <c r="E162" s="23"/>
    </row>
    <row r="163">
      <c r="B163" s="23"/>
      <c r="C163" s="33"/>
      <c r="E163" s="23"/>
    </row>
    <row r="164">
      <c r="B164" s="23"/>
      <c r="C164" s="33"/>
      <c r="E164" s="23"/>
    </row>
    <row r="165">
      <c r="B165" s="23"/>
      <c r="C165" s="33"/>
      <c r="E165" s="23"/>
    </row>
    <row r="166">
      <c r="B166" s="23"/>
      <c r="C166" s="33"/>
      <c r="E166" s="23"/>
    </row>
    <row r="167">
      <c r="B167" s="23"/>
      <c r="C167" s="33"/>
      <c r="E167" s="23"/>
    </row>
    <row r="168">
      <c r="B168" s="23"/>
      <c r="C168" s="33"/>
      <c r="E168" s="23"/>
    </row>
    <row r="169">
      <c r="B169" s="23"/>
      <c r="C169" s="33"/>
      <c r="E169" s="23"/>
    </row>
    <row r="170">
      <c r="C170" s="33"/>
      <c r="E170" s="23"/>
    </row>
    <row r="171">
      <c r="C171" s="33"/>
      <c r="E171" s="23"/>
    </row>
    <row r="172">
      <c r="C172" s="33"/>
      <c r="E172" s="23"/>
    </row>
    <row r="173">
      <c r="C173" s="33"/>
      <c r="E173" s="23"/>
    </row>
    <row r="174">
      <c r="C174" s="33"/>
      <c r="E174" s="23"/>
    </row>
    <row r="175">
      <c r="C175" s="33"/>
      <c r="E175" s="23"/>
    </row>
    <row r="176">
      <c r="C176" s="33"/>
      <c r="E176" s="23"/>
    </row>
    <row r="177">
      <c r="C177" s="33"/>
      <c r="E177" s="23"/>
    </row>
    <row r="178">
      <c r="C178" s="33"/>
      <c r="E178" s="23"/>
    </row>
    <row r="179">
      <c r="C179" s="33"/>
      <c r="E179" s="23"/>
    </row>
    <row r="180">
      <c r="C180" s="33"/>
      <c r="E180" s="23"/>
    </row>
    <row r="181">
      <c r="C181" s="33"/>
      <c r="E181" s="23"/>
    </row>
    <row r="182">
      <c r="C182" s="33"/>
      <c r="E182" s="23"/>
    </row>
    <row r="183">
      <c r="C183" s="33"/>
      <c r="E183" s="23"/>
    </row>
    <row r="184">
      <c r="C184" s="33"/>
      <c r="E184" s="23"/>
    </row>
    <row r="185">
      <c r="C185" s="33"/>
      <c r="E185" s="23"/>
    </row>
    <row r="186">
      <c r="C186" s="33"/>
      <c r="E186" s="23"/>
    </row>
    <row r="187">
      <c r="C187" s="33"/>
      <c r="E187" s="23"/>
    </row>
    <row r="188">
      <c r="C188" s="33"/>
      <c r="E188" s="23"/>
    </row>
    <row r="189">
      <c r="C189" s="33"/>
      <c r="E189" s="23"/>
    </row>
    <row r="190">
      <c r="C190" s="33"/>
      <c r="E190" s="23"/>
    </row>
    <row r="191">
      <c r="C191" s="33"/>
      <c r="E191" s="23"/>
    </row>
    <row r="192">
      <c r="C192" s="33"/>
      <c r="E192" s="23"/>
    </row>
    <row r="193">
      <c r="C193" s="33"/>
      <c r="E193" s="23"/>
    </row>
    <row r="194">
      <c r="C194" s="33"/>
      <c r="E194" s="23"/>
    </row>
    <row r="195">
      <c r="C195" s="33"/>
      <c r="E195" s="23"/>
    </row>
    <row r="196">
      <c r="C196" s="33"/>
      <c r="E196" s="23"/>
    </row>
    <row r="197">
      <c r="C197" s="33"/>
      <c r="E197" s="23"/>
    </row>
    <row r="198">
      <c r="C198" s="33"/>
      <c r="E198" s="23"/>
    </row>
    <row r="199">
      <c r="C199" s="33"/>
      <c r="E199" s="23"/>
    </row>
    <row r="200">
      <c r="C200" s="33"/>
      <c r="E200" s="23"/>
    </row>
    <row r="201">
      <c r="C201" s="33"/>
      <c r="E201" s="23"/>
    </row>
    <row r="202">
      <c r="C202" s="33"/>
      <c r="E202" s="23"/>
    </row>
    <row r="203">
      <c r="C203" s="33"/>
      <c r="E203" s="23"/>
    </row>
    <row r="204">
      <c r="C204" s="33"/>
      <c r="E204" s="23"/>
    </row>
    <row r="205">
      <c r="C205" s="33"/>
      <c r="E205" s="23"/>
    </row>
    <row r="206">
      <c r="C206" s="33"/>
      <c r="E206" s="23"/>
    </row>
    <row r="207">
      <c r="C207" s="33"/>
      <c r="E207" s="23"/>
    </row>
    <row r="208">
      <c r="C208" s="33"/>
      <c r="E208" s="23"/>
    </row>
    <row r="209">
      <c r="C209" s="33"/>
      <c r="E209" s="23"/>
    </row>
    <row r="210">
      <c r="C210" s="33"/>
      <c r="E210" s="23"/>
    </row>
    <row r="211">
      <c r="C211" s="33"/>
      <c r="E211" s="23"/>
    </row>
    <row r="212">
      <c r="C212" s="33"/>
      <c r="E212" s="23"/>
    </row>
    <row r="213">
      <c r="C213" s="33"/>
      <c r="E213" s="23"/>
    </row>
    <row r="214">
      <c r="C214" s="33"/>
      <c r="E214" s="23"/>
    </row>
    <row r="215">
      <c r="C215" s="33"/>
      <c r="E215" s="23"/>
    </row>
    <row r="216">
      <c r="C216" s="33"/>
      <c r="E216" s="23"/>
    </row>
    <row r="217">
      <c r="C217" s="33"/>
      <c r="E217" s="23"/>
    </row>
    <row r="218">
      <c r="C218" s="33"/>
      <c r="E218" s="23"/>
    </row>
    <row r="219">
      <c r="C219" s="33"/>
      <c r="E219" s="23"/>
    </row>
    <row r="220">
      <c r="C220" s="33"/>
      <c r="E220" s="23"/>
    </row>
    <row r="221">
      <c r="C221" s="33"/>
      <c r="E221" s="23"/>
    </row>
    <row r="222">
      <c r="C222" s="33"/>
      <c r="E222" s="23"/>
    </row>
    <row r="223">
      <c r="C223" s="33"/>
      <c r="E223" s="23"/>
    </row>
    <row r="224">
      <c r="C224" s="33"/>
      <c r="E224" s="23"/>
    </row>
    <row r="225">
      <c r="C225" s="33"/>
      <c r="E225" s="23"/>
    </row>
    <row r="226">
      <c r="C226" s="33"/>
      <c r="E226" s="23"/>
    </row>
    <row r="227">
      <c r="C227" s="33"/>
      <c r="E227" s="23"/>
    </row>
    <row r="228">
      <c r="C228" s="33"/>
      <c r="E228" s="23"/>
    </row>
    <row r="229">
      <c r="C229" s="33"/>
      <c r="E229" s="23"/>
    </row>
    <row r="230">
      <c r="C230" s="33"/>
      <c r="E230" s="23"/>
    </row>
    <row r="231">
      <c r="C231" s="33"/>
      <c r="E231" s="23"/>
    </row>
    <row r="232">
      <c r="C232" s="33"/>
      <c r="E232" s="23"/>
    </row>
    <row r="233">
      <c r="C233" s="33"/>
      <c r="E233" s="23"/>
    </row>
    <row r="234">
      <c r="C234" s="33"/>
      <c r="E234" s="23"/>
    </row>
    <row r="235">
      <c r="C235" s="33"/>
      <c r="E235" s="23"/>
    </row>
    <row r="236">
      <c r="C236" s="33"/>
      <c r="E236" s="23"/>
    </row>
    <row r="237">
      <c r="C237" s="33"/>
      <c r="E237" s="23"/>
    </row>
    <row r="238">
      <c r="C238" s="33"/>
      <c r="E238" s="23"/>
    </row>
    <row r="239">
      <c r="C239" s="33"/>
      <c r="E239" s="23"/>
    </row>
    <row r="240">
      <c r="C240" s="33"/>
      <c r="E240" s="23"/>
    </row>
    <row r="241">
      <c r="C241" s="33"/>
      <c r="E241" s="23"/>
    </row>
    <row r="242">
      <c r="C242" s="33"/>
      <c r="E242" s="23"/>
    </row>
    <row r="243">
      <c r="C243" s="33"/>
      <c r="E243" s="23"/>
    </row>
    <row r="244">
      <c r="C244" s="33"/>
      <c r="E244" s="23"/>
    </row>
    <row r="245">
      <c r="C245" s="33"/>
      <c r="E245" s="23"/>
    </row>
    <row r="246">
      <c r="C246" s="33"/>
      <c r="E246" s="23"/>
    </row>
    <row r="247">
      <c r="C247" s="33"/>
      <c r="E247" s="23"/>
    </row>
    <row r="248">
      <c r="C248" s="33"/>
      <c r="E248" s="23"/>
    </row>
    <row r="249">
      <c r="C249" s="33"/>
      <c r="E249" s="23"/>
    </row>
    <row r="250">
      <c r="C250" s="33"/>
      <c r="E250" s="23"/>
    </row>
    <row r="251">
      <c r="C251" s="33"/>
      <c r="E251" s="23"/>
    </row>
    <row r="252">
      <c r="C252" s="33"/>
      <c r="E252" s="23"/>
    </row>
    <row r="253">
      <c r="C253" s="33"/>
      <c r="E253" s="23"/>
    </row>
    <row r="254">
      <c r="C254" s="33"/>
      <c r="E254" s="23"/>
    </row>
    <row r="255">
      <c r="C255" s="33"/>
      <c r="E255" s="23"/>
    </row>
    <row r="256">
      <c r="C256" s="33"/>
      <c r="E256" s="23"/>
    </row>
    <row r="257">
      <c r="C257" s="33"/>
      <c r="E257" s="23"/>
    </row>
    <row r="258">
      <c r="C258" s="33"/>
      <c r="E258" s="23"/>
    </row>
    <row r="259">
      <c r="C259" s="33"/>
      <c r="E259" s="23"/>
    </row>
    <row r="260">
      <c r="C260" s="33"/>
      <c r="E260" s="23"/>
    </row>
    <row r="261">
      <c r="C261" s="33"/>
      <c r="E261" s="23"/>
    </row>
    <row r="262">
      <c r="C262" s="33"/>
      <c r="E262" s="23"/>
    </row>
    <row r="263">
      <c r="C263" s="33"/>
      <c r="E263" s="23"/>
    </row>
    <row r="264">
      <c r="C264" s="33"/>
      <c r="E264" s="23"/>
    </row>
    <row r="265">
      <c r="C265" s="33"/>
      <c r="E265" s="23"/>
    </row>
    <row r="266">
      <c r="C266" s="33"/>
      <c r="E266" s="23"/>
    </row>
    <row r="267">
      <c r="C267" s="33"/>
      <c r="E267" s="23"/>
    </row>
    <row r="268">
      <c r="C268" s="33"/>
      <c r="E268" s="23"/>
    </row>
    <row r="269">
      <c r="C269" s="33"/>
      <c r="E269" s="23"/>
    </row>
    <row r="270">
      <c r="C270" s="33"/>
      <c r="E270" s="23"/>
    </row>
    <row r="271">
      <c r="C271" s="33"/>
      <c r="E271" s="23"/>
    </row>
    <row r="272">
      <c r="C272" s="33"/>
      <c r="E272" s="23"/>
    </row>
    <row r="273">
      <c r="C273" s="33"/>
      <c r="E273" s="23"/>
    </row>
    <row r="274">
      <c r="C274" s="33"/>
      <c r="E274" s="23"/>
    </row>
    <row r="275">
      <c r="C275" s="33"/>
      <c r="E275" s="23"/>
    </row>
    <row r="276">
      <c r="C276" s="33"/>
      <c r="E276" s="23"/>
    </row>
    <row r="277">
      <c r="C277" s="33"/>
      <c r="E277" s="23"/>
    </row>
    <row r="278">
      <c r="C278" s="33"/>
      <c r="E278" s="23"/>
    </row>
    <row r="279">
      <c r="C279" s="33"/>
      <c r="E279" s="23"/>
    </row>
    <row r="280">
      <c r="C280" s="33"/>
      <c r="E280" s="23"/>
    </row>
    <row r="281">
      <c r="C281" s="33"/>
      <c r="E281" s="23"/>
    </row>
    <row r="282">
      <c r="C282" s="33"/>
      <c r="E282" s="23"/>
    </row>
    <row r="283">
      <c r="C283" s="33"/>
      <c r="E283" s="23"/>
    </row>
    <row r="284">
      <c r="C284" s="33"/>
      <c r="E284" s="23"/>
    </row>
    <row r="285">
      <c r="C285" s="33"/>
      <c r="E285" s="23"/>
    </row>
    <row r="286">
      <c r="C286" s="33"/>
      <c r="E286" s="23"/>
    </row>
    <row r="287">
      <c r="C287" s="33"/>
      <c r="E287" s="23"/>
    </row>
    <row r="288">
      <c r="C288" s="33"/>
      <c r="E288" s="23"/>
    </row>
    <row r="289">
      <c r="C289" s="33"/>
      <c r="E289" s="23"/>
    </row>
    <row r="290">
      <c r="C290" s="33"/>
      <c r="E290" s="23"/>
    </row>
    <row r="291">
      <c r="C291" s="33"/>
      <c r="E291" s="23"/>
    </row>
    <row r="292">
      <c r="C292" s="33"/>
      <c r="E292" s="23"/>
    </row>
    <row r="293">
      <c r="C293" s="33"/>
      <c r="E293" s="23"/>
    </row>
    <row r="294">
      <c r="C294" s="33"/>
      <c r="E294" s="23"/>
    </row>
    <row r="295">
      <c r="C295" s="33"/>
      <c r="E295" s="23"/>
    </row>
    <row r="296">
      <c r="C296" s="33"/>
      <c r="E296" s="23"/>
    </row>
    <row r="297">
      <c r="C297" s="33"/>
      <c r="E297" s="23"/>
    </row>
    <row r="298">
      <c r="C298" s="33"/>
      <c r="E298" s="23"/>
    </row>
    <row r="299">
      <c r="C299" s="33"/>
      <c r="E299" s="23"/>
    </row>
    <row r="300">
      <c r="C300" s="33"/>
      <c r="E300" s="23"/>
    </row>
    <row r="301">
      <c r="C301" s="33"/>
      <c r="E301" s="23"/>
    </row>
    <row r="302">
      <c r="C302" s="33"/>
      <c r="E302" s="23"/>
    </row>
    <row r="303">
      <c r="C303" s="33"/>
      <c r="E303" s="23"/>
    </row>
    <row r="304">
      <c r="C304" s="33"/>
      <c r="E304" s="23"/>
    </row>
    <row r="305">
      <c r="C305" s="33"/>
      <c r="E305" s="23"/>
    </row>
    <row r="306">
      <c r="C306" s="33"/>
      <c r="E306" s="23"/>
    </row>
    <row r="307">
      <c r="C307" s="33"/>
      <c r="E307" s="23"/>
    </row>
    <row r="308">
      <c r="C308" s="33"/>
      <c r="E308" s="23"/>
    </row>
    <row r="309">
      <c r="C309" s="33"/>
      <c r="E309" s="23"/>
    </row>
    <row r="310">
      <c r="C310" s="33"/>
      <c r="E310" s="23"/>
    </row>
    <row r="311">
      <c r="C311" s="33"/>
      <c r="E311" s="23"/>
    </row>
    <row r="312">
      <c r="C312" s="33"/>
      <c r="E312" s="23"/>
    </row>
    <row r="313">
      <c r="C313" s="33"/>
      <c r="E313" s="23"/>
    </row>
    <row r="314">
      <c r="C314" s="33"/>
      <c r="E314" s="23"/>
    </row>
    <row r="315">
      <c r="C315" s="33"/>
      <c r="E315" s="23"/>
    </row>
    <row r="316">
      <c r="C316" s="33"/>
      <c r="E316" s="23"/>
    </row>
    <row r="317">
      <c r="C317" s="33"/>
      <c r="E317" s="23"/>
    </row>
    <row r="318">
      <c r="C318" s="33"/>
      <c r="E318" s="23"/>
    </row>
    <row r="319">
      <c r="C319" s="33"/>
      <c r="E319" s="23"/>
    </row>
    <row r="320">
      <c r="C320" s="33"/>
      <c r="E320" s="23"/>
    </row>
    <row r="321">
      <c r="C321" s="33"/>
      <c r="E321" s="23"/>
    </row>
    <row r="322">
      <c r="C322" s="33"/>
      <c r="E322" s="23"/>
    </row>
    <row r="323">
      <c r="C323" s="33"/>
      <c r="E323" s="23"/>
    </row>
    <row r="324">
      <c r="C324" s="33"/>
      <c r="E324" s="23"/>
    </row>
    <row r="325">
      <c r="C325" s="33"/>
      <c r="E325" s="23"/>
    </row>
    <row r="326">
      <c r="C326" s="33"/>
      <c r="E326" s="23"/>
    </row>
    <row r="327">
      <c r="C327" s="33"/>
      <c r="E327" s="23"/>
    </row>
    <row r="328">
      <c r="C328" s="33"/>
      <c r="E328" s="23"/>
    </row>
    <row r="329">
      <c r="C329" s="33"/>
      <c r="E329" s="23"/>
    </row>
    <row r="330">
      <c r="C330" s="33"/>
      <c r="E330" s="23"/>
    </row>
    <row r="331">
      <c r="C331" s="33"/>
      <c r="E331" s="23"/>
    </row>
    <row r="332">
      <c r="C332" s="33"/>
      <c r="E332" s="23"/>
    </row>
    <row r="333">
      <c r="C333" s="33"/>
      <c r="E333" s="23"/>
    </row>
    <row r="334">
      <c r="C334" s="33"/>
      <c r="E334" s="23"/>
    </row>
    <row r="335">
      <c r="C335" s="33"/>
      <c r="E335" s="23"/>
    </row>
    <row r="336">
      <c r="C336" s="33"/>
      <c r="E336" s="23"/>
    </row>
    <row r="337">
      <c r="C337" s="33"/>
      <c r="E337" s="23"/>
    </row>
    <row r="338">
      <c r="C338" s="33"/>
      <c r="E338" s="23"/>
    </row>
    <row r="339">
      <c r="C339" s="33"/>
      <c r="E339" s="23"/>
    </row>
    <row r="340">
      <c r="C340" s="33"/>
      <c r="E340" s="23"/>
    </row>
    <row r="341">
      <c r="C341" s="33"/>
      <c r="E341" s="23"/>
    </row>
    <row r="342">
      <c r="C342" s="33"/>
      <c r="E342" s="23"/>
    </row>
    <row r="343">
      <c r="C343" s="33"/>
      <c r="E343" s="23"/>
    </row>
    <row r="344">
      <c r="C344" s="33"/>
      <c r="E344" s="23"/>
    </row>
    <row r="345">
      <c r="C345" s="33"/>
      <c r="E345" s="23"/>
    </row>
    <row r="346">
      <c r="C346" s="33"/>
      <c r="E346" s="23"/>
    </row>
    <row r="347">
      <c r="C347" s="33"/>
      <c r="E347" s="23"/>
    </row>
    <row r="348">
      <c r="C348" s="33"/>
      <c r="E348" s="23"/>
    </row>
    <row r="349">
      <c r="C349" s="33"/>
      <c r="E349" s="23"/>
    </row>
    <row r="350">
      <c r="C350" s="33"/>
      <c r="E350" s="23"/>
    </row>
    <row r="351">
      <c r="C351" s="33"/>
      <c r="E351" s="23"/>
    </row>
    <row r="352">
      <c r="C352" s="33"/>
      <c r="E352" s="23"/>
    </row>
    <row r="353">
      <c r="C353" s="33"/>
      <c r="E353" s="23"/>
    </row>
    <row r="354">
      <c r="C354" s="33"/>
      <c r="E354" s="23"/>
    </row>
    <row r="355">
      <c r="C355" s="33"/>
      <c r="E355" s="23"/>
    </row>
    <row r="356">
      <c r="C356" s="33"/>
      <c r="E356" s="23"/>
    </row>
    <row r="357">
      <c r="C357" s="33"/>
      <c r="E357" s="23"/>
    </row>
    <row r="358">
      <c r="C358" s="33"/>
      <c r="E358" s="23"/>
    </row>
    <row r="359">
      <c r="C359" s="33"/>
      <c r="E359" s="23"/>
    </row>
    <row r="360">
      <c r="C360" s="33"/>
      <c r="E360" s="23"/>
    </row>
    <row r="361">
      <c r="C361" s="33"/>
      <c r="E361" s="23"/>
    </row>
    <row r="362">
      <c r="C362" s="33"/>
      <c r="E362" s="23"/>
    </row>
    <row r="363">
      <c r="C363" s="33"/>
      <c r="E363" s="23"/>
    </row>
    <row r="364">
      <c r="C364" s="33"/>
      <c r="E364" s="23"/>
    </row>
    <row r="365">
      <c r="C365" s="33"/>
      <c r="E365" s="23"/>
    </row>
    <row r="366">
      <c r="C366" s="33"/>
      <c r="E366" s="23"/>
    </row>
    <row r="367">
      <c r="C367" s="33"/>
      <c r="E367" s="23"/>
    </row>
    <row r="368">
      <c r="C368" s="33"/>
      <c r="E368" s="23"/>
    </row>
    <row r="369">
      <c r="C369" s="33"/>
      <c r="E369" s="23"/>
    </row>
    <row r="370">
      <c r="C370" s="33"/>
      <c r="E370" s="23"/>
    </row>
    <row r="371">
      <c r="C371" s="33"/>
      <c r="E371" s="23"/>
    </row>
    <row r="372">
      <c r="C372" s="33"/>
      <c r="E372" s="23"/>
    </row>
    <row r="373">
      <c r="C373" s="33"/>
      <c r="E373" s="23"/>
    </row>
    <row r="374">
      <c r="C374" s="33"/>
      <c r="E374" s="23"/>
    </row>
    <row r="375">
      <c r="C375" s="33"/>
      <c r="E375" s="23"/>
    </row>
    <row r="376">
      <c r="C376" s="33"/>
      <c r="E376" s="23"/>
    </row>
    <row r="377">
      <c r="C377" s="33"/>
      <c r="E377" s="23"/>
    </row>
    <row r="378">
      <c r="C378" s="33"/>
      <c r="E378" s="23"/>
    </row>
    <row r="379">
      <c r="C379" s="33"/>
      <c r="E379" s="23"/>
    </row>
    <row r="380">
      <c r="C380" s="33"/>
      <c r="E380" s="23"/>
    </row>
    <row r="381">
      <c r="C381" s="33"/>
      <c r="E381" s="23"/>
    </row>
    <row r="382">
      <c r="C382" s="33"/>
      <c r="E382" s="23"/>
    </row>
    <row r="383">
      <c r="C383" s="33"/>
      <c r="E383" s="23"/>
    </row>
    <row r="384">
      <c r="C384" s="33"/>
      <c r="E384" s="23"/>
    </row>
    <row r="385">
      <c r="C385" s="33"/>
      <c r="E385" s="23"/>
    </row>
    <row r="386">
      <c r="C386" s="33"/>
      <c r="E386" s="23"/>
    </row>
    <row r="387">
      <c r="C387" s="33"/>
      <c r="E387" s="23"/>
    </row>
    <row r="388">
      <c r="C388" s="33"/>
      <c r="E388" s="23"/>
    </row>
    <row r="389">
      <c r="C389" s="33"/>
      <c r="E389" s="23"/>
    </row>
    <row r="390">
      <c r="C390" s="33"/>
      <c r="E390" s="23"/>
    </row>
    <row r="391">
      <c r="C391" s="33"/>
      <c r="E391" s="23"/>
    </row>
    <row r="392">
      <c r="C392" s="33"/>
      <c r="E392" s="23"/>
    </row>
    <row r="393">
      <c r="C393" s="33"/>
      <c r="E393" s="23"/>
    </row>
    <row r="394">
      <c r="C394" s="33"/>
      <c r="E394" s="23"/>
    </row>
    <row r="395">
      <c r="C395" s="33"/>
      <c r="E395" s="23"/>
    </row>
    <row r="396">
      <c r="C396" s="33"/>
      <c r="E396" s="23"/>
    </row>
    <row r="397">
      <c r="C397" s="33"/>
      <c r="E397" s="23"/>
    </row>
    <row r="398">
      <c r="C398" s="33"/>
      <c r="E398" s="23"/>
    </row>
    <row r="399">
      <c r="C399" s="33"/>
      <c r="E399" s="23"/>
    </row>
    <row r="400">
      <c r="C400" s="33"/>
      <c r="E400" s="23"/>
    </row>
    <row r="401">
      <c r="C401" s="33"/>
      <c r="E401" s="23"/>
    </row>
    <row r="402">
      <c r="C402" s="33"/>
      <c r="E402" s="23"/>
    </row>
    <row r="403">
      <c r="C403" s="33"/>
      <c r="E403" s="23"/>
    </row>
    <row r="404">
      <c r="C404" s="33"/>
      <c r="E404" s="23"/>
    </row>
    <row r="405">
      <c r="C405" s="33"/>
      <c r="E405" s="23"/>
    </row>
    <row r="406">
      <c r="C406" s="33"/>
      <c r="E406" s="23"/>
    </row>
    <row r="407">
      <c r="C407" s="33"/>
      <c r="E407" s="23"/>
    </row>
    <row r="408">
      <c r="C408" s="33"/>
      <c r="E408" s="23"/>
    </row>
    <row r="409">
      <c r="C409" s="33"/>
      <c r="E409" s="23"/>
    </row>
    <row r="410">
      <c r="C410" s="33"/>
      <c r="E410" s="23"/>
    </row>
    <row r="411">
      <c r="C411" s="33"/>
      <c r="E411" s="23"/>
    </row>
    <row r="412">
      <c r="C412" s="33"/>
      <c r="E412" s="23"/>
    </row>
    <row r="413">
      <c r="C413" s="33"/>
      <c r="E413" s="23"/>
    </row>
    <row r="414">
      <c r="C414" s="33"/>
      <c r="E414" s="23"/>
    </row>
    <row r="415">
      <c r="C415" s="33"/>
      <c r="E415" s="23"/>
    </row>
    <row r="416">
      <c r="C416" s="33"/>
      <c r="E416" s="23"/>
    </row>
    <row r="417">
      <c r="C417" s="33"/>
      <c r="E417" s="23"/>
    </row>
    <row r="418">
      <c r="C418" s="33"/>
      <c r="E418" s="23"/>
    </row>
    <row r="419">
      <c r="C419" s="33"/>
      <c r="E419" s="23"/>
    </row>
    <row r="420">
      <c r="C420" s="33"/>
      <c r="E420" s="23"/>
    </row>
    <row r="421">
      <c r="C421" s="33"/>
      <c r="E421" s="23"/>
    </row>
    <row r="422">
      <c r="C422" s="33"/>
      <c r="E422" s="23"/>
    </row>
    <row r="423">
      <c r="C423" s="33"/>
      <c r="E423" s="23"/>
    </row>
    <row r="424">
      <c r="C424" s="33"/>
      <c r="E424" s="23"/>
    </row>
    <row r="425">
      <c r="C425" s="33"/>
      <c r="E425" s="23"/>
    </row>
    <row r="426">
      <c r="C426" s="33"/>
      <c r="E426" s="23"/>
    </row>
    <row r="427">
      <c r="C427" s="33"/>
      <c r="E427" s="23"/>
    </row>
    <row r="428">
      <c r="C428" s="33"/>
      <c r="E428" s="23"/>
    </row>
    <row r="429">
      <c r="C429" s="33"/>
      <c r="E429" s="23"/>
    </row>
    <row r="430">
      <c r="C430" s="33"/>
      <c r="E430" s="23"/>
    </row>
    <row r="431">
      <c r="C431" s="33"/>
      <c r="E431" s="23"/>
    </row>
    <row r="432">
      <c r="C432" s="33"/>
      <c r="E432" s="23"/>
    </row>
    <row r="433">
      <c r="C433" s="33"/>
      <c r="E433" s="23"/>
    </row>
    <row r="434">
      <c r="C434" s="33"/>
      <c r="E434" s="23"/>
    </row>
    <row r="435">
      <c r="C435" s="33"/>
      <c r="E435" s="23"/>
    </row>
    <row r="436">
      <c r="C436" s="33"/>
      <c r="E436" s="23"/>
    </row>
    <row r="437">
      <c r="C437" s="33"/>
      <c r="E437" s="23"/>
    </row>
    <row r="438">
      <c r="C438" s="33"/>
      <c r="E438" s="23"/>
    </row>
    <row r="439">
      <c r="C439" s="33"/>
      <c r="E439" s="23"/>
    </row>
    <row r="440">
      <c r="C440" s="33"/>
      <c r="E440" s="23"/>
    </row>
    <row r="441">
      <c r="C441" s="33"/>
      <c r="E441" s="23"/>
    </row>
    <row r="442">
      <c r="C442" s="33"/>
      <c r="E442" s="23"/>
    </row>
    <row r="443">
      <c r="C443" s="33"/>
      <c r="E443" s="23"/>
    </row>
    <row r="444">
      <c r="C444" s="33"/>
      <c r="E444" s="23"/>
    </row>
    <row r="445">
      <c r="C445" s="33"/>
      <c r="E445" s="23"/>
    </row>
    <row r="446">
      <c r="C446" s="33"/>
      <c r="E446" s="23"/>
    </row>
    <row r="447">
      <c r="C447" s="33"/>
      <c r="E447" s="23"/>
    </row>
    <row r="448">
      <c r="C448" s="33"/>
      <c r="E448" s="23"/>
    </row>
    <row r="449">
      <c r="C449" s="33"/>
      <c r="E449" s="23"/>
    </row>
    <row r="450">
      <c r="C450" s="33"/>
      <c r="E450" s="23"/>
    </row>
    <row r="451">
      <c r="C451" s="33"/>
      <c r="E451" s="23"/>
    </row>
    <row r="452">
      <c r="C452" s="33"/>
      <c r="E452" s="23"/>
    </row>
    <row r="453">
      <c r="C453" s="33"/>
      <c r="E453" s="23"/>
    </row>
    <row r="454">
      <c r="C454" s="33"/>
      <c r="E454" s="23"/>
    </row>
    <row r="455">
      <c r="C455" s="33"/>
      <c r="E455" s="23"/>
    </row>
    <row r="456">
      <c r="C456" s="33"/>
      <c r="E456" s="23"/>
    </row>
    <row r="457">
      <c r="C457" s="33"/>
      <c r="E457" s="23"/>
    </row>
    <row r="458">
      <c r="C458" s="33"/>
      <c r="E458" s="23"/>
    </row>
    <row r="459">
      <c r="C459" s="33"/>
      <c r="E459" s="23"/>
    </row>
    <row r="460">
      <c r="C460" s="33"/>
      <c r="E460" s="23"/>
    </row>
    <row r="461">
      <c r="C461" s="33"/>
      <c r="E461" s="23"/>
    </row>
    <row r="462">
      <c r="C462" s="33"/>
      <c r="E462" s="23"/>
    </row>
    <row r="463">
      <c r="C463" s="33"/>
      <c r="E463" s="23"/>
    </row>
    <row r="464">
      <c r="C464" s="33"/>
      <c r="E464" s="23"/>
    </row>
    <row r="465">
      <c r="C465" s="33"/>
      <c r="E465" s="23"/>
    </row>
    <row r="466">
      <c r="C466" s="33"/>
      <c r="E466" s="23"/>
    </row>
    <row r="467">
      <c r="C467" s="33"/>
      <c r="E467" s="23"/>
    </row>
    <row r="468">
      <c r="C468" s="33"/>
      <c r="E468" s="23"/>
    </row>
    <row r="469">
      <c r="C469" s="33"/>
      <c r="E469" s="23"/>
    </row>
    <row r="470">
      <c r="C470" s="33"/>
      <c r="E470" s="23"/>
    </row>
    <row r="471">
      <c r="C471" s="33"/>
      <c r="E471" s="23"/>
    </row>
    <row r="472">
      <c r="C472" s="33"/>
      <c r="E472" s="23"/>
    </row>
    <row r="473">
      <c r="C473" s="33"/>
      <c r="E473" s="23"/>
    </row>
    <row r="474">
      <c r="C474" s="33"/>
      <c r="E474" s="23"/>
    </row>
    <row r="475">
      <c r="C475" s="33"/>
      <c r="E475" s="23"/>
    </row>
    <row r="476">
      <c r="C476" s="33"/>
      <c r="E476" s="23"/>
    </row>
    <row r="477">
      <c r="C477" s="33"/>
      <c r="E477" s="23"/>
    </row>
    <row r="478">
      <c r="C478" s="33"/>
      <c r="E478" s="23"/>
    </row>
    <row r="479">
      <c r="C479" s="33"/>
      <c r="E479" s="23"/>
    </row>
    <row r="480">
      <c r="C480" s="33"/>
      <c r="E480" s="23"/>
    </row>
    <row r="481">
      <c r="C481" s="33"/>
      <c r="E481" s="23"/>
    </row>
    <row r="482">
      <c r="C482" s="33"/>
      <c r="E482" s="23"/>
    </row>
    <row r="483">
      <c r="C483" s="33"/>
      <c r="E483" s="23"/>
    </row>
    <row r="484">
      <c r="C484" s="33"/>
      <c r="E484" s="23"/>
    </row>
    <row r="485">
      <c r="C485" s="33"/>
      <c r="E485" s="23"/>
    </row>
    <row r="486">
      <c r="C486" s="33"/>
      <c r="E486" s="23"/>
    </row>
    <row r="487">
      <c r="C487" s="33"/>
      <c r="E487" s="23"/>
    </row>
    <row r="488">
      <c r="C488" s="33"/>
      <c r="E488" s="23"/>
    </row>
    <row r="489">
      <c r="C489" s="33"/>
      <c r="E489" s="23"/>
    </row>
    <row r="490">
      <c r="C490" s="33"/>
      <c r="E490" s="23"/>
    </row>
    <row r="491">
      <c r="C491" s="33"/>
      <c r="E491" s="23"/>
    </row>
    <row r="492">
      <c r="C492" s="33"/>
      <c r="E492" s="23"/>
    </row>
    <row r="493">
      <c r="C493" s="33"/>
      <c r="E493" s="23"/>
    </row>
    <row r="494">
      <c r="C494" s="33"/>
      <c r="E494" s="23"/>
    </row>
    <row r="495">
      <c r="C495" s="33"/>
      <c r="E495" s="23"/>
    </row>
    <row r="496">
      <c r="C496" s="33"/>
      <c r="E496" s="23"/>
    </row>
    <row r="497">
      <c r="C497" s="33"/>
      <c r="E497" s="23"/>
    </row>
    <row r="498">
      <c r="C498" s="33"/>
      <c r="E498" s="23"/>
    </row>
    <row r="499">
      <c r="C499" s="33"/>
      <c r="E499" s="23"/>
    </row>
    <row r="500">
      <c r="C500" s="33"/>
      <c r="E500" s="23"/>
    </row>
    <row r="501">
      <c r="C501" s="33"/>
      <c r="E501" s="23"/>
    </row>
    <row r="502">
      <c r="C502" s="33"/>
      <c r="E502" s="23"/>
    </row>
    <row r="503">
      <c r="C503" s="33"/>
      <c r="E503" s="23"/>
    </row>
    <row r="504">
      <c r="C504" s="33"/>
      <c r="E504" s="23"/>
    </row>
    <row r="505">
      <c r="C505" s="33"/>
      <c r="E505" s="23"/>
    </row>
    <row r="506">
      <c r="C506" s="33"/>
      <c r="E506" s="23"/>
    </row>
    <row r="507">
      <c r="C507" s="33"/>
      <c r="E507" s="23"/>
    </row>
    <row r="508">
      <c r="C508" s="33"/>
      <c r="E508" s="23"/>
    </row>
    <row r="509">
      <c r="C509" s="33"/>
      <c r="E509" s="23"/>
    </row>
    <row r="510">
      <c r="C510" s="33"/>
      <c r="E510" s="23"/>
    </row>
    <row r="511">
      <c r="C511" s="33"/>
      <c r="E511" s="23"/>
    </row>
    <row r="512">
      <c r="C512" s="33"/>
      <c r="E512" s="23"/>
    </row>
    <row r="513">
      <c r="C513" s="33"/>
      <c r="E513" s="23"/>
    </row>
    <row r="514">
      <c r="C514" s="33"/>
      <c r="E514" s="23"/>
    </row>
    <row r="515">
      <c r="C515" s="33"/>
      <c r="E515" s="23"/>
    </row>
    <row r="516">
      <c r="C516" s="33"/>
      <c r="E516" s="23"/>
    </row>
    <row r="517">
      <c r="C517" s="33"/>
      <c r="E517" s="23"/>
    </row>
    <row r="518">
      <c r="C518" s="33"/>
      <c r="E518" s="23"/>
    </row>
    <row r="519">
      <c r="C519" s="33"/>
      <c r="E519" s="23"/>
    </row>
    <row r="520">
      <c r="C520" s="33"/>
      <c r="E520" s="23"/>
    </row>
    <row r="521">
      <c r="C521" s="33"/>
      <c r="E521" s="23"/>
    </row>
    <row r="522">
      <c r="C522" s="33"/>
      <c r="E522" s="23"/>
    </row>
    <row r="523">
      <c r="C523" s="33"/>
      <c r="E523" s="23"/>
    </row>
    <row r="524">
      <c r="C524" s="33"/>
      <c r="E524" s="23"/>
    </row>
    <row r="525">
      <c r="C525" s="33"/>
      <c r="E525" s="23"/>
    </row>
    <row r="526">
      <c r="C526" s="33"/>
      <c r="E526" s="23"/>
    </row>
    <row r="527">
      <c r="C527" s="33"/>
      <c r="E527" s="23"/>
    </row>
    <row r="528">
      <c r="C528" s="33"/>
      <c r="E528" s="23"/>
    </row>
    <row r="529">
      <c r="C529" s="33"/>
      <c r="E529" s="23"/>
    </row>
    <row r="530">
      <c r="C530" s="33"/>
      <c r="E530" s="23"/>
    </row>
    <row r="531">
      <c r="C531" s="33"/>
      <c r="E531" s="23"/>
    </row>
    <row r="532">
      <c r="C532" s="33"/>
      <c r="E532" s="23"/>
    </row>
    <row r="533">
      <c r="C533" s="33"/>
      <c r="E533" s="23"/>
    </row>
    <row r="534">
      <c r="C534" s="33"/>
      <c r="E534" s="23"/>
    </row>
    <row r="535">
      <c r="C535" s="33"/>
      <c r="E535" s="23"/>
    </row>
    <row r="536">
      <c r="C536" s="33"/>
      <c r="E536" s="23"/>
    </row>
    <row r="537">
      <c r="C537" s="33"/>
      <c r="E537" s="23"/>
    </row>
    <row r="538">
      <c r="C538" s="33"/>
      <c r="E538" s="23"/>
    </row>
    <row r="539">
      <c r="C539" s="33"/>
      <c r="E539" s="23"/>
    </row>
    <row r="540">
      <c r="C540" s="33"/>
      <c r="E540" s="23"/>
    </row>
    <row r="541">
      <c r="C541" s="33"/>
      <c r="E541" s="23"/>
    </row>
    <row r="542">
      <c r="C542" s="33"/>
      <c r="E542" s="23"/>
    </row>
    <row r="543">
      <c r="C543" s="33"/>
      <c r="E543" s="23"/>
    </row>
    <row r="544">
      <c r="C544" s="33"/>
      <c r="E544" s="23"/>
    </row>
    <row r="545">
      <c r="C545" s="33"/>
      <c r="E545" s="23"/>
    </row>
    <row r="546">
      <c r="C546" s="33"/>
      <c r="E546" s="23"/>
    </row>
    <row r="547">
      <c r="C547" s="33"/>
      <c r="E547" s="23"/>
    </row>
    <row r="548">
      <c r="C548" s="33"/>
      <c r="E548" s="23"/>
    </row>
    <row r="549">
      <c r="C549" s="33"/>
      <c r="E549" s="23"/>
    </row>
    <row r="550">
      <c r="C550" s="33"/>
      <c r="E550" s="23"/>
    </row>
    <row r="551">
      <c r="C551" s="33"/>
      <c r="E551" s="23"/>
    </row>
    <row r="552">
      <c r="C552" s="33"/>
      <c r="E552" s="23"/>
    </row>
    <row r="553">
      <c r="C553" s="33"/>
      <c r="E553" s="23"/>
    </row>
    <row r="554">
      <c r="C554" s="33"/>
      <c r="E554" s="23"/>
    </row>
    <row r="555">
      <c r="C555" s="33"/>
      <c r="E555" s="23"/>
    </row>
    <row r="556">
      <c r="C556" s="33"/>
      <c r="E556" s="23"/>
    </row>
    <row r="557">
      <c r="C557" s="33"/>
      <c r="E557" s="23"/>
    </row>
    <row r="558">
      <c r="C558" s="33"/>
      <c r="E558" s="23"/>
    </row>
    <row r="559">
      <c r="C559" s="33"/>
      <c r="E559" s="23"/>
    </row>
    <row r="560">
      <c r="C560" s="33"/>
      <c r="E560" s="23"/>
    </row>
    <row r="561">
      <c r="C561" s="33"/>
      <c r="E561" s="23"/>
    </row>
    <row r="562">
      <c r="C562" s="33"/>
      <c r="E562" s="23"/>
    </row>
    <row r="563">
      <c r="C563" s="33"/>
      <c r="E563" s="23"/>
    </row>
    <row r="564">
      <c r="C564" s="33"/>
      <c r="E564" s="23"/>
    </row>
    <row r="565">
      <c r="C565" s="33"/>
      <c r="E565" s="23"/>
    </row>
    <row r="566">
      <c r="C566" s="33"/>
      <c r="E566" s="23"/>
    </row>
    <row r="567">
      <c r="C567" s="33"/>
      <c r="E567" s="23"/>
    </row>
    <row r="568">
      <c r="C568" s="33"/>
      <c r="E568" s="23"/>
    </row>
    <row r="569">
      <c r="C569" s="33"/>
      <c r="E569" s="23"/>
    </row>
    <row r="570">
      <c r="C570" s="33"/>
      <c r="E570" s="23"/>
    </row>
    <row r="571">
      <c r="C571" s="33"/>
      <c r="E571" s="23"/>
    </row>
    <row r="572">
      <c r="C572" s="33"/>
      <c r="E572" s="23"/>
    </row>
    <row r="573">
      <c r="C573" s="33"/>
      <c r="E573" s="23"/>
    </row>
    <row r="574">
      <c r="C574" s="33"/>
      <c r="E574" s="23"/>
    </row>
    <row r="575">
      <c r="C575" s="33"/>
      <c r="E575" s="23"/>
    </row>
    <row r="576">
      <c r="C576" s="33"/>
      <c r="E576" s="23"/>
    </row>
    <row r="577">
      <c r="C577" s="33"/>
      <c r="E577" s="23"/>
    </row>
    <row r="578">
      <c r="C578" s="33"/>
      <c r="E578" s="23"/>
    </row>
    <row r="579">
      <c r="C579" s="33"/>
      <c r="E579" s="23"/>
    </row>
    <row r="580">
      <c r="C580" s="33"/>
      <c r="E580" s="23"/>
    </row>
    <row r="581">
      <c r="C581" s="33"/>
      <c r="E581" s="23"/>
    </row>
    <row r="582">
      <c r="C582" s="33"/>
      <c r="E582" s="23"/>
    </row>
    <row r="583">
      <c r="C583" s="33"/>
      <c r="E583" s="23"/>
    </row>
    <row r="584">
      <c r="C584" s="33"/>
      <c r="E584" s="23"/>
    </row>
    <row r="585">
      <c r="C585" s="33"/>
      <c r="E585" s="23"/>
    </row>
    <row r="586">
      <c r="C586" s="33"/>
      <c r="E586" s="23"/>
    </row>
    <row r="587">
      <c r="C587" s="33"/>
      <c r="E587" s="23"/>
    </row>
    <row r="588">
      <c r="C588" s="33"/>
      <c r="E588" s="23"/>
    </row>
    <row r="589">
      <c r="C589" s="33"/>
      <c r="E589" s="23"/>
    </row>
    <row r="590">
      <c r="C590" s="33"/>
      <c r="E590" s="23"/>
    </row>
    <row r="591">
      <c r="C591" s="33"/>
      <c r="E591" s="23"/>
    </row>
    <row r="592">
      <c r="C592" s="33"/>
      <c r="E592" s="23"/>
    </row>
    <row r="593">
      <c r="C593" s="33"/>
      <c r="E593" s="23"/>
    </row>
    <row r="594">
      <c r="C594" s="33"/>
      <c r="E594" s="23"/>
    </row>
    <row r="595">
      <c r="C595" s="33"/>
      <c r="E595" s="23"/>
    </row>
    <row r="596">
      <c r="C596" s="33"/>
      <c r="E596" s="23"/>
    </row>
    <row r="597">
      <c r="C597" s="33"/>
      <c r="E597" s="23"/>
    </row>
    <row r="598">
      <c r="C598" s="33"/>
      <c r="E598" s="23"/>
    </row>
    <row r="599">
      <c r="C599" s="33"/>
      <c r="E599" s="23"/>
    </row>
    <row r="600">
      <c r="C600" s="33"/>
      <c r="E600" s="23"/>
    </row>
    <row r="601">
      <c r="C601" s="33"/>
      <c r="E601" s="23"/>
    </row>
    <row r="602">
      <c r="C602" s="33"/>
      <c r="E602" s="23"/>
    </row>
    <row r="603">
      <c r="C603" s="33"/>
      <c r="E603" s="23"/>
    </row>
    <row r="604">
      <c r="C604" s="33"/>
      <c r="E604" s="23"/>
    </row>
    <row r="605">
      <c r="C605" s="33"/>
      <c r="E605" s="23"/>
    </row>
    <row r="606">
      <c r="C606" s="33"/>
      <c r="E606" s="23"/>
    </row>
    <row r="607">
      <c r="C607" s="33"/>
      <c r="E607" s="23"/>
    </row>
    <row r="608">
      <c r="C608" s="33"/>
      <c r="E608" s="23"/>
    </row>
    <row r="609">
      <c r="C609" s="33"/>
      <c r="E609" s="23"/>
    </row>
    <row r="610">
      <c r="C610" s="33"/>
      <c r="E610" s="23"/>
    </row>
    <row r="611">
      <c r="C611" s="33"/>
      <c r="E611" s="23"/>
    </row>
    <row r="612">
      <c r="C612" s="33"/>
      <c r="E612" s="23"/>
    </row>
    <row r="613">
      <c r="C613" s="33"/>
      <c r="E613" s="23"/>
    </row>
    <row r="614">
      <c r="C614" s="33"/>
      <c r="E614" s="23"/>
    </row>
    <row r="615">
      <c r="C615" s="33"/>
      <c r="E615" s="23"/>
    </row>
    <row r="616">
      <c r="C616" s="33"/>
      <c r="E616" s="23"/>
    </row>
    <row r="617">
      <c r="C617" s="33"/>
      <c r="E617" s="23"/>
    </row>
    <row r="618">
      <c r="C618" s="33"/>
      <c r="E618" s="23"/>
    </row>
    <row r="619">
      <c r="C619" s="33"/>
      <c r="E619" s="23"/>
    </row>
    <row r="620">
      <c r="C620" s="33"/>
      <c r="E620" s="23"/>
    </row>
    <row r="621">
      <c r="C621" s="33"/>
      <c r="E621" s="23"/>
    </row>
    <row r="622">
      <c r="C622" s="33"/>
      <c r="E622" s="23"/>
    </row>
    <row r="623">
      <c r="C623" s="33"/>
      <c r="E623" s="23"/>
    </row>
    <row r="624">
      <c r="C624" s="33"/>
      <c r="E624" s="23"/>
    </row>
    <row r="625">
      <c r="C625" s="33"/>
      <c r="E625" s="23"/>
    </row>
    <row r="626">
      <c r="C626" s="33"/>
      <c r="E626" s="23"/>
    </row>
    <row r="627">
      <c r="C627" s="33"/>
      <c r="E627" s="23"/>
    </row>
    <row r="628">
      <c r="C628" s="33"/>
      <c r="E628" s="23"/>
    </row>
    <row r="629">
      <c r="C629" s="33"/>
      <c r="E629" s="23"/>
    </row>
    <row r="630">
      <c r="C630" s="33"/>
      <c r="E630" s="23"/>
    </row>
    <row r="631">
      <c r="C631" s="33"/>
      <c r="E631" s="23"/>
    </row>
    <row r="632">
      <c r="C632" s="33"/>
      <c r="E632" s="23"/>
    </row>
    <row r="633">
      <c r="C633" s="33"/>
      <c r="E633" s="23"/>
    </row>
    <row r="634">
      <c r="C634" s="33"/>
      <c r="E634" s="23"/>
    </row>
    <row r="635">
      <c r="C635" s="33"/>
      <c r="E635" s="23"/>
    </row>
    <row r="636">
      <c r="C636" s="33"/>
      <c r="E636" s="23"/>
    </row>
    <row r="637">
      <c r="C637" s="33"/>
      <c r="E637" s="23"/>
    </row>
    <row r="638">
      <c r="C638" s="33"/>
      <c r="E638" s="23"/>
    </row>
    <row r="639">
      <c r="C639" s="33"/>
      <c r="E639" s="23"/>
    </row>
    <row r="640">
      <c r="C640" s="33"/>
      <c r="E640" s="23"/>
    </row>
    <row r="641">
      <c r="C641" s="33"/>
      <c r="E641" s="23"/>
    </row>
    <row r="642">
      <c r="C642" s="33"/>
      <c r="E642" s="23"/>
    </row>
    <row r="643">
      <c r="C643" s="33"/>
      <c r="E643" s="23"/>
    </row>
    <row r="644">
      <c r="C644" s="33"/>
      <c r="E644" s="23"/>
    </row>
    <row r="645">
      <c r="C645" s="33"/>
      <c r="E645" s="23"/>
    </row>
    <row r="646">
      <c r="C646" s="33"/>
      <c r="E646" s="23"/>
    </row>
    <row r="647">
      <c r="C647" s="33"/>
      <c r="E647" s="23"/>
    </row>
    <row r="648">
      <c r="C648" s="33"/>
      <c r="E648" s="23"/>
    </row>
    <row r="649">
      <c r="C649" s="33"/>
      <c r="E649" s="23"/>
    </row>
    <row r="650">
      <c r="C650" s="33"/>
      <c r="E650" s="23"/>
    </row>
    <row r="651">
      <c r="C651" s="33"/>
      <c r="E651" s="23"/>
    </row>
    <row r="652">
      <c r="C652" s="33"/>
      <c r="E652" s="23"/>
    </row>
    <row r="653">
      <c r="C653" s="33"/>
      <c r="E653" s="23"/>
    </row>
    <row r="654">
      <c r="C654" s="33"/>
      <c r="E654" s="23"/>
    </row>
    <row r="655">
      <c r="C655" s="33"/>
      <c r="E655" s="23"/>
    </row>
    <row r="656">
      <c r="C656" s="33"/>
      <c r="E656" s="23"/>
    </row>
    <row r="657">
      <c r="C657" s="33"/>
      <c r="E657" s="23"/>
    </row>
    <row r="658">
      <c r="C658" s="33"/>
      <c r="E658" s="23"/>
    </row>
    <row r="659">
      <c r="C659" s="33"/>
      <c r="E659" s="23"/>
    </row>
    <row r="660">
      <c r="C660" s="33"/>
      <c r="E660" s="23"/>
    </row>
    <row r="661">
      <c r="C661" s="33"/>
      <c r="E661" s="23"/>
    </row>
    <row r="662">
      <c r="C662" s="33"/>
      <c r="E662" s="23"/>
    </row>
    <row r="663">
      <c r="C663" s="33"/>
      <c r="E663" s="23"/>
    </row>
    <row r="664">
      <c r="C664" s="33"/>
      <c r="E664" s="23"/>
    </row>
    <row r="665">
      <c r="C665" s="33"/>
      <c r="E665" s="23"/>
    </row>
    <row r="666">
      <c r="C666" s="33"/>
      <c r="E666" s="23"/>
    </row>
    <row r="667">
      <c r="C667" s="33"/>
      <c r="E667" s="23"/>
    </row>
    <row r="668">
      <c r="C668" s="33"/>
      <c r="E668" s="23"/>
    </row>
    <row r="669">
      <c r="C669" s="33"/>
      <c r="E669" s="23"/>
    </row>
    <row r="670">
      <c r="C670" s="33"/>
      <c r="E670" s="23"/>
    </row>
    <row r="671">
      <c r="C671" s="33"/>
      <c r="E671" s="23"/>
    </row>
    <row r="672">
      <c r="C672" s="33"/>
      <c r="E672" s="23"/>
    </row>
    <row r="673">
      <c r="C673" s="33"/>
      <c r="E673" s="23"/>
    </row>
    <row r="674">
      <c r="C674" s="33"/>
      <c r="E674" s="23"/>
    </row>
    <row r="675">
      <c r="C675" s="33"/>
      <c r="E675" s="23"/>
    </row>
    <row r="676">
      <c r="C676" s="33"/>
      <c r="E676" s="23"/>
    </row>
    <row r="677">
      <c r="C677" s="33"/>
      <c r="E677" s="23"/>
    </row>
    <row r="678">
      <c r="C678" s="33"/>
      <c r="E678" s="23"/>
    </row>
    <row r="679">
      <c r="C679" s="33"/>
      <c r="E679" s="23"/>
    </row>
    <row r="680">
      <c r="C680" s="33"/>
      <c r="E680" s="23"/>
    </row>
    <row r="681">
      <c r="C681" s="33"/>
      <c r="E681" s="23"/>
    </row>
    <row r="682">
      <c r="C682" s="33"/>
      <c r="E682" s="23"/>
    </row>
    <row r="683">
      <c r="C683" s="33"/>
      <c r="E683" s="23"/>
    </row>
    <row r="684">
      <c r="C684" s="33"/>
      <c r="E684" s="23"/>
    </row>
    <row r="685">
      <c r="C685" s="33"/>
      <c r="E685" s="23"/>
    </row>
    <row r="686">
      <c r="C686" s="33"/>
      <c r="E686" s="23"/>
    </row>
    <row r="687">
      <c r="C687" s="33"/>
      <c r="E687" s="23"/>
    </row>
    <row r="688">
      <c r="C688" s="33"/>
      <c r="E688" s="23"/>
    </row>
    <row r="689">
      <c r="C689" s="33"/>
      <c r="E689" s="23"/>
    </row>
    <row r="690">
      <c r="C690" s="33"/>
      <c r="E690" s="23"/>
    </row>
    <row r="691">
      <c r="C691" s="33"/>
      <c r="E691" s="23"/>
    </row>
    <row r="692">
      <c r="C692" s="33"/>
      <c r="E692" s="23"/>
    </row>
    <row r="693">
      <c r="C693" s="33"/>
      <c r="E693" s="23"/>
    </row>
    <row r="694">
      <c r="C694" s="33"/>
      <c r="E694" s="23"/>
    </row>
    <row r="695">
      <c r="C695" s="33"/>
      <c r="E695" s="23"/>
    </row>
    <row r="696">
      <c r="C696" s="33"/>
      <c r="E696" s="23"/>
    </row>
    <row r="697">
      <c r="C697" s="33"/>
      <c r="E697" s="23"/>
    </row>
    <row r="698">
      <c r="C698" s="33"/>
      <c r="E698" s="23"/>
    </row>
    <row r="699">
      <c r="C699" s="33"/>
      <c r="E699" s="23"/>
    </row>
    <row r="700">
      <c r="C700" s="33"/>
      <c r="E700" s="23"/>
    </row>
    <row r="701">
      <c r="C701" s="33"/>
      <c r="E701" s="23"/>
    </row>
    <row r="702">
      <c r="C702" s="33"/>
      <c r="E702" s="23"/>
    </row>
    <row r="703">
      <c r="C703" s="33"/>
      <c r="E703" s="23"/>
    </row>
    <row r="704">
      <c r="C704" s="33"/>
      <c r="E704" s="23"/>
    </row>
    <row r="705">
      <c r="C705" s="33"/>
      <c r="E705" s="23"/>
    </row>
    <row r="706">
      <c r="C706" s="33"/>
      <c r="E706" s="23"/>
    </row>
    <row r="707">
      <c r="C707" s="33"/>
      <c r="E707" s="23"/>
    </row>
    <row r="708">
      <c r="C708" s="33"/>
      <c r="E708" s="23"/>
    </row>
    <row r="709">
      <c r="C709" s="33"/>
      <c r="E709" s="23"/>
    </row>
    <row r="710">
      <c r="C710" s="33"/>
      <c r="E710" s="23"/>
    </row>
    <row r="711">
      <c r="C711" s="33"/>
      <c r="E711" s="23"/>
    </row>
    <row r="712">
      <c r="C712" s="33"/>
      <c r="E712" s="23"/>
    </row>
    <row r="713">
      <c r="C713" s="33"/>
      <c r="E713" s="23"/>
    </row>
    <row r="714">
      <c r="C714" s="33"/>
      <c r="E714" s="23"/>
    </row>
    <row r="715">
      <c r="C715" s="33"/>
      <c r="E715" s="23"/>
    </row>
    <row r="716">
      <c r="C716" s="33"/>
      <c r="E716" s="23"/>
    </row>
    <row r="717">
      <c r="C717" s="33"/>
      <c r="E717" s="23"/>
    </row>
    <row r="718">
      <c r="C718" s="33"/>
      <c r="E718" s="23"/>
    </row>
    <row r="719">
      <c r="C719" s="33"/>
      <c r="E719" s="23"/>
    </row>
    <row r="720">
      <c r="C720" s="33"/>
      <c r="E720" s="23"/>
    </row>
    <row r="721">
      <c r="C721" s="33"/>
      <c r="E721" s="23"/>
    </row>
    <row r="722">
      <c r="C722" s="33"/>
      <c r="E722" s="23"/>
    </row>
    <row r="723">
      <c r="C723" s="33"/>
      <c r="E723" s="23"/>
    </row>
    <row r="724">
      <c r="C724" s="33"/>
      <c r="E724" s="23"/>
    </row>
    <row r="725">
      <c r="C725" s="33"/>
      <c r="E725" s="23"/>
    </row>
    <row r="726">
      <c r="C726" s="33"/>
      <c r="E726" s="23"/>
    </row>
    <row r="727">
      <c r="C727" s="33"/>
      <c r="E727" s="23"/>
    </row>
    <row r="728">
      <c r="C728" s="33"/>
      <c r="E728" s="23"/>
    </row>
    <row r="729">
      <c r="C729" s="33"/>
      <c r="E729" s="23"/>
    </row>
    <row r="730">
      <c r="C730" s="33"/>
      <c r="E730" s="23"/>
    </row>
    <row r="731">
      <c r="C731" s="33"/>
      <c r="E731" s="23"/>
    </row>
    <row r="732">
      <c r="C732" s="33"/>
      <c r="E732" s="23"/>
    </row>
    <row r="733">
      <c r="C733" s="33"/>
      <c r="E733" s="23"/>
    </row>
    <row r="734">
      <c r="C734" s="33"/>
      <c r="E734" s="23"/>
    </row>
    <row r="735">
      <c r="C735" s="33"/>
      <c r="E735" s="23"/>
    </row>
    <row r="736">
      <c r="C736" s="33"/>
      <c r="E736" s="23"/>
    </row>
    <row r="737">
      <c r="C737" s="33"/>
      <c r="E737" s="23"/>
    </row>
    <row r="738">
      <c r="C738" s="33"/>
      <c r="E738" s="23"/>
    </row>
    <row r="739">
      <c r="C739" s="33"/>
      <c r="E739" s="23"/>
    </row>
    <row r="740">
      <c r="C740" s="33"/>
      <c r="E740" s="23"/>
    </row>
    <row r="741">
      <c r="C741" s="33"/>
      <c r="E741" s="23"/>
    </row>
    <row r="742">
      <c r="C742" s="33"/>
      <c r="E742" s="23"/>
    </row>
    <row r="743">
      <c r="C743" s="33"/>
      <c r="E743" s="23"/>
    </row>
    <row r="744">
      <c r="C744" s="33"/>
      <c r="E744" s="23"/>
    </row>
    <row r="745">
      <c r="C745" s="33"/>
      <c r="E745" s="23"/>
    </row>
    <row r="746">
      <c r="C746" s="33"/>
      <c r="E746" s="23"/>
    </row>
    <row r="747">
      <c r="C747" s="33"/>
      <c r="E747" s="23"/>
    </row>
    <row r="748">
      <c r="C748" s="33"/>
      <c r="E748" s="23"/>
    </row>
    <row r="749">
      <c r="C749" s="33"/>
      <c r="E749" s="23"/>
    </row>
    <row r="750">
      <c r="C750" s="33"/>
      <c r="E750" s="23"/>
    </row>
    <row r="751">
      <c r="C751" s="33"/>
      <c r="E751" s="23"/>
    </row>
    <row r="752">
      <c r="C752" s="33"/>
      <c r="E752" s="23"/>
    </row>
    <row r="753">
      <c r="C753" s="33"/>
      <c r="E753" s="23"/>
    </row>
    <row r="754">
      <c r="C754" s="33"/>
      <c r="E754" s="23"/>
    </row>
    <row r="755">
      <c r="C755" s="33"/>
      <c r="E755" s="23"/>
    </row>
    <row r="756">
      <c r="C756" s="33"/>
      <c r="E756" s="23"/>
    </row>
    <row r="757">
      <c r="C757" s="33"/>
      <c r="E757" s="23"/>
    </row>
    <row r="758">
      <c r="C758" s="33"/>
      <c r="E758" s="23"/>
    </row>
    <row r="759">
      <c r="C759" s="33"/>
      <c r="E759" s="23"/>
    </row>
    <row r="760">
      <c r="C760" s="33"/>
      <c r="E760" s="23"/>
    </row>
    <row r="761">
      <c r="C761" s="33"/>
      <c r="E761" s="23"/>
    </row>
    <row r="762">
      <c r="C762" s="33"/>
      <c r="E762" s="23"/>
    </row>
    <row r="763">
      <c r="C763" s="33"/>
      <c r="E763" s="23"/>
    </row>
    <row r="764">
      <c r="C764" s="33"/>
      <c r="E764" s="23"/>
    </row>
    <row r="765">
      <c r="C765" s="33"/>
      <c r="E765" s="23"/>
    </row>
    <row r="766">
      <c r="C766" s="33"/>
      <c r="E766" s="23"/>
    </row>
    <row r="767">
      <c r="C767" s="33"/>
      <c r="E767" s="23"/>
    </row>
    <row r="768">
      <c r="C768" s="33"/>
      <c r="E768" s="23"/>
    </row>
    <row r="769">
      <c r="C769" s="33"/>
      <c r="E769" s="23"/>
    </row>
    <row r="770">
      <c r="C770" s="33"/>
      <c r="E770" s="23"/>
    </row>
    <row r="771">
      <c r="C771" s="33"/>
      <c r="E771" s="23"/>
    </row>
    <row r="772">
      <c r="C772" s="33"/>
      <c r="E772" s="23"/>
    </row>
    <row r="773">
      <c r="C773" s="33"/>
      <c r="E773" s="23"/>
    </row>
    <row r="774">
      <c r="C774" s="33"/>
      <c r="E774" s="23"/>
    </row>
    <row r="775">
      <c r="C775" s="33"/>
      <c r="E775" s="23"/>
    </row>
    <row r="776">
      <c r="C776" s="33"/>
      <c r="E776" s="23"/>
    </row>
    <row r="777">
      <c r="C777" s="33"/>
      <c r="E777" s="23"/>
    </row>
    <row r="778">
      <c r="C778" s="33"/>
      <c r="E778" s="23"/>
    </row>
    <row r="779">
      <c r="C779" s="33"/>
      <c r="E779" s="23"/>
    </row>
    <row r="780">
      <c r="C780" s="33"/>
      <c r="E780" s="23"/>
    </row>
    <row r="781">
      <c r="C781" s="33"/>
      <c r="E781" s="23"/>
    </row>
    <row r="782">
      <c r="C782" s="33"/>
      <c r="E782" s="23"/>
    </row>
    <row r="783">
      <c r="C783" s="33"/>
      <c r="E783" s="23"/>
    </row>
    <row r="784">
      <c r="C784" s="33"/>
      <c r="E784" s="23"/>
    </row>
    <row r="785">
      <c r="C785" s="33"/>
      <c r="E785" s="23"/>
    </row>
    <row r="786">
      <c r="C786" s="33"/>
      <c r="E786" s="23"/>
    </row>
    <row r="787">
      <c r="C787" s="33"/>
      <c r="E787" s="23"/>
    </row>
    <row r="788">
      <c r="C788" s="33"/>
      <c r="E788" s="23"/>
    </row>
    <row r="789">
      <c r="C789" s="33"/>
      <c r="E789" s="23"/>
    </row>
    <row r="790">
      <c r="C790" s="33"/>
      <c r="E790" s="23"/>
    </row>
    <row r="791">
      <c r="C791" s="33"/>
      <c r="E791" s="23"/>
    </row>
    <row r="792">
      <c r="C792" s="33"/>
      <c r="E792" s="23"/>
    </row>
    <row r="793">
      <c r="C793" s="33"/>
      <c r="E793" s="23"/>
    </row>
    <row r="794">
      <c r="C794" s="33"/>
      <c r="E794" s="23"/>
    </row>
    <row r="795">
      <c r="C795" s="33"/>
      <c r="E795" s="23"/>
    </row>
    <row r="796">
      <c r="C796" s="33"/>
      <c r="E796" s="23"/>
    </row>
    <row r="797">
      <c r="C797" s="33"/>
      <c r="E797" s="23"/>
    </row>
    <row r="798">
      <c r="C798" s="33"/>
      <c r="E798" s="23"/>
    </row>
    <row r="799">
      <c r="C799" s="33"/>
      <c r="E799" s="23"/>
    </row>
    <row r="800">
      <c r="C800" s="33"/>
      <c r="E800" s="23"/>
    </row>
    <row r="801">
      <c r="C801" s="33"/>
      <c r="E801" s="23"/>
    </row>
    <row r="802">
      <c r="C802" s="33"/>
      <c r="E802" s="23"/>
    </row>
    <row r="803">
      <c r="C803" s="33"/>
      <c r="E803" s="23"/>
    </row>
    <row r="804">
      <c r="C804" s="33"/>
      <c r="E804" s="23"/>
    </row>
    <row r="805">
      <c r="C805" s="33"/>
      <c r="E805" s="23"/>
    </row>
    <row r="806">
      <c r="C806" s="33"/>
      <c r="E806" s="23"/>
    </row>
    <row r="807">
      <c r="C807" s="33"/>
      <c r="E807" s="23"/>
    </row>
    <row r="808">
      <c r="C808" s="33"/>
      <c r="E808" s="23"/>
    </row>
    <row r="809">
      <c r="C809" s="33"/>
      <c r="E809" s="23"/>
    </row>
    <row r="810">
      <c r="C810" s="33"/>
      <c r="E810" s="23"/>
    </row>
    <row r="811">
      <c r="C811" s="33"/>
      <c r="E811" s="23"/>
    </row>
    <row r="812">
      <c r="C812" s="33"/>
      <c r="E812" s="23"/>
    </row>
    <row r="813">
      <c r="C813" s="33"/>
      <c r="E813" s="23"/>
    </row>
    <row r="814">
      <c r="C814" s="33"/>
      <c r="E814" s="23"/>
    </row>
    <row r="815">
      <c r="C815" s="33"/>
      <c r="E815" s="23"/>
    </row>
    <row r="816">
      <c r="C816" s="33"/>
      <c r="E816" s="23"/>
    </row>
    <row r="817">
      <c r="C817" s="33"/>
      <c r="E817" s="23"/>
    </row>
    <row r="818">
      <c r="C818" s="33"/>
      <c r="E818" s="23"/>
    </row>
    <row r="819">
      <c r="C819" s="33"/>
      <c r="E819" s="23"/>
    </row>
    <row r="820">
      <c r="C820" s="33"/>
      <c r="E820" s="23"/>
    </row>
    <row r="821">
      <c r="C821" s="33"/>
      <c r="E821" s="23"/>
    </row>
    <row r="822">
      <c r="C822" s="33"/>
      <c r="E822" s="23"/>
    </row>
    <row r="823">
      <c r="C823" s="33"/>
      <c r="E823" s="23"/>
    </row>
    <row r="824">
      <c r="C824" s="33"/>
      <c r="E824" s="23"/>
    </row>
    <row r="825">
      <c r="C825" s="33"/>
      <c r="E825" s="23"/>
    </row>
    <row r="826">
      <c r="C826" s="33"/>
      <c r="E826" s="23"/>
    </row>
    <row r="827">
      <c r="C827" s="33"/>
      <c r="E827" s="23"/>
    </row>
    <row r="828">
      <c r="C828" s="33"/>
      <c r="E828" s="23"/>
    </row>
    <row r="829">
      <c r="C829" s="33"/>
      <c r="E829" s="23"/>
    </row>
    <row r="830">
      <c r="C830" s="33"/>
      <c r="E830" s="23"/>
    </row>
    <row r="831">
      <c r="C831" s="33"/>
      <c r="E831" s="23"/>
    </row>
    <row r="832">
      <c r="C832" s="33"/>
      <c r="E832" s="23"/>
    </row>
    <row r="833">
      <c r="C833" s="33"/>
      <c r="E833" s="23"/>
    </row>
    <row r="834">
      <c r="C834" s="33"/>
      <c r="E834" s="23"/>
    </row>
    <row r="835">
      <c r="C835" s="33"/>
      <c r="E835" s="23"/>
    </row>
    <row r="836">
      <c r="C836" s="33"/>
      <c r="E836" s="23"/>
    </row>
    <row r="837">
      <c r="C837" s="33"/>
      <c r="E837" s="23"/>
    </row>
    <row r="838">
      <c r="C838" s="33"/>
      <c r="E838" s="23"/>
    </row>
    <row r="839">
      <c r="C839" s="33"/>
      <c r="E839" s="23"/>
    </row>
    <row r="840">
      <c r="C840" s="33"/>
      <c r="E840" s="23"/>
    </row>
    <row r="841">
      <c r="C841" s="33"/>
      <c r="E841" s="23"/>
    </row>
    <row r="842">
      <c r="C842" s="33"/>
      <c r="E842" s="23"/>
    </row>
    <row r="843">
      <c r="C843" s="33"/>
      <c r="E843" s="23"/>
    </row>
    <row r="844">
      <c r="C844" s="33"/>
      <c r="E844" s="23"/>
    </row>
    <row r="845">
      <c r="C845" s="33"/>
      <c r="E845" s="23"/>
    </row>
    <row r="846">
      <c r="C846" s="33"/>
      <c r="E846" s="23"/>
    </row>
    <row r="847">
      <c r="C847" s="33"/>
      <c r="E847" s="23"/>
    </row>
    <row r="848">
      <c r="C848" s="33"/>
      <c r="E848" s="23"/>
    </row>
    <row r="849">
      <c r="C849" s="33"/>
      <c r="E849" s="23"/>
    </row>
    <row r="850">
      <c r="C850" s="33"/>
      <c r="E850" s="23"/>
    </row>
    <row r="851">
      <c r="C851" s="33"/>
      <c r="E851" s="23"/>
    </row>
    <row r="852">
      <c r="C852" s="33"/>
      <c r="E852" s="23"/>
    </row>
    <row r="853">
      <c r="C853" s="33"/>
      <c r="E853" s="23"/>
    </row>
    <row r="854">
      <c r="C854" s="33"/>
      <c r="E854" s="23"/>
    </row>
    <row r="855">
      <c r="C855" s="33"/>
      <c r="E855" s="23"/>
    </row>
    <row r="856">
      <c r="C856" s="33"/>
      <c r="E856" s="23"/>
    </row>
    <row r="857">
      <c r="C857" s="33"/>
      <c r="E857" s="23"/>
    </row>
    <row r="858">
      <c r="C858" s="33"/>
      <c r="E858" s="23"/>
    </row>
    <row r="859">
      <c r="C859" s="33"/>
      <c r="E859" s="23"/>
    </row>
    <row r="860">
      <c r="C860" s="33"/>
      <c r="E860" s="23"/>
    </row>
    <row r="861">
      <c r="C861" s="33"/>
      <c r="E861" s="23"/>
    </row>
    <row r="862">
      <c r="C862" s="33"/>
      <c r="E862" s="23"/>
    </row>
    <row r="863">
      <c r="C863" s="33"/>
      <c r="E863" s="23"/>
    </row>
    <row r="864">
      <c r="C864" s="33"/>
      <c r="E864" s="23"/>
    </row>
    <row r="865">
      <c r="C865" s="33"/>
      <c r="E865" s="23"/>
    </row>
    <row r="866">
      <c r="C866" s="33"/>
      <c r="E866" s="23"/>
    </row>
    <row r="867">
      <c r="C867" s="33"/>
      <c r="E867" s="23"/>
    </row>
    <row r="868">
      <c r="C868" s="33"/>
      <c r="E868" s="23"/>
    </row>
    <row r="869">
      <c r="C869" s="33"/>
      <c r="E869" s="23"/>
    </row>
    <row r="870">
      <c r="C870" s="33"/>
      <c r="E870" s="23"/>
    </row>
    <row r="871">
      <c r="C871" s="33"/>
      <c r="E871" s="23"/>
    </row>
    <row r="872">
      <c r="C872" s="33"/>
      <c r="E872" s="23"/>
    </row>
    <row r="873">
      <c r="C873" s="33"/>
      <c r="E873" s="23"/>
    </row>
    <row r="874">
      <c r="C874" s="33"/>
      <c r="E874" s="23"/>
    </row>
    <row r="875">
      <c r="C875" s="33"/>
      <c r="E875" s="23"/>
    </row>
    <row r="876">
      <c r="C876" s="33"/>
      <c r="E876" s="23"/>
    </row>
    <row r="877">
      <c r="C877" s="33"/>
      <c r="E877" s="23"/>
    </row>
    <row r="878">
      <c r="C878" s="33"/>
      <c r="E878" s="23"/>
    </row>
    <row r="879">
      <c r="C879" s="33"/>
      <c r="E879" s="23"/>
    </row>
    <row r="880">
      <c r="C880" s="33"/>
      <c r="E880" s="23"/>
    </row>
    <row r="881">
      <c r="C881" s="33"/>
      <c r="E881" s="23"/>
    </row>
    <row r="882">
      <c r="C882" s="33"/>
      <c r="E882" s="23"/>
    </row>
    <row r="883">
      <c r="C883" s="33"/>
      <c r="E883" s="23"/>
    </row>
    <row r="884">
      <c r="C884" s="33"/>
      <c r="E884" s="23"/>
    </row>
    <row r="885">
      <c r="C885" s="33"/>
      <c r="E885" s="23"/>
    </row>
    <row r="886">
      <c r="C886" s="33"/>
      <c r="E886" s="23"/>
    </row>
    <row r="887">
      <c r="C887" s="33"/>
      <c r="E887" s="23"/>
    </row>
    <row r="888">
      <c r="C888" s="33"/>
      <c r="E888" s="23"/>
    </row>
    <row r="889">
      <c r="C889" s="33"/>
      <c r="E889" s="23"/>
    </row>
    <row r="890">
      <c r="C890" s="33"/>
      <c r="E890" s="23"/>
    </row>
    <row r="891">
      <c r="C891" s="33"/>
      <c r="E891" s="23"/>
    </row>
    <row r="892">
      <c r="C892" s="33"/>
      <c r="E892" s="23"/>
    </row>
    <row r="893">
      <c r="C893" s="33"/>
      <c r="E893" s="23"/>
    </row>
    <row r="894">
      <c r="C894" s="33"/>
      <c r="E894" s="23"/>
    </row>
    <row r="895">
      <c r="C895" s="33"/>
      <c r="E895" s="23"/>
    </row>
    <row r="896">
      <c r="C896" s="33"/>
      <c r="E896" s="23"/>
    </row>
    <row r="897">
      <c r="C897" s="33"/>
      <c r="E897" s="23"/>
    </row>
    <row r="898">
      <c r="C898" s="33"/>
      <c r="E898" s="23"/>
    </row>
    <row r="899">
      <c r="C899" s="33"/>
      <c r="E899" s="23"/>
    </row>
    <row r="900">
      <c r="C900" s="33"/>
      <c r="E900" s="23"/>
    </row>
    <row r="901">
      <c r="C901" s="33"/>
      <c r="E901" s="23"/>
    </row>
    <row r="902">
      <c r="C902" s="33"/>
      <c r="E902" s="23"/>
    </row>
    <row r="903">
      <c r="C903" s="33"/>
      <c r="E903" s="23"/>
    </row>
    <row r="904">
      <c r="C904" s="33"/>
      <c r="E904" s="23"/>
    </row>
    <row r="905">
      <c r="C905" s="33"/>
      <c r="E905" s="23"/>
    </row>
    <row r="906">
      <c r="C906" s="33"/>
      <c r="E906" s="23"/>
    </row>
    <row r="907">
      <c r="C907" s="33"/>
      <c r="E907" s="23"/>
    </row>
    <row r="908">
      <c r="C908" s="33"/>
      <c r="E908" s="23"/>
    </row>
    <row r="909">
      <c r="C909" s="33"/>
      <c r="E909" s="23"/>
    </row>
    <row r="910">
      <c r="C910" s="33"/>
      <c r="E910" s="23"/>
    </row>
    <row r="911">
      <c r="C911" s="33"/>
      <c r="E911" s="23"/>
    </row>
    <row r="912">
      <c r="C912" s="33"/>
      <c r="E912" s="23"/>
    </row>
    <row r="913">
      <c r="C913" s="33"/>
      <c r="E913" s="23"/>
    </row>
    <row r="914">
      <c r="C914" s="33"/>
      <c r="E914" s="23"/>
    </row>
    <row r="915">
      <c r="C915" s="33"/>
      <c r="E915" s="23"/>
    </row>
    <row r="916">
      <c r="C916" s="33"/>
      <c r="E916" s="23"/>
    </row>
    <row r="917">
      <c r="C917" s="33"/>
      <c r="E917" s="23"/>
    </row>
    <row r="918">
      <c r="C918" s="33"/>
      <c r="E918" s="23"/>
    </row>
    <row r="919">
      <c r="C919" s="33"/>
      <c r="E919" s="23"/>
    </row>
    <row r="920">
      <c r="C920" s="33"/>
      <c r="E920" s="23"/>
    </row>
    <row r="921">
      <c r="C921" s="33"/>
      <c r="E921" s="23"/>
    </row>
    <row r="922">
      <c r="C922" s="33"/>
      <c r="E922" s="23"/>
    </row>
    <row r="923">
      <c r="C923" s="33"/>
      <c r="E923" s="23"/>
    </row>
    <row r="924">
      <c r="C924" s="33"/>
      <c r="E924" s="23"/>
    </row>
    <row r="925">
      <c r="C925" s="33"/>
      <c r="E925" s="23"/>
    </row>
    <row r="926">
      <c r="C926" s="33"/>
      <c r="E926" s="23"/>
    </row>
    <row r="927">
      <c r="C927" s="33"/>
      <c r="E927" s="23"/>
    </row>
    <row r="928">
      <c r="C928" s="33"/>
      <c r="E928" s="23"/>
    </row>
    <row r="929">
      <c r="C929" s="33"/>
      <c r="E929" s="23"/>
    </row>
    <row r="930">
      <c r="C930" s="33"/>
      <c r="E930" s="23"/>
    </row>
    <row r="931">
      <c r="C931" s="33"/>
      <c r="E931" s="23"/>
    </row>
    <row r="932">
      <c r="C932" s="33"/>
      <c r="E932" s="23"/>
    </row>
    <row r="933">
      <c r="C933" s="33"/>
      <c r="E933" s="23"/>
    </row>
    <row r="934">
      <c r="C934" s="33"/>
      <c r="E934" s="23"/>
    </row>
    <row r="935">
      <c r="C935" s="33"/>
      <c r="E935" s="23"/>
    </row>
    <row r="936">
      <c r="C936" s="33"/>
      <c r="E936" s="23"/>
    </row>
    <row r="937">
      <c r="C937" s="33"/>
      <c r="E937" s="23"/>
    </row>
    <row r="938">
      <c r="C938" s="33"/>
      <c r="E938" s="23"/>
    </row>
    <row r="939">
      <c r="C939" s="33"/>
      <c r="E939" s="23"/>
    </row>
    <row r="940">
      <c r="C940" s="33"/>
      <c r="E940" s="23"/>
    </row>
    <row r="941">
      <c r="C941" s="33"/>
      <c r="E941" s="23"/>
    </row>
    <row r="942">
      <c r="C942" s="33"/>
      <c r="E942" s="23"/>
    </row>
    <row r="943">
      <c r="C943" s="33"/>
      <c r="E943" s="23"/>
    </row>
    <row r="944">
      <c r="C944" s="33"/>
      <c r="E944" s="23"/>
    </row>
    <row r="945">
      <c r="C945" s="33"/>
      <c r="E945" s="23"/>
    </row>
    <row r="946">
      <c r="C946" s="33"/>
      <c r="E946" s="23"/>
    </row>
    <row r="947">
      <c r="C947" s="33"/>
      <c r="E947" s="23"/>
    </row>
    <row r="948">
      <c r="C948" s="33"/>
      <c r="E948" s="23"/>
    </row>
    <row r="949">
      <c r="C949" s="33"/>
      <c r="E949" s="23"/>
    </row>
    <row r="950">
      <c r="C950" s="33"/>
      <c r="E950" s="23"/>
    </row>
    <row r="951">
      <c r="C951" s="33"/>
      <c r="E951" s="23"/>
    </row>
    <row r="952">
      <c r="C952" s="33"/>
      <c r="E952" s="23"/>
    </row>
    <row r="953">
      <c r="C953" s="33"/>
      <c r="E953" s="23"/>
    </row>
    <row r="954">
      <c r="C954" s="33"/>
      <c r="E954" s="23"/>
    </row>
    <row r="955">
      <c r="C955" s="33"/>
      <c r="E955" s="23"/>
    </row>
    <row r="956">
      <c r="C956" s="33"/>
      <c r="E956" s="23"/>
    </row>
    <row r="957">
      <c r="C957" s="33"/>
      <c r="E957" s="23"/>
    </row>
    <row r="958">
      <c r="C958" s="33"/>
      <c r="E958" s="23"/>
    </row>
    <row r="959">
      <c r="C959" s="33"/>
      <c r="E959" s="23"/>
    </row>
    <row r="960">
      <c r="C960" s="33"/>
      <c r="E960" s="23"/>
    </row>
    <row r="961">
      <c r="C961" s="33"/>
      <c r="E961" s="23"/>
    </row>
    <row r="962">
      <c r="C962" s="33"/>
      <c r="E962" s="23"/>
    </row>
    <row r="963">
      <c r="C963" s="33"/>
      <c r="E963" s="23"/>
    </row>
    <row r="964">
      <c r="C964" s="33"/>
      <c r="E964" s="23"/>
    </row>
    <row r="965">
      <c r="C965" s="33"/>
      <c r="E965" s="23"/>
    </row>
    <row r="966">
      <c r="C966" s="33"/>
      <c r="E966" s="23"/>
    </row>
    <row r="967">
      <c r="C967" s="33"/>
      <c r="E967" s="23"/>
    </row>
    <row r="968">
      <c r="C968" s="33"/>
      <c r="E968" s="23"/>
    </row>
    <row r="969">
      <c r="C969" s="33"/>
      <c r="E969" s="23"/>
    </row>
    <row r="970">
      <c r="C970" s="33"/>
      <c r="E970" s="23"/>
    </row>
    <row r="971">
      <c r="C971" s="33"/>
      <c r="E971" s="23"/>
    </row>
    <row r="972">
      <c r="C972" s="33"/>
      <c r="E972" s="23"/>
    </row>
    <row r="973">
      <c r="C973" s="33"/>
      <c r="E973" s="23"/>
    </row>
    <row r="974">
      <c r="C974" s="33"/>
      <c r="E974" s="23"/>
    </row>
    <row r="975">
      <c r="C975" s="33"/>
      <c r="E975" s="23"/>
    </row>
    <row r="976">
      <c r="C976" s="33"/>
      <c r="E976" s="23"/>
    </row>
    <row r="977">
      <c r="C977" s="33"/>
      <c r="E977" s="23"/>
    </row>
    <row r="978">
      <c r="C978" s="33"/>
      <c r="E978" s="23"/>
    </row>
    <row r="979">
      <c r="C979" s="33"/>
      <c r="E979" s="23"/>
    </row>
    <row r="980">
      <c r="C980" s="33"/>
      <c r="E980" s="23"/>
    </row>
    <row r="981">
      <c r="C981" s="33"/>
      <c r="E981" s="23"/>
    </row>
    <row r="982">
      <c r="C982" s="33"/>
      <c r="E982" s="23"/>
    </row>
    <row r="983">
      <c r="C983" s="33"/>
      <c r="E983" s="23"/>
    </row>
    <row r="984">
      <c r="C984" s="33"/>
      <c r="E984" s="23"/>
    </row>
    <row r="985">
      <c r="C985" s="33"/>
      <c r="E985" s="23"/>
    </row>
    <row r="986">
      <c r="C986" s="33"/>
      <c r="E986" s="23"/>
    </row>
    <row r="987">
      <c r="C987" s="33"/>
      <c r="E987" s="23"/>
    </row>
    <row r="988">
      <c r="C988" s="33"/>
      <c r="E988" s="23"/>
    </row>
    <row r="989">
      <c r="C989" s="33"/>
      <c r="E989" s="23"/>
    </row>
    <row r="990">
      <c r="C990" s="33"/>
      <c r="E990" s="23"/>
    </row>
    <row r="991">
      <c r="C991" s="33"/>
      <c r="E991" s="23"/>
    </row>
    <row r="992">
      <c r="C992" s="33"/>
      <c r="E992" s="23"/>
    </row>
    <row r="993">
      <c r="C993" s="33"/>
      <c r="E993" s="23"/>
    </row>
    <row r="994">
      <c r="C994" s="33"/>
      <c r="E994" s="23"/>
    </row>
    <row r="995">
      <c r="C995" s="33"/>
      <c r="E995" s="23"/>
    </row>
    <row r="996">
      <c r="C996" s="33"/>
      <c r="E996" s="23"/>
    </row>
    <row r="997">
      <c r="C997" s="33"/>
      <c r="E997" s="23"/>
    </row>
    <row r="998">
      <c r="C998" s="33"/>
      <c r="E998" s="23"/>
    </row>
    <row r="999">
      <c r="C999" s="33"/>
      <c r="E999" s="23"/>
    </row>
    <row r="1000">
      <c r="C1000" s="33"/>
      <c r="E1000" s="23"/>
    </row>
    <row r="1001">
      <c r="C1001" s="33"/>
      <c r="E1001" s="23"/>
    </row>
    <row r="1002">
      <c r="C1002" s="33"/>
      <c r="E1002" s="23"/>
    </row>
    <row r="1003">
      <c r="C1003" s="33"/>
      <c r="E1003" s="23"/>
    </row>
    <row r="1004">
      <c r="C1004" s="33"/>
      <c r="E1004" s="23"/>
    </row>
    <row r="1005">
      <c r="C1005" s="33"/>
      <c r="E1005" s="23"/>
    </row>
    <row r="1006">
      <c r="C1006" s="33"/>
      <c r="E1006" s="23"/>
    </row>
    <row r="1007">
      <c r="C1007" s="33"/>
      <c r="E1007" s="23"/>
    </row>
    <row r="1008">
      <c r="C1008" s="33"/>
      <c r="E1008" s="23"/>
    </row>
    <row r="1009">
      <c r="C1009" s="33"/>
      <c r="E1009" s="23"/>
    </row>
    <row r="1010">
      <c r="C1010" s="33"/>
      <c r="E1010" s="23"/>
    </row>
    <row r="1011">
      <c r="C1011" s="33"/>
      <c r="E1011" s="23"/>
    </row>
    <row r="1012">
      <c r="C1012" s="33"/>
      <c r="E1012" s="23"/>
    </row>
    <row r="1013">
      <c r="C1013" s="33"/>
      <c r="E1013" s="23"/>
    </row>
    <row r="1014">
      <c r="C1014" s="33"/>
      <c r="E1014" s="23"/>
    </row>
    <row r="1015">
      <c r="C1015" s="33"/>
      <c r="E1015" s="23"/>
    </row>
    <row r="1016">
      <c r="C1016" s="33"/>
      <c r="E1016" s="23"/>
    </row>
    <row r="1017">
      <c r="C1017" s="33"/>
      <c r="E1017" s="23"/>
    </row>
    <row r="1018">
      <c r="C1018" s="33"/>
      <c r="E1018" s="23"/>
    </row>
    <row r="1019">
      <c r="C1019" s="33"/>
      <c r="E1019" s="23"/>
    </row>
    <row r="1020">
      <c r="C1020" s="33"/>
      <c r="E1020" s="23"/>
    </row>
    <row r="1021">
      <c r="C1021" s="33"/>
      <c r="E1021" s="23"/>
    </row>
    <row r="1022">
      <c r="C1022" s="33"/>
      <c r="E1022" s="23"/>
    </row>
    <row r="1023">
      <c r="C1023" s="33"/>
      <c r="E1023" s="23"/>
    </row>
    <row r="1024">
      <c r="C1024" s="33"/>
      <c r="E1024" s="23"/>
    </row>
    <row r="1025">
      <c r="C1025" s="33"/>
      <c r="E1025" s="23"/>
    </row>
    <row r="1026">
      <c r="C1026" s="33"/>
      <c r="E1026" s="23"/>
    </row>
    <row r="1027">
      <c r="C1027" s="33"/>
      <c r="E1027" s="23"/>
    </row>
    <row r="1028">
      <c r="C1028" s="33"/>
      <c r="E1028" s="23"/>
    </row>
    <row r="1029">
      <c r="C1029" s="33"/>
      <c r="E1029" s="23"/>
    </row>
    <row r="1030">
      <c r="C1030" s="33"/>
      <c r="E1030" s="23"/>
    </row>
    <row r="1031">
      <c r="C1031" s="33"/>
      <c r="E1031" s="23"/>
    </row>
    <row r="1032">
      <c r="C1032" s="33"/>
      <c r="E1032" s="23"/>
    </row>
    <row r="1033">
      <c r="C1033" s="33"/>
      <c r="E1033" s="23"/>
    </row>
    <row r="1034">
      <c r="C1034" s="33"/>
      <c r="E1034" s="23"/>
    </row>
    <row r="1035">
      <c r="C1035" s="33"/>
      <c r="E1035" s="23"/>
    </row>
  </sheetData>
  <hyperlinks>
    <hyperlink r:id="rId1" ref="E7"/>
    <hyperlink r:id="rId2" ref="E8"/>
    <hyperlink r:id="rId3" ref="E10"/>
    <hyperlink r:id="rId4" location=":~:text=Based%20on%20information%20from%20the,rise%20from%2085.5%25%20in%202000." ref="E13"/>
    <hyperlink r:id="rId5" location=":~:text=1%2C000%20square%20feet%20can%20range,averages%20between%20%246%2C000%20and%20%2410%2C000" ref="E14"/>
    <hyperlink r:id="rId6" ref="J16"/>
    <hyperlink r:id="rId7" ref="J29"/>
    <hyperlink r:id="rId8" ref="E33"/>
    <hyperlink r:id="rId9" ref="E34"/>
    <hyperlink r:id="rId10" ref="E39"/>
  </hyperlinks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553</v>
      </c>
    </row>
    <row r="2">
      <c r="A2" s="7" t="s">
        <v>554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5.25"/>
    <col customWidth="1" min="3" max="3" width="25.5"/>
    <col customWidth="1" min="4" max="4" width="4.63"/>
    <col customWidth="1" min="5" max="5" width="14.38"/>
    <col customWidth="1" min="6" max="6" width="4.63"/>
    <col customWidth="1" min="8" max="9" width="4.63"/>
    <col customWidth="1" min="12" max="12" width="33.5"/>
  </cols>
  <sheetData>
    <row r="1">
      <c r="B1" s="7"/>
      <c r="C1" s="10"/>
      <c r="D1" s="7"/>
      <c r="E1" s="9"/>
      <c r="F1" s="7"/>
      <c r="G1" s="7"/>
    </row>
    <row r="2">
      <c r="B2" s="227" t="s">
        <v>503</v>
      </c>
      <c r="C2" s="10"/>
      <c r="D2" s="7"/>
      <c r="E2" s="9"/>
      <c r="F2" s="7"/>
      <c r="G2" s="7"/>
    </row>
    <row r="3">
      <c r="B3" s="228" t="s">
        <v>504</v>
      </c>
      <c r="C3" s="10"/>
      <c r="D3" s="7"/>
      <c r="E3" s="9"/>
      <c r="F3" s="7"/>
      <c r="G3" s="7"/>
    </row>
    <row r="4">
      <c r="B4" s="7"/>
      <c r="C4" s="10"/>
      <c r="D4" s="7"/>
      <c r="E4" s="9"/>
      <c r="F4" s="7"/>
      <c r="G4" s="7"/>
    </row>
    <row r="5">
      <c r="B5" s="7"/>
      <c r="C5" s="10"/>
      <c r="D5" s="7"/>
      <c r="E5" s="229" t="s">
        <v>505</v>
      </c>
      <c r="F5" s="7" t="s">
        <v>506</v>
      </c>
      <c r="G5" s="230" t="s">
        <v>507</v>
      </c>
      <c r="H5" s="230" t="s">
        <v>508</v>
      </c>
      <c r="J5" s="230" t="s">
        <v>10</v>
      </c>
    </row>
    <row r="6">
      <c r="B6" s="7" t="s">
        <v>19</v>
      </c>
      <c r="C6" s="33"/>
      <c r="E6" s="23"/>
      <c r="F6" s="7" t="s">
        <v>506</v>
      </c>
    </row>
    <row r="7">
      <c r="C7" s="10" t="s">
        <v>509</v>
      </c>
      <c r="E7" s="231" t="s">
        <v>23</v>
      </c>
      <c r="F7" s="7" t="s">
        <v>506</v>
      </c>
      <c r="G7" s="37">
        <v>2534.0</v>
      </c>
      <c r="H7" s="7" t="s">
        <v>22</v>
      </c>
      <c r="J7" s="41" t="s">
        <v>510</v>
      </c>
    </row>
    <row r="8">
      <c r="C8" s="10" t="s">
        <v>511</v>
      </c>
      <c r="E8" s="232" t="s">
        <v>512</v>
      </c>
      <c r="F8" s="7" t="s">
        <v>506</v>
      </c>
      <c r="G8" s="50">
        <v>50.0</v>
      </c>
      <c r="H8" s="7" t="s">
        <v>513</v>
      </c>
    </row>
    <row r="9">
      <c r="C9" s="10" t="s">
        <v>514</v>
      </c>
      <c r="E9" s="9"/>
      <c r="F9" s="7"/>
      <c r="G9" s="50">
        <f>G7*G8</f>
        <v>126700</v>
      </c>
      <c r="H9" s="7" t="s">
        <v>515</v>
      </c>
    </row>
    <row r="10">
      <c r="C10" s="10" t="s">
        <v>516</v>
      </c>
      <c r="E10" s="232" t="s">
        <v>517</v>
      </c>
      <c r="F10" s="7"/>
      <c r="G10" s="50">
        <v>30.0</v>
      </c>
      <c r="H10" s="7" t="s">
        <v>513</v>
      </c>
    </row>
    <row r="11">
      <c r="C11" s="10" t="s">
        <v>518</v>
      </c>
      <c r="E11" s="9"/>
      <c r="F11" s="7"/>
      <c r="G11" s="50">
        <f>G10*G7</f>
        <v>76020</v>
      </c>
      <c r="H11" s="7" t="s">
        <v>515</v>
      </c>
    </row>
    <row r="12">
      <c r="B12" s="23"/>
      <c r="C12" s="33"/>
      <c r="E12" s="23"/>
      <c r="F12" s="7" t="s">
        <v>506</v>
      </c>
    </row>
    <row r="13">
      <c r="B13" s="9" t="s">
        <v>555</v>
      </c>
      <c r="C13" s="33"/>
      <c r="E13" s="232" t="s">
        <v>520</v>
      </c>
      <c r="F13" s="7" t="s">
        <v>506</v>
      </c>
    </row>
    <row r="14">
      <c r="B14" s="23"/>
      <c r="C14" s="10" t="s">
        <v>521</v>
      </c>
      <c r="E14" s="232" t="s">
        <v>522</v>
      </c>
      <c r="F14" s="7" t="s">
        <v>506</v>
      </c>
      <c r="G14" s="233">
        <v>3085.0</v>
      </c>
      <c r="J14" s="7" t="s">
        <v>523</v>
      </c>
    </row>
    <row r="15">
      <c r="B15" s="23"/>
      <c r="C15" s="10" t="s">
        <v>524</v>
      </c>
      <c r="E15" s="9"/>
      <c r="F15" s="7"/>
      <c r="G15" s="234"/>
      <c r="J15" s="7" t="s">
        <v>525</v>
      </c>
    </row>
    <row r="16">
      <c r="B16" s="23"/>
      <c r="C16" s="10" t="s">
        <v>177</v>
      </c>
      <c r="E16" s="241" t="s">
        <v>556</v>
      </c>
      <c r="F16" s="7" t="s">
        <v>506</v>
      </c>
      <c r="G16" s="235">
        <v>322.0</v>
      </c>
    </row>
    <row r="17">
      <c r="B17" s="23"/>
      <c r="C17" s="10" t="s">
        <v>13</v>
      </c>
      <c r="E17" s="232" t="s">
        <v>557</v>
      </c>
      <c r="F17" s="7" t="s">
        <v>506</v>
      </c>
      <c r="G17" s="237">
        <v>3.019</v>
      </c>
      <c r="J17" s="7" t="s">
        <v>529</v>
      </c>
    </row>
    <row r="18">
      <c r="B18" s="23"/>
      <c r="C18" s="10" t="s">
        <v>138</v>
      </c>
      <c r="E18" s="23"/>
      <c r="F18" s="7"/>
      <c r="G18" s="237"/>
      <c r="J18" s="7"/>
    </row>
    <row r="19">
      <c r="C19" s="10" t="s">
        <v>188</v>
      </c>
      <c r="E19" s="23"/>
      <c r="F19" s="7"/>
      <c r="G19" s="108">
        <f>G16*G17</f>
        <v>972.118</v>
      </c>
    </row>
    <row r="20">
      <c r="C20" s="10"/>
      <c r="E20" s="23"/>
      <c r="F20" s="7"/>
    </row>
    <row r="21">
      <c r="B21" s="9" t="s">
        <v>530</v>
      </c>
      <c r="C21" s="33"/>
      <c r="E21" s="23"/>
      <c r="F21" s="7" t="s">
        <v>506</v>
      </c>
    </row>
    <row r="22">
      <c r="B22" s="23"/>
      <c r="C22" s="10" t="s">
        <v>521</v>
      </c>
      <c r="E22" s="23"/>
      <c r="F22" s="7" t="s">
        <v>506</v>
      </c>
      <c r="G22" s="233">
        <v>4726.0</v>
      </c>
    </row>
    <row r="23">
      <c r="B23" s="23"/>
      <c r="C23" s="10" t="s">
        <v>558</v>
      </c>
      <c r="E23" s="241" t="s">
        <v>559</v>
      </c>
      <c r="F23" s="7" t="s">
        <v>506</v>
      </c>
      <c r="G23" s="235"/>
    </row>
    <row r="24">
      <c r="B24" s="23"/>
      <c r="C24" s="10" t="s">
        <v>13</v>
      </c>
      <c r="E24" s="23"/>
      <c r="F24" s="7"/>
      <c r="G24" s="238"/>
    </row>
    <row r="25">
      <c r="B25" s="23"/>
      <c r="C25" s="10" t="s">
        <v>138</v>
      </c>
      <c r="E25" s="23"/>
      <c r="F25" s="7"/>
      <c r="G25" s="238"/>
    </row>
    <row r="26">
      <c r="B26" s="23"/>
      <c r="C26" s="10" t="s">
        <v>188</v>
      </c>
      <c r="E26" s="23"/>
      <c r="F26" s="7"/>
    </row>
    <row r="27">
      <c r="C27" s="33"/>
      <c r="E27" s="23"/>
      <c r="F27" s="7" t="s">
        <v>506</v>
      </c>
    </row>
    <row r="28">
      <c r="B28" s="9" t="s">
        <v>560</v>
      </c>
      <c r="C28" s="33"/>
      <c r="E28" s="23"/>
      <c r="F28" s="7" t="s">
        <v>506</v>
      </c>
    </row>
    <row r="29">
      <c r="B29" s="23"/>
      <c r="C29" s="10" t="s">
        <v>533</v>
      </c>
      <c r="E29" s="9" t="s">
        <v>506</v>
      </c>
      <c r="F29" s="7" t="s">
        <v>506</v>
      </c>
      <c r="G29" s="233">
        <v>3093.0</v>
      </c>
      <c r="J29" s="7" t="s">
        <v>534</v>
      </c>
    </row>
    <row r="30">
      <c r="B30" s="23"/>
      <c r="C30" s="10" t="s">
        <v>535</v>
      </c>
      <c r="E30" s="9"/>
      <c r="F30" s="7"/>
      <c r="G30" s="233"/>
      <c r="J30" s="7"/>
    </row>
    <row r="31">
      <c r="B31" s="23"/>
      <c r="C31" s="10" t="s">
        <v>524</v>
      </c>
      <c r="E31" s="9"/>
      <c r="F31" s="7"/>
      <c r="G31" s="234"/>
      <c r="J31" s="7" t="s">
        <v>525</v>
      </c>
    </row>
    <row r="32">
      <c r="B32" s="23"/>
      <c r="C32" s="10" t="s">
        <v>536</v>
      </c>
      <c r="E32" s="232" t="s">
        <v>537</v>
      </c>
      <c r="F32" s="7" t="s">
        <v>506</v>
      </c>
      <c r="G32" s="235">
        <v>243.0</v>
      </c>
      <c r="J32" s="7" t="s">
        <v>538</v>
      </c>
    </row>
    <row r="33">
      <c r="B33" s="9"/>
      <c r="C33" s="10" t="s">
        <v>528</v>
      </c>
      <c r="E33" s="232" t="s">
        <v>539</v>
      </c>
      <c r="F33" s="7" t="s">
        <v>506</v>
      </c>
      <c r="G33" s="103">
        <v>3.466</v>
      </c>
      <c r="J33" s="7" t="s">
        <v>529</v>
      </c>
    </row>
    <row r="34">
      <c r="B34" s="9"/>
      <c r="C34" s="10" t="s">
        <v>138</v>
      </c>
      <c r="E34" s="23"/>
      <c r="F34" s="7"/>
    </row>
    <row r="35">
      <c r="B35" s="9"/>
      <c r="C35" s="10" t="s">
        <v>188</v>
      </c>
      <c r="E35" s="23"/>
      <c r="F35" s="7"/>
    </row>
    <row r="36">
      <c r="B36" s="9"/>
      <c r="C36" s="33"/>
      <c r="E36" s="23"/>
      <c r="F36" s="7"/>
    </row>
    <row r="37">
      <c r="B37" s="9" t="s">
        <v>540</v>
      </c>
      <c r="C37" s="33"/>
      <c r="E37" s="23"/>
      <c r="F37" s="7" t="s">
        <v>506</v>
      </c>
    </row>
    <row r="38">
      <c r="B38" s="23"/>
      <c r="C38" s="10" t="s">
        <v>521</v>
      </c>
      <c r="E38" s="232" t="s">
        <v>541</v>
      </c>
      <c r="F38" s="7" t="s">
        <v>506</v>
      </c>
      <c r="G38" s="233">
        <v>14678.0</v>
      </c>
      <c r="J38" s="7" t="s">
        <v>542</v>
      </c>
    </row>
    <row r="39">
      <c r="B39" s="23"/>
      <c r="C39" s="10" t="s">
        <v>524</v>
      </c>
      <c r="E39" s="23"/>
      <c r="F39" s="7"/>
      <c r="G39" s="234"/>
      <c r="J39" s="7" t="s">
        <v>525</v>
      </c>
    </row>
    <row r="40">
      <c r="B40" s="23"/>
      <c r="C40" s="10" t="s">
        <v>561</v>
      </c>
      <c r="E40" s="23"/>
      <c r="F40" s="7"/>
      <c r="G40" s="235"/>
      <c r="J40" s="7" t="s">
        <v>562</v>
      </c>
    </row>
    <row r="41">
      <c r="B41" s="23"/>
      <c r="C41" s="10" t="s">
        <v>544</v>
      </c>
      <c r="E41" s="23"/>
      <c r="F41" s="7"/>
      <c r="G41" s="235"/>
    </row>
    <row r="42">
      <c r="B42" s="23"/>
      <c r="C42" s="10" t="s">
        <v>177</v>
      </c>
      <c r="E42" s="23"/>
      <c r="F42" s="7" t="s">
        <v>506</v>
      </c>
      <c r="G42" s="235">
        <v>10000.0</v>
      </c>
    </row>
    <row r="43">
      <c r="B43" s="23"/>
      <c r="C43" s="10" t="s">
        <v>13</v>
      </c>
      <c r="E43" s="23"/>
      <c r="F43" s="7" t="s">
        <v>506</v>
      </c>
      <c r="G43" s="237">
        <v>0.24</v>
      </c>
    </row>
    <row r="44">
      <c r="B44" s="23"/>
      <c r="C44" s="10" t="s">
        <v>138</v>
      </c>
      <c r="E44" s="23"/>
      <c r="F44" s="7"/>
      <c r="G44" s="237"/>
    </row>
    <row r="45">
      <c r="B45" s="23"/>
      <c r="C45" s="10" t="s">
        <v>188</v>
      </c>
      <c r="E45" s="23"/>
      <c r="F45" s="7" t="s">
        <v>506</v>
      </c>
      <c r="G45" s="108">
        <f>G42*G43</f>
        <v>2400</v>
      </c>
    </row>
    <row r="46">
      <c r="B46" s="23"/>
      <c r="C46" s="10"/>
      <c r="E46" s="23"/>
      <c r="F46" s="7"/>
    </row>
    <row r="47">
      <c r="B47" s="9" t="s">
        <v>563</v>
      </c>
      <c r="C47" s="33"/>
      <c r="E47" s="23"/>
      <c r="F47" s="7"/>
    </row>
    <row r="48">
      <c r="B48" s="9"/>
      <c r="C48" s="10" t="s">
        <v>521</v>
      </c>
      <c r="E48" s="23"/>
      <c r="F48" s="7"/>
      <c r="G48" s="233">
        <v>3267.0</v>
      </c>
    </row>
    <row r="49">
      <c r="B49" s="9"/>
      <c r="C49" s="10" t="s">
        <v>524</v>
      </c>
      <c r="E49" s="23"/>
      <c r="F49" s="7"/>
      <c r="G49" s="234"/>
      <c r="J49" s="7" t="s">
        <v>525</v>
      </c>
    </row>
    <row r="50">
      <c r="B50" s="9"/>
      <c r="C50" s="10" t="s">
        <v>543</v>
      </c>
      <c r="E50" s="23"/>
      <c r="F50" s="7"/>
      <c r="G50" s="238"/>
      <c r="J50" s="7"/>
    </row>
    <row r="51">
      <c r="B51" s="9"/>
      <c r="C51" s="10" t="s">
        <v>544</v>
      </c>
      <c r="E51" s="23"/>
      <c r="F51" s="7"/>
      <c r="G51" s="238"/>
      <c r="J51" s="7"/>
    </row>
    <row r="52">
      <c r="B52" s="9"/>
      <c r="C52" s="10" t="s">
        <v>177</v>
      </c>
      <c r="E52" s="23"/>
      <c r="F52" s="7"/>
      <c r="G52" s="238"/>
    </row>
    <row r="53">
      <c r="B53" s="9"/>
      <c r="C53" s="10" t="s">
        <v>13</v>
      </c>
      <c r="E53" s="23"/>
      <c r="F53" s="7"/>
      <c r="G53" s="238"/>
    </row>
    <row r="54">
      <c r="B54" s="9"/>
      <c r="C54" s="10" t="s">
        <v>138</v>
      </c>
      <c r="E54" s="23"/>
      <c r="F54" s="7"/>
      <c r="G54" s="238"/>
    </row>
    <row r="55">
      <c r="B55" s="9"/>
      <c r="C55" s="10" t="s">
        <v>188</v>
      </c>
      <c r="E55" s="23"/>
      <c r="F55" s="7"/>
    </row>
    <row r="56">
      <c r="B56" s="9"/>
      <c r="C56" s="10"/>
      <c r="E56" s="23"/>
      <c r="F56" s="7"/>
    </row>
    <row r="57">
      <c r="B57" s="9" t="s">
        <v>546</v>
      </c>
      <c r="C57" s="33"/>
      <c r="E57" s="23"/>
      <c r="F57" s="7" t="s">
        <v>506</v>
      </c>
    </row>
    <row r="58">
      <c r="B58" s="23"/>
      <c r="C58" s="10" t="s">
        <v>547</v>
      </c>
      <c r="E58" s="23"/>
      <c r="F58" s="7" t="s">
        <v>506</v>
      </c>
      <c r="G58" s="128">
        <f>G38-(G14+G29)</f>
        <v>8500</v>
      </c>
      <c r="J58" s="7" t="s">
        <v>548</v>
      </c>
    </row>
    <row r="59">
      <c r="B59" s="23"/>
      <c r="C59" s="10" t="s">
        <v>192</v>
      </c>
      <c r="E59" s="23"/>
      <c r="F59" s="7"/>
      <c r="G59" s="240">
        <v>0.05</v>
      </c>
    </row>
    <row r="60">
      <c r="B60" s="23"/>
      <c r="C60" s="10" t="s">
        <v>549</v>
      </c>
      <c r="E60" s="23"/>
      <c r="F60" s="7"/>
      <c r="G60" s="108">
        <f>PMT(G59,30,-G58)</f>
        <v>552.9371982</v>
      </c>
    </row>
    <row r="61">
      <c r="B61" s="23"/>
      <c r="C61" s="10" t="s">
        <v>550</v>
      </c>
      <c r="E61" s="23"/>
      <c r="F61" s="7" t="s">
        <v>506</v>
      </c>
      <c r="G61" s="108">
        <f>G45-(G1+G19)</f>
        <v>1427.882</v>
      </c>
    </row>
    <row r="62">
      <c r="B62" s="23"/>
      <c r="C62" s="10" t="s">
        <v>551</v>
      </c>
      <c r="E62" s="23"/>
      <c r="F62" s="7" t="s">
        <v>506</v>
      </c>
      <c r="G62" s="108">
        <f>G61-G60</f>
        <v>874.9448018</v>
      </c>
    </row>
    <row r="63">
      <c r="B63" s="23"/>
      <c r="C63" s="10" t="s">
        <v>552</v>
      </c>
      <c r="E63" s="23"/>
      <c r="F63" s="7" t="s">
        <v>506</v>
      </c>
      <c r="G63" s="108">
        <f>30*G62</f>
        <v>26248.34405</v>
      </c>
    </row>
    <row r="64">
      <c r="B64" s="23"/>
      <c r="C64" s="33"/>
      <c r="E64" s="23"/>
      <c r="F64" s="7" t="s">
        <v>506</v>
      </c>
    </row>
    <row r="65">
      <c r="C65" s="10"/>
      <c r="E65" s="23"/>
      <c r="F65" s="7"/>
    </row>
    <row r="66">
      <c r="C66" s="33"/>
      <c r="E66" s="23"/>
      <c r="F66" s="7" t="s">
        <v>506</v>
      </c>
    </row>
    <row r="67">
      <c r="B67" s="23"/>
      <c r="C67" s="33"/>
      <c r="E67" s="23"/>
      <c r="F67" s="7" t="s">
        <v>506</v>
      </c>
    </row>
    <row r="68">
      <c r="B68" s="23"/>
      <c r="C68" s="33"/>
      <c r="E68" s="23"/>
      <c r="F68" s="7" t="s">
        <v>506</v>
      </c>
    </row>
    <row r="69">
      <c r="B69" s="23"/>
      <c r="C69" s="33"/>
      <c r="E69" s="23"/>
      <c r="F69" s="7" t="s">
        <v>506</v>
      </c>
    </row>
    <row r="70">
      <c r="B70" s="23"/>
      <c r="C70" s="33"/>
      <c r="E70" s="23"/>
      <c r="F70" s="7" t="s">
        <v>506</v>
      </c>
    </row>
    <row r="71">
      <c r="B71" s="23"/>
      <c r="C71" s="33"/>
      <c r="E71" s="23"/>
      <c r="F71" s="7" t="s">
        <v>506</v>
      </c>
    </row>
    <row r="72">
      <c r="B72" s="23"/>
      <c r="C72" s="33"/>
      <c r="E72" s="23"/>
      <c r="F72" s="7" t="s">
        <v>506</v>
      </c>
    </row>
    <row r="73">
      <c r="B73" s="23"/>
      <c r="C73" s="33"/>
      <c r="E73" s="23"/>
      <c r="F73" s="7" t="s">
        <v>506</v>
      </c>
    </row>
    <row r="74">
      <c r="B74" s="23"/>
      <c r="C74" s="33"/>
      <c r="E74" s="23"/>
      <c r="F74" s="7" t="s">
        <v>506</v>
      </c>
    </row>
    <row r="75">
      <c r="B75" s="23"/>
      <c r="C75" s="33"/>
      <c r="E75" s="23"/>
      <c r="F75" s="7" t="s">
        <v>506</v>
      </c>
    </row>
    <row r="76">
      <c r="B76" s="23"/>
      <c r="C76" s="33"/>
      <c r="E76" s="23"/>
      <c r="F76" s="7" t="s">
        <v>506</v>
      </c>
    </row>
    <row r="77">
      <c r="B77" s="23"/>
      <c r="C77" s="33"/>
      <c r="E77" s="23"/>
      <c r="F77" s="7" t="s">
        <v>506</v>
      </c>
    </row>
    <row r="78">
      <c r="B78" s="23"/>
      <c r="C78" s="33"/>
      <c r="E78" s="23"/>
      <c r="F78" s="7" t="s">
        <v>506</v>
      </c>
    </row>
    <row r="79">
      <c r="B79" s="23"/>
      <c r="C79" s="33"/>
      <c r="E79" s="23"/>
      <c r="F79" s="7" t="s">
        <v>506</v>
      </c>
    </row>
    <row r="80">
      <c r="B80" s="23"/>
      <c r="C80" s="33"/>
      <c r="E80" s="23"/>
      <c r="F80" s="7" t="s">
        <v>506</v>
      </c>
    </row>
    <row r="81">
      <c r="B81" s="23"/>
      <c r="C81" s="33"/>
      <c r="E81" s="23"/>
      <c r="F81" s="7" t="s">
        <v>506</v>
      </c>
    </row>
    <row r="82">
      <c r="B82" s="23"/>
      <c r="C82" s="33"/>
      <c r="E82" s="23"/>
      <c r="F82" s="7" t="s">
        <v>506</v>
      </c>
    </row>
    <row r="83">
      <c r="B83" s="23"/>
      <c r="C83" s="33"/>
      <c r="E83" s="23"/>
      <c r="F83" s="7" t="s">
        <v>506</v>
      </c>
    </row>
    <row r="84">
      <c r="B84" s="23"/>
      <c r="C84" s="33"/>
      <c r="E84" s="23"/>
      <c r="F84" s="7" t="s">
        <v>506</v>
      </c>
    </row>
    <row r="85">
      <c r="B85" s="23"/>
      <c r="C85" s="33"/>
      <c r="E85" s="23"/>
      <c r="F85" s="7" t="s">
        <v>506</v>
      </c>
    </row>
    <row r="86">
      <c r="B86" s="23"/>
      <c r="C86" s="33"/>
      <c r="E86" s="23"/>
      <c r="F86" s="7" t="s">
        <v>506</v>
      </c>
    </row>
    <row r="87">
      <c r="B87" s="23"/>
      <c r="C87" s="33"/>
      <c r="E87" s="23"/>
      <c r="F87" s="7" t="s">
        <v>506</v>
      </c>
    </row>
    <row r="88">
      <c r="B88" s="23"/>
      <c r="C88" s="33"/>
      <c r="E88" s="23"/>
    </row>
    <row r="89">
      <c r="B89" s="23"/>
      <c r="C89" s="33"/>
      <c r="E89" s="23"/>
    </row>
    <row r="90">
      <c r="B90" s="23"/>
      <c r="C90" s="33"/>
      <c r="E90" s="23"/>
    </row>
    <row r="91">
      <c r="B91" s="23"/>
      <c r="C91" s="33"/>
      <c r="E91" s="23"/>
    </row>
    <row r="92">
      <c r="B92" s="23"/>
      <c r="C92" s="33"/>
      <c r="E92" s="23"/>
    </row>
    <row r="93">
      <c r="B93" s="23"/>
      <c r="C93" s="33"/>
      <c r="E93" s="23"/>
    </row>
    <row r="94">
      <c r="B94" s="23"/>
      <c r="C94" s="33"/>
      <c r="E94" s="23"/>
    </row>
    <row r="95">
      <c r="B95" s="23"/>
      <c r="C95" s="33"/>
      <c r="E95" s="23"/>
    </row>
    <row r="96">
      <c r="B96" s="23"/>
      <c r="C96" s="33"/>
      <c r="E96" s="23"/>
    </row>
    <row r="97">
      <c r="B97" s="23"/>
      <c r="C97" s="33"/>
      <c r="E97" s="23"/>
    </row>
    <row r="98">
      <c r="B98" s="23"/>
      <c r="C98" s="33"/>
      <c r="E98" s="23"/>
    </row>
    <row r="99">
      <c r="B99" s="23"/>
      <c r="C99" s="33"/>
      <c r="E99" s="23"/>
    </row>
    <row r="100">
      <c r="B100" s="23"/>
      <c r="C100" s="33"/>
      <c r="E100" s="23"/>
    </row>
    <row r="101">
      <c r="B101" s="23"/>
      <c r="C101" s="33"/>
      <c r="E101" s="23"/>
    </row>
    <row r="102">
      <c r="B102" s="23"/>
      <c r="C102" s="33"/>
      <c r="E102" s="23"/>
    </row>
    <row r="103">
      <c r="B103" s="23"/>
      <c r="C103" s="33"/>
      <c r="E103" s="23"/>
    </row>
    <row r="104">
      <c r="B104" s="23"/>
      <c r="C104" s="33"/>
      <c r="E104" s="23"/>
    </row>
    <row r="105">
      <c r="B105" s="23"/>
      <c r="C105" s="33"/>
      <c r="E105" s="23"/>
    </row>
    <row r="106">
      <c r="B106" s="23"/>
      <c r="C106" s="33"/>
      <c r="E106" s="23"/>
    </row>
    <row r="107">
      <c r="B107" s="23"/>
      <c r="C107" s="33"/>
      <c r="E107" s="23"/>
    </row>
    <row r="108">
      <c r="B108" s="23"/>
      <c r="C108" s="33"/>
      <c r="E108" s="23"/>
    </row>
    <row r="109">
      <c r="B109" s="23"/>
      <c r="C109" s="33"/>
      <c r="E109" s="23"/>
    </row>
    <row r="110">
      <c r="B110" s="23"/>
      <c r="C110" s="33"/>
      <c r="E110" s="23"/>
    </row>
    <row r="111">
      <c r="B111" s="23"/>
      <c r="C111" s="33"/>
      <c r="E111" s="23"/>
    </row>
    <row r="112">
      <c r="B112" s="23"/>
      <c r="C112" s="33"/>
      <c r="E112" s="23"/>
    </row>
    <row r="113">
      <c r="B113" s="23"/>
      <c r="C113" s="33"/>
      <c r="E113" s="23"/>
    </row>
    <row r="114">
      <c r="B114" s="23"/>
      <c r="C114" s="33"/>
      <c r="E114" s="23"/>
    </row>
    <row r="115">
      <c r="B115" s="23"/>
      <c r="C115" s="33"/>
      <c r="E115" s="23"/>
    </row>
    <row r="116">
      <c r="B116" s="23"/>
      <c r="C116" s="33"/>
      <c r="E116" s="23"/>
    </row>
    <row r="117">
      <c r="B117" s="23"/>
      <c r="C117" s="33"/>
      <c r="E117" s="23"/>
    </row>
    <row r="118">
      <c r="B118" s="23"/>
      <c r="C118" s="33"/>
      <c r="E118" s="23"/>
    </row>
    <row r="119">
      <c r="B119" s="23"/>
      <c r="C119" s="33"/>
      <c r="E119" s="23"/>
    </row>
    <row r="120">
      <c r="B120" s="23"/>
      <c r="C120" s="33"/>
      <c r="E120" s="23"/>
    </row>
    <row r="121">
      <c r="B121" s="23"/>
      <c r="C121" s="33"/>
      <c r="E121" s="23"/>
    </row>
    <row r="122">
      <c r="B122" s="23"/>
      <c r="C122" s="33"/>
      <c r="E122" s="23"/>
    </row>
    <row r="123">
      <c r="B123" s="23"/>
      <c r="C123" s="33"/>
      <c r="E123" s="23"/>
    </row>
    <row r="124">
      <c r="B124" s="23"/>
      <c r="C124" s="33"/>
      <c r="E124" s="23"/>
    </row>
    <row r="125">
      <c r="B125" s="23"/>
      <c r="C125" s="33"/>
      <c r="E125" s="23"/>
    </row>
    <row r="126">
      <c r="B126" s="23"/>
      <c r="C126" s="33"/>
      <c r="E126" s="23"/>
    </row>
    <row r="127">
      <c r="B127" s="23"/>
      <c r="C127" s="33"/>
      <c r="E127" s="23"/>
    </row>
    <row r="128">
      <c r="B128" s="23"/>
      <c r="C128" s="33"/>
      <c r="E128" s="23"/>
    </row>
    <row r="129">
      <c r="B129" s="23"/>
      <c r="C129" s="33"/>
      <c r="E129" s="23"/>
    </row>
    <row r="130">
      <c r="B130" s="23"/>
      <c r="C130" s="33"/>
      <c r="E130" s="23"/>
    </row>
    <row r="131">
      <c r="B131" s="23"/>
      <c r="C131" s="33"/>
      <c r="E131" s="23"/>
    </row>
    <row r="132">
      <c r="B132" s="23"/>
      <c r="C132" s="33"/>
      <c r="E132" s="23"/>
    </row>
    <row r="133">
      <c r="B133" s="23"/>
      <c r="C133" s="33"/>
      <c r="E133" s="23"/>
    </row>
    <row r="134">
      <c r="B134" s="23"/>
      <c r="C134" s="33"/>
      <c r="E134" s="23"/>
    </row>
    <row r="135">
      <c r="B135" s="23"/>
      <c r="C135" s="33"/>
      <c r="E135" s="23"/>
    </row>
    <row r="136">
      <c r="B136" s="23"/>
      <c r="C136" s="33"/>
      <c r="E136" s="23"/>
    </row>
    <row r="137">
      <c r="B137" s="23"/>
      <c r="C137" s="33"/>
      <c r="E137" s="23"/>
    </row>
    <row r="138">
      <c r="B138" s="23"/>
      <c r="C138" s="33"/>
      <c r="E138" s="23"/>
    </row>
    <row r="139">
      <c r="B139" s="23"/>
      <c r="C139" s="33"/>
      <c r="E139" s="23"/>
    </row>
    <row r="140">
      <c r="B140" s="23"/>
      <c r="C140" s="33"/>
      <c r="E140" s="23"/>
    </row>
    <row r="141">
      <c r="B141" s="23"/>
      <c r="C141" s="33"/>
      <c r="E141" s="23"/>
    </row>
    <row r="142">
      <c r="B142" s="23"/>
      <c r="C142" s="33"/>
      <c r="E142" s="23"/>
    </row>
    <row r="143">
      <c r="B143" s="23"/>
      <c r="C143" s="33"/>
      <c r="E143" s="23"/>
    </row>
    <row r="144">
      <c r="B144" s="23"/>
      <c r="C144" s="33"/>
      <c r="E144" s="23"/>
    </row>
    <row r="145">
      <c r="B145" s="23"/>
      <c r="C145" s="33"/>
      <c r="E145" s="23"/>
    </row>
    <row r="146">
      <c r="B146" s="23"/>
      <c r="C146" s="33"/>
      <c r="E146" s="23"/>
    </row>
    <row r="147">
      <c r="B147" s="23"/>
      <c r="C147" s="33"/>
      <c r="E147" s="23"/>
    </row>
    <row r="148">
      <c r="B148" s="23"/>
      <c r="C148" s="33"/>
      <c r="E148" s="23"/>
    </row>
    <row r="149">
      <c r="B149" s="23"/>
      <c r="C149" s="33"/>
      <c r="E149" s="23"/>
    </row>
    <row r="150">
      <c r="B150" s="23"/>
      <c r="C150" s="33"/>
      <c r="E150" s="23"/>
    </row>
    <row r="151">
      <c r="B151" s="23"/>
      <c r="C151" s="33"/>
      <c r="E151" s="23"/>
    </row>
    <row r="152">
      <c r="B152" s="23"/>
      <c r="C152" s="33"/>
      <c r="E152" s="23"/>
    </row>
    <row r="153">
      <c r="B153" s="23"/>
      <c r="C153" s="33"/>
      <c r="E153" s="23"/>
    </row>
    <row r="154">
      <c r="B154" s="23"/>
      <c r="C154" s="33"/>
      <c r="E154" s="23"/>
    </row>
    <row r="155">
      <c r="B155" s="23"/>
      <c r="C155" s="33"/>
      <c r="E155" s="23"/>
    </row>
    <row r="156">
      <c r="B156" s="23"/>
      <c r="C156" s="33"/>
      <c r="E156" s="23"/>
    </row>
    <row r="157">
      <c r="B157" s="23"/>
      <c r="C157" s="33"/>
      <c r="E157" s="23"/>
    </row>
    <row r="158">
      <c r="B158" s="23"/>
      <c r="C158" s="33"/>
      <c r="E158" s="23"/>
    </row>
    <row r="159">
      <c r="B159" s="23"/>
      <c r="C159" s="33"/>
      <c r="E159" s="23"/>
    </row>
    <row r="160">
      <c r="B160" s="23"/>
      <c r="C160" s="33"/>
      <c r="E160" s="23"/>
    </row>
    <row r="161">
      <c r="B161" s="23"/>
      <c r="C161" s="33"/>
      <c r="E161" s="23"/>
    </row>
    <row r="162">
      <c r="B162" s="23"/>
      <c r="C162" s="33"/>
      <c r="E162" s="23"/>
    </row>
    <row r="163">
      <c r="B163" s="23"/>
      <c r="C163" s="33"/>
      <c r="E163" s="23"/>
    </row>
    <row r="164">
      <c r="B164" s="23"/>
      <c r="C164" s="33"/>
      <c r="E164" s="23"/>
    </row>
    <row r="165">
      <c r="B165" s="23"/>
      <c r="C165" s="33"/>
      <c r="E165" s="23"/>
    </row>
    <row r="166">
      <c r="B166" s="23"/>
      <c r="C166" s="33"/>
      <c r="E166" s="23"/>
    </row>
    <row r="167">
      <c r="B167" s="23"/>
      <c r="C167" s="33"/>
      <c r="E167" s="23"/>
    </row>
    <row r="168">
      <c r="B168" s="23"/>
      <c r="C168" s="33"/>
      <c r="E168" s="23"/>
    </row>
    <row r="169">
      <c r="C169" s="33"/>
      <c r="E169" s="23"/>
    </row>
    <row r="170">
      <c r="C170" s="33"/>
      <c r="E170" s="23"/>
    </row>
    <row r="171">
      <c r="C171" s="33"/>
      <c r="E171" s="23"/>
    </row>
    <row r="172">
      <c r="C172" s="33"/>
      <c r="E172" s="23"/>
    </row>
    <row r="173">
      <c r="C173" s="33"/>
      <c r="E173" s="23"/>
    </row>
    <row r="174">
      <c r="C174" s="33"/>
      <c r="E174" s="23"/>
    </row>
    <row r="175">
      <c r="C175" s="33"/>
      <c r="E175" s="23"/>
    </row>
    <row r="176">
      <c r="C176" s="33"/>
      <c r="E176" s="23"/>
    </row>
    <row r="177">
      <c r="C177" s="33"/>
      <c r="E177" s="23"/>
    </row>
    <row r="178">
      <c r="C178" s="33"/>
      <c r="E178" s="23"/>
    </row>
    <row r="179">
      <c r="C179" s="33"/>
      <c r="E179" s="23"/>
    </row>
    <row r="180">
      <c r="C180" s="33"/>
      <c r="E180" s="23"/>
    </row>
    <row r="181">
      <c r="C181" s="33"/>
      <c r="E181" s="23"/>
    </row>
    <row r="182">
      <c r="C182" s="33"/>
      <c r="E182" s="23"/>
    </row>
    <row r="183">
      <c r="C183" s="33"/>
      <c r="E183" s="23"/>
    </row>
    <row r="184">
      <c r="C184" s="33"/>
      <c r="E184" s="23"/>
    </row>
    <row r="185">
      <c r="C185" s="33"/>
      <c r="E185" s="23"/>
    </row>
    <row r="186">
      <c r="C186" s="33"/>
      <c r="E186" s="23"/>
    </row>
    <row r="187">
      <c r="C187" s="33"/>
      <c r="E187" s="23"/>
    </row>
    <row r="188">
      <c r="C188" s="33"/>
      <c r="E188" s="23"/>
    </row>
    <row r="189">
      <c r="C189" s="33"/>
      <c r="E189" s="23"/>
    </row>
    <row r="190">
      <c r="C190" s="33"/>
      <c r="E190" s="23"/>
    </row>
    <row r="191">
      <c r="C191" s="33"/>
      <c r="E191" s="23"/>
    </row>
    <row r="192">
      <c r="C192" s="33"/>
      <c r="E192" s="23"/>
    </row>
    <row r="193">
      <c r="C193" s="33"/>
      <c r="E193" s="23"/>
    </row>
    <row r="194">
      <c r="C194" s="33"/>
      <c r="E194" s="23"/>
    </row>
    <row r="195">
      <c r="C195" s="33"/>
      <c r="E195" s="23"/>
    </row>
    <row r="196">
      <c r="C196" s="33"/>
      <c r="E196" s="23"/>
    </row>
    <row r="197">
      <c r="C197" s="33"/>
      <c r="E197" s="23"/>
    </row>
    <row r="198">
      <c r="C198" s="33"/>
      <c r="E198" s="23"/>
    </row>
    <row r="199">
      <c r="C199" s="33"/>
      <c r="E199" s="23"/>
    </row>
    <row r="200">
      <c r="C200" s="33"/>
      <c r="E200" s="23"/>
    </row>
    <row r="201">
      <c r="C201" s="33"/>
      <c r="E201" s="23"/>
    </row>
    <row r="202">
      <c r="C202" s="33"/>
      <c r="E202" s="23"/>
    </row>
    <row r="203">
      <c r="C203" s="33"/>
      <c r="E203" s="23"/>
    </row>
    <row r="204">
      <c r="C204" s="33"/>
      <c r="E204" s="23"/>
    </row>
    <row r="205">
      <c r="C205" s="33"/>
      <c r="E205" s="23"/>
    </row>
    <row r="206">
      <c r="C206" s="33"/>
      <c r="E206" s="23"/>
    </row>
    <row r="207">
      <c r="C207" s="33"/>
      <c r="E207" s="23"/>
    </row>
    <row r="208">
      <c r="C208" s="33"/>
      <c r="E208" s="23"/>
    </row>
    <row r="209">
      <c r="C209" s="33"/>
      <c r="E209" s="23"/>
    </row>
    <row r="210">
      <c r="C210" s="33"/>
      <c r="E210" s="23"/>
    </row>
    <row r="211">
      <c r="C211" s="33"/>
      <c r="E211" s="23"/>
    </row>
    <row r="212">
      <c r="C212" s="33"/>
      <c r="E212" s="23"/>
    </row>
    <row r="213">
      <c r="C213" s="33"/>
      <c r="E213" s="23"/>
    </row>
    <row r="214">
      <c r="C214" s="33"/>
      <c r="E214" s="23"/>
    </row>
    <row r="215">
      <c r="C215" s="33"/>
      <c r="E215" s="23"/>
    </row>
    <row r="216">
      <c r="C216" s="33"/>
      <c r="E216" s="23"/>
    </row>
    <row r="217">
      <c r="C217" s="33"/>
      <c r="E217" s="23"/>
    </row>
    <row r="218">
      <c r="C218" s="33"/>
      <c r="E218" s="23"/>
    </row>
    <row r="219">
      <c r="C219" s="33"/>
      <c r="E219" s="23"/>
    </row>
    <row r="220">
      <c r="C220" s="33"/>
      <c r="E220" s="23"/>
    </row>
    <row r="221">
      <c r="C221" s="33"/>
      <c r="E221" s="23"/>
    </row>
    <row r="222">
      <c r="C222" s="33"/>
      <c r="E222" s="23"/>
    </row>
    <row r="223">
      <c r="C223" s="33"/>
      <c r="E223" s="23"/>
    </row>
    <row r="224">
      <c r="C224" s="33"/>
      <c r="E224" s="23"/>
    </row>
    <row r="225">
      <c r="C225" s="33"/>
      <c r="E225" s="23"/>
    </row>
    <row r="226">
      <c r="C226" s="33"/>
      <c r="E226" s="23"/>
    </row>
    <row r="227">
      <c r="C227" s="33"/>
      <c r="E227" s="23"/>
    </row>
    <row r="228">
      <c r="C228" s="33"/>
      <c r="E228" s="23"/>
    </row>
    <row r="229">
      <c r="C229" s="33"/>
      <c r="E229" s="23"/>
    </row>
    <row r="230">
      <c r="C230" s="33"/>
      <c r="E230" s="23"/>
    </row>
    <row r="231">
      <c r="C231" s="33"/>
      <c r="E231" s="23"/>
    </row>
    <row r="232">
      <c r="C232" s="33"/>
      <c r="E232" s="23"/>
    </row>
    <row r="233">
      <c r="C233" s="33"/>
      <c r="E233" s="23"/>
    </row>
    <row r="234">
      <c r="C234" s="33"/>
      <c r="E234" s="23"/>
    </row>
    <row r="235">
      <c r="C235" s="33"/>
      <c r="E235" s="23"/>
    </row>
    <row r="236">
      <c r="C236" s="33"/>
      <c r="E236" s="23"/>
    </row>
    <row r="237">
      <c r="C237" s="33"/>
      <c r="E237" s="23"/>
    </row>
    <row r="238">
      <c r="C238" s="33"/>
      <c r="E238" s="23"/>
    </row>
    <row r="239">
      <c r="C239" s="33"/>
      <c r="E239" s="23"/>
    </row>
    <row r="240">
      <c r="C240" s="33"/>
      <c r="E240" s="23"/>
    </row>
    <row r="241">
      <c r="C241" s="33"/>
      <c r="E241" s="23"/>
    </row>
    <row r="242">
      <c r="C242" s="33"/>
      <c r="E242" s="23"/>
    </row>
    <row r="243">
      <c r="C243" s="33"/>
      <c r="E243" s="23"/>
    </row>
    <row r="244">
      <c r="C244" s="33"/>
      <c r="E244" s="23"/>
    </row>
    <row r="245">
      <c r="C245" s="33"/>
      <c r="E245" s="23"/>
    </row>
    <row r="246">
      <c r="C246" s="33"/>
      <c r="E246" s="23"/>
    </row>
    <row r="247">
      <c r="C247" s="33"/>
      <c r="E247" s="23"/>
    </row>
    <row r="248">
      <c r="C248" s="33"/>
      <c r="E248" s="23"/>
    </row>
    <row r="249">
      <c r="C249" s="33"/>
      <c r="E249" s="23"/>
    </row>
    <row r="250">
      <c r="C250" s="33"/>
      <c r="E250" s="23"/>
    </row>
    <row r="251">
      <c r="C251" s="33"/>
      <c r="E251" s="23"/>
    </row>
    <row r="252">
      <c r="C252" s="33"/>
      <c r="E252" s="23"/>
    </row>
    <row r="253">
      <c r="C253" s="33"/>
      <c r="E253" s="23"/>
    </row>
    <row r="254">
      <c r="C254" s="33"/>
      <c r="E254" s="23"/>
    </row>
    <row r="255">
      <c r="C255" s="33"/>
      <c r="E255" s="23"/>
    </row>
    <row r="256">
      <c r="C256" s="33"/>
      <c r="E256" s="23"/>
    </row>
    <row r="257">
      <c r="C257" s="33"/>
      <c r="E257" s="23"/>
    </row>
    <row r="258">
      <c r="C258" s="33"/>
      <c r="E258" s="23"/>
    </row>
    <row r="259">
      <c r="C259" s="33"/>
      <c r="E259" s="23"/>
    </row>
    <row r="260">
      <c r="C260" s="33"/>
      <c r="E260" s="23"/>
    </row>
    <row r="261">
      <c r="C261" s="33"/>
      <c r="E261" s="23"/>
    </row>
    <row r="262">
      <c r="C262" s="33"/>
      <c r="E262" s="23"/>
    </row>
    <row r="263">
      <c r="C263" s="33"/>
      <c r="E263" s="23"/>
    </row>
    <row r="264">
      <c r="C264" s="33"/>
      <c r="E264" s="23"/>
    </row>
    <row r="265">
      <c r="C265" s="33"/>
      <c r="E265" s="23"/>
    </row>
    <row r="266">
      <c r="C266" s="33"/>
      <c r="E266" s="23"/>
    </row>
    <row r="267">
      <c r="C267" s="33"/>
      <c r="E267" s="23"/>
    </row>
    <row r="268">
      <c r="C268" s="33"/>
      <c r="E268" s="23"/>
    </row>
    <row r="269">
      <c r="C269" s="33"/>
      <c r="E269" s="23"/>
    </row>
    <row r="270">
      <c r="C270" s="33"/>
      <c r="E270" s="23"/>
    </row>
    <row r="271">
      <c r="C271" s="33"/>
      <c r="E271" s="23"/>
    </row>
    <row r="272">
      <c r="C272" s="33"/>
      <c r="E272" s="23"/>
    </row>
    <row r="273">
      <c r="C273" s="33"/>
      <c r="E273" s="23"/>
    </row>
    <row r="274">
      <c r="C274" s="33"/>
      <c r="E274" s="23"/>
    </row>
    <row r="275">
      <c r="C275" s="33"/>
      <c r="E275" s="23"/>
    </row>
    <row r="276">
      <c r="C276" s="33"/>
      <c r="E276" s="23"/>
    </row>
    <row r="277">
      <c r="C277" s="33"/>
      <c r="E277" s="23"/>
    </row>
    <row r="278">
      <c r="C278" s="33"/>
      <c r="E278" s="23"/>
    </row>
    <row r="279">
      <c r="C279" s="33"/>
      <c r="E279" s="23"/>
    </row>
    <row r="280">
      <c r="C280" s="33"/>
      <c r="E280" s="23"/>
    </row>
    <row r="281">
      <c r="C281" s="33"/>
      <c r="E281" s="23"/>
    </row>
    <row r="282">
      <c r="C282" s="33"/>
      <c r="E282" s="23"/>
    </row>
    <row r="283">
      <c r="C283" s="33"/>
      <c r="E283" s="23"/>
    </row>
    <row r="284">
      <c r="C284" s="33"/>
      <c r="E284" s="23"/>
    </row>
    <row r="285">
      <c r="C285" s="33"/>
      <c r="E285" s="23"/>
    </row>
    <row r="286">
      <c r="C286" s="33"/>
      <c r="E286" s="23"/>
    </row>
    <row r="287">
      <c r="C287" s="33"/>
      <c r="E287" s="23"/>
    </row>
    <row r="288">
      <c r="C288" s="33"/>
      <c r="E288" s="23"/>
    </row>
    <row r="289">
      <c r="C289" s="33"/>
      <c r="E289" s="23"/>
    </row>
    <row r="290">
      <c r="C290" s="33"/>
      <c r="E290" s="23"/>
    </row>
    <row r="291">
      <c r="C291" s="33"/>
      <c r="E291" s="23"/>
    </row>
    <row r="292">
      <c r="C292" s="33"/>
      <c r="E292" s="23"/>
    </row>
    <row r="293">
      <c r="C293" s="33"/>
      <c r="E293" s="23"/>
    </row>
    <row r="294">
      <c r="C294" s="33"/>
      <c r="E294" s="23"/>
    </row>
    <row r="295">
      <c r="C295" s="33"/>
      <c r="E295" s="23"/>
    </row>
    <row r="296">
      <c r="C296" s="33"/>
      <c r="E296" s="23"/>
    </row>
    <row r="297">
      <c r="C297" s="33"/>
      <c r="E297" s="23"/>
    </row>
    <row r="298">
      <c r="C298" s="33"/>
      <c r="E298" s="23"/>
    </row>
    <row r="299">
      <c r="C299" s="33"/>
      <c r="E299" s="23"/>
    </row>
    <row r="300">
      <c r="C300" s="33"/>
      <c r="E300" s="23"/>
    </row>
    <row r="301">
      <c r="C301" s="33"/>
      <c r="E301" s="23"/>
    </row>
    <row r="302">
      <c r="C302" s="33"/>
      <c r="E302" s="23"/>
    </row>
    <row r="303">
      <c r="C303" s="33"/>
      <c r="E303" s="23"/>
    </row>
    <row r="304">
      <c r="C304" s="33"/>
      <c r="E304" s="23"/>
    </row>
    <row r="305">
      <c r="C305" s="33"/>
      <c r="E305" s="23"/>
    </row>
    <row r="306">
      <c r="C306" s="33"/>
      <c r="E306" s="23"/>
    </row>
    <row r="307">
      <c r="C307" s="33"/>
      <c r="E307" s="23"/>
    </row>
    <row r="308">
      <c r="C308" s="33"/>
      <c r="E308" s="23"/>
    </row>
    <row r="309">
      <c r="C309" s="33"/>
      <c r="E309" s="23"/>
    </row>
    <row r="310">
      <c r="C310" s="33"/>
      <c r="E310" s="23"/>
    </row>
    <row r="311">
      <c r="C311" s="33"/>
      <c r="E311" s="23"/>
    </row>
    <row r="312">
      <c r="C312" s="33"/>
      <c r="E312" s="23"/>
    </row>
    <row r="313">
      <c r="C313" s="33"/>
      <c r="E313" s="23"/>
    </row>
    <row r="314">
      <c r="C314" s="33"/>
      <c r="E314" s="23"/>
    </row>
    <row r="315">
      <c r="C315" s="33"/>
      <c r="E315" s="23"/>
    </row>
    <row r="316">
      <c r="C316" s="33"/>
      <c r="E316" s="23"/>
    </row>
    <row r="317">
      <c r="C317" s="33"/>
      <c r="E317" s="23"/>
    </row>
    <row r="318">
      <c r="C318" s="33"/>
      <c r="E318" s="23"/>
    </row>
    <row r="319">
      <c r="C319" s="33"/>
      <c r="E319" s="23"/>
    </row>
    <row r="320">
      <c r="C320" s="33"/>
      <c r="E320" s="23"/>
    </row>
    <row r="321">
      <c r="C321" s="33"/>
      <c r="E321" s="23"/>
    </row>
    <row r="322">
      <c r="C322" s="33"/>
      <c r="E322" s="23"/>
    </row>
    <row r="323">
      <c r="C323" s="33"/>
      <c r="E323" s="23"/>
    </row>
    <row r="324">
      <c r="C324" s="33"/>
      <c r="E324" s="23"/>
    </row>
    <row r="325">
      <c r="C325" s="33"/>
      <c r="E325" s="23"/>
    </row>
    <row r="326">
      <c r="C326" s="33"/>
      <c r="E326" s="23"/>
    </row>
    <row r="327">
      <c r="C327" s="33"/>
      <c r="E327" s="23"/>
    </row>
    <row r="328">
      <c r="C328" s="33"/>
      <c r="E328" s="23"/>
    </row>
    <row r="329">
      <c r="C329" s="33"/>
      <c r="E329" s="23"/>
    </row>
    <row r="330">
      <c r="C330" s="33"/>
      <c r="E330" s="23"/>
    </row>
    <row r="331">
      <c r="C331" s="33"/>
      <c r="E331" s="23"/>
    </row>
    <row r="332">
      <c r="C332" s="33"/>
      <c r="E332" s="23"/>
    </row>
    <row r="333">
      <c r="C333" s="33"/>
      <c r="E333" s="23"/>
    </row>
    <row r="334">
      <c r="C334" s="33"/>
      <c r="E334" s="23"/>
    </row>
    <row r="335">
      <c r="C335" s="33"/>
      <c r="E335" s="23"/>
    </row>
    <row r="336">
      <c r="C336" s="33"/>
      <c r="E336" s="23"/>
    </row>
    <row r="337">
      <c r="C337" s="33"/>
      <c r="E337" s="23"/>
    </row>
    <row r="338">
      <c r="C338" s="33"/>
      <c r="E338" s="23"/>
    </row>
    <row r="339">
      <c r="C339" s="33"/>
      <c r="E339" s="23"/>
    </row>
    <row r="340">
      <c r="C340" s="33"/>
      <c r="E340" s="23"/>
    </row>
    <row r="341">
      <c r="C341" s="33"/>
      <c r="E341" s="23"/>
    </row>
    <row r="342">
      <c r="C342" s="33"/>
      <c r="E342" s="23"/>
    </row>
    <row r="343">
      <c r="C343" s="33"/>
      <c r="E343" s="23"/>
    </row>
    <row r="344">
      <c r="C344" s="33"/>
      <c r="E344" s="23"/>
    </row>
    <row r="345">
      <c r="C345" s="33"/>
      <c r="E345" s="23"/>
    </row>
    <row r="346">
      <c r="C346" s="33"/>
      <c r="E346" s="23"/>
    </row>
    <row r="347">
      <c r="C347" s="33"/>
      <c r="E347" s="23"/>
    </row>
    <row r="348">
      <c r="C348" s="33"/>
      <c r="E348" s="23"/>
    </row>
    <row r="349">
      <c r="C349" s="33"/>
      <c r="E349" s="23"/>
    </row>
    <row r="350">
      <c r="C350" s="33"/>
      <c r="E350" s="23"/>
    </row>
    <row r="351">
      <c r="C351" s="33"/>
      <c r="E351" s="23"/>
    </row>
    <row r="352">
      <c r="C352" s="33"/>
      <c r="E352" s="23"/>
    </row>
    <row r="353">
      <c r="C353" s="33"/>
      <c r="E353" s="23"/>
    </row>
    <row r="354">
      <c r="C354" s="33"/>
      <c r="E354" s="23"/>
    </row>
    <row r="355">
      <c r="C355" s="33"/>
      <c r="E355" s="23"/>
    </row>
    <row r="356">
      <c r="C356" s="33"/>
      <c r="E356" s="23"/>
    </row>
    <row r="357">
      <c r="C357" s="33"/>
      <c r="E357" s="23"/>
    </row>
    <row r="358">
      <c r="C358" s="33"/>
      <c r="E358" s="23"/>
    </row>
    <row r="359">
      <c r="C359" s="33"/>
      <c r="E359" s="23"/>
    </row>
    <row r="360">
      <c r="C360" s="33"/>
      <c r="E360" s="23"/>
    </row>
    <row r="361">
      <c r="C361" s="33"/>
      <c r="E361" s="23"/>
    </row>
    <row r="362">
      <c r="C362" s="33"/>
      <c r="E362" s="23"/>
    </row>
    <row r="363">
      <c r="C363" s="33"/>
      <c r="E363" s="23"/>
    </row>
    <row r="364">
      <c r="C364" s="33"/>
      <c r="E364" s="23"/>
    </row>
    <row r="365">
      <c r="C365" s="33"/>
      <c r="E365" s="23"/>
    </row>
    <row r="366">
      <c r="C366" s="33"/>
      <c r="E366" s="23"/>
    </row>
    <row r="367">
      <c r="C367" s="33"/>
      <c r="E367" s="23"/>
    </row>
    <row r="368">
      <c r="C368" s="33"/>
      <c r="E368" s="23"/>
    </row>
    <row r="369">
      <c r="C369" s="33"/>
      <c r="E369" s="23"/>
    </row>
    <row r="370">
      <c r="C370" s="33"/>
      <c r="E370" s="23"/>
    </row>
    <row r="371">
      <c r="C371" s="33"/>
      <c r="E371" s="23"/>
    </row>
    <row r="372">
      <c r="C372" s="33"/>
      <c r="E372" s="23"/>
    </row>
    <row r="373">
      <c r="C373" s="33"/>
      <c r="E373" s="23"/>
    </row>
    <row r="374">
      <c r="C374" s="33"/>
      <c r="E374" s="23"/>
    </row>
    <row r="375">
      <c r="C375" s="33"/>
      <c r="E375" s="23"/>
    </row>
    <row r="376">
      <c r="C376" s="33"/>
      <c r="E376" s="23"/>
    </row>
    <row r="377">
      <c r="C377" s="33"/>
      <c r="E377" s="23"/>
    </row>
    <row r="378">
      <c r="C378" s="33"/>
      <c r="E378" s="23"/>
    </row>
    <row r="379">
      <c r="C379" s="33"/>
      <c r="E379" s="23"/>
    </row>
    <row r="380">
      <c r="C380" s="33"/>
      <c r="E380" s="23"/>
    </row>
    <row r="381">
      <c r="C381" s="33"/>
      <c r="E381" s="23"/>
    </row>
    <row r="382">
      <c r="C382" s="33"/>
      <c r="E382" s="23"/>
    </row>
    <row r="383">
      <c r="C383" s="33"/>
      <c r="E383" s="23"/>
    </row>
    <row r="384">
      <c r="C384" s="33"/>
      <c r="E384" s="23"/>
    </row>
    <row r="385">
      <c r="C385" s="33"/>
      <c r="E385" s="23"/>
    </row>
    <row r="386">
      <c r="C386" s="33"/>
      <c r="E386" s="23"/>
    </row>
    <row r="387">
      <c r="C387" s="33"/>
      <c r="E387" s="23"/>
    </row>
    <row r="388">
      <c r="C388" s="33"/>
      <c r="E388" s="23"/>
    </row>
    <row r="389">
      <c r="C389" s="33"/>
      <c r="E389" s="23"/>
    </row>
    <row r="390">
      <c r="C390" s="33"/>
      <c r="E390" s="23"/>
    </row>
    <row r="391">
      <c r="C391" s="33"/>
      <c r="E391" s="23"/>
    </row>
    <row r="392">
      <c r="C392" s="33"/>
      <c r="E392" s="23"/>
    </row>
    <row r="393">
      <c r="C393" s="33"/>
      <c r="E393" s="23"/>
    </row>
    <row r="394">
      <c r="C394" s="33"/>
      <c r="E394" s="23"/>
    </row>
    <row r="395">
      <c r="C395" s="33"/>
      <c r="E395" s="23"/>
    </row>
    <row r="396">
      <c r="C396" s="33"/>
      <c r="E396" s="23"/>
    </row>
    <row r="397">
      <c r="C397" s="33"/>
      <c r="E397" s="23"/>
    </row>
    <row r="398">
      <c r="C398" s="33"/>
      <c r="E398" s="23"/>
    </row>
    <row r="399">
      <c r="C399" s="33"/>
      <c r="E399" s="23"/>
    </row>
    <row r="400">
      <c r="C400" s="33"/>
      <c r="E400" s="23"/>
    </row>
    <row r="401">
      <c r="C401" s="33"/>
      <c r="E401" s="23"/>
    </row>
    <row r="402">
      <c r="C402" s="33"/>
      <c r="E402" s="23"/>
    </row>
    <row r="403">
      <c r="C403" s="33"/>
      <c r="E403" s="23"/>
    </row>
    <row r="404">
      <c r="C404" s="33"/>
      <c r="E404" s="23"/>
    </row>
    <row r="405">
      <c r="C405" s="33"/>
      <c r="E405" s="23"/>
    </row>
    <row r="406">
      <c r="C406" s="33"/>
      <c r="E406" s="23"/>
    </row>
    <row r="407">
      <c r="C407" s="33"/>
      <c r="E407" s="23"/>
    </row>
    <row r="408">
      <c r="C408" s="33"/>
      <c r="E408" s="23"/>
    </row>
    <row r="409">
      <c r="C409" s="33"/>
      <c r="E409" s="23"/>
    </row>
    <row r="410">
      <c r="C410" s="33"/>
      <c r="E410" s="23"/>
    </row>
    <row r="411">
      <c r="C411" s="33"/>
      <c r="E411" s="23"/>
    </row>
    <row r="412">
      <c r="C412" s="33"/>
      <c r="E412" s="23"/>
    </row>
    <row r="413">
      <c r="C413" s="33"/>
      <c r="E413" s="23"/>
    </row>
    <row r="414">
      <c r="C414" s="33"/>
      <c r="E414" s="23"/>
    </row>
    <row r="415">
      <c r="C415" s="33"/>
      <c r="E415" s="23"/>
    </row>
    <row r="416">
      <c r="C416" s="33"/>
      <c r="E416" s="23"/>
    </row>
    <row r="417">
      <c r="C417" s="33"/>
      <c r="E417" s="23"/>
    </row>
    <row r="418">
      <c r="C418" s="33"/>
      <c r="E418" s="23"/>
    </row>
    <row r="419">
      <c r="C419" s="33"/>
      <c r="E419" s="23"/>
    </row>
    <row r="420">
      <c r="C420" s="33"/>
      <c r="E420" s="23"/>
    </row>
    <row r="421">
      <c r="C421" s="33"/>
      <c r="E421" s="23"/>
    </row>
    <row r="422">
      <c r="C422" s="33"/>
      <c r="E422" s="23"/>
    </row>
    <row r="423">
      <c r="C423" s="33"/>
      <c r="E423" s="23"/>
    </row>
    <row r="424">
      <c r="C424" s="33"/>
      <c r="E424" s="23"/>
    </row>
    <row r="425">
      <c r="C425" s="33"/>
      <c r="E425" s="23"/>
    </row>
    <row r="426">
      <c r="C426" s="33"/>
      <c r="E426" s="23"/>
    </row>
    <row r="427">
      <c r="C427" s="33"/>
      <c r="E427" s="23"/>
    </row>
    <row r="428">
      <c r="C428" s="33"/>
      <c r="E428" s="23"/>
    </row>
    <row r="429">
      <c r="C429" s="33"/>
      <c r="E429" s="23"/>
    </row>
    <row r="430">
      <c r="C430" s="33"/>
      <c r="E430" s="23"/>
    </row>
    <row r="431">
      <c r="C431" s="33"/>
      <c r="E431" s="23"/>
    </row>
    <row r="432">
      <c r="C432" s="33"/>
      <c r="E432" s="23"/>
    </row>
    <row r="433">
      <c r="C433" s="33"/>
      <c r="E433" s="23"/>
    </row>
    <row r="434">
      <c r="C434" s="33"/>
      <c r="E434" s="23"/>
    </row>
    <row r="435">
      <c r="C435" s="33"/>
      <c r="E435" s="23"/>
    </row>
    <row r="436">
      <c r="C436" s="33"/>
      <c r="E436" s="23"/>
    </row>
    <row r="437">
      <c r="C437" s="33"/>
      <c r="E437" s="23"/>
    </row>
    <row r="438">
      <c r="C438" s="33"/>
      <c r="E438" s="23"/>
    </row>
    <row r="439">
      <c r="C439" s="33"/>
      <c r="E439" s="23"/>
    </row>
    <row r="440">
      <c r="C440" s="33"/>
      <c r="E440" s="23"/>
    </row>
    <row r="441">
      <c r="C441" s="33"/>
      <c r="E441" s="23"/>
    </row>
    <row r="442">
      <c r="C442" s="33"/>
      <c r="E442" s="23"/>
    </row>
    <row r="443">
      <c r="C443" s="33"/>
      <c r="E443" s="23"/>
    </row>
    <row r="444">
      <c r="C444" s="33"/>
      <c r="E444" s="23"/>
    </row>
    <row r="445">
      <c r="C445" s="33"/>
      <c r="E445" s="23"/>
    </row>
    <row r="446">
      <c r="C446" s="33"/>
      <c r="E446" s="23"/>
    </row>
    <row r="447">
      <c r="C447" s="33"/>
      <c r="E447" s="23"/>
    </row>
    <row r="448">
      <c r="C448" s="33"/>
      <c r="E448" s="23"/>
    </row>
    <row r="449">
      <c r="C449" s="33"/>
      <c r="E449" s="23"/>
    </row>
    <row r="450">
      <c r="C450" s="33"/>
      <c r="E450" s="23"/>
    </row>
    <row r="451">
      <c r="C451" s="33"/>
      <c r="E451" s="23"/>
    </row>
    <row r="452">
      <c r="C452" s="33"/>
      <c r="E452" s="23"/>
    </row>
    <row r="453">
      <c r="C453" s="33"/>
      <c r="E453" s="23"/>
    </row>
    <row r="454">
      <c r="C454" s="33"/>
      <c r="E454" s="23"/>
    </row>
    <row r="455">
      <c r="C455" s="33"/>
      <c r="E455" s="23"/>
    </row>
    <row r="456">
      <c r="C456" s="33"/>
      <c r="E456" s="23"/>
    </row>
    <row r="457">
      <c r="C457" s="33"/>
      <c r="E457" s="23"/>
    </row>
    <row r="458">
      <c r="C458" s="33"/>
      <c r="E458" s="23"/>
    </row>
    <row r="459">
      <c r="C459" s="33"/>
      <c r="E459" s="23"/>
    </row>
    <row r="460">
      <c r="C460" s="33"/>
      <c r="E460" s="23"/>
    </row>
    <row r="461">
      <c r="C461" s="33"/>
      <c r="E461" s="23"/>
    </row>
    <row r="462">
      <c r="C462" s="33"/>
      <c r="E462" s="23"/>
    </row>
    <row r="463">
      <c r="C463" s="33"/>
      <c r="E463" s="23"/>
    </row>
    <row r="464">
      <c r="C464" s="33"/>
      <c r="E464" s="23"/>
    </row>
    <row r="465">
      <c r="C465" s="33"/>
      <c r="E465" s="23"/>
    </row>
    <row r="466">
      <c r="C466" s="33"/>
      <c r="E466" s="23"/>
    </row>
    <row r="467">
      <c r="C467" s="33"/>
      <c r="E467" s="23"/>
    </row>
    <row r="468">
      <c r="C468" s="33"/>
      <c r="E468" s="23"/>
    </row>
    <row r="469">
      <c r="C469" s="33"/>
      <c r="E469" s="23"/>
    </row>
    <row r="470">
      <c r="C470" s="33"/>
      <c r="E470" s="23"/>
    </row>
    <row r="471">
      <c r="C471" s="33"/>
      <c r="E471" s="23"/>
    </row>
    <row r="472">
      <c r="C472" s="33"/>
      <c r="E472" s="23"/>
    </row>
    <row r="473">
      <c r="C473" s="33"/>
      <c r="E473" s="23"/>
    </row>
    <row r="474">
      <c r="C474" s="33"/>
      <c r="E474" s="23"/>
    </row>
    <row r="475">
      <c r="C475" s="33"/>
      <c r="E475" s="23"/>
    </row>
    <row r="476">
      <c r="C476" s="33"/>
      <c r="E476" s="23"/>
    </row>
    <row r="477">
      <c r="C477" s="33"/>
      <c r="E477" s="23"/>
    </row>
    <row r="478">
      <c r="C478" s="33"/>
      <c r="E478" s="23"/>
    </row>
    <row r="479">
      <c r="C479" s="33"/>
      <c r="E479" s="23"/>
    </row>
    <row r="480">
      <c r="C480" s="33"/>
      <c r="E480" s="23"/>
    </row>
    <row r="481">
      <c r="C481" s="33"/>
      <c r="E481" s="23"/>
    </row>
    <row r="482">
      <c r="C482" s="33"/>
      <c r="E482" s="23"/>
    </row>
    <row r="483">
      <c r="C483" s="33"/>
      <c r="E483" s="23"/>
    </row>
    <row r="484">
      <c r="C484" s="33"/>
      <c r="E484" s="23"/>
    </row>
    <row r="485">
      <c r="C485" s="33"/>
      <c r="E485" s="23"/>
    </row>
    <row r="486">
      <c r="C486" s="33"/>
      <c r="E486" s="23"/>
    </row>
    <row r="487">
      <c r="C487" s="33"/>
      <c r="E487" s="23"/>
    </row>
    <row r="488">
      <c r="C488" s="33"/>
      <c r="E488" s="23"/>
    </row>
    <row r="489">
      <c r="C489" s="33"/>
      <c r="E489" s="23"/>
    </row>
    <row r="490">
      <c r="C490" s="33"/>
      <c r="E490" s="23"/>
    </row>
    <row r="491">
      <c r="C491" s="33"/>
      <c r="E491" s="23"/>
    </row>
    <row r="492">
      <c r="C492" s="33"/>
      <c r="E492" s="23"/>
    </row>
    <row r="493">
      <c r="C493" s="33"/>
      <c r="E493" s="23"/>
    </row>
    <row r="494">
      <c r="C494" s="33"/>
      <c r="E494" s="23"/>
    </row>
    <row r="495">
      <c r="C495" s="33"/>
      <c r="E495" s="23"/>
    </row>
    <row r="496">
      <c r="C496" s="33"/>
      <c r="E496" s="23"/>
    </row>
    <row r="497">
      <c r="C497" s="33"/>
      <c r="E497" s="23"/>
    </row>
    <row r="498">
      <c r="C498" s="33"/>
      <c r="E498" s="23"/>
    </row>
    <row r="499">
      <c r="C499" s="33"/>
      <c r="E499" s="23"/>
    </row>
    <row r="500">
      <c r="C500" s="33"/>
      <c r="E500" s="23"/>
    </row>
    <row r="501">
      <c r="C501" s="33"/>
      <c r="E501" s="23"/>
    </row>
    <row r="502">
      <c r="C502" s="33"/>
      <c r="E502" s="23"/>
    </row>
    <row r="503">
      <c r="C503" s="33"/>
      <c r="E503" s="23"/>
    </row>
    <row r="504">
      <c r="C504" s="33"/>
      <c r="E504" s="23"/>
    </row>
    <row r="505">
      <c r="C505" s="33"/>
      <c r="E505" s="23"/>
    </row>
    <row r="506">
      <c r="C506" s="33"/>
      <c r="E506" s="23"/>
    </row>
    <row r="507">
      <c r="C507" s="33"/>
      <c r="E507" s="23"/>
    </row>
    <row r="508">
      <c r="C508" s="33"/>
      <c r="E508" s="23"/>
    </row>
    <row r="509">
      <c r="C509" s="33"/>
      <c r="E509" s="23"/>
    </row>
    <row r="510">
      <c r="C510" s="33"/>
      <c r="E510" s="23"/>
    </row>
    <row r="511">
      <c r="C511" s="33"/>
      <c r="E511" s="23"/>
    </row>
    <row r="512">
      <c r="C512" s="33"/>
      <c r="E512" s="23"/>
    </row>
    <row r="513">
      <c r="C513" s="33"/>
      <c r="E513" s="23"/>
    </row>
    <row r="514">
      <c r="C514" s="33"/>
      <c r="E514" s="23"/>
    </row>
    <row r="515">
      <c r="C515" s="33"/>
      <c r="E515" s="23"/>
    </row>
    <row r="516">
      <c r="C516" s="33"/>
      <c r="E516" s="23"/>
    </row>
    <row r="517">
      <c r="C517" s="33"/>
      <c r="E517" s="23"/>
    </row>
    <row r="518">
      <c r="C518" s="33"/>
      <c r="E518" s="23"/>
    </row>
    <row r="519">
      <c r="C519" s="33"/>
      <c r="E519" s="23"/>
    </row>
    <row r="520">
      <c r="C520" s="33"/>
      <c r="E520" s="23"/>
    </row>
    <row r="521">
      <c r="C521" s="33"/>
      <c r="E521" s="23"/>
    </row>
    <row r="522">
      <c r="C522" s="33"/>
      <c r="E522" s="23"/>
    </row>
    <row r="523">
      <c r="C523" s="33"/>
      <c r="E523" s="23"/>
    </row>
    <row r="524">
      <c r="C524" s="33"/>
      <c r="E524" s="23"/>
    </row>
    <row r="525">
      <c r="C525" s="33"/>
      <c r="E525" s="23"/>
    </row>
    <row r="526">
      <c r="C526" s="33"/>
      <c r="E526" s="23"/>
    </row>
    <row r="527">
      <c r="C527" s="33"/>
      <c r="E527" s="23"/>
    </row>
    <row r="528">
      <c r="C528" s="33"/>
      <c r="E528" s="23"/>
    </row>
    <row r="529">
      <c r="C529" s="33"/>
      <c r="E529" s="23"/>
    </row>
    <row r="530">
      <c r="C530" s="33"/>
      <c r="E530" s="23"/>
    </row>
    <row r="531">
      <c r="C531" s="33"/>
      <c r="E531" s="23"/>
    </row>
    <row r="532">
      <c r="C532" s="33"/>
      <c r="E532" s="23"/>
    </row>
    <row r="533">
      <c r="C533" s="33"/>
      <c r="E533" s="23"/>
    </row>
    <row r="534">
      <c r="C534" s="33"/>
      <c r="E534" s="23"/>
    </row>
    <row r="535">
      <c r="C535" s="33"/>
      <c r="E535" s="23"/>
    </row>
    <row r="536">
      <c r="C536" s="33"/>
      <c r="E536" s="23"/>
    </row>
    <row r="537">
      <c r="C537" s="33"/>
      <c r="E537" s="23"/>
    </row>
    <row r="538">
      <c r="C538" s="33"/>
      <c r="E538" s="23"/>
    </row>
    <row r="539">
      <c r="C539" s="33"/>
      <c r="E539" s="23"/>
    </row>
    <row r="540">
      <c r="C540" s="33"/>
      <c r="E540" s="23"/>
    </row>
    <row r="541">
      <c r="C541" s="33"/>
      <c r="E541" s="23"/>
    </row>
    <row r="542">
      <c r="C542" s="33"/>
      <c r="E542" s="23"/>
    </row>
    <row r="543">
      <c r="C543" s="33"/>
      <c r="E543" s="23"/>
    </row>
    <row r="544">
      <c r="C544" s="33"/>
      <c r="E544" s="23"/>
    </row>
    <row r="545">
      <c r="C545" s="33"/>
      <c r="E545" s="23"/>
    </row>
    <row r="546">
      <c r="C546" s="33"/>
      <c r="E546" s="23"/>
    </row>
    <row r="547">
      <c r="C547" s="33"/>
      <c r="E547" s="23"/>
    </row>
    <row r="548">
      <c r="C548" s="33"/>
      <c r="E548" s="23"/>
    </row>
    <row r="549">
      <c r="C549" s="33"/>
      <c r="E549" s="23"/>
    </row>
    <row r="550">
      <c r="C550" s="33"/>
      <c r="E550" s="23"/>
    </row>
    <row r="551">
      <c r="C551" s="33"/>
      <c r="E551" s="23"/>
    </row>
    <row r="552">
      <c r="C552" s="33"/>
      <c r="E552" s="23"/>
    </row>
    <row r="553">
      <c r="C553" s="33"/>
      <c r="E553" s="23"/>
    </row>
    <row r="554">
      <c r="C554" s="33"/>
      <c r="E554" s="23"/>
    </row>
    <row r="555">
      <c r="C555" s="33"/>
      <c r="E555" s="23"/>
    </row>
    <row r="556">
      <c r="C556" s="33"/>
      <c r="E556" s="23"/>
    </row>
    <row r="557">
      <c r="C557" s="33"/>
      <c r="E557" s="23"/>
    </row>
    <row r="558">
      <c r="C558" s="33"/>
      <c r="E558" s="23"/>
    </row>
    <row r="559">
      <c r="C559" s="33"/>
      <c r="E559" s="23"/>
    </row>
    <row r="560">
      <c r="C560" s="33"/>
      <c r="E560" s="23"/>
    </row>
    <row r="561">
      <c r="C561" s="33"/>
      <c r="E561" s="23"/>
    </row>
    <row r="562">
      <c r="C562" s="33"/>
      <c r="E562" s="23"/>
    </row>
    <row r="563">
      <c r="C563" s="33"/>
      <c r="E563" s="23"/>
    </row>
    <row r="564">
      <c r="C564" s="33"/>
      <c r="E564" s="23"/>
    </row>
    <row r="565">
      <c r="C565" s="33"/>
      <c r="E565" s="23"/>
    </row>
    <row r="566">
      <c r="C566" s="33"/>
      <c r="E566" s="23"/>
    </row>
    <row r="567">
      <c r="C567" s="33"/>
      <c r="E567" s="23"/>
    </row>
    <row r="568">
      <c r="C568" s="33"/>
      <c r="E568" s="23"/>
    </row>
    <row r="569">
      <c r="C569" s="33"/>
      <c r="E569" s="23"/>
    </row>
    <row r="570">
      <c r="C570" s="33"/>
      <c r="E570" s="23"/>
    </row>
    <row r="571">
      <c r="C571" s="33"/>
      <c r="E571" s="23"/>
    </row>
    <row r="572">
      <c r="C572" s="33"/>
      <c r="E572" s="23"/>
    </row>
    <row r="573">
      <c r="C573" s="33"/>
      <c r="E573" s="23"/>
    </row>
    <row r="574">
      <c r="C574" s="33"/>
      <c r="E574" s="23"/>
    </row>
    <row r="575">
      <c r="C575" s="33"/>
      <c r="E575" s="23"/>
    </row>
    <row r="576">
      <c r="C576" s="33"/>
      <c r="E576" s="23"/>
    </row>
    <row r="577">
      <c r="C577" s="33"/>
      <c r="E577" s="23"/>
    </row>
    <row r="578">
      <c r="C578" s="33"/>
      <c r="E578" s="23"/>
    </row>
    <row r="579">
      <c r="C579" s="33"/>
      <c r="E579" s="23"/>
    </row>
    <row r="580">
      <c r="C580" s="33"/>
      <c r="E580" s="23"/>
    </row>
    <row r="581">
      <c r="C581" s="33"/>
      <c r="E581" s="23"/>
    </row>
    <row r="582">
      <c r="C582" s="33"/>
      <c r="E582" s="23"/>
    </row>
    <row r="583">
      <c r="C583" s="33"/>
      <c r="E583" s="23"/>
    </row>
    <row r="584">
      <c r="C584" s="33"/>
      <c r="E584" s="23"/>
    </row>
    <row r="585">
      <c r="C585" s="33"/>
      <c r="E585" s="23"/>
    </row>
    <row r="586">
      <c r="C586" s="33"/>
      <c r="E586" s="23"/>
    </row>
    <row r="587">
      <c r="C587" s="33"/>
      <c r="E587" s="23"/>
    </row>
    <row r="588">
      <c r="C588" s="33"/>
      <c r="E588" s="23"/>
    </row>
    <row r="589">
      <c r="C589" s="33"/>
      <c r="E589" s="23"/>
    </row>
    <row r="590">
      <c r="C590" s="33"/>
      <c r="E590" s="23"/>
    </row>
    <row r="591">
      <c r="C591" s="33"/>
      <c r="E591" s="23"/>
    </row>
    <row r="592">
      <c r="C592" s="33"/>
      <c r="E592" s="23"/>
    </row>
    <row r="593">
      <c r="C593" s="33"/>
      <c r="E593" s="23"/>
    </row>
    <row r="594">
      <c r="C594" s="33"/>
      <c r="E594" s="23"/>
    </row>
    <row r="595">
      <c r="C595" s="33"/>
      <c r="E595" s="23"/>
    </row>
    <row r="596">
      <c r="C596" s="33"/>
      <c r="E596" s="23"/>
    </row>
    <row r="597">
      <c r="C597" s="33"/>
      <c r="E597" s="23"/>
    </row>
    <row r="598">
      <c r="C598" s="33"/>
      <c r="E598" s="23"/>
    </row>
    <row r="599">
      <c r="C599" s="33"/>
      <c r="E599" s="23"/>
    </row>
    <row r="600">
      <c r="C600" s="33"/>
      <c r="E600" s="23"/>
    </row>
    <row r="601">
      <c r="C601" s="33"/>
      <c r="E601" s="23"/>
    </row>
    <row r="602">
      <c r="C602" s="33"/>
      <c r="E602" s="23"/>
    </row>
    <row r="603">
      <c r="C603" s="33"/>
      <c r="E603" s="23"/>
    </row>
    <row r="604">
      <c r="C604" s="33"/>
      <c r="E604" s="23"/>
    </row>
    <row r="605">
      <c r="C605" s="33"/>
      <c r="E605" s="23"/>
    </row>
    <row r="606">
      <c r="C606" s="33"/>
      <c r="E606" s="23"/>
    </row>
    <row r="607">
      <c r="C607" s="33"/>
      <c r="E607" s="23"/>
    </row>
    <row r="608">
      <c r="C608" s="33"/>
      <c r="E608" s="23"/>
    </row>
    <row r="609">
      <c r="C609" s="33"/>
      <c r="E609" s="23"/>
    </row>
    <row r="610">
      <c r="C610" s="33"/>
      <c r="E610" s="23"/>
    </row>
    <row r="611">
      <c r="C611" s="33"/>
      <c r="E611" s="23"/>
    </row>
    <row r="612">
      <c r="C612" s="33"/>
      <c r="E612" s="23"/>
    </row>
    <row r="613">
      <c r="C613" s="33"/>
      <c r="E613" s="23"/>
    </row>
    <row r="614">
      <c r="C614" s="33"/>
      <c r="E614" s="23"/>
    </row>
    <row r="615">
      <c r="C615" s="33"/>
      <c r="E615" s="23"/>
    </row>
    <row r="616">
      <c r="C616" s="33"/>
      <c r="E616" s="23"/>
    </row>
    <row r="617">
      <c r="C617" s="33"/>
      <c r="E617" s="23"/>
    </row>
    <row r="618">
      <c r="C618" s="33"/>
      <c r="E618" s="23"/>
    </row>
    <row r="619">
      <c r="C619" s="33"/>
      <c r="E619" s="23"/>
    </row>
    <row r="620">
      <c r="C620" s="33"/>
      <c r="E620" s="23"/>
    </row>
    <row r="621">
      <c r="C621" s="33"/>
      <c r="E621" s="23"/>
    </row>
    <row r="622">
      <c r="C622" s="33"/>
      <c r="E622" s="23"/>
    </row>
    <row r="623">
      <c r="C623" s="33"/>
      <c r="E623" s="23"/>
    </row>
    <row r="624">
      <c r="C624" s="33"/>
      <c r="E624" s="23"/>
    </row>
    <row r="625">
      <c r="C625" s="33"/>
      <c r="E625" s="23"/>
    </row>
    <row r="626">
      <c r="C626" s="33"/>
      <c r="E626" s="23"/>
    </row>
    <row r="627">
      <c r="C627" s="33"/>
      <c r="E627" s="23"/>
    </row>
    <row r="628">
      <c r="C628" s="33"/>
      <c r="E628" s="23"/>
    </row>
    <row r="629">
      <c r="C629" s="33"/>
      <c r="E629" s="23"/>
    </row>
    <row r="630">
      <c r="C630" s="33"/>
      <c r="E630" s="23"/>
    </row>
    <row r="631">
      <c r="C631" s="33"/>
      <c r="E631" s="23"/>
    </row>
    <row r="632">
      <c r="C632" s="33"/>
      <c r="E632" s="23"/>
    </row>
    <row r="633">
      <c r="C633" s="33"/>
      <c r="E633" s="23"/>
    </row>
    <row r="634">
      <c r="C634" s="33"/>
      <c r="E634" s="23"/>
    </row>
    <row r="635">
      <c r="C635" s="33"/>
      <c r="E635" s="23"/>
    </row>
    <row r="636">
      <c r="C636" s="33"/>
      <c r="E636" s="23"/>
    </row>
    <row r="637">
      <c r="C637" s="33"/>
      <c r="E637" s="23"/>
    </row>
    <row r="638">
      <c r="C638" s="33"/>
      <c r="E638" s="23"/>
    </row>
    <row r="639">
      <c r="C639" s="33"/>
      <c r="E639" s="23"/>
    </row>
    <row r="640">
      <c r="C640" s="33"/>
      <c r="E640" s="23"/>
    </row>
    <row r="641">
      <c r="C641" s="33"/>
      <c r="E641" s="23"/>
    </row>
    <row r="642">
      <c r="C642" s="33"/>
      <c r="E642" s="23"/>
    </row>
    <row r="643">
      <c r="C643" s="33"/>
      <c r="E643" s="23"/>
    </row>
    <row r="644">
      <c r="C644" s="33"/>
      <c r="E644" s="23"/>
    </row>
    <row r="645">
      <c r="C645" s="33"/>
      <c r="E645" s="23"/>
    </row>
    <row r="646">
      <c r="C646" s="33"/>
      <c r="E646" s="23"/>
    </row>
    <row r="647">
      <c r="C647" s="33"/>
      <c r="E647" s="23"/>
    </row>
    <row r="648">
      <c r="C648" s="33"/>
      <c r="E648" s="23"/>
    </row>
    <row r="649">
      <c r="C649" s="33"/>
      <c r="E649" s="23"/>
    </row>
    <row r="650">
      <c r="C650" s="33"/>
      <c r="E650" s="23"/>
    </row>
    <row r="651">
      <c r="C651" s="33"/>
      <c r="E651" s="23"/>
    </row>
    <row r="652">
      <c r="C652" s="33"/>
      <c r="E652" s="23"/>
    </row>
    <row r="653">
      <c r="C653" s="33"/>
      <c r="E653" s="23"/>
    </row>
    <row r="654">
      <c r="C654" s="33"/>
      <c r="E654" s="23"/>
    </row>
    <row r="655">
      <c r="C655" s="33"/>
      <c r="E655" s="23"/>
    </row>
    <row r="656">
      <c r="C656" s="33"/>
      <c r="E656" s="23"/>
    </row>
    <row r="657">
      <c r="C657" s="33"/>
      <c r="E657" s="23"/>
    </row>
    <row r="658">
      <c r="C658" s="33"/>
      <c r="E658" s="23"/>
    </row>
    <row r="659">
      <c r="C659" s="33"/>
      <c r="E659" s="23"/>
    </row>
    <row r="660">
      <c r="C660" s="33"/>
      <c r="E660" s="23"/>
    </row>
    <row r="661">
      <c r="C661" s="33"/>
      <c r="E661" s="23"/>
    </row>
    <row r="662">
      <c r="C662" s="33"/>
      <c r="E662" s="23"/>
    </row>
    <row r="663">
      <c r="C663" s="33"/>
      <c r="E663" s="23"/>
    </row>
    <row r="664">
      <c r="C664" s="33"/>
      <c r="E664" s="23"/>
    </row>
    <row r="665">
      <c r="C665" s="33"/>
      <c r="E665" s="23"/>
    </row>
    <row r="666">
      <c r="C666" s="33"/>
      <c r="E666" s="23"/>
    </row>
    <row r="667">
      <c r="C667" s="33"/>
      <c r="E667" s="23"/>
    </row>
    <row r="668">
      <c r="C668" s="33"/>
      <c r="E668" s="23"/>
    </row>
    <row r="669">
      <c r="C669" s="33"/>
      <c r="E669" s="23"/>
    </row>
    <row r="670">
      <c r="C670" s="33"/>
      <c r="E670" s="23"/>
    </row>
    <row r="671">
      <c r="C671" s="33"/>
      <c r="E671" s="23"/>
    </row>
    <row r="672">
      <c r="C672" s="33"/>
      <c r="E672" s="23"/>
    </row>
    <row r="673">
      <c r="C673" s="33"/>
      <c r="E673" s="23"/>
    </row>
    <row r="674">
      <c r="C674" s="33"/>
      <c r="E674" s="23"/>
    </row>
    <row r="675">
      <c r="C675" s="33"/>
      <c r="E675" s="23"/>
    </row>
    <row r="676">
      <c r="C676" s="33"/>
      <c r="E676" s="23"/>
    </row>
    <row r="677">
      <c r="C677" s="33"/>
      <c r="E677" s="23"/>
    </row>
    <row r="678">
      <c r="C678" s="33"/>
      <c r="E678" s="23"/>
    </row>
    <row r="679">
      <c r="C679" s="33"/>
      <c r="E679" s="23"/>
    </row>
    <row r="680">
      <c r="C680" s="33"/>
      <c r="E680" s="23"/>
    </row>
    <row r="681">
      <c r="C681" s="33"/>
      <c r="E681" s="23"/>
    </row>
    <row r="682">
      <c r="C682" s="33"/>
      <c r="E682" s="23"/>
    </row>
    <row r="683">
      <c r="C683" s="33"/>
      <c r="E683" s="23"/>
    </row>
    <row r="684">
      <c r="C684" s="33"/>
      <c r="E684" s="23"/>
    </row>
    <row r="685">
      <c r="C685" s="33"/>
      <c r="E685" s="23"/>
    </row>
    <row r="686">
      <c r="C686" s="33"/>
      <c r="E686" s="23"/>
    </row>
    <row r="687">
      <c r="C687" s="33"/>
      <c r="E687" s="23"/>
    </row>
    <row r="688">
      <c r="C688" s="33"/>
      <c r="E688" s="23"/>
    </row>
    <row r="689">
      <c r="C689" s="33"/>
      <c r="E689" s="23"/>
    </row>
    <row r="690">
      <c r="C690" s="33"/>
      <c r="E690" s="23"/>
    </row>
    <row r="691">
      <c r="C691" s="33"/>
      <c r="E691" s="23"/>
    </row>
    <row r="692">
      <c r="C692" s="33"/>
      <c r="E692" s="23"/>
    </row>
    <row r="693">
      <c r="C693" s="33"/>
      <c r="E693" s="23"/>
    </row>
    <row r="694">
      <c r="C694" s="33"/>
      <c r="E694" s="23"/>
    </row>
    <row r="695">
      <c r="C695" s="33"/>
      <c r="E695" s="23"/>
    </row>
    <row r="696">
      <c r="C696" s="33"/>
      <c r="E696" s="23"/>
    </row>
    <row r="697">
      <c r="C697" s="33"/>
      <c r="E697" s="23"/>
    </row>
    <row r="698">
      <c r="C698" s="33"/>
      <c r="E698" s="23"/>
    </row>
    <row r="699">
      <c r="C699" s="33"/>
      <c r="E699" s="23"/>
    </row>
    <row r="700">
      <c r="C700" s="33"/>
      <c r="E700" s="23"/>
    </row>
    <row r="701">
      <c r="C701" s="33"/>
      <c r="E701" s="23"/>
    </row>
    <row r="702">
      <c r="C702" s="33"/>
      <c r="E702" s="23"/>
    </row>
    <row r="703">
      <c r="C703" s="33"/>
      <c r="E703" s="23"/>
    </row>
    <row r="704">
      <c r="C704" s="33"/>
      <c r="E704" s="23"/>
    </row>
    <row r="705">
      <c r="C705" s="33"/>
      <c r="E705" s="23"/>
    </row>
    <row r="706">
      <c r="C706" s="33"/>
      <c r="E706" s="23"/>
    </row>
    <row r="707">
      <c r="C707" s="33"/>
      <c r="E707" s="23"/>
    </row>
    <row r="708">
      <c r="C708" s="33"/>
      <c r="E708" s="23"/>
    </row>
    <row r="709">
      <c r="C709" s="33"/>
      <c r="E709" s="23"/>
    </row>
    <row r="710">
      <c r="C710" s="33"/>
      <c r="E710" s="23"/>
    </row>
    <row r="711">
      <c r="C711" s="33"/>
      <c r="E711" s="23"/>
    </row>
    <row r="712">
      <c r="C712" s="33"/>
      <c r="E712" s="23"/>
    </row>
    <row r="713">
      <c r="C713" s="33"/>
      <c r="E713" s="23"/>
    </row>
    <row r="714">
      <c r="C714" s="33"/>
      <c r="E714" s="23"/>
    </row>
    <row r="715">
      <c r="C715" s="33"/>
      <c r="E715" s="23"/>
    </row>
    <row r="716">
      <c r="C716" s="33"/>
      <c r="E716" s="23"/>
    </row>
    <row r="717">
      <c r="C717" s="33"/>
      <c r="E717" s="23"/>
    </row>
    <row r="718">
      <c r="C718" s="33"/>
      <c r="E718" s="23"/>
    </row>
    <row r="719">
      <c r="C719" s="33"/>
      <c r="E719" s="23"/>
    </row>
    <row r="720">
      <c r="C720" s="33"/>
      <c r="E720" s="23"/>
    </row>
    <row r="721">
      <c r="C721" s="33"/>
      <c r="E721" s="23"/>
    </row>
    <row r="722">
      <c r="C722" s="33"/>
      <c r="E722" s="23"/>
    </row>
    <row r="723">
      <c r="C723" s="33"/>
      <c r="E723" s="23"/>
    </row>
    <row r="724">
      <c r="C724" s="33"/>
      <c r="E724" s="23"/>
    </row>
    <row r="725">
      <c r="C725" s="33"/>
      <c r="E725" s="23"/>
    </row>
    <row r="726">
      <c r="C726" s="33"/>
      <c r="E726" s="23"/>
    </row>
    <row r="727">
      <c r="C727" s="33"/>
      <c r="E727" s="23"/>
    </row>
    <row r="728">
      <c r="C728" s="33"/>
      <c r="E728" s="23"/>
    </row>
    <row r="729">
      <c r="C729" s="33"/>
      <c r="E729" s="23"/>
    </row>
    <row r="730">
      <c r="C730" s="33"/>
      <c r="E730" s="23"/>
    </row>
    <row r="731">
      <c r="C731" s="33"/>
      <c r="E731" s="23"/>
    </row>
    <row r="732">
      <c r="C732" s="33"/>
      <c r="E732" s="23"/>
    </row>
    <row r="733">
      <c r="C733" s="33"/>
      <c r="E733" s="23"/>
    </row>
    <row r="734">
      <c r="C734" s="33"/>
      <c r="E734" s="23"/>
    </row>
    <row r="735">
      <c r="C735" s="33"/>
      <c r="E735" s="23"/>
    </row>
    <row r="736">
      <c r="C736" s="33"/>
      <c r="E736" s="23"/>
    </row>
    <row r="737">
      <c r="C737" s="33"/>
      <c r="E737" s="23"/>
    </row>
    <row r="738">
      <c r="C738" s="33"/>
      <c r="E738" s="23"/>
    </row>
    <row r="739">
      <c r="C739" s="33"/>
      <c r="E739" s="23"/>
    </row>
    <row r="740">
      <c r="C740" s="33"/>
      <c r="E740" s="23"/>
    </row>
    <row r="741">
      <c r="C741" s="33"/>
      <c r="E741" s="23"/>
    </row>
    <row r="742">
      <c r="C742" s="33"/>
      <c r="E742" s="23"/>
    </row>
    <row r="743">
      <c r="C743" s="33"/>
      <c r="E743" s="23"/>
    </row>
    <row r="744">
      <c r="C744" s="33"/>
      <c r="E744" s="23"/>
    </row>
    <row r="745">
      <c r="C745" s="33"/>
      <c r="E745" s="23"/>
    </row>
    <row r="746">
      <c r="C746" s="33"/>
      <c r="E746" s="23"/>
    </row>
    <row r="747">
      <c r="C747" s="33"/>
      <c r="E747" s="23"/>
    </row>
    <row r="748">
      <c r="C748" s="33"/>
      <c r="E748" s="23"/>
    </row>
    <row r="749">
      <c r="C749" s="33"/>
      <c r="E749" s="23"/>
    </row>
    <row r="750">
      <c r="C750" s="33"/>
      <c r="E750" s="23"/>
    </row>
    <row r="751">
      <c r="C751" s="33"/>
      <c r="E751" s="23"/>
    </row>
    <row r="752">
      <c r="C752" s="33"/>
      <c r="E752" s="23"/>
    </row>
    <row r="753">
      <c r="C753" s="33"/>
      <c r="E753" s="23"/>
    </row>
    <row r="754">
      <c r="C754" s="33"/>
      <c r="E754" s="23"/>
    </row>
    <row r="755">
      <c r="C755" s="33"/>
      <c r="E755" s="23"/>
    </row>
    <row r="756">
      <c r="C756" s="33"/>
      <c r="E756" s="23"/>
    </row>
    <row r="757">
      <c r="C757" s="33"/>
      <c r="E757" s="23"/>
    </row>
    <row r="758">
      <c r="C758" s="33"/>
      <c r="E758" s="23"/>
    </row>
    <row r="759">
      <c r="C759" s="33"/>
      <c r="E759" s="23"/>
    </row>
    <row r="760">
      <c r="C760" s="33"/>
      <c r="E760" s="23"/>
    </row>
    <row r="761">
      <c r="C761" s="33"/>
      <c r="E761" s="23"/>
    </row>
    <row r="762">
      <c r="C762" s="33"/>
      <c r="E762" s="23"/>
    </row>
    <row r="763">
      <c r="C763" s="33"/>
      <c r="E763" s="23"/>
    </row>
    <row r="764">
      <c r="C764" s="33"/>
      <c r="E764" s="23"/>
    </row>
    <row r="765">
      <c r="C765" s="33"/>
      <c r="E765" s="23"/>
    </row>
    <row r="766">
      <c r="C766" s="33"/>
      <c r="E766" s="23"/>
    </row>
    <row r="767">
      <c r="C767" s="33"/>
      <c r="E767" s="23"/>
    </row>
    <row r="768">
      <c r="C768" s="33"/>
      <c r="E768" s="23"/>
    </row>
    <row r="769">
      <c r="C769" s="33"/>
      <c r="E769" s="23"/>
    </row>
    <row r="770">
      <c r="C770" s="33"/>
      <c r="E770" s="23"/>
    </row>
    <row r="771">
      <c r="C771" s="33"/>
      <c r="E771" s="23"/>
    </row>
    <row r="772">
      <c r="C772" s="33"/>
      <c r="E772" s="23"/>
    </row>
    <row r="773">
      <c r="C773" s="33"/>
      <c r="E773" s="23"/>
    </row>
    <row r="774">
      <c r="C774" s="33"/>
      <c r="E774" s="23"/>
    </row>
    <row r="775">
      <c r="C775" s="33"/>
      <c r="E775" s="23"/>
    </row>
    <row r="776">
      <c r="C776" s="33"/>
      <c r="E776" s="23"/>
    </row>
    <row r="777">
      <c r="C777" s="33"/>
      <c r="E777" s="23"/>
    </row>
    <row r="778">
      <c r="C778" s="33"/>
      <c r="E778" s="23"/>
    </row>
    <row r="779">
      <c r="C779" s="33"/>
      <c r="E779" s="23"/>
    </row>
    <row r="780">
      <c r="C780" s="33"/>
      <c r="E780" s="23"/>
    </row>
    <row r="781">
      <c r="C781" s="33"/>
      <c r="E781" s="23"/>
    </row>
    <row r="782">
      <c r="C782" s="33"/>
      <c r="E782" s="23"/>
    </row>
    <row r="783">
      <c r="C783" s="33"/>
      <c r="E783" s="23"/>
    </row>
    <row r="784">
      <c r="C784" s="33"/>
      <c r="E784" s="23"/>
    </row>
    <row r="785">
      <c r="C785" s="33"/>
      <c r="E785" s="23"/>
    </row>
    <row r="786">
      <c r="C786" s="33"/>
      <c r="E786" s="23"/>
    </row>
    <row r="787">
      <c r="C787" s="33"/>
      <c r="E787" s="23"/>
    </row>
    <row r="788">
      <c r="C788" s="33"/>
      <c r="E788" s="23"/>
    </row>
    <row r="789">
      <c r="C789" s="33"/>
      <c r="E789" s="23"/>
    </row>
    <row r="790">
      <c r="C790" s="33"/>
      <c r="E790" s="23"/>
    </row>
    <row r="791">
      <c r="C791" s="33"/>
      <c r="E791" s="23"/>
    </row>
    <row r="792">
      <c r="C792" s="33"/>
      <c r="E792" s="23"/>
    </row>
    <row r="793">
      <c r="C793" s="33"/>
      <c r="E793" s="23"/>
    </row>
    <row r="794">
      <c r="C794" s="33"/>
      <c r="E794" s="23"/>
    </row>
    <row r="795">
      <c r="C795" s="33"/>
      <c r="E795" s="23"/>
    </row>
    <row r="796">
      <c r="C796" s="33"/>
      <c r="E796" s="23"/>
    </row>
    <row r="797">
      <c r="C797" s="33"/>
      <c r="E797" s="23"/>
    </row>
    <row r="798">
      <c r="C798" s="33"/>
      <c r="E798" s="23"/>
    </row>
    <row r="799">
      <c r="C799" s="33"/>
      <c r="E799" s="23"/>
    </row>
    <row r="800">
      <c r="C800" s="33"/>
      <c r="E800" s="23"/>
    </row>
    <row r="801">
      <c r="C801" s="33"/>
      <c r="E801" s="23"/>
    </row>
    <row r="802">
      <c r="C802" s="33"/>
      <c r="E802" s="23"/>
    </row>
    <row r="803">
      <c r="C803" s="33"/>
      <c r="E803" s="23"/>
    </row>
    <row r="804">
      <c r="C804" s="33"/>
      <c r="E804" s="23"/>
    </row>
    <row r="805">
      <c r="C805" s="33"/>
      <c r="E805" s="23"/>
    </row>
    <row r="806">
      <c r="C806" s="33"/>
      <c r="E806" s="23"/>
    </row>
    <row r="807">
      <c r="C807" s="33"/>
      <c r="E807" s="23"/>
    </row>
    <row r="808">
      <c r="C808" s="33"/>
      <c r="E808" s="23"/>
    </row>
    <row r="809">
      <c r="C809" s="33"/>
      <c r="E809" s="23"/>
    </row>
    <row r="810">
      <c r="C810" s="33"/>
      <c r="E810" s="23"/>
    </row>
    <row r="811">
      <c r="C811" s="33"/>
      <c r="E811" s="23"/>
    </row>
    <row r="812">
      <c r="C812" s="33"/>
      <c r="E812" s="23"/>
    </row>
    <row r="813">
      <c r="C813" s="33"/>
      <c r="E813" s="23"/>
    </row>
    <row r="814">
      <c r="C814" s="33"/>
      <c r="E814" s="23"/>
    </row>
    <row r="815">
      <c r="C815" s="33"/>
      <c r="E815" s="23"/>
    </row>
    <row r="816">
      <c r="C816" s="33"/>
      <c r="E816" s="23"/>
    </row>
    <row r="817">
      <c r="C817" s="33"/>
      <c r="E817" s="23"/>
    </row>
    <row r="818">
      <c r="C818" s="33"/>
      <c r="E818" s="23"/>
    </row>
    <row r="819">
      <c r="C819" s="33"/>
      <c r="E819" s="23"/>
    </row>
    <row r="820">
      <c r="C820" s="33"/>
      <c r="E820" s="23"/>
    </row>
    <row r="821">
      <c r="C821" s="33"/>
      <c r="E821" s="23"/>
    </row>
    <row r="822">
      <c r="C822" s="33"/>
      <c r="E822" s="23"/>
    </row>
    <row r="823">
      <c r="C823" s="33"/>
      <c r="E823" s="23"/>
    </row>
    <row r="824">
      <c r="C824" s="33"/>
      <c r="E824" s="23"/>
    </row>
    <row r="825">
      <c r="C825" s="33"/>
      <c r="E825" s="23"/>
    </row>
    <row r="826">
      <c r="C826" s="33"/>
      <c r="E826" s="23"/>
    </row>
    <row r="827">
      <c r="C827" s="33"/>
      <c r="E827" s="23"/>
    </row>
    <row r="828">
      <c r="C828" s="33"/>
      <c r="E828" s="23"/>
    </row>
    <row r="829">
      <c r="C829" s="33"/>
      <c r="E829" s="23"/>
    </row>
    <row r="830">
      <c r="C830" s="33"/>
      <c r="E830" s="23"/>
    </row>
    <row r="831">
      <c r="C831" s="33"/>
      <c r="E831" s="23"/>
    </row>
    <row r="832">
      <c r="C832" s="33"/>
      <c r="E832" s="23"/>
    </row>
    <row r="833">
      <c r="C833" s="33"/>
      <c r="E833" s="23"/>
    </row>
    <row r="834">
      <c r="C834" s="33"/>
      <c r="E834" s="23"/>
    </row>
    <row r="835">
      <c r="C835" s="33"/>
      <c r="E835" s="23"/>
    </row>
    <row r="836">
      <c r="C836" s="33"/>
      <c r="E836" s="23"/>
    </row>
    <row r="837">
      <c r="C837" s="33"/>
      <c r="E837" s="23"/>
    </row>
    <row r="838">
      <c r="C838" s="33"/>
      <c r="E838" s="23"/>
    </row>
    <row r="839">
      <c r="C839" s="33"/>
      <c r="E839" s="23"/>
    </row>
    <row r="840">
      <c r="C840" s="33"/>
      <c r="E840" s="23"/>
    </row>
    <row r="841">
      <c r="C841" s="33"/>
      <c r="E841" s="23"/>
    </row>
    <row r="842">
      <c r="C842" s="33"/>
      <c r="E842" s="23"/>
    </row>
    <row r="843">
      <c r="C843" s="33"/>
      <c r="E843" s="23"/>
    </row>
    <row r="844">
      <c r="C844" s="33"/>
      <c r="E844" s="23"/>
    </row>
    <row r="845">
      <c r="C845" s="33"/>
      <c r="E845" s="23"/>
    </row>
    <row r="846">
      <c r="C846" s="33"/>
      <c r="E846" s="23"/>
    </row>
    <row r="847">
      <c r="C847" s="33"/>
      <c r="E847" s="23"/>
    </row>
    <row r="848">
      <c r="C848" s="33"/>
      <c r="E848" s="23"/>
    </row>
    <row r="849">
      <c r="C849" s="33"/>
      <c r="E849" s="23"/>
    </row>
    <row r="850">
      <c r="C850" s="33"/>
      <c r="E850" s="23"/>
    </row>
    <row r="851">
      <c r="C851" s="33"/>
      <c r="E851" s="23"/>
    </row>
    <row r="852">
      <c r="C852" s="33"/>
      <c r="E852" s="23"/>
    </row>
    <row r="853">
      <c r="C853" s="33"/>
      <c r="E853" s="23"/>
    </row>
    <row r="854">
      <c r="C854" s="33"/>
      <c r="E854" s="23"/>
    </row>
    <row r="855">
      <c r="C855" s="33"/>
      <c r="E855" s="23"/>
    </row>
    <row r="856">
      <c r="C856" s="33"/>
      <c r="E856" s="23"/>
    </row>
    <row r="857">
      <c r="C857" s="33"/>
      <c r="E857" s="23"/>
    </row>
    <row r="858">
      <c r="C858" s="33"/>
      <c r="E858" s="23"/>
    </row>
    <row r="859">
      <c r="C859" s="33"/>
      <c r="E859" s="23"/>
    </row>
    <row r="860">
      <c r="C860" s="33"/>
      <c r="E860" s="23"/>
    </row>
    <row r="861">
      <c r="C861" s="33"/>
      <c r="E861" s="23"/>
    </row>
    <row r="862">
      <c r="C862" s="33"/>
      <c r="E862" s="23"/>
    </row>
    <row r="863">
      <c r="C863" s="33"/>
      <c r="E863" s="23"/>
    </row>
    <row r="864">
      <c r="C864" s="33"/>
      <c r="E864" s="23"/>
    </row>
    <row r="865">
      <c r="C865" s="33"/>
      <c r="E865" s="23"/>
    </row>
    <row r="866">
      <c r="C866" s="33"/>
      <c r="E866" s="23"/>
    </row>
    <row r="867">
      <c r="C867" s="33"/>
      <c r="E867" s="23"/>
    </row>
    <row r="868">
      <c r="C868" s="33"/>
      <c r="E868" s="23"/>
    </row>
    <row r="869">
      <c r="C869" s="33"/>
      <c r="E869" s="23"/>
    </row>
    <row r="870">
      <c r="C870" s="33"/>
      <c r="E870" s="23"/>
    </row>
    <row r="871">
      <c r="C871" s="33"/>
      <c r="E871" s="23"/>
    </row>
    <row r="872">
      <c r="C872" s="33"/>
      <c r="E872" s="23"/>
    </row>
    <row r="873">
      <c r="C873" s="33"/>
      <c r="E873" s="23"/>
    </row>
    <row r="874">
      <c r="C874" s="33"/>
      <c r="E874" s="23"/>
    </row>
    <row r="875">
      <c r="C875" s="33"/>
      <c r="E875" s="23"/>
    </row>
    <row r="876">
      <c r="C876" s="33"/>
      <c r="E876" s="23"/>
    </row>
    <row r="877">
      <c r="C877" s="33"/>
      <c r="E877" s="23"/>
    </row>
    <row r="878">
      <c r="C878" s="33"/>
      <c r="E878" s="23"/>
    </row>
    <row r="879">
      <c r="C879" s="33"/>
      <c r="E879" s="23"/>
    </row>
    <row r="880">
      <c r="C880" s="33"/>
      <c r="E880" s="23"/>
    </row>
    <row r="881">
      <c r="C881" s="33"/>
      <c r="E881" s="23"/>
    </row>
    <row r="882">
      <c r="C882" s="33"/>
      <c r="E882" s="23"/>
    </row>
    <row r="883">
      <c r="C883" s="33"/>
      <c r="E883" s="23"/>
    </row>
    <row r="884">
      <c r="C884" s="33"/>
      <c r="E884" s="23"/>
    </row>
    <row r="885">
      <c r="C885" s="33"/>
      <c r="E885" s="23"/>
    </row>
    <row r="886">
      <c r="C886" s="33"/>
      <c r="E886" s="23"/>
    </row>
    <row r="887">
      <c r="C887" s="33"/>
      <c r="E887" s="23"/>
    </row>
    <row r="888">
      <c r="C888" s="33"/>
      <c r="E888" s="23"/>
    </row>
    <row r="889">
      <c r="C889" s="33"/>
      <c r="E889" s="23"/>
    </row>
    <row r="890">
      <c r="C890" s="33"/>
      <c r="E890" s="23"/>
    </row>
    <row r="891">
      <c r="C891" s="33"/>
      <c r="E891" s="23"/>
    </row>
    <row r="892">
      <c r="C892" s="33"/>
      <c r="E892" s="23"/>
    </row>
    <row r="893">
      <c r="C893" s="33"/>
      <c r="E893" s="23"/>
    </row>
    <row r="894">
      <c r="C894" s="33"/>
      <c r="E894" s="23"/>
    </row>
    <row r="895">
      <c r="C895" s="33"/>
      <c r="E895" s="23"/>
    </row>
    <row r="896">
      <c r="C896" s="33"/>
      <c r="E896" s="23"/>
    </row>
    <row r="897">
      <c r="C897" s="33"/>
      <c r="E897" s="23"/>
    </row>
    <row r="898">
      <c r="C898" s="33"/>
      <c r="E898" s="23"/>
    </row>
    <row r="899">
      <c r="C899" s="33"/>
      <c r="E899" s="23"/>
    </row>
    <row r="900">
      <c r="C900" s="33"/>
      <c r="E900" s="23"/>
    </row>
    <row r="901">
      <c r="C901" s="33"/>
      <c r="E901" s="23"/>
    </row>
    <row r="902">
      <c r="C902" s="33"/>
      <c r="E902" s="23"/>
    </row>
    <row r="903">
      <c r="C903" s="33"/>
      <c r="E903" s="23"/>
    </row>
    <row r="904">
      <c r="C904" s="33"/>
      <c r="E904" s="23"/>
    </row>
    <row r="905">
      <c r="C905" s="33"/>
      <c r="E905" s="23"/>
    </row>
    <row r="906">
      <c r="C906" s="33"/>
      <c r="E906" s="23"/>
    </row>
    <row r="907">
      <c r="C907" s="33"/>
      <c r="E907" s="23"/>
    </row>
    <row r="908">
      <c r="C908" s="33"/>
      <c r="E908" s="23"/>
    </row>
    <row r="909">
      <c r="C909" s="33"/>
      <c r="E909" s="23"/>
    </row>
    <row r="910">
      <c r="C910" s="33"/>
      <c r="E910" s="23"/>
    </row>
    <row r="911">
      <c r="C911" s="33"/>
      <c r="E911" s="23"/>
    </row>
    <row r="912">
      <c r="C912" s="33"/>
      <c r="E912" s="23"/>
    </row>
    <row r="913">
      <c r="C913" s="33"/>
      <c r="E913" s="23"/>
    </row>
    <row r="914">
      <c r="C914" s="33"/>
      <c r="E914" s="23"/>
    </row>
    <row r="915">
      <c r="C915" s="33"/>
      <c r="E915" s="23"/>
    </row>
    <row r="916">
      <c r="C916" s="33"/>
      <c r="E916" s="23"/>
    </row>
    <row r="917">
      <c r="C917" s="33"/>
      <c r="E917" s="23"/>
    </row>
    <row r="918">
      <c r="C918" s="33"/>
      <c r="E918" s="23"/>
    </row>
    <row r="919">
      <c r="C919" s="33"/>
      <c r="E919" s="23"/>
    </row>
    <row r="920">
      <c r="C920" s="33"/>
      <c r="E920" s="23"/>
    </row>
    <row r="921">
      <c r="C921" s="33"/>
      <c r="E921" s="23"/>
    </row>
    <row r="922">
      <c r="C922" s="33"/>
      <c r="E922" s="23"/>
    </row>
    <row r="923">
      <c r="C923" s="33"/>
      <c r="E923" s="23"/>
    </row>
    <row r="924">
      <c r="C924" s="33"/>
      <c r="E924" s="23"/>
    </row>
    <row r="925">
      <c r="C925" s="33"/>
      <c r="E925" s="23"/>
    </row>
    <row r="926">
      <c r="C926" s="33"/>
      <c r="E926" s="23"/>
    </row>
    <row r="927">
      <c r="C927" s="33"/>
      <c r="E927" s="23"/>
    </row>
    <row r="928">
      <c r="C928" s="33"/>
      <c r="E928" s="23"/>
    </row>
    <row r="929">
      <c r="C929" s="33"/>
      <c r="E929" s="23"/>
    </row>
    <row r="930">
      <c r="C930" s="33"/>
      <c r="E930" s="23"/>
    </row>
    <row r="931">
      <c r="C931" s="33"/>
      <c r="E931" s="23"/>
    </row>
    <row r="932">
      <c r="C932" s="33"/>
      <c r="E932" s="23"/>
    </row>
    <row r="933">
      <c r="C933" s="33"/>
      <c r="E933" s="23"/>
    </row>
    <row r="934">
      <c r="C934" s="33"/>
      <c r="E934" s="23"/>
    </row>
    <row r="935">
      <c r="C935" s="33"/>
      <c r="E935" s="23"/>
    </row>
    <row r="936">
      <c r="C936" s="33"/>
      <c r="E936" s="23"/>
    </row>
    <row r="937">
      <c r="C937" s="33"/>
      <c r="E937" s="23"/>
    </row>
    <row r="938">
      <c r="C938" s="33"/>
      <c r="E938" s="23"/>
    </row>
    <row r="939">
      <c r="C939" s="33"/>
      <c r="E939" s="23"/>
    </row>
    <row r="940">
      <c r="C940" s="33"/>
      <c r="E940" s="23"/>
    </row>
    <row r="941">
      <c r="C941" s="33"/>
      <c r="E941" s="23"/>
    </row>
    <row r="942">
      <c r="C942" s="33"/>
      <c r="E942" s="23"/>
    </row>
    <row r="943">
      <c r="C943" s="33"/>
      <c r="E943" s="23"/>
    </row>
    <row r="944">
      <c r="C944" s="33"/>
      <c r="E944" s="23"/>
    </row>
    <row r="945">
      <c r="C945" s="33"/>
      <c r="E945" s="23"/>
    </row>
    <row r="946">
      <c r="C946" s="33"/>
      <c r="E946" s="23"/>
    </row>
    <row r="947">
      <c r="C947" s="33"/>
      <c r="E947" s="23"/>
    </row>
    <row r="948">
      <c r="C948" s="33"/>
      <c r="E948" s="23"/>
    </row>
    <row r="949">
      <c r="C949" s="33"/>
      <c r="E949" s="23"/>
    </row>
    <row r="950">
      <c r="C950" s="33"/>
      <c r="E950" s="23"/>
    </row>
    <row r="951">
      <c r="C951" s="33"/>
      <c r="E951" s="23"/>
    </row>
    <row r="952">
      <c r="C952" s="33"/>
      <c r="E952" s="23"/>
    </row>
    <row r="953">
      <c r="C953" s="33"/>
      <c r="E953" s="23"/>
    </row>
    <row r="954">
      <c r="C954" s="33"/>
      <c r="E954" s="23"/>
    </row>
    <row r="955">
      <c r="C955" s="33"/>
      <c r="E955" s="23"/>
    </row>
    <row r="956">
      <c r="C956" s="33"/>
      <c r="E956" s="23"/>
    </row>
    <row r="957">
      <c r="C957" s="33"/>
      <c r="E957" s="23"/>
    </row>
    <row r="958">
      <c r="C958" s="33"/>
      <c r="E958" s="23"/>
    </row>
    <row r="959">
      <c r="C959" s="33"/>
      <c r="E959" s="23"/>
    </row>
    <row r="960">
      <c r="C960" s="33"/>
      <c r="E960" s="23"/>
    </row>
    <row r="961">
      <c r="C961" s="33"/>
      <c r="E961" s="23"/>
    </row>
    <row r="962">
      <c r="C962" s="33"/>
      <c r="E962" s="23"/>
    </row>
    <row r="963">
      <c r="C963" s="33"/>
      <c r="E963" s="23"/>
    </row>
    <row r="964">
      <c r="C964" s="33"/>
      <c r="E964" s="23"/>
    </row>
    <row r="965">
      <c r="C965" s="33"/>
      <c r="E965" s="23"/>
    </row>
    <row r="966">
      <c r="C966" s="33"/>
      <c r="E966" s="23"/>
    </row>
    <row r="967">
      <c r="C967" s="33"/>
      <c r="E967" s="23"/>
    </row>
    <row r="968">
      <c r="C968" s="33"/>
      <c r="E968" s="23"/>
    </row>
    <row r="969">
      <c r="C969" s="33"/>
      <c r="E969" s="23"/>
    </row>
    <row r="970">
      <c r="C970" s="33"/>
      <c r="E970" s="23"/>
    </row>
    <row r="971">
      <c r="C971" s="33"/>
      <c r="E971" s="23"/>
    </row>
    <row r="972">
      <c r="C972" s="33"/>
      <c r="E972" s="23"/>
    </row>
    <row r="973">
      <c r="C973" s="33"/>
      <c r="E973" s="23"/>
    </row>
    <row r="974">
      <c r="C974" s="33"/>
      <c r="E974" s="23"/>
    </row>
    <row r="975">
      <c r="C975" s="33"/>
      <c r="E975" s="23"/>
    </row>
    <row r="976">
      <c r="C976" s="33"/>
      <c r="E976" s="23"/>
    </row>
    <row r="977">
      <c r="C977" s="33"/>
      <c r="E977" s="23"/>
    </row>
    <row r="978">
      <c r="C978" s="33"/>
      <c r="E978" s="23"/>
    </row>
    <row r="979">
      <c r="C979" s="33"/>
      <c r="E979" s="23"/>
    </row>
    <row r="980">
      <c r="C980" s="33"/>
      <c r="E980" s="23"/>
    </row>
    <row r="981">
      <c r="C981" s="33"/>
      <c r="E981" s="23"/>
    </row>
    <row r="982">
      <c r="C982" s="33"/>
      <c r="E982" s="23"/>
    </row>
    <row r="983">
      <c r="C983" s="33"/>
      <c r="E983" s="23"/>
    </row>
    <row r="984">
      <c r="C984" s="33"/>
      <c r="E984" s="23"/>
    </row>
    <row r="985">
      <c r="C985" s="33"/>
      <c r="E985" s="23"/>
    </row>
    <row r="986">
      <c r="C986" s="33"/>
      <c r="E986" s="23"/>
    </row>
    <row r="987">
      <c r="C987" s="33"/>
      <c r="E987" s="23"/>
    </row>
    <row r="988">
      <c r="C988" s="33"/>
      <c r="E988" s="23"/>
    </row>
    <row r="989">
      <c r="C989" s="33"/>
      <c r="E989" s="23"/>
    </row>
    <row r="990">
      <c r="C990" s="33"/>
      <c r="E990" s="23"/>
    </row>
    <row r="991">
      <c r="C991" s="33"/>
      <c r="E991" s="23"/>
    </row>
    <row r="992">
      <c r="C992" s="33"/>
      <c r="E992" s="23"/>
    </row>
    <row r="993">
      <c r="C993" s="33"/>
      <c r="E993" s="23"/>
    </row>
    <row r="994">
      <c r="C994" s="33"/>
      <c r="E994" s="23"/>
    </row>
    <row r="995">
      <c r="C995" s="33"/>
      <c r="E995" s="23"/>
    </row>
    <row r="996">
      <c r="C996" s="33"/>
      <c r="E996" s="23"/>
    </row>
    <row r="997">
      <c r="C997" s="33"/>
      <c r="E997" s="23"/>
    </row>
    <row r="998">
      <c r="C998" s="33"/>
      <c r="E998" s="23"/>
    </row>
    <row r="999">
      <c r="C999" s="33"/>
      <c r="E999" s="23"/>
    </row>
    <row r="1000">
      <c r="C1000" s="33"/>
      <c r="E1000" s="23"/>
    </row>
    <row r="1001">
      <c r="C1001" s="33"/>
      <c r="E1001" s="23"/>
    </row>
    <row r="1002">
      <c r="C1002" s="33"/>
      <c r="E1002" s="23"/>
    </row>
    <row r="1003">
      <c r="C1003" s="33"/>
      <c r="E1003" s="23"/>
    </row>
    <row r="1004">
      <c r="C1004" s="33"/>
      <c r="E1004" s="23"/>
    </row>
    <row r="1005">
      <c r="C1005" s="33"/>
      <c r="E1005" s="23"/>
    </row>
    <row r="1006">
      <c r="C1006" s="33"/>
      <c r="E1006" s="23"/>
    </row>
    <row r="1007">
      <c r="C1007" s="33"/>
      <c r="E1007" s="23"/>
    </row>
    <row r="1008">
      <c r="C1008" s="33"/>
      <c r="E1008" s="23"/>
    </row>
    <row r="1009">
      <c r="C1009" s="33"/>
      <c r="E1009" s="23"/>
    </row>
    <row r="1010">
      <c r="C1010" s="33"/>
      <c r="E1010" s="23"/>
    </row>
    <row r="1011">
      <c r="C1011" s="33"/>
      <c r="E1011" s="23"/>
    </row>
    <row r="1012">
      <c r="C1012" s="33"/>
      <c r="E1012" s="23"/>
    </row>
    <row r="1013">
      <c r="C1013" s="33"/>
      <c r="E1013" s="23"/>
    </row>
    <row r="1014">
      <c r="C1014" s="33"/>
      <c r="E1014" s="23"/>
    </row>
    <row r="1015">
      <c r="C1015" s="33"/>
      <c r="E1015" s="23"/>
    </row>
    <row r="1016">
      <c r="C1016" s="33"/>
      <c r="E1016" s="23"/>
    </row>
    <row r="1017">
      <c r="C1017" s="33"/>
      <c r="E1017" s="23"/>
    </row>
    <row r="1018">
      <c r="C1018" s="33"/>
      <c r="E1018" s="23"/>
    </row>
    <row r="1019">
      <c r="C1019" s="33"/>
      <c r="E1019" s="23"/>
    </row>
    <row r="1020">
      <c r="C1020" s="33"/>
      <c r="E1020" s="23"/>
    </row>
    <row r="1021">
      <c r="C1021" s="33"/>
      <c r="E1021" s="23"/>
    </row>
    <row r="1022">
      <c r="C1022" s="33"/>
      <c r="E1022" s="23"/>
    </row>
    <row r="1023">
      <c r="C1023" s="33"/>
      <c r="E1023" s="23"/>
    </row>
    <row r="1024">
      <c r="C1024" s="33"/>
      <c r="E1024" s="23"/>
    </row>
    <row r="1025">
      <c r="C1025" s="33"/>
      <c r="E1025" s="23"/>
    </row>
    <row r="1026">
      <c r="C1026" s="33"/>
      <c r="E1026" s="23"/>
    </row>
    <row r="1027">
      <c r="C1027" s="33"/>
      <c r="E1027" s="23"/>
    </row>
    <row r="1028">
      <c r="C1028" s="33"/>
      <c r="E1028" s="23"/>
    </row>
    <row r="1029">
      <c r="C1029" s="33"/>
      <c r="E1029" s="23"/>
    </row>
    <row r="1030">
      <c r="C1030" s="33"/>
      <c r="E1030" s="23"/>
    </row>
    <row r="1031">
      <c r="C1031" s="33"/>
      <c r="E1031" s="23"/>
    </row>
    <row r="1032">
      <c r="C1032" s="33"/>
      <c r="E1032" s="23"/>
    </row>
    <row r="1033">
      <c r="C1033" s="33"/>
      <c r="E1033" s="23"/>
    </row>
    <row r="1034">
      <c r="C1034" s="33"/>
      <c r="E1034" s="23"/>
    </row>
  </sheetData>
  <hyperlinks>
    <hyperlink r:id="rId1" ref="E7"/>
    <hyperlink r:id="rId2" ref="E8"/>
    <hyperlink r:id="rId3" ref="E10"/>
    <hyperlink r:id="rId4" location=":~:text=Based%20on%20information%20from%20the,rise%20from%2085.5%25%20in%202000." ref="E13"/>
    <hyperlink r:id="rId5" location=":~:text=1%2C000%20square%20feet%20can%20range,averages%20between%20%246%2C000%20and%20%2410%2C000" ref="E14"/>
    <hyperlink r:id="rId6" ref="E16"/>
    <hyperlink r:id="rId7" ref="E17"/>
    <hyperlink r:id="rId8" ref="E23"/>
    <hyperlink r:id="rId9" ref="E32"/>
    <hyperlink r:id="rId10" ref="E33"/>
    <hyperlink r:id="rId11" ref="E38"/>
  </hyperlinks>
  <drawing r:id="rId1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2"/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</row>
    <row r="2">
      <c r="A2" s="242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</row>
    <row r="3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</row>
    <row r="4">
      <c r="A4" s="242"/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</row>
    <row r="5">
      <c r="A5" s="242"/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</row>
    <row r="6">
      <c r="A6" s="242"/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</row>
    <row r="7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</row>
    <row r="8">
      <c r="A8" s="242"/>
      <c r="B8" s="242"/>
      <c r="C8" s="242"/>
      <c r="D8" s="242"/>
      <c r="E8" s="242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</row>
    <row r="9">
      <c r="A9" s="242"/>
      <c r="B9" s="242"/>
      <c r="C9" s="242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</row>
    <row r="10">
      <c r="A10" s="242"/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</row>
    <row r="11">
      <c r="A11" s="242"/>
      <c r="B11" s="242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</row>
    <row r="12">
      <c r="A12" s="242"/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42"/>
      <c r="Y12" s="242"/>
      <c r="Z12" s="242"/>
    </row>
    <row r="13">
      <c r="A13" s="242"/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</row>
    <row r="14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  <c r="Y14" s="242"/>
      <c r="Z14" s="242"/>
    </row>
    <row r="15">
      <c r="A15" s="242"/>
      <c r="B15" s="242"/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</row>
    <row r="16">
      <c r="A16" s="242"/>
      <c r="B16" s="242"/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2"/>
    </row>
    <row r="17">
      <c r="A17" s="242"/>
      <c r="B17" s="242"/>
      <c r="C17" s="242"/>
      <c r="D17" s="242"/>
      <c r="E17" s="242"/>
      <c r="F17" s="242"/>
      <c r="G17" s="242"/>
      <c r="H17" s="242"/>
      <c r="I17" s="242"/>
      <c r="J17" s="242"/>
      <c r="K17" s="242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</row>
    <row r="18">
      <c r="A18" s="242"/>
      <c r="B18" s="242"/>
      <c r="C18" s="242"/>
      <c r="D18" s="242"/>
      <c r="E18" s="242"/>
      <c r="F18" s="242"/>
      <c r="G18" s="242"/>
      <c r="H18" s="242"/>
      <c r="I18" s="242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  <c r="W18" s="242"/>
      <c r="X18" s="242"/>
      <c r="Y18" s="242"/>
      <c r="Z18" s="242"/>
    </row>
    <row r="19">
      <c r="A19" s="242"/>
      <c r="B19" s="242"/>
      <c r="C19" s="242"/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</row>
    <row r="20">
      <c r="A20" s="242"/>
      <c r="B20" s="242"/>
      <c r="C20" s="242"/>
      <c r="D20" s="242"/>
      <c r="E20" s="242"/>
      <c r="F20" s="242"/>
      <c r="G20" s="242"/>
      <c r="H20" s="242"/>
      <c r="I20" s="242"/>
      <c r="J20" s="242"/>
      <c r="K20" s="242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242"/>
      <c r="Z20" s="242"/>
    </row>
    <row r="21">
      <c r="A21" s="242"/>
      <c r="B21" s="242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</row>
    <row r="22">
      <c r="A22" s="242"/>
      <c r="B22" s="242"/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242"/>
    </row>
    <row r="23">
      <c r="A23" s="242"/>
      <c r="B23" s="242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</row>
    <row r="24">
      <c r="A24" s="242"/>
      <c r="B24" s="242"/>
      <c r="C24" s="242"/>
      <c r="D24" s="242"/>
      <c r="E24" s="242"/>
      <c r="F24" s="242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</row>
    <row r="25">
      <c r="A25" s="242"/>
      <c r="B25" s="242"/>
      <c r="C25" s="242"/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</row>
    <row r="26">
      <c r="A26" s="242"/>
      <c r="B26" s="242"/>
      <c r="C26" s="242"/>
      <c r="D26" s="242"/>
      <c r="E26" s="242"/>
      <c r="F26" s="242"/>
      <c r="G26" s="242"/>
      <c r="H26" s="242"/>
      <c r="I26" s="242"/>
      <c r="J26" s="242"/>
      <c r="K26" s="242"/>
      <c r="L26" s="242"/>
      <c r="M26" s="242"/>
      <c r="N26" s="242"/>
      <c r="O26" s="242"/>
      <c r="P26" s="242"/>
      <c r="Q26" s="242"/>
      <c r="R26" s="242"/>
      <c r="S26" s="242"/>
      <c r="T26" s="242"/>
      <c r="U26" s="242"/>
      <c r="V26" s="242"/>
      <c r="W26" s="242"/>
      <c r="X26" s="242"/>
      <c r="Y26" s="242"/>
      <c r="Z26" s="242"/>
    </row>
    <row r="27">
      <c r="A27" s="242"/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242"/>
      <c r="Z27" s="242"/>
    </row>
    <row r="28">
      <c r="A28" s="242"/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</row>
    <row r="29">
      <c r="A29" s="242"/>
      <c r="B29" s="242"/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242"/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  <c r="Y29" s="242"/>
      <c r="Z29" s="242"/>
    </row>
    <row r="30">
      <c r="A30" s="242"/>
      <c r="B30" s="242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</row>
    <row r="31">
      <c r="A31" s="242"/>
      <c r="B31" s="242"/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42"/>
      <c r="N31" s="242"/>
      <c r="O31" s="242"/>
      <c r="P31" s="242"/>
      <c r="Q31" s="242"/>
      <c r="R31" s="242"/>
      <c r="S31" s="242"/>
      <c r="T31" s="242"/>
      <c r="U31" s="242"/>
      <c r="V31" s="242"/>
      <c r="W31" s="242"/>
      <c r="X31" s="242"/>
      <c r="Y31" s="242"/>
      <c r="Z31" s="242"/>
    </row>
    <row r="32">
      <c r="A32" s="242"/>
      <c r="B32" s="242"/>
      <c r="C32" s="242"/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2"/>
    </row>
    <row r="33">
      <c r="A33" s="242"/>
      <c r="B33" s="242"/>
      <c r="C33" s="242"/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242"/>
      <c r="Z33" s="242"/>
    </row>
    <row r="34">
      <c r="A34" s="242"/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  <c r="Y34" s="242"/>
      <c r="Z34" s="242"/>
    </row>
    <row r="35">
      <c r="A35" s="242"/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2"/>
    </row>
    <row r="36">
      <c r="A36" s="242"/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  <c r="Y36" s="242"/>
      <c r="Z36" s="242"/>
    </row>
    <row r="37">
      <c r="A37" s="242"/>
      <c r="B37" s="242"/>
      <c r="C37" s="242"/>
      <c r="D37" s="242"/>
      <c r="E37" s="242"/>
      <c r="F37" s="242"/>
      <c r="G37" s="242"/>
      <c r="H37" s="242"/>
      <c r="I37" s="242"/>
      <c r="J37" s="242"/>
      <c r="K37" s="242"/>
      <c r="L37" s="242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2"/>
    </row>
    <row r="38">
      <c r="A38" s="242"/>
      <c r="B38" s="242"/>
      <c r="C38" s="242"/>
      <c r="D38" s="242"/>
      <c r="E38" s="242"/>
      <c r="F38" s="242"/>
      <c r="G38" s="242"/>
      <c r="H38" s="242"/>
      <c r="I38" s="242"/>
      <c r="J38" s="242"/>
      <c r="K38" s="242"/>
      <c r="L38" s="242"/>
      <c r="M38" s="242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42"/>
      <c r="Z38" s="242"/>
    </row>
    <row r="39">
      <c r="A39" s="242"/>
      <c r="B39" s="242"/>
      <c r="C39" s="242"/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2"/>
    </row>
    <row r="40">
      <c r="A40" s="242"/>
      <c r="B40" s="242"/>
      <c r="C40" s="242"/>
      <c r="D40" s="242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</row>
    <row r="41">
      <c r="A41" s="242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</row>
    <row r="42">
      <c r="A42" s="242"/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/>
    </row>
    <row r="43">
      <c r="A43" s="242"/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242"/>
    </row>
    <row r="44">
      <c r="A44" s="242"/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242"/>
    </row>
    <row r="45">
      <c r="A45" s="242"/>
      <c r="B45" s="242"/>
      <c r="C45" s="242"/>
      <c r="D45" s="242"/>
      <c r="E45" s="242"/>
      <c r="F45" s="242"/>
      <c r="G45" s="242"/>
      <c r="H45" s="242"/>
      <c r="I45" s="242"/>
      <c r="J45" s="242"/>
      <c r="K45" s="242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2"/>
    </row>
    <row r="46">
      <c r="A46" s="242"/>
      <c r="B46" s="242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242"/>
    </row>
    <row r="47">
      <c r="A47" s="242"/>
      <c r="B47" s="242"/>
      <c r="C47" s="242"/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</row>
    <row r="48">
      <c r="A48" s="242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2"/>
    </row>
    <row r="49">
      <c r="A49" s="242"/>
      <c r="B49" s="242"/>
      <c r="C49" s="242"/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242"/>
    </row>
    <row r="50">
      <c r="A50" s="242"/>
      <c r="B50" s="242"/>
      <c r="C50" s="242"/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242"/>
    </row>
    <row r="51">
      <c r="A51" s="242"/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  <c r="Z51" s="242"/>
    </row>
    <row r="52">
      <c r="A52" s="242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242"/>
    </row>
    <row r="53">
      <c r="A53" s="242"/>
      <c r="B53" s="242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2"/>
    </row>
    <row r="54">
      <c r="A54" s="242"/>
      <c r="B54" s="242"/>
      <c r="C54" s="242"/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42"/>
    </row>
    <row r="55">
      <c r="A55" s="242"/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</row>
    <row r="56">
      <c r="A56" s="242"/>
      <c r="B56" s="242"/>
      <c r="C56" s="242"/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</row>
    <row r="57">
      <c r="A57" s="242"/>
      <c r="B57" s="242"/>
      <c r="C57" s="242"/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242"/>
    </row>
    <row r="58">
      <c r="A58" s="242"/>
      <c r="B58" s="242"/>
      <c r="C58" s="242"/>
      <c r="D58" s="242"/>
      <c r="E58" s="242"/>
      <c r="F58" s="242"/>
      <c r="G58" s="242"/>
      <c r="H58" s="242"/>
      <c r="I58" s="242"/>
      <c r="J58" s="242"/>
      <c r="K58" s="242"/>
      <c r="L58" s="242"/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242"/>
    </row>
    <row r="59">
      <c r="A59" s="242"/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2"/>
    </row>
    <row r="60">
      <c r="A60" s="242"/>
      <c r="B60" s="242"/>
      <c r="C60" s="242"/>
      <c r="D60" s="242"/>
      <c r="E60" s="242"/>
      <c r="F60" s="242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242"/>
    </row>
    <row r="61">
      <c r="A61" s="242"/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</row>
    <row r="62">
      <c r="A62" s="242"/>
      <c r="B62" s="242"/>
      <c r="C62" s="242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</row>
    <row r="63">
      <c r="A63" s="242"/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2"/>
    </row>
    <row r="64">
      <c r="A64" s="242"/>
      <c r="B64" s="242"/>
      <c r="C64" s="242"/>
      <c r="D64" s="242"/>
      <c r="E64" s="242"/>
      <c r="F64" s="242"/>
      <c r="G64" s="242"/>
      <c r="H64" s="242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242"/>
    </row>
    <row r="65">
      <c r="A65" s="242"/>
      <c r="B65" s="242"/>
      <c r="C65" s="242"/>
      <c r="D65" s="242"/>
      <c r="E65" s="242"/>
      <c r="F65" s="242"/>
      <c r="G65" s="242"/>
      <c r="H65" s="242"/>
      <c r="I65" s="242"/>
      <c r="J65" s="242"/>
      <c r="K65" s="242"/>
      <c r="L65" s="242"/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242"/>
    </row>
    <row r="66">
      <c r="A66" s="242"/>
      <c r="B66" s="242"/>
      <c r="C66" s="242"/>
      <c r="D66" s="242"/>
      <c r="E66" s="242"/>
      <c r="F66" s="242"/>
      <c r="G66" s="242"/>
      <c r="H66" s="242"/>
      <c r="I66" s="242"/>
      <c r="J66" s="242"/>
      <c r="K66" s="242"/>
      <c r="L66" s="242"/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242"/>
    </row>
    <row r="67">
      <c r="A67" s="242"/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242"/>
    </row>
    <row r="68">
      <c r="A68" s="242"/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42"/>
    </row>
    <row r="69">
      <c r="A69" s="242"/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242"/>
    </row>
    <row r="70">
      <c r="A70" s="242"/>
      <c r="B70" s="242"/>
      <c r="C70" s="242"/>
      <c r="D70" s="242"/>
      <c r="E70" s="242"/>
      <c r="F70" s="242"/>
      <c r="G70" s="242"/>
      <c r="H70" s="242"/>
      <c r="I70" s="242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2"/>
    </row>
    <row r="71">
      <c r="A71" s="242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42"/>
    </row>
    <row r="72">
      <c r="A72" s="242"/>
      <c r="B72" s="242"/>
      <c r="C72" s="242"/>
      <c r="D72" s="242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242"/>
    </row>
    <row r="73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</row>
    <row r="74">
      <c r="A74" s="242"/>
      <c r="B74" s="242"/>
      <c r="C74" s="242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</row>
    <row r="75">
      <c r="A75" s="242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242"/>
    </row>
    <row r="76">
      <c r="A76" s="242"/>
      <c r="B76" s="242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242"/>
    </row>
    <row r="77">
      <c r="A77" s="242"/>
      <c r="B77" s="242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</row>
    <row r="78">
      <c r="A78" s="242"/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</row>
    <row r="79">
      <c r="A79" s="242"/>
      <c r="B79" s="242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</row>
    <row r="80">
      <c r="A80" s="242"/>
      <c r="B80" s="242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</row>
    <row r="81">
      <c r="A81" s="242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</row>
    <row r="82">
      <c r="A82" s="242"/>
      <c r="B82" s="242"/>
      <c r="C82" s="242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2"/>
    </row>
    <row r="83">
      <c r="A83" s="242"/>
      <c r="B83" s="242"/>
      <c r="C83" s="242"/>
      <c r="D83" s="242"/>
      <c r="E83" s="242"/>
      <c r="F83" s="242"/>
      <c r="G83" s="242"/>
      <c r="H83" s="242"/>
      <c r="I83" s="242"/>
      <c r="J83" s="242"/>
      <c r="K83" s="242"/>
      <c r="L83" s="242"/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242"/>
    </row>
    <row r="84">
      <c r="A84" s="242"/>
      <c r="B84" s="242"/>
      <c r="C84" s="242"/>
      <c r="D84" s="242"/>
      <c r="E84" s="242"/>
      <c r="F84" s="242"/>
      <c r="G84" s="242"/>
      <c r="H84" s="242"/>
      <c r="I84" s="242"/>
      <c r="J84" s="242"/>
      <c r="K84" s="242"/>
      <c r="L84" s="242"/>
      <c r="M84" s="242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242"/>
    </row>
    <row r="85">
      <c r="A85" s="242"/>
      <c r="B85" s="242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242"/>
    </row>
    <row r="86">
      <c r="A86" s="242"/>
      <c r="B86" s="242"/>
      <c r="C86" s="242"/>
      <c r="D86" s="242"/>
      <c r="E86" s="242"/>
      <c r="F86" s="242"/>
      <c r="G86" s="242"/>
      <c r="H86" s="242"/>
      <c r="I86" s="242"/>
      <c r="J86" s="242"/>
      <c r="K86" s="242"/>
      <c r="L86" s="242"/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242"/>
    </row>
    <row r="87">
      <c r="A87" s="242"/>
      <c r="B87" s="242"/>
      <c r="C87" s="242"/>
      <c r="D87" s="242"/>
      <c r="E87" s="242"/>
      <c r="F87" s="242"/>
      <c r="G87" s="242"/>
      <c r="H87" s="242"/>
      <c r="I87" s="242"/>
      <c r="J87" s="242"/>
      <c r="K87" s="242"/>
      <c r="L87" s="242"/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242"/>
    </row>
    <row r="88">
      <c r="A88" s="242"/>
      <c r="B88" s="242"/>
      <c r="C88" s="242"/>
      <c r="D88" s="242"/>
      <c r="E88" s="242"/>
      <c r="F88" s="242"/>
      <c r="G88" s="242"/>
      <c r="H88" s="242"/>
      <c r="I88" s="242"/>
      <c r="J88" s="242"/>
      <c r="K88" s="242"/>
      <c r="L88" s="242"/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242"/>
    </row>
    <row r="89">
      <c r="A89" s="242"/>
      <c r="B89" s="242"/>
      <c r="C89" s="242"/>
      <c r="D89" s="242"/>
      <c r="E89" s="242"/>
      <c r="F89" s="242"/>
      <c r="G89" s="242"/>
      <c r="H89" s="242"/>
      <c r="I89" s="242"/>
      <c r="J89" s="242"/>
      <c r="K89" s="242"/>
      <c r="L89" s="242"/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242"/>
    </row>
    <row r="90">
      <c r="A90" s="242"/>
      <c r="B90" s="242"/>
      <c r="C90" s="242"/>
      <c r="D90" s="242"/>
      <c r="E90" s="242"/>
      <c r="F90" s="242"/>
      <c r="G90" s="242"/>
      <c r="H90" s="242"/>
      <c r="I90" s="242"/>
      <c r="J90" s="242"/>
      <c r="K90" s="242"/>
      <c r="L90" s="242"/>
      <c r="M90" s="242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242"/>
    </row>
    <row r="91">
      <c r="A91" s="242"/>
      <c r="B91" s="242"/>
      <c r="C91" s="242"/>
      <c r="D91" s="242"/>
      <c r="E91" s="242"/>
      <c r="F91" s="242"/>
      <c r="G91" s="242"/>
      <c r="H91" s="242"/>
      <c r="I91" s="242"/>
      <c r="J91" s="242"/>
      <c r="K91" s="242"/>
      <c r="L91" s="242"/>
      <c r="M91" s="242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242"/>
    </row>
    <row r="92">
      <c r="A92" s="242"/>
      <c r="B92" s="242"/>
      <c r="C92" s="242"/>
      <c r="D92" s="242"/>
      <c r="E92" s="242"/>
      <c r="F92" s="242"/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</row>
    <row r="93">
      <c r="A93" s="242"/>
      <c r="B93" s="242"/>
      <c r="C93" s="242"/>
      <c r="D93" s="242"/>
      <c r="E93" s="242"/>
      <c r="F93" s="242"/>
      <c r="G93" s="242"/>
      <c r="H93" s="242"/>
      <c r="I93" s="242"/>
      <c r="J93" s="242"/>
      <c r="K93" s="242"/>
      <c r="L93" s="242"/>
      <c r="M93" s="242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242"/>
    </row>
    <row r="94">
      <c r="A94" s="242"/>
      <c r="B94" s="242"/>
      <c r="C94" s="242"/>
      <c r="D94" s="242"/>
      <c r="E94" s="242"/>
      <c r="F94" s="242"/>
      <c r="G94" s="242"/>
      <c r="H94" s="242"/>
      <c r="I94" s="242"/>
      <c r="J94" s="242"/>
      <c r="K94" s="242"/>
      <c r="L94" s="242"/>
      <c r="M94" s="242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242"/>
    </row>
    <row r="95">
      <c r="A95" s="242"/>
      <c r="B95" s="242"/>
      <c r="C95" s="242"/>
      <c r="D95" s="242"/>
      <c r="E95" s="242"/>
      <c r="F95" s="242"/>
      <c r="G95" s="242"/>
      <c r="H95" s="242"/>
      <c r="I95" s="242"/>
      <c r="J95" s="242"/>
      <c r="K95" s="242"/>
      <c r="L95" s="242"/>
      <c r="M95" s="242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242"/>
    </row>
    <row r="96">
      <c r="A96" s="242"/>
      <c r="B96" s="242"/>
      <c r="C96" s="242"/>
      <c r="D96" s="242"/>
      <c r="E96" s="242"/>
      <c r="F96" s="242"/>
      <c r="G96" s="242"/>
      <c r="H96" s="242"/>
      <c r="I96" s="242"/>
      <c r="J96" s="242"/>
      <c r="K96" s="242"/>
      <c r="L96" s="242"/>
      <c r="M96" s="242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242"/>
    </row>
    <row r="97">
      <c r="A97" s="242"/>
      <c r="B97" s="242"/>
      <c r="C97" s="242"/>
      <c r="D97" s="242"/>
      <c r="E97" s="242"/>
      <c r="F97" s="242"/>
      <c r="G97" s="242"/>
      <c r="H97" s="242"/>
      <c r="I97" s="242"/>
      <c r="J97" s="242"/>
      <c r="K97" s="242"/>
      <c r="L97" s="242"/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242"/>
    </row>
    <row r="98">
      <c r="A98" s="242"/>
      <c r="B98" s="242"/>
      <c r="C98" s="242"/>
      <c r="D98" s="242"/>
      <c r="E98" s="242"/>
      <c r="F98" s="242"/>
      <c r="G98" s="242"/>
      <c r="H98" s="242"/>
      <c r="I98" s="242"/>
      <c r="J98" s="242"/>
      <c r="K98" s="242"/>
      <c r="L98" s="242"/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242"/>
    </row>
    <row r="99">
      <c r="A99" s="242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242"/>
    </row>
    <row r="100">
      <c r="A100" s="242"/>
      <c r="B100" s="242"/>
      <c r="C100" s="242"/>
      <c r="D100" s="242"/>
      <c r="E100" s="242"/>
      <c r="F100" s="242"/>
      <c r="G100" s="242"/>
      <c r="H100" s="242"/>
      <c r="I100" s="242"/>
      <c r="J100" s="242"/>
      <c r="K100" s="242"/>
      <c r="L100" s="242"/>
      <c r="M100" s="242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242"/>
    </row>
    <row r="101">
      <c r="A101" s="242"/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242"/>
    </row>
    <row r="102">
      <c r="A102" s="242"/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242"/>
    </row>
    <row r="103">
      <c r="A103" s="242"/>
      <c r="B103" s="242"/>
      <c r="C103" s="242"/>
      <c r="D103" s="242"/>
      <c r="E103" s="242"/>
      <c r="F103" s="242"/>
      <c r="G103" s="242"/>
      <c r="H103" s="242"/>
      <c r="I103" s="242"/>
      <c r="J103" s="242"/>
      <c r="K103" s="242"/>
      <c r="L103" s="242"/>
      <c r="M103" s="242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242"/>
    </row>
    <row r="104">
      <c r="A104" s="242"/>
      <c r="B104" s="242"/>
      <c r="C104" s="242"/>
      <c r="D104" s="242"/>
      <c r="E104" s="242"/>
      <c r="F104" s="242"/>
      <c r="G104" s="242"/>
      <c r="H104" s="242"/>
      <c r="I104" s="242"/>
      <c r="J104" s="242"/>
      <c r="K104" s="242"/>
      <c r="L104" s="242"/>
      <c r="M104" s="242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42"/>
    </row>
    <row r="105">
      <c r="A105" s="242"/>
      <c r="B105" s="242"/>
      <c r="C105" s="242"/>
      <c r="D105" s="242"/>
      <c r="E105" s="242"/>
      <c r="F105" s="242"/>
      <c r="G105" s="242"/>
      <c r="H105" s="242"/>
      <c r="I105" s="242"/>
      <c r="J105" s="242"/>
      <c r="K105" s="242"/>
      <c r="L105" s="242"/>
      <c r="M105" s="242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242"/>
    </row>
    <row r="106">
      <c r="A106" s="242"/>
      <c r="B106" s="242"/>
      <c r="C106" s="242"/>
      <c r="D106" s="242"/>
      <c r="E106" s="242"/>
      <c r="F106" s="242"/>
      <c r="G106" s="242"/>
      <c r="H106" s="242"/>
      <c r="I106" s="242"/>
      <c r="J106" s="242"/>
      <c r="K106" s="242"/>
      <c r="L106" s="242"/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242"/>
    </row>
    <row r="107">
      <c r="A107" s="242"/>
      <c r="B107" s="242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</row>
    <row r="108">
      <c r="A108" s="242"/>
      <c r="B108" s="242"/>
      <c r="C108" s="242"/>
      <c r="D108" s="242"/>
      <c r="E108" s="242"/>
      <c r="F108" s="242"/>
      <c r="G108" s="242"/>
      <c r="H108" s="242"/>
      <c r="I108" s="242"/>
      <c r="J108" s="242"/>
      <c r="K108" s="242"/>
      <c r="L108" s="242"/>
      <c r="M108" s="242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242"/>
    </row>
    <row r="109">
      <c r="A109" s="242"/>
      <c r="B109" s="242"/>
      <c r="C109" s="242"/>
      <c r="D109" s="242"/>
      <c r="E109" s="242"/>
      <c r="F109" s="242"/>
      <c r="G109" s="242"/>
      <c r="H109" s="242"/>
      <c r="I109" s="242"/>
      <c r="J109" s="242"/>
      <c r="K109" s="242"/>
      <c r="L109" s="242"/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242"/>
    </row>
    <row r="110">
      <c r="A110" s="242"/>
      <c r="B110" s="242"/>
      <c r="C110" s="242"/>
      <c r="D110" s="242"/>
      <c r="E110" s="242"/>
      <c r="F110" s="242"/>
      <c r="G110" s="242"/>
      <c r="H110" s="242"/>
      <c r="I110" s="242"/>
      <c r="J110" s="242"/>
      <c r="K110" s="242"/>
      <c r="L110" s="242"/>
      <c r="M110" s="242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242"/>
    </row>
    <row r="111">
      <c r="A111" s="242"/>
      <c r="B111" s="242"/>
      <c r="C111" s="242"/>
      <c r="D111" s="242"/>
      <c r="E111" s="242"/>
      <c r="F111" s="242"/>
      <c r="G111" s="242"/>
      <c r="H111" s="242"/>
      <c r="I111" s="242"/>
      <c r="J111" s="242"/>
      <c r="K111" s="242"/>
      <c r="L111" s="242"/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242"/>
    </row>
    <row r="112">
      <c r="A112" s="242"/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  <c r="Y112" s="242"/>
      <c r="Z112" s="242"/>
    </row>
    <row r="113">
      <c r="A113" s="242"/>
      <c r="B113" s="242"/>
      <c r="C113" s="242"/>
      <c r="D113" s="242"/>
      <c r="E113" s="242"/>
      <c r="F113" s="242"/>
      <c r="G113" s="242"/>
      <c r="H113" s="242"/>
      <c r="I113" s="242"/>
      <c r="J113" s="242"/>
      <c r="K113" s="242"/>
      <c r="L113" s="242"/>
      <c r="M113" s="242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242"/>
    </row>
    <row r="114">
      <c r="A114" s="242"/>
      <c r="B114" s="242"/>
      <c r="C114" s="242"/>
      <c r="D114" s="242"/>
      <c r="E114" s="242"/>
      <c r="F114" s="242"/>
      <c r="G114" s="242"/>
      <c r="H114" s="242"/>
      <c r="I114" s="242"/>
      <c r="J114" s="242"/>
      <c r="K114" s="242"/>
      <c r="L114" s="242"/>
      <c r="M114" s="242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242"/>
    </row>
    <row r="115">
      <c r="A115" s="242"/>
      <c r="B115" s="242"/>
      <c r="C115" s="242"/>
      <c r="D115" s="242"/>
      <c r="E115" s="242"/>
      <c r="F115" s="242"/>
      <c r="G115" s="242"/>
      <c r="H115" s="242"/>
      <c r="I115" s="242"/>
      <c r="J115" s="242"/>
      <c r="K115" s="242"/>
      <c r="L115" s="242"/>
      <c r="M115" s="242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242"/>
    </row>
    <row r="116">
      <c r="A116" s="242"/>
      <c r="B116" s="242"/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2"/>
    </row>
    <row r="117">
      <c r="A117" s="242"/>
      <c r="B117" s="242"/>
      <c r="C117" s="242"/>
      <c r="D117" s="242"/>
      <c r="E117" s="242"/>
      <c r="F117" s="242"/>
      <c r="G117" s="242"/>
      <c r="H117" s="242"/>
      <c r="I117" s="242"/>
      <c r="J117" s="242"/>
      <c r="K117" s="242"/>
      <c r="L117" s="242"/>
      <c r="M117" s="242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242"/>
    </row>
    <row r="118">
      <c r="A118" s="242"/>
      <c r="B118" s="242"/>
      <c r="C118" s="242"/>
      <c r="D118" s="242"/>
      <c r="E118" s="242"/>
      <c r="F118" s="242"/>
      <c r="G118" s="242"/>
      <c r="H118" s="242"/>
      <c r="I118" s="242"/>
      <c r="J118" s="242"/>
      <c r="K118" s="242"/>
      <c r="L118" s="242"/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242"/>
    </row>
    <row r="119">
      <c r="A119" s="242"/>
      <c r="B119" s="242"/>
      <c r="C119" s="242"/>
      <c r="D119" s="242"/>
      <c r="E119" s="242"/>
      <c r="F119" s="242"/>
      <c r="G119" s="242"/>
      <c r="H119" s="242"/>
      <c r="I119" s="242"/>
      <c r="J119" s="242"/>
      <c r="K119" s="242"/>
      <c r="L119" s="242"/>
      <c r="M119" s="242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242"/>
    </row>
    <row r="120">
      <c r="A120" s="242"/>
      <c r="B120" s="242"/>
      <c r="C120" s="242"/>
      <c r="D120" s="242"/>
      <c r="E120" s="242"/>
      <c r="F120" s="242"/>
      <c r="G120" s="242"/>
      <c r="H120" s="242"/>
      <c r="I120" s="242"/>
      <c r="J120" s="242"/>
      <c r="K120" s="242"/>
      <c r="L120" s="242"/>
      <c r="M120" s="242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242"/>
    </row>
    <row r="121">
      <c r="A121" s="242"/>
      <c r="B121" s="242"/>
      <c r="C121" s="242"/>
      <c r="D121" s="242"/>
      <c r="E121" s="242"/>
      <c r="F121" s="242"/>
      <c r="G121" s="242"/>
      <c r="H121" s="242"/>
      <c r="I121" s="242"/>
      <c r="J121" s="242"/>
      <c r="K121" s="242"/>
      <c r="L121" s="242"/>
      <c r="M121" s="242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242"/>
    </row>
    <row r="122">
      <c r="A122" s="242"/>
      <c r="B122" s="242"/>
      <c r="C122" s="242"/>
      <c r="D122" s="242"/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2"/>
    </row>
    <row r="123">
      <c r="A123" s="242"/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  <c r="Z123" s="242"/>
    </row>
    <row r="124">
      <c r="A124" s="242"/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242"/>
    </row>
    <row r="125">
      <c r="A125" s="242"/>
      <c r="B125" s="242"/>
      <c r="C125" s="242"/>
      <c r="D125" s="242"/>
      <c r="E125" s="242"/>
      <c r="F125" s="242"/>
      <c r="G125" s="242"/>
      <c r="H125" s="242"/>
      <c r="I125" s="242"/>
      <c r="J125" s="242"/>
      <c r="K125" s="242"/>
      <c r="L125" s="242"/>
      <c r="M125" s="242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242"/>
    </row>
    <row r="126">
      <c r="A126" s="242"/>
      <c r="B126" s="242"/>
      <c r="C126" s="242"/>
      <c r="D126" s="242"/>
      <c r="E126" s="242"/>
      <c r="F126" s="242"/>
      <c r="G126" s="242"/>
      <c r="H126" s="242"/>
      <c r="I126" s="242"/>
      <c r="J126" s="242"/>
      <c r="K126" s="242"/>
      <c r="L126" s="242"/>
      <c r="M126" s="242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242"/>
    </row>
    <row r="127">
      <c r="A127" s="242"/>
      <c r="B127" s="242"/>
      <c r="C127" s="242"/>
      <c r="D127" s="242"/>
      <c r="E127" s="242"/>
      <c r="F127" s="242"/>
      <c r="G127" s="242"/>
      <c r="H127" s="242"/>
      <c r="I127" s="242"/>
      <c r="J127" s="242"/>
      <c r="K127" s="242"/>
      <c r="L127" s="242"/>
      <c r="M127" s="242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242"/>
    </row>
    <row r="128">
      <c r="A128" s="242"/>
      <c r="B128" s="242"/>
      <c r="C128" s="242"/>
      <c r="D128" s="242"/>
      <c r="E128" s="242"/>
      <c r="F128" s="242"/>
      <c r="G128" s="242"/>
      <c r="H128" s="242"/>
      <c r="I128" s="242"/>
      <c r="J128" s="242"/>
      <c r="K128" s="242"/>
      <c r="L128" s="242"/>
      <c r="M128" s="242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2"/>
    </row>
    <row r="129">
      <c r="A129" s="242"/>
      <c r="B129" s="242"/>
      <c r="C129" s="242"/>
      <c r="D129" s="242"/>
      <c r="E129" s="242"/>
      <c r="F129" s="242"/>
      <c r="G129" s="242"/>
      <c r="H129" s="242"/>
      <c r="I129" s="242"/>
      <c r="J129" s="242"/>
      <c r="K129" s="242"/>
      <c r="L129" s="242"/>
      <c r="M129" s="242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242"/>
    </row>
    <row r="130">
      <c r="A130" s="242"/>
      <c r="B130" s="242"/>
      <c r="C130" s="242"/>
      <c r="D130" s="242"/>
      <c r="E130" s="242"/>
      <c r="F130" s="242"/>
      <c r="G130" s="242"/>
      <c r="H130" s="242"/>
      <c r="I130" s="242"/>
      <c r="J130" s="242"/>
      <c r="K130" s="242"/>
      <c r="L130" s="242"/>
      <c r="M130" s="242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242"/>
    </row>
    <row r="131">
      <c r="A131" s="242"/>
      <c r="B131" s="242"/>
      <c r="C131" s="242"/>
      <c r="D131" s="242"/>
      <c r="E131" s="242"/>
      <c r="F131" s="242"/>
      <c r="G131" s="242"/>
      <c r="H131" s="242"/>
      <c r="I131" s="242"/>
      <c r="J131" s="242"/>
      <c r="K131" s="242"/>
      <c r="L131" s="242"/>
      <c r="M131" s="242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242"/>
    </row>
    <row r="132">
      <c r="A132" s="242"/>
      <c r="B132" s="242"/>
      <c r="C132" s="242"/>
      <c r="D132" s="242"/>
      <c r="E132" s="242"/>
      <c r="F132" s="242"/>
      <c r="G132" s="242"/>
      <c r="H132" s="242"/>
      <c r="I132" s="242"/>
      <c r="J132" s="242"/>
      <c r="K132" s="242"/>
      <c r="L132" s="242"/>
      <c r="M132" s="242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242"/>
    </row>
    <row r="133">
      <c r="A133" s="242"/>
      <c r="B133" s="242"/>
      <c r="C133" s="242"/>
      <c r="D133" s="242"/>
      <c r="E133" s="242"/>
      <c r="F133" s="242"/>
      <c r="G133" s="242"/>
      <c r="H133" s="242"/>
      <c r="I133" s="242"/>
      <c r="J133" s="242"/>
      <c r="K133" s="242"/>
      <c r="L133" s="242"/>
      <c r="M133" s="242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242"/>
    </row>
    <row r="134">
      <c r="A134" s="242"/>
      <c r="B134" s="242"/>
      <c r="C134" s="242"/>
      <c r="D134" s="242"/>
      <c r="E134" s="242"/>
      <c r="F134" s="242"/>
      <c r="G134" s="242"/>
      <c r="H134" s="242"/>
      <c r="I134" s="242"/>
      <c r="J134" s="242"/>
      <c r="K134" s="242"/>
      <c r="L134" s="242"/>
      <c r="M134" s="242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2"/>
    </row>
    <row r="135">
      <c r="A135" s="242"/>
      <c r="B135" s="242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242"/>
    </row>
    <row r="136">
      <c r="A136" s="242"/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2"/>
    </row>
    <row r="137">
      <c r="A137" s="242"/>
      <c r="B137" s="242"/>
      <c r="C137" s="242"/>
      <c r="D137" s="242"/>
      <c r="E137" s="242"/>
      <c r="F137" s="242"/>
      <c r="G137" s="242"/>
      <c r="H137" s="242"/>
      <c r="I137" s="242"/>
      <c r="J137" s="242"/>
      <c r="K137" s="242"/>
      <c r="L137" s="242"/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242"/>
    </row>
    <row r="138">
      <c r="A138" s="242"/>
      <c r="B138" s="242"/>
      <c r="C138" s="242"/>
      <c r="D138" s="242"/>
      <c r="E138" s="242"/>
      <c r="F138" s="242"/>
      <c r="G138" s="242"/>
      <c r="H138" s="242"/>
      <c r="I138" s="242"/>
      <c r="J138" s="242"/>
      <c r="K138" s="242"/>
      <c r="L138" s="242"/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242"/>
    </row>
    <row r="139">
      <c r="A139" s="242"/>
      <c r="B139" s="242"/>
      <c r="C139" s="242"/>
      <c r="D139" s="242"/>
      <c r="E139" s="242"/>
      <c r="F139" s="242"/>
      <c r="G139" s="242"/>
      <c r="H139" s="242"/>
      <c r="I139" s="242"/>
      <c r="J139" s="242"/>
      <c r="K139" s="242"/>
      <c r="L139" s="242"/>
      <c r="M139" s="242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242"/>
    </row>
    <row r="140">
      <c r="A140" s="242"/>
      <c r="B140" s="242"/>
      <c r="C140" s="242"/>
      <c r="D140" s="242"/>
      <c r="E140" s="242"/>
      <c r="F140" s="242"/>
      <c r="G140" s="242"/>
      <c r="H140" s="242"/>
      <c r="I140" s="242"/>
      <c r="J140" s="242"/>
      <c r="K140" s="242"/>
      <c r="L140" s="242"/>
      <c r="M140" s="242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  <c r="Z140" s="242"/>
    </row>
    <row r="141">
      <c r="A141" s="242"/>
      <c r="B141" s="242"/>
      <c r="C141" s="242"/>
      <c r="D141" s="242"/>
      <c r="E141" s="242"/>
      <c r="F141" s="242"/>
      <c r="G141" s="242"/>
      <c r="H141" s="242"/>
      <c r="I141" s="242"/>
      <c r="J141" s="242"/>
      <c r="K141" s="242"/>
      <c r="L141" s="242"/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242"/>
    </row>
    <row r="142">
      <c r="A142" s="242"/>
      <c r="B142" s="242"/>
      <c r="C142" s="242"/>
      <c r="D142" s="242"/>
      <c r="E142" s="242"/>
      <c r="F142" s="242"/>
      <c r="G142" s="242"/>
      <c r="H142" s="242"/>
      <c r="I142" s="242"/>
      <c r="J142" s="242"/>
      <c r="K142" s="242"/>
      <c r="L142" s="242"/>
      <c r="M142" s="242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  <c r="Z142" s="242"/>
    </row>
    <row r="143">
      <c r="A143" s="242"/>
      <c r="B143" s="242"/>
      <c r="C143" s="242"/>
      <c r="D143" s="242"/>
      <c r="E143" s="242"/>
      <c r="F143" s="242"/>
      <c r="G143" s="242"/>
      <c r="H143" s="242"/>
      <c r="I143" s="242"/>
      <c r="J143" s="242"/>
      <c r="K143" s="242"/>
      <c r="L143" s="242"/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242"/>
    </row>
    <row r="144">
      <c r="A144" s="242"/>
      <c r="B144" s="242"/>
      <c r="C144" s="242"/>
      <c r="D144" s="242"/>
      <c r="E144" s="242"/>
      <c r="F144" s="242"/>
      <c r="G144" s="242"/>
      <c r="H144" s="242"/>
      <c r="I144" s="242"/>
      <c r="J144" s="242"/>
      <c r="K144" s="242"/>
      <c r="L144" s="242"/>
      <c r="M144" s="242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  <c r="Z144" s="242"/>
    </row>
    <row r="145">
      <c r="A145" s="242"/>
      <c r="B145" s="242"/>
      <c r="C145" s="242"/>
      <c r="D145" s="242"/>
      <c r="E145" s="242"/>
      <c r="F145" s="242"/>
      <c r="G145" s="242"/>
      <c r="H145" s="242"/>
      <c r="I145" s="242"/>
      <c r="J145" s="242"/>
      <c r="K145" s="242"/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242"/>
    </row>
    <row r="146">
      <c r="A146" s="242"/>
      <c r="B146" s="242"/>
      <c r="C146" s="242"/>
      <c r="D146" s="242"/>
      <c r="E146" s="242"/>
      <c r="F146" s="242"/>
      <c r="G146" s="242"/>
      <c r="H146" s="242"/>
      <c r="I146" s="242"/>
      <c r="J146" s="242"/>
      <c r="K146" s="242"/>
      <c r="L146" s="242"/>
      <c r="M146" s="242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  <c r="Z146" s="242"/>
    </row>
    <row r="147">
      <c r="A147" s="242"/>
      <c r="B147" s="242"/>
      <c r="C147" s="242"/>
      <c r="D147" s="242"/>
      <c r="E147" s="242"/>
      <c r="F147" s="242"/>
      <c r="G147" s="242"/>
      <c r="H147" s="242"/>
      <c r="I147" s="242"/>
      <c r="J147" s="242"/>
      <c r="K147" s="242"/>
      <c r="L147" s="242"/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242"/>
    </row>
    <row r="148">
      <c r="A148" s="242"/>
      <c r="B148" s="242"/>
      <c r="C148" s="242"/>
      <c r="D148" s="242"/>
      <c r="E148" s="242"/>
      <c r="F148" s="242"/>
      <c r="G148" s="242"/>
      <c r="H148" s="242"/>
      <c r="I148" s="242"/>
      <c r="J148" s="242"/>
      <c r="K148" s="242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242"/>
    </row>
    <row r="149">
      <c r="A149" s="242"/>
      <c r="B149" s="242"/>
      <c r="C149" s="242"/>
      <c r="D149" s="242"/>
      <c r="E149" s="242"/>
      <c r="F149" s="242"/>
      <c r="G149" s="242"/>
      <c r="H149" s="242"/>
      <c r="I149" s="242"/>
      <c r="J149" s="242"/>
      <c r="K149" s="242"/>
      <c r="L149" s="242"/>
      <c r="M149" s="242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  <c r="Z149" s="242"/>
    </row>
    <row r="150">
      <c r="A150" s="242"/>
      <c r="B150" s="242"/>
      <c r="C150" s="242"/>
      <c r="D150" s="242"/>
      <c r="E150" s="242"/>
      <c r="F150" s="242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242"/>
    </row>
    <row r="151">
      <c r="A151" s="242"/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2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  <c r="Z151" s="242"/>
    </row>
    <row r="152">
      <c r="A152" s="242"/>
      <c r="B152" s="242"/>
      <c r="C152" s="242"/>
      <c r="D152" s="242"/>
      <c r="E152" s="242"/>
      <c r="F152" s="242"/>
      <c r="G152" s="242"/>
      <c r="H152" s="242"/>
      <c r="I152" s="242"/>
      <c r="J152" s="242"/>
      <c r="K152" s="242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242"/>
    </row>
    <row r="153">
      <c r="A153" s="242"/>
      <c r="B153" s="242"/>
      <c r="C153" s="242"/>
      <c r="D153" s="242"/>
      <c r="E153" s="242"/>
      <c r="F153" s="242"/>
      <c r="G153" s="242"/>
      <c r="H153" s="242"/>
      <c r="I153" s="242"/>
      <c r="J153" s="242"/>
      <c r="K153" s="242"/>
      <c r="L153" s="242"/>
      <c r="M153" s="242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  <c r="Y153" s="242"/>
      <c r="Z153" s="242"/>
    </row>
    <row r="154">
      <c r="A154" s="242"/>
      <c r="B154" s="242"/>
      <c r="C154" s="242"/>
      <c r="D154" s="242"/>
      <c r="E154" s="242"/>
      <c r="F154" s="242"/>
      <c r="G154" s="242"/>
      <c r="H154" s="242"/>
      <c r="I154" s="242"/>
      <c r="J154" s="242"/>
      <c r="K154" s="242"/>
      <c r="L154" s="242"/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242"/>
    </row>
    <row r="155">
      <c r="A155" s="242"/>
      <c r="B155" s="242"/>
      <c r="C155" s="242"/>
      <c r="D155" s="242"/>
      <c r="E155" s="242"/>
      <c r="F155" s="242"/>
      <c r="G155" s="242"/>
      <c r="H155" s="242"/>
      <c r="I155" s="242"/>
      <c r="J155" s="242"/>
      <c r="K155" s="242"/>
      <c r="L155" s="242"/>
      <c r="M155" s="242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242"/>
    </row>
    <row r="156">
      <c r="A156" s="242"/>
      <c r="B156" s="242"/>
      <c r="C156" s="242"/>
      <c r="D156" s="242"/>
      <c r="E156" s="242"/>
      <c r="F156" s="242"/>
      <c r="G156" s="242"/>
      <c r="H156" s="242"/>
      <c r="I156" s="242"/>
      <c r="J156" s="242"/>
      <c r="K156" s="242"/>
      <c r="L156" s="242"/>
      <c r="M156" s="242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242"/>
    </row>
    <row r="157">
      <c r="A157" s="242"/>
      <c r="B157" s="242"/>
      <c r="C157" s="242"/>
      <c r="D157" s="242"/>
      <c r="E157" s="242"/>
      <c r="F157" s="242"/>
      <c r="G157" s="242"/>
      <c r="H157" s="242"/>
      <c r="I157" s="242"/>
      <c r="J157" s="242"/>
      <c r="K157" s="242"/>
      <c r="L157" s="242"/>
      <c r="M157" s="242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  <c r="Z157" s="242"/>
    </row>
    <row r="158">
      <c r="A158" s="242"/>
      <c r="B158" s="242"/>
      <c r="C158" s="242"/>
      <c r="D158" s="242"/>
      <c r="E158" s="242"/>
      <c r="F158" s="242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242"/>
    </row>
    <row r="159">
      <c r="A159" s="242"/>
      <c r="B159" s="242"/>
      <c r="C159" s="242"/>
      <c r="D159" s="242"/>
      <c r="E159" s="242"/>
      <c r="F159" s="242"/>
      <c r="G159" s="242"/>
      <c r="H159" s="242"/>
      <c r="I159" s="242"/>
      <c r="J159" s="242"/>
      <c r="K159" s="242"/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242"/>
    </row>
    <row r="160">
      <c r="A160" s="242"/>
      <c r="B160" s="242"/>
      <c r="C160" s="242"/>
      <c r="D160" s="242"/>
      <c r="E160" s="242"/>
      <c r="F160" s="242"/>
      <c r="G160" s="242"/>
      <c r="H160" s="242"/>
      <c r="I160" s="242"/>
      <c r="J160" s="242"/>
      <c r="K160" s="242"/>
      <c r="L160" s="242"/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242"/>
    </row>
    <row r="161">
      <c r="A161" s="242"/>
      <c r="B161" s="242"/>
      <c r="C161" s="242"/>
      <c r="D161" s="242"/>
      <c r="E161" s="242"/>
      <c r="F161" s="242"/>
      <c r="G161" s="242"/>
      <c r="H161" s="242"/>
      <c r="I161" s="242"/>
      <c r="J161" s="242"/>
      <c r="K161" s="242"/>
      <c r="L161" s="242"/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242"/>
    </row>
    <row r="162">
      <c r="A162" s="242"/>
      <c r="B162" s="242"/>
      <c r="C162" s="242"/>
      <c r="D162" s="242"/>
      <c r="E162" s="242"/>
      <c r="F162" s="242"/>
      <c r="G162" s="242"/>
      <c r="H162" s="242"/>
      <c r="I162" s="242"/>
      <c r="J162" s="242"/>
      <c r="K162" s="242"/>
      <c r="L162" s="242"/>
      <c r="M162" s="242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  <c r="Z162" s="242"/>
    </row>
    <row r="163">
      <c r="A163" s="242"/>
      <c r="B163" s="242"/>
      <c r="C163" s="242"/>
      <c r="D163" s="242"/>
      <c r="E163" s="242"/>
      <c r="F163" s="242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242"/>
    </row>
    <row r="164">
      <c r="A164" s="242"/>
      <c r="B164" s="242"/>
      <c r="C164" s="242"/>
      <c r="D164" s="242"/>
      <c r="E164" s="242"/>
      <c r="F164" s="242"/>
      <c r="G164" s="242"/>
      <c r="H164" s="242"/>
      <c r="I164" s="242"/>
      <c r="J164" s="242"/>
      <c r="K164" s="242"/>
      <c r="L164" s="242"/>
      <c r="M164" s="242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242"/>
    </row>
    <row r="165">
      <c r="A165" s="242"/>
      <c r="B165" s="242"/>
      <c r="C165" s="242"/>
      <c r="D165" s="242"/>
      <c r="E165" s="242"/>
      <c r="F165" s="242"/>
      <c r="G165" s="242"/>
      <c r="H165" s="242"/>
      <c r="I165" s="242"/>
      <c r="J165" s="242"/>
      <c r="K165" s="242"/>
      <c r="L165" s="242"/>
      <c r="M165" s="242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  <c r="Z165" s="242"/>
    </row>
    <row r="166">
      <c r="A166" s="242"/>
      <c r="B166" s="242"/>
      <c r="C166" s="242"/>
      <c r="D166" s="242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242"/>
    </row>
    <row r="167">
      <c r="A167" s="242"/>
      <c r="B167" s="242"/>
      <c r="C167" s="242"/>
      <c r="D167" s="242"/>
      <c r="E167" s="242"/>
      <c r="F167" s="242"/>
      <c r="G167" s="242"/>
      <c r="H167" s="242"/>
      <c r="I167" s="242"/>
      <c r="J167" s="242"/>
      <c r="K167" s="242"/>
      <c r="L167" s="242"/>
      <c r="M167" s="242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  <c r="Z167" s="242"/>
    </row>
    <row r="168">
      <c r="A168" s="242"/>
      <c r="B168" s="242"/>
      <c r="C168" s="242"/>
      <c r="D168" s="242"/>
      <c r="E168" s="242"/>
      <c r="F168" s="242"/>
      <c r="G168" s="242"/>
      <c r="H168" s="242"/>
      <c r="I168" s="242"/>
      <c r="J168" s="242"/>
      <c r="K168" s="242"/>
      <c r="L168" s="242"/>
      <c r="M168" s="242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  <c r="Z168" s="242"/>
    </row>
    <row r="169">
      <c r="A169" s="242"/>
      <c r="B169" s="242"/>
      <c r="C169" s="242"/>
      <c r="D169" s="242"/>
      <c r="E169" s="242"/>
      <c r="F169" s="242"/>
      <c r="G169" s="242"/>
      <c r="H169" s="242"/>
      <c r="I169" s="242"/>
      <c r="J169" s="242"/>
      <c r="K169" s="242"/>
      <c r="L169" s="242"/>
      <c r="M169" s="242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  <c r="Z169" s="242"/>
    </row>
    <row r="170">
      <c r="A170" s="242"/>
      <c r="B170" s="242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242"/>
    </row>
    <row r="171">
      <c r="A171" s="242"/>
      <c r="B171" s="242"/>
      <c r="C171" s="242"/>
      <c r="D171" s="242"/>
      <c r="E171" s="242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242"/>
    </row>
    <row r="172">
      <c r="A172" s="242"/>
      <c r="B172" s="242"/>
      <c r="C172" s="242"/>
      <c r="D172" s="242"/>
      <c r="E172" s="242"/>
      <c r="F172" s="242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  <c r="Z172" s="242"/>
    </row>
    <row r="173">
      <c r="A173" s="242"/>
      <c r="B173" s="242"/>
      <c r="C173" s="242"/>
      <c r="D173" s="242"/>
      <c r="E173" s="242"/>
      <c r="F173" s="242"/>
      <c r="G173" s="242"/>
      <c r="H173" s="242"/>
      <c r="I173" s="242"/>
      <c r="J173" s="242"/>
      <c r="K173" s="242"/>
      <c r="L173" s="242"/>
      <c r="M173" s="242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  <c r="Z173" s="242"/>
    </row>
    <row r="174">
      <c r="A174" s="242"/>
      <c r="B174" s="242"/>
      <c r="C174" s="242"/>
      <c r="D174" s="242"/>
      <c r="E174" s="242"/>
      <c r="F174" s="242"/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242"/>
    </row>
    <row r="175">
      <c r="A175" s="242"/>
      <c r="B175" s="242"/>
      <c r="C175" s="242"/>
      <c r="D175" s="242"/>
      <c r="E175" s="242"/>
      <c r="F175" s="242"/>
      <c r="G175" s="242"/>
      <c r="H175" s="242"/>
      <c r="I175" s="242"/>
      <c r="J175" s="242"/>
      <c r="K175" s="242"/>
      <c r="L175" s="242"/>
      <c r="M175" s="242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  <c r="Y175" s="242"/>
      <c r="Z175" s="242"/>
    </row>
    <row r="176">
      <c r="A176" s="242"/>
      <c r="B176" s="242"/>
      <c r="C176" s="242"/>
      <c r="D176" s="242"/>
      <c r="E176" s="242"/>
      <c r="F176" s="242"/>
      <c r="G176" s="242"/>
      <c r="H176" s="242"/>
      <c r="I176" s="242"/>
      <c r="J176" s="242"/>
      <c r="K176" s="242"/>
      <c r="L176" s="242"/>
      <c r="M176" s="242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242"/>
    </row>
    <row r="177">
      <c r="A177" s="242"/>
      <c r="B177" s="242"/>
      <c r="C177" s="242"/>
      <c r="D177" s="242"/>
      <c r="E177" s="242"/>
      <c r="F177" s="242"/>
      <c r="G177" s="242"/>
      <c r="H177" s="242"/>
      <c r="I177" s="242"/>
      <c r="J177" s="242"/>
      <c r="K177" s="242"/>
      <c r="L177" s="242"/>
      <c r="M177" s="242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  <c r="Y177" s="242"/>
      <c r="Z177" s="242"/>
    </row>
    <row r="178">
      <c r="A178" s="242"/>
      <c r="B178" s="242"/>
      <c r="C178" s="242"/>
      <c r="D178" s="242"/>
      <c r="E178" s="242"/>
      <c r="F178" s="242"/>
      <c r="G178" s="242"/>
      <c r="H178" s="242"/>
      <c r="I178" s="242"/>
      <c r="J178" s="242"/>
      <c r="K178" s="242"/>
      <c r="L178" s="242"/>
      <c r="M178" s="242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  <c r="Z178" s="242"/>
    </row>
    <row r="179">
      <c r="A179" s="242"/>
      <c r="B179" s="242"/>
      <c r="C179" s="242"/>
      <c r="D179" s="242"/>
      <c r="E179" s="242"/>
      <c r="F179" s="242"/>
      <c r="G179" s="242"/>
      <c r="H179" s="242"/>
      <c r="I179" s="242"/>
      <c r="J179" s="242"/>
      <c r="K179" s="242"/>
      <c r="L179" s="242"/>
      <c r="M179" s="242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  <c r="Y179" s="242"/>
      <c r="Z179" s="242"/>
    </row>
    <row r="180">
      <c r="A180" s="242"/>
      <c r="B180" s="242"/>
      <c r="C180" s="242"/>
      <c r="D180" s="242"/>
      <c r="E180" s="242"/>
      <c r="F180" s="242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  <c r="Z180" s="242"/>
    </row>
    <row r="181">
      <c r="A181" s="242"/>
      <c r="B181" s="242"/>
      <c r="C181" s="242"/>
      <c r="D181" s="242"/>
      <c r="E181" s="242"/>
      <c r="F181" s="242"/>
      <c r="G181" s="242"/>
      <c r="H181" s="242"/>
      <c r="I181" s="242"/>
      <c r="J181" s="242"/>
      <c r="K181" s="242"/>
      <c r="L181" s="242"/>
      <c r="M181" s="242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  <c r="Y181" s="242"/>
      <c r="Z181" s="242"/>
    </row>
    <row r="182">
      <c r="A182" s="242"/>
      <c r="B182" s="242"/>
      <c r="C182" s="242"/>
      <c r="D182" s="242"/>
      <c r="E182" s="242"/>
      <c r="F182" s="242"/>
      <c r="G182" s="242"/>
      <c r="H182" s="242"/>
      <c r="I182" s="242"/>
      <c r="J182" s="242"/>
      <c r="K182" s="242"/>
      <c r="L182" s="242"/>
      <c r="M182" s="242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  <c r="Y182" s="242"/>
      <c r="Z182" s="242"/>
    </row>
    <row r="183">
      <c r="A183" s="242"/>
      <c r="B183" s="242"/>
      <c r="C183" s="242"/>
      <c r="D183" s="242"/>
      <c r="E183" s="242"/>
      <c r="F183" s="242"/>
      <c r="G183" s="242"/>
      <c r="H183" s="242"/>
      <c r="I183" s="242"/>
      <c r="J183" s="242"/>
      <c r="K183" s="242"/>
      <c r="L183" s="242"/>
      <c r="M183" s="242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  <c r="Z183" s="242"/>
    </row>
    <row r="184">
      <c r="A184" s="242"/>
      <c r="B184" s="242"/>
      <c r="C184" s="242"/>
      <c r="D184" s="242"/>
      <c r="E184" s="242"/>
      <c r="F184" s="242"/>
      <c r="G184" s="242"/>
      <c r="H184" s="242"/>
      <c r="I184" s="242"/>
      <c r="J184" s="242"/>
      <c r="K184" s="242"/>
      <c r="L184" s="242"/>
      <c r="M184" s="242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  <c r="Z184" s="242"/>
    </row>
    <row r="185">
      <c r="A185" s="242"/>
      <c r="B185" s="242"/>
      <c r="C185" s="242"/>
      <c r="D185" s="242"/>
      <c r="E185" s="242"/>
      <c r="F185" s="242"/>
      <c r="G185" s="242"/>
      <c r="H185" s="242"/>
      <c r="I185" s="242"/>
      <c r="J185" s="242"/>
      <c r="K185" s="242"/>
      <c r="L185" s="242"/>
      <c r="M185" s="242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  <c r="Z185" s="242"/>
    </row>
    <row r="186">
      <c r="A186" s="242"/>
      <c r="B186" s="242"/>
      <c r="C186" s="242"/>
      <c r="D186" s="242"/>
      <c r="E186" s="242"/>
      <c r="F186" s="242"/>
      <c r="G186" s="242"/>
      <c r="H186" s="242"/>
      <c r="I186" s="242"/>
      <c r="J186" s="242"/>
      <c r="K186" s="242"/>
      <c r="L186" s="242"/>
      <c r="M186" s="242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  <c r="Y186" s="242"/>
      <c r="Z186" s="242"/>
    </row>
    <row r="187">
      <c r="A187" s="242"/>
      <c r="B187" s="242"/>
      <c r="C187" s="242"/>
      <c r="D187" s="242"/>
      <c r="E187" s="242"/>
      <c r="F187" s="242"/>
      <c r="G187" s="242"/>
      <c r="H187" s="242"/>
      <c r="I187" s="242"/>
      <c r="J187" s="242"/>
      <c r="K187" s="242"/>
      <c r="L187" s="242"/>
      <c r="M187" s="242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242"/>
    </row>
    <row r="188">
      <c r="A188" s="242"/>
      <c r="B188" s="242"/>
      <c r="C188" s="242"/>
      <c r="D188" s="242"/>
      <c r="E188" s="242"/>
      <c r="F188" s="242"/>
      <c r="G188" s="242"/>
      <c r="H188" s="242"/>
      <c r="I188" s="242"/>
      <c r="J188" s="242"/>
      <c r="K188" s="242"/>
      <c r="L188" s="242"/>
      <c r="M188" s="242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  <c r="Y188" s="242"/>
      <c r="Z188" s="242"/>
    </row>
    <row r="189">
      <c r="A189" s="242"/>
      <c r="B189" s="242"/>
      <c r="C189" s="242"/>
      <c r="D189" s="242"/>
      <c r="E189" s="242"/>
      <c r="F189" s="242"/>
      <c r="G189" s="242"/>
      <c r="H189" s="242"/>
      <c r="I189" s="242"/>
      <c r="J189" s="242"/>
      <c r="K189" s="242"/>
      <c r="L189" s="242"/>
      <c r="M189" s="242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242"/>
    </row>
    <row r="190">
      <c r="A190" s="242"/>
      <c r="B190" s="242"/>
      <c r="C190" s="242"/>
      <c r="D190" s="242"/>
      <c r="E190" s="242"/>
      <c r="F190" s="242"/>
      <c r="G190" s="242"/>
      <c r="H190" s="242"/>
      <c r="I190" s="242"/>
      <c r="J190" s="242"/>
      <c r="K190" s="242"/>
      <c r="L190" s="242"/>
      <c r="M190" s="242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  <c r="Z190" s="242"/>
    </row>
    <row r="191">
      <c r="A191" s="242"/>
      <c r="B191" s="242"/>
      <c r="C191" s="242"/>
      <c r="D191" s="242"/>
      <c r="E191" s="242"/>
      <c r="F191" s="242"/>
      <c r="G191" s="242"/>
      <c r="H191" s="242"/>
      <c r="I191" s="242"/>
      <c r="J191" s="242"/>
      <c r="K191" s="242"/>
      <c r="L191" s="242"/>
      <c r="M191" s="242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242"/>
    </row>
    <row r="192">
      <c r="A192" s="242"/>
      <c r="B192" s="242"/>
      <c r="C192" s="242"/>
      <c r="D192" s="242"/>
      <c r="E192" s="242"/>
      <c r="F192" s="242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  <c r="Y192" s="242"/>
      <c r="Z192" s="242"/>
    </row>
    <row r="193">
      <c r="A193" s="242"/>
      <c r="B193" s="242"/>
      <c r="C193" s="242"/>
      <c r="D193" s="242"/>
      <c r="E193" s="242"/>
      <c r="F193" s="242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242"/>
    </row>
    <row r="194">
      <c r="A194" s="242"/>
      <c r="B194" s="242"/>
      <c r="C194" s="242"/>
      <c r="D194" s="242"/>
      <c r="E194" s="242"/>
      <c r="F194" s="242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  <c r="Y194" s="242"/>
      <c r="Z194" s="242"/>
    </row>
    <row r="195">
      <c r="A195" s="242"/>
      <c r="B195" s="242"/>
      <c r="C195" s="242"/>
      <c r="D195" s="242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242"/>
    </row>
    <row r="196">
      <c r="A196" s="242"/>
      <c r="B196" s="242"/>
      <c r="C196" s="242"/>
      <c r="D196" s="242"/>
      <c r="E196" s="242"/>
      <c r="F196" s="242"/>
      <c r="G196" s="242"/>
      <c r="H196" s="242"/>
      <c r="I196" s="242"/>
      <c r="J196" s="242"/>
      <c r="K196" s="242"/>
      <c r="L196" s="242"/>
      <c r="M196" s="242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  <c r="Y196" s="242"/>
      <c r="Z196" s="242"/>
    </row>
    <row r="197">
      <c r="A197" s="242"/>
      <c r="B197" s="242"/>
      <c r="C197" s="242"/>
      <c r="D197" s="242"/>
      <c r="E197" s="242"/>
      <c r="F197" s="242"/>
      <c r="G197" s="242"/>
      <c r="H197" s="242"/>
      <c r="I197" s="242"/>
      <c r="J197" s="242"/>
      <c r="K197" s="242"/>
      <c r="L197" s="242"/>
      <c r="M197" s="242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242"/>
    </row>
    <row r="198">
      <c r="A198" s="242"/>
      <c r="B198" s="242"/>
      <c r="C198" s="242"/>
      <c r="D198" s="242"/>
      <c r="E198" s="242"/>
      <c r="F198" s="242"/>
      <c r="G198" s="242"/>
      <c r="H198" s="242"/>
      <c r="I198" s="242"/>
      <c r="J198" s="242"/>
      <c r="K198" s="242"/>
      <c r="L198" s="242"/>
      <c r="M198" s="242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  <c r="Y198" s="242"/>
      <c r="Z198" s="242"/>
    </row>
    <row r="199">
      <c r="A199" s="242"/>
      <c r="B199" s="242"/>
      <c r="C199" s="242"/>
      <c r="D199" s="242"/>
      <c r="E199" s="242"/>
      <c r="F199" s="242"/>
      <c r="G199" s="242"/>
      <c r="H199" s="242"/>
      <c r="I199" s="242"/>
      <c r="J199" s="242"/>
      <c r="K199" s="242"/>
      <c r="L199" s="242"/>
      <c r="M199" s="242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  <c r="Z199" s="242"/>
    </row>
    <row r="200">
      <c r="A200" s="242"/>
      <c r="B200" s="242"/>
      <c r="C200" s="242"/>
      <c r="D200" s="242"/>
      <c r="E200" s="242"/>
      <c r="F200" s="242"/>
      <c r="G200" s="242"/>
      <c r="H200" s="242"/>
      <c r="I200" s="242"/>
      <c r="J200" s="242"/>
      <c r="K200" s="242"/>
      <c r="L200" s="242"/>
      <c r="M200" s="242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  <c r="Z200" s="242"/>
    </row>
    <row r="201">
      <c r="A201" s="242"/>
      <c r="B201" s="242"/>
      <c r="C201" s="242"/>
      <c r="D201" s="242"/>
      <c r="E201" s="242"/>
      <c r="F201" s="242"/>
      <c r="G201" s="242"/>
      <c r="H201" s="242"/>
      <c r="I201" s="242"/>
      <c r="J201" s="242"/>
      <c r="K201" s="242"/>
      <c r="L201" s="242"/>
      <c r="M201" s="242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  <c r="Z201" s="242"/>
    </row>
    <row r="202">
      <c r="A202" s="242"/>
      <c r="B202" s="242"/>
      <c r="C202" s="242"/>
      <c r="D202" s="242"/>
      <c r="E202" s="242"/>
      <c r="F202" s="242"/>
      <c r="G202" s="242"/>
      <c r="H202" s="242"/>
      <c r="I202" s="242"/>
      <c r="J202" s="242"/>
      <c r="K202" s="242"/>
      <c r="L202" s="242"/>
      <c r="M202" s="242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  <c r="Z202" s="242"/>
    </row>
    <row r="203">
      <c r="A203" s="242"/>
      <c r="B203" s="242"/>
      <c r="C203" s="242"/>
      <c r="D203" s="242"/>
      <c r="E203" s="242"/>
      <c r="F203" s="242"/>
      <c r="G203" s="242"/>
      <c r="H203" s="242"/>
      <c r="I203" s="242"/>
      <c r="J203" s="242"/>
      <c r="K203" s="242"/>
      <c r="L203" s="242"/>
      <c r="M203" s="242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  <c r="Z203" s="242"/>
    </row>
    <row r="204">
      <c r="A204" s="242"/>
      <c r="B204" s="242"/>
      <c r="C204" s="242"/>
      <c r="D204" s="242"/>
      <c r="E204" s="242"/>
      <c r="F204" s="242"/>
      <c r="G204" s="242"/>
      <c r="H204" s="242"/>
      <c r="I204" s="242"/>
      <c r="J204" s="242"/>
      <c r="K204" s="242"/>
      <c r="L204" s="242"/>
      <c r="M204" s="242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  <c r="Z204" s="242"/>
    </row>
    <row r="205">
      <c r="A205" s="242"/>
      <c r="B205" s="242"/>
      <c r="C205" s="242"/>
      <c r="D205" s="242"/>
      <c r="E205" s="242"/>
      <c r="F205" s="242"/>
      <c r="G205" s="242"/>
      <c r="H205" s="242"/>
      <c r="I205" s="242"/>
      <c r="J205" s="242"/>
      <c r="K205" s="242"/>
      <c r="L205" s="242"/>
      <c r="M205" s="242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  <c r="Z205" s="242"/>
    </row>
    <row r="206">
      <c r="A206" s="242"/>
      <c r="B206" s="242"/>
      <c r="C206" s="242"/>
      <c r="D206" s="242"/>
      <c r="E206" s="242"/>
      <c r="F206" s="242"/>
      <c r="G206" s="242"/>
      <c r="H206" s="242"/>
      <c r="I206" s="242"/>
      <c r="J206" s="242"/>
      <c r="K206" s="242"/>
      <c r="L206" s="242"/>
      <c r="M206" s="242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242"/>
    </row>
    <row r="207">
      <c r="A207" s="242"/>
      <c r="B207" s="242"/>
      <c r="C207" s="242"/>
      <c r="D207" s="242"/>
      <c r="E207" s="242"/>
      <c r="F207" s="242"/>
      <c r="G207" s="242"/>
      <c r="H207" s="242"/>
      <c r="I207" s="242"/>
      <c r="J207" s="242"/>
      <c r="K207" s="242"/>
      <c r="L207" s="242"/>
      <c r="M207" s="242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  <c r="Z207" s="242"/>
    </row>
    <row r="208">
      <c r="A208" s="242"/>
      <c r="B208" s="242"/>
      <c r="C208" s="242"/>
      <c r="D208" s="242"/>
      <c r="E208" s="242"/>
      <c r="F208" s="242"/>
      <c r="G208" s="242"/>
      <c r="H208" s="242"/>
      <c r="I208" s="242"/>
      <c r="J208" s="242"/>
      <c r="K208" s="242"/>
      <c r="L208" s="242"/>
      <c r="M208" s="242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  <c r="Z208" s="242"/>
    </row>
    <row r="209">
      <c r="A209" s="242"/>
      <c r="B209" s="242"/>
      <c r="C209" s="242"/>
      <c r="D209" s="242"/>
      <c r="E209" s="242"/>
      <c r="F209" s="242"/>
      <c r="G209" s="242"/>
      <c r="H209" s="242"/>
      <c r="I209" s="242"/>
      <c r="J209" s="242"/>
      <c r="K209" s="242"/>
      <c r="L209" s="242"/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242"/>
    </row>
    <row r="210">
      <c r="A210" s="242"/>
      <c r="B210" s="242"/>
      <c r="C210" s="242"/>
      <c r="D210" s="242"/>
      <c r="E210" s="242"/>
      <c r="F210" s="242"/>
      <c r="G210" s="242"/>
      <c r="H210" s="242"/>
      <c r="I210" s="242"/>
      <c r="J210" s="242"/>
      <c r="K210" s="242"/>
      <c r="L210" s="242"/>
      <c r="M210" s="242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  <c r="Z210" s="242"/>
    </row>
    <row r="211">
      <c r="A211" s="242"/>
      <c r="B211" s="242"/>
      <c r="C211" s="242"/>
      <c r="D211" s="242"/>
      <c r="E211" s="242"/>
      <c r="F211" s="242"/>
      <c r="G211" s="242"/>
      <c r="H211" s="242"/>
      <c r="I211" s="242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242"/>
    </row>
    <row r="212">
      <c r="A212" s="242"/>
      <c r="B212" s="242"/>
      <c r="C212" s="242"/>
      <c r="D212" s="242"/>
      <c r="E212" s="242"/>
      <c r="F212" s="242"/>
      <c r="G212" s="242"/>
      <c r="H212" s="242"/>
      <c r="I212" s="242"/>
      <c r="J212" s="242"/>
      <c r="K212" s="242"/>
      <c r="L212" s="242"/>
      <c r="M212" s="242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242"/>
    </row>
    <row r="213">
      <c r="A213" s="242"/>
      <c r="B213" s="242"/>
      <c r="C213" s="242"/>
      <c r="D213" s="242"/>
      <c r="E213" s="242"/>
      <c r="F213" s="242"/>
      <c r="G213" s="242"/>
      <c r="H213" s="242"/>
      <c r="I213" s="242"/>
      <c r="J213" s="242"/>
      <c r="K213" s="242"/>
      <c r="L213" s="242"/>
      <c r="M213" s="242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  <c r="Z213" s="242"/>
    </row>
    <row r="214">
      <c r="A214" s="242"/>
      <c r="B214" s="242"/>
      <c r="C214" s="242"/>
      <c r="D214" s="242"/>
      <c r="E214" s="242"/>
      <c r="F214" s="242"/>
      <c r="G214" s="242"/>
      <c r="H214" s="242"/>
      <c r="I214" s="242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242"/>
    </row>
    <row r="215">
      <c r="A215" s="242"/>
      <c r="B215" s="242"/>
      <c r="C215" s="242"/>
      <c r="D215" s="242"/>
      <c r="E215" s="242"/>
      <c r="F215" s="242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242"/>
    </row>
    <row r="216">
      <c r="A216" s="242"/>
      <c r="B216" s="242"/>
      <c r="C216" s="242"/>
      <c r="D216" s="242"/>
      <c r="E216" s="242"/>
      <c r="F216" s="242"/>
      <c r="G216" s="242"/>
      <c r="H216" s="242"/>
      <c r="I216" s="242"/>
      <c r="J216" s="242"/>
      <c r="K216" s="242"/>
      <c r="L216" s="242"/>
      <c r="M216" s="242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  <c r="Y216" s="242"/>
      <c r="Z216" s="242"/>
    </row>
    <row r="217">
      <c r="A217" s="242"/>
      <c r="B217" s="242"/>
      <c r="C217" s="242"/>
      <c r="D217" s="242"/>
      <c r="E217" s="242"/>
      <c r="F217" s="242"/>
      <c r="G217" s="242"/>
      <c r="H217" s="242"/>
      <c r="I217" s="242"/>
      <c r="J217" s="242"/>
      <c r="K217" s="242"/>
      <c r="L217" s="242"/>
      <c r="M217" s="242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  <c r="Z217" s="242"/>
    </row>
    <row r="218">
      <c r="A218" s="242"/>
      <c r="B218" s="242"/>
      <c r="C218" s="242"/>
      <c r="D218" s="242"/>
      <c r="E218" s="242"/>
      <c r="F218" s="242"/>
      <c r="G218" s="242"/>
      <c r="H218" s="242"/>
      <c r="I218" s="242"/>
      <c r="J218" s="242"/>
      <c r="K218" s="242"/>
      <c r="L218" s="242"/>
      <c r="M218" s="242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  <c r="Y218" s="242"/>
      <c r="Z218" s="242"/>
    </row>
    <row r="219">
      <c r="A219" s="242"/>
      <c r="B219" s="242"/>
      <c r="C219" s="242"/>
      <c r="D219" s="242"/>
      <c r="E219" s="242"/>
      <c r="F219" s="242"/>
      <c r="G219" s="242"/>
      <c r="H219" s="242"/>
      <c r="I219" s="242"/>
      <c r="J219" s="242"/>
      <c r="K219" s="242"/>
      <c r="L219" s="242"/>
      <c r="M219" s="242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242"/>
    </row>
    <row r="220">
      <c r="A220" s="242"/>
      <c r="B220" s="242"/>
      <c r="C220" s="242"/>
      <c r="D220" s="242"/>
      <c r="E220" s="242"/>
      <c r="F220" s="242"/>
      <c r="G220" s="242"/>
      <c r="H220" s="242"/>
      <c r="I220" s="242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242"/>
    </row>
    <row r="221">
      <c r="A221" s="242"/>
      <c r="B221" s="242"/>
      <c r="C221" s="242"/>
      <c r="D221" s="242"/>
      <c r="E221" s="242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242"/>
    </row>
    <row r="222">
      <c r="A222" s="242"/>
      <c r="B222" s="242"/>
      <c r="C222" s="242"/>
      <c r="D222" s="242"/>
      <c r="E222" s="242"/>
      <c r="F222" s="242"/>
      <c r="G222" s="242"/>
      <c r="H222" s="242"/>
      <c r="I222" s="242"/>
      <c r="J222" s="242"/>
      <c r="K222" s="242"/>
      <c r="L222" s="242"/>
      <c r="M222" s="242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242"/>
    </row>
    <row r="223">
      <c r="A223" s="242"/>
      <c r="B223" s="242"/>
      <c r="C223" s="242"/>
      <c r="D223" s="242"/>
      <c r="E223" s="242"/>
      <c r="F223" s="242"/>
      <c r="G223" s="242"/>
      <c r="H223" s="242"/>
      <c r="I223" s="242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242"/>
    </row>
    <row r="224">
      <c r="A224" s="242"/>
      <c r="B224" s="242"/>
      <c r="C224" s="242"/>
      <c r="D224" s="242"/>
      <c r="E224" s="242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242"/>
    </row>
    <row r="225">
      <c r="A225" s="242"/>
      <c r="B225" s="242"/>
      <c r="C225" s="242"/>
      <c r="D225" s="242"/>
      <c r="E225" s="242"/>
      <c r="F225" s="242"/>
      <c r="G225" s="242"/>
      <c r="H225" s="242"/>
      <c r="I225" s="242"/>
      <c r="J225" s="242"/>
      <c r="K225" s="242"/>
      <c r="L225" s="242"/>
      <c r="M225" s="242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  <c r="Z225" s="242"/>
    </row>
    <row r="226">
      <c r="A226" s="242"/>
      <c r="B226" s="242"/>
      <c r="C226" s="242"/>
      <c r="D226" s="242"/>
      <c r="E226" s="242"/>
      <c r="F226" s="242"/>
      <c r="G226" s="242"/>
      <c r="H226" s="242"/>
      <c r="I226" s="242"/>
      <c r="J226" s="242"/>
      <c r="K226" s="242"/>
      <c r="L226" s="242"/>
      <c r="M226" s="242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  <c r="Y226" s="242"/>
      <c r="Z226" s="242"/>
    </row>
    <row r="227">
      <c r="A227" s="242"/>
      <c r="B227" s="242"/>
      <c r="C227" s="242"/>
      <c r="D227" s="242"/>
      <c r="E227" s="242"/>
      <c r="F227" s="242"/>
      <c r="G227" s="242"/>
      <c r="H227" s="242"/>
      <c r="I227" s="242"/>
      <c r="J227" s="242"/>
      <c r="K227" s="242"/>
      <c r="L227" s="242"/>
      <c r="M227" s="242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  <c r="Y227" s="242"/>
      <c r="Z227" s="242"/>
    </row>
    <row r="228">
      <c r="A228" s="242"/>
      <c r="B228" s="242"/>
      <c r="C228" s="242"/>
      <c r="D228" s="242"/>
      <c r="E228" s="242"/>
      <c r="F228" s="242"/>
      <c r="G228" s="242"/>
      <c r="H228" s="242"/>
      <c r="I228" s="242"/>
      <c r="J228" s="242"/>
      <c r="K228" s="242"/>
      <c r="L228" s="242"/>
      <c r="M228" s="242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  <c r="Y228" s="242"/>
      <c r="Z228" s="242"/>
    </row>
    <row r="229">
      <c r="A229" s="242"/>
      <c r="B229" s="242"/>
      <c r="C229" s="242"/>
      <c r="D229" s="242"/>
      <c r="E229" s="242"/>
      <c r="F229" s="242"/>
      <c r="G229" s="242"/>
      <c r="H229" s="242"/>
      <c r="I229" s="242"/>
      <c r="J229" s="242"/>
      <c r="K229" s="242"/>
      <c r="L229" s="242"/>
      <c r="M229" s="242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  <c r="Y229" s="242"/>
      <c r="Z229" s="242"/>
    </row>
    <row r="230">
      <c r="A230" s="242"/>
      <c r="B230" s="242"/>
      <c r="C230" s="242"/>
      <c r="D230" s="242"/>
      <c r="E230" s="242"/>
      <c r="F230" s="242"/>
      <c r="G230" s="242"/>
      <c r="H230" s="242"/>
      <c r="I230" s="242"/>
      <c r="J230" s="242"/>
      <c r="K230" s="242"/>
      <c r="L230" s="242"/>
      <c r="M230" s="242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  <c r="Y230" s="242"/>
      <c r="Z230" s="242"/>
    </row>
    <row r="231">
      <c r="A231" s="242"/>
      <c r="B231" s="242"/>
      <c r="C231" s="242"/>
      <c r="D231" s="242"/>
      <c r="E231" s="242"/>
      <c r="F231" s="242"/>
      <c r="G231" s="242"/>
      <c r="H231" s="242"/>
      <c r="I231" s="242"/>
      <c r="J231" s="242"/>
      <c r="K231" s="242"/>
      <c r="L231" s="242"/>
      <c r="M231" s="242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  <c r="Y231" s="242"/>
      <c r="Z231" s="242"/>
    </row>
    <row r="232">
      <c r="A232" s="242"/>
      <c r="B232" s="242"/>
      <c r="C232" s="242"/>
      <c r="D232" s="242"/>
      <c r="E232" s="242"/>
      <c r="F232" s="242"/>
      <c r="G232" s="242"/>
      <c r="H232" s="242"/>
      <c r="I232" s="242"/>
      <c r="J232" s="242"/>
      <c r="K232" s="242"/>
      <c r="L232" s="242"/>
      <c r="M232" s="242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  <c r="Y232" s="242"/>
      <c r="Z232" s="242"/>
    </row>
    <row r="233">
      <c r="A233" s="242"/>
      <c r="B233" s="242"/>
      <c r="C233" s="242"/>
      <c r="D233" s="242"/>
      <c r="E233" s="242"/>
      <c r="F233" s="242"/>
      <c r="G233" s="242"/>
      <c r="H233" s="242"/>
      <c r="I233" s="242"/>
      <c r="J233" s="242"/>
      <c r="K233" s="242"/>
      <c r="L233" s="242"/>
      <c r="M233" s="242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  <c r="Y233" s="242"/>
      <c r="Z233" s="242"/>
    </row>
    <row r="234">
      <c r="A234" s="242"/>
      <c r="B234" s="242"/>
      <c r="C234" s="242"/>
      <c r="D234" s="242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  <c r="Y234" s="242"/>
      <c r="Z234" s="242"/>
    </row>
    <row r="235">
      <c r="A235" s="242"/>
      <c r="B235" s="242"/>
      <c r="C235" s="242"/>
      <c r="D235" s="242"/>
      <c r="E235" s="242"/>
      <c r="F235" s="242"/>
      <c r="G235" s="242"/>
      <c r="H235" s="242"/>
      <c r="I235" s="242"/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242"/>
    </row>
    <row r="236">
      <c r="A236" s="242"/>
      <c r="B236" s="242"/>
      <c r="C236" s="242"/>
      <c r="D236" s="242"/>
      <c r="E236" s="242"/>
      <c r="F236" s="242"/>
      <c r="G236" s="242"/>
      <c r="H236" s="242"/>
      <c r="I236" s="242"/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  <c r="Z236" s="242"/>
    </row>
    <row r="237">
      <c r="A237" s="242"/>
      <c r="B237" s="242"/>
      <c r="C237" s="242"/>
      <c r="D237" s="242"/>
      <c r="E237" s="242"/>
      <c r="F237" s="242"/>
      <c r="G237" s="242"/>
      <c r="H237" s="242"/>
      <c r="I237" s="242"/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242"/>
    </row>
    <row r="238">
      <c r="A238" s="242"/>
      <c r="B238" s="242"/>
      <c r="C238" s="242"/>
      <c r="D238" s="242"/>
      <c r="E238" s="242"/>
      <c r="F238" s="242"/>
      <c r="G238" s="242"/>
      <c r="H238" s="242"/>
      <c r="I238" s="242"/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  <c r="Y238" s="242"/>
      <c r="Z238" s="242"/>
    </row>
    <row r="239">
      <c r="A239" s="242"/>
      <c r="B239" s="242"/>
      <c r="C239" s="242"/>
      <c r="D239" s="242"/>
      <c r="E239" s="242"/>
      <c r="F239" s="242"/>
      <c r="G239" s="242"/>
      <c r="H239" s="242"/>
      <c r="I239" s="242"/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  <c r="Z239" s="242"/>
    </row>
    <row r="240">
      <c r="A240" s="242"/>
      <c r="B240" s="242"/>
      <c r="C240" s="242"/>
      <c r="D240" s="242"/>
      <c r="E240" s="242"/>
      <c r="F240" s="242"/>
      <c r="G240" s="242"/>
      <c r="H240" s="242"/>
      <c r="I240" s="242"/>
      <c r="J240" s="242"/>
      <c r="K240" s="242"/>
      <c r="L240" s="242"/>
      <c r="M240" s="242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  <c r="Z240" s="242"/>
    </row>
    <row r="241">
      <c r="A241" s="242"/>
      <c r="B241" s="242"/>
      <c r="C241" s="242"/>
      <c r="D241" s="242"/>
      <c r="E241" s="242"/>
      <c r="F241" s="242"/>
      <c r="G241" s="242"/>
      <c r="H241" s="242"/>
      <c r="I241" s="242"/>
      <c r="J241" s="242"/>
      <c r="K241" s="242"/>
      <c r="L241" s="242"/>
      <c r="M241" s="242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  <c r="Y241" s="242"/>
      <c r="Z241" s="242"/>
    </row>
    <row r="242">
      <c r="A242" s="242"/>
      <c r="B242" s="242"/>
      <c r="C242" s="242"/>
      <c r="D242" s="242"/>
      <c r="E242" s="242"/>
      <c r="F242" s="242"/>
      <c r="G242" s="242"/>
      <c r="H242" s="242"/>
      <c r="I242" s="242"/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242"/>
    </row>
    <row r="243">
      <c r="A243" s="242"/>
      <c r="B243" s="242"/>
      <c r="C243" s="242"/>
      <c r="D243" s="242"/>
      <c r="E243" s="242"/>
      <c r="F243" s="242"/>
      <c r="G243" s="242"/>
      <c r="H243" s="242"/>
      <c r="I243" s="242"/>
      <c r="J243" s="242"/>
      <c r="K243" s="242"/>
      <c r="L243" s="242"/>
      <c r="M243" s="242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  <c r="Y243" s="242"/>
      <c r="Z243" s="242"/>
    </row>
    <row r="244">
      <c r="A244" s="242"/>
      <c r="B244" s="242"/>
      <c r="C244" s="242"/>
      <c r="D244" s="242"/>
      <c r="E244" s="242"/>
      <c r="F244" s="242"/>
      <c r="G244" s="242"/>
      <c r="H244" s="242"/>
      <c r="I244" s="242"/>
      <c r="J244" s="242"/>
      <c r="K244" s="242"/>
      <c r="L244" s="242"/>
      <c r="M244" s="242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  <c r="Y244" s="242"/>
      <c r="Z244" s="242"/>
    </row>
    <row r="245">
      <c r="A245" s="242"/>
      <c r="B245" s="242"/>
      <c r="C245" s="242"/>
      <c r="D245" s="242"/>
      <c r="E245" s="242"/>
      <c r="F245" s="242"/>
      <c r="G245" s="242"/>
      <c r="H245" s="242"/>
      <c r="I245" s="242"/>
      <c r="J245" s="242"/>
      <c r="K245" s="242"/>
      <c r="L245" s="242"/>
      <c r="M245" s="242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  <c r="Y245" s="242"/>
      <c r="Z245" s="242"/>
    </row>
    <row r="246">
      <c r="A246" s="242"/>
      <c r="B246" s="242"/>
      <c r="C246" s="242"/>
      <c r="D246" s="242"/>
      <c r="E246" s="242"/>
      <c r="F246" s="242"/>
      <c r="G246" s="242"/>
      <c r="H246" s="242"/>
      <c r="I246" s="242"/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  <c r="Z246" s="242"/>
    </row>
    <row r="247">
      <c r="A247" s="242"/>
      <c r="B247" s="242"/>
      <c r="C247" s="242"/>
      <c r="D247" s="242"/>
      <c r="E247" s="242"/>
      <c r="F247" s="242"/>
      <c r="G247" s="242"/>
      <c r="H247" s="242"/>
      <c r="I247" s="242"/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  <c r="Y247" s="242"/>
      <c r="Z247" s="242"/>
    </row>
    <row r="248">
      <c r="A248" s="242"/>
      <c r="B248" s="242"/>
      <c r="C248" s="242"/>
      <c r="D248" s="242"/>
      <c r="E248" s="242"/>
      <c r="F248" s="242"/>
      <c r="G248" s="242"/>
      <c r="H248" s="242"/>
      <c r="I248" s="242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242"/>
    </row>
    <row r="249">
      <c r="A249" s="242"/>
      <c r="B249" s="242"/>
      <c r="C249" s="242"/>
      <c r="D249" s="242"/>
      <c r="E249" s="242"/>
      <c r="F249" s="242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242"/>
    </row>
    <row r="250">
      <c r="A250" s="242"/>
      <c r="B250" s="242"/>
      <c r="C250" s="242"/>
      <c r="D250" s="242"/>
      <c r="E250" s="242"/>
      <c r="F250" s="242"/>
      <c r="G250" s="242"/>
      <c r="H250" s="242"/>
      <c r="I250" s="242"/>
      <c r="J250" s="242"/>
      <c r="K250" s="242"/>
      <c r="L250" s="242"/>
      <c r="M250" s="242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  <c r="Y250" s="242"/>
      <c r="Z250" s="242"/>
    </row>
    <row r="251">
      <c r="A251" s="242"/>
      <c r="B251" s="242"/>
      <c r="C251" s="242"/>
      <c r="D251" s="242"/>
      <c r="E251" s="242"/>
      <c r="F251" s="242"/>
      <c r="G251" s="242"/>
      <c r="H251" s="242"/>
      <c r="I251" s="242"/>
      <c r="J251" s="242"/>
      <c r="K251" s="242"/>
      <c r="L251" s="242"/>
      <c r="M251" s="242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  <c r="Y251" s="242"/>
      <c r="Z251" s="242"/>
    </row>
    <row r="252">
      <c r="A252" s="242"/>
      <c r="B252" s="242"/>
      <c r="C252" s="242"/>
      <c r="D252" s="242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2"/>
      <c r="Q252" s="242"/>
      <c r="R252" s="242"/>
      <c r="S252" s="242"/>
      <c r="T252" s="242"/>
      <c r="U252" s="242"/>
      <c r="V252" s="242"/>
      <c r="W252" s="242"/>
      <c r="X252" s="242"/>
      <c r="Y252" s="242"/>
      <c r="Z252" s="242"/>
    </row>
    <row r="253">
      <c r="A253" s="242"/>
      <c r="B253" s="242"/>
      <c r="C253" s="242"/>
      <c r="D253" s="242"/>
      <c r="E253" s="242"/>
      <c r="F253" s="242"/>
      <c r="G253" s="242"/>
      <c r="H253" s="242"/>
      <c r="I253" s="242"/>
      <c r="J253" s="242"/>
      <c r="K253" s="242"/>
      <c r="L253" s="242"/>
      <c r="M253" s="242"/>
      <c r="N253" s="242"/>
      <c r="O253" s="242"/>
      <c r="P253" s="242"/>
      <c r="Q253" s="242"/>
      <c r="R253" s="242"/>
      <c r="S253" s="242"/>
      <c r="T253" s="242"/>
      <c r="U253" s="242"/>
      <c r="V253" s="242"/>
      <c r="W253" s="242"/>
      <c r="X253" s="242"/>
      <c r="Y253" s="242"/>
      <c r="Z253" s="242"/>
    </row>
    <row r="254">
      <c r="A254" s="242"/>
      <c r="B254" s="242"/>
      <c r="C254" s="242"/>
      <c r="D254" s="242"/>
      <c r="E254" s="242"/>
      <c r="F254" s="242"/>
      <c r="G254" s="242"/>
      <c r="H254" s="242"/>
      <c r="I254" s="242"/>
      <c r="J254" s="242"/>
      <c r="K254" s="242"/>
      <c r="L254" s="242"/>
      <c r="M254" s="242"/>
      <c r="N254" s="242"/>
      <c r="O254" s="242"/>
      <c r="P254" s="242"/>
      <c r="Q254" s="242"/>
      <c r="R254" s="242"/>
      <c r="S254" s="242"/>
      <c r="T254" s="242"/>
      <c r="U254" s="242"/>
      <c r="V254" s="242"/>
      <c r="W254" s="242"/>
      <c r="X254" s="242"/>
      <c r="Y254" s="242"/>
      <c r="Z254" s="242"/>
    </row>
    <row r="255">
      <c r="A255" s="242"/>
      <c r="B255" s="242"/>
      <c r="C255" s="242"/>
      <c r="D255" s="242"/>
      <c r="E255" s="242"/>
      <c r="F255" s="242"/>
      <c r="G255" s="242"/>
      <c r="H255" s="242"/>
      <c r="I255" s="242"/>
      <c r="J255" s="242"/>
      <c r="K255" s="242"/>
      <c r="L255" s="242"/>
      <c r="M255" s="242"/>
      <c r="N255" s="242"/>
      <c r="O255" s="242"/>
      <c r="P255" s="242"/>
      <c r="Q255" s="242"/>
      <c r="R255" s="242"/>
      <c r="S255" s="242"/>
      <c r="T255" s="242"/>
      <c r="U255" s="242"/>
      <c r="V255" s="242"/>
      <c r="W255" s="242"/>
      <c r="X255" s="242"/>
      <c r="Y255" s="242"/>
      <c r="Z255" s="242"/>
    </row>
    <row r="256">
      <c r="A256" s="242"/>
      <c r="B256" s="242"/>
      <c r="C256" s="242"/>
      <c r="D256" s="242"/>
      <c r="E256" s="242"/>
      <c r="F256" s="242"/>
      <c r="G256" s="242"/>
      <c r="H256" s="242"/>
      <c r="I256" s="242"/>
      <c r="J256" s="242"/>
      <c r="K256" s="242"/>
      <c r="L256" s="242"/>
      <c r="M256" s="242"/>
      <c r="N256" s="242"/>
      <c r="O256" s="242"/>
      <c r="P256" s="242"/>
      <c r="Q256" s="242"/>
      <c r="R256" s="242"/>
      <c r="S256" s="242"/>
      <c r="T256" s="242"/>
      <c r="U256" s="242"/>
      <c r="V256" s="242"/>
      <c r="W256" s="242"/>
      <c r="X256" s="242"/>
      <c r="Y256" s="242"/>
      <c r="Z256" s="242"/>
    </row>
    <row r="257">
      <c r="A257" s="242"/>
      <c r="B257" s="242"/>
      <c r="C257" s="242"/>
      <c r="D257" s="242"/>
      <c r="E257" s="242"/>
      <c r="F257" s="242"/>
      <c r="G257" s="242"/>
      <c r="H257" s="242"/>
      <c r="I257" s="242"/>
      <c r="J257" s="242"/>
      <c r="K257" s="242"/>
      <c r="L257" s="242"/>
      <c r="M257" s="242"/>
      <c r="N257" s="242"/>
      <c r="O257" s="242"/>
      <c r="P257" s="242"/>
      <c r="Q257" s="242"/>
      <c r="R257" s="242"/>
      <c r="S257" s="242"/>
      <c r="T257" s="242"/>
      <c r="U257" s="242"/>
      <c r="V257" s="242"/>
      <c r="W257" s="242"/>
      <c r="X257" s="242"/>
      <c r="Y257" s="242"/>
      <c r="Z257" s="242"/>
    </row>
    <row r="258">
      <c r="A258" s="242"/>
      <c r="B258" s="242"/>
      <c r="C258" s="242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2"/>
      <c r="U258" s="242"/>
      <c r="V258" s="242"/>
      <c r="W258" s="242"/>
      <c r="X258" s="242"/>
      <c r="Y258" s="242"/>
      <c r="Z258" s="242"/>
    </row>
    <row r="259">
      <c r="A259" s="242"/>
      <c r="B259" s="242"/>
      <c r="C259" s="242"/>
      <c r="D259" s="242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242"/>
    </row>
    <row r="260">
      <c r="A260" s="242"/>
      <c r="B260" s="242"/>
      <c r="C260" s="242"/>
      <c r="D260" s="242"/>
      <c r="E260" s="242"/>
      <c r="F260" s="242"/>
      <c r="G260" s="242"/>
      <c r="H260" s="242"/>
      <c r="I260" s="242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2"/>
      <c r="W260" s="242"/>
      <c r="X260" s="242"/>
      <c r="Y260" s="242"/>
      <c r="Z260" s="242"/>
    </row>
    <row r="261">
      <c r="A261" s="242"/>
      <c r="B261" s="242"/>
      <c r="C261" s="242"/>
      <c r="D261" s="242"/>
      <c r="E261" s="242"/>
      <c r="F261" s="242"/>
      <c r="G261" s="242"/>
      <c r="H261" s="242"/>
      <c r="I261" s="242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2"/>
      <c r="W261" s="242"/>
      <c r="X261" s="242"/>
      <c r="Y261" s="242"/>
      <c r="Z261" s="242"/>
    </row>
    <row r="262">
      <c r="A262" s="242"/>
      <c r="B262" s="242"/>
      <c r="C262" s="242"/>
      <c r="D262" s="242"/>
      <c r="E262" s="242"/>
      <c r="F262" s="242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  <c r="Z262" s="242"/>
    </row>
    <row r="263">
      <c r="A263" s="242"/>
      <c r="B263" s="242"/>
      <c r="C263" s="242"/>
      <c r="D263" s="242"/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2"/>
      <c r="W263" s="242"/>
      <c r="X263" s="242"/>
      <c r="Y263" s="242"/>
      <c r="Z263" s="242"/>
    </row>
    <row r="264">
      <c r="A264" s="242"/>
      <c r="B264" s="242"/>
      <c r="C264" s="242"/>
      <c r="D264" s="242"/>
      <c r="E264" s="242"/>
      <c r="F264" s="242"/>
      <c r="G264" s="242"/>
      <c r="H264" s="242"/>
      <c r="I264" s="242"/>
      <c r="J264" s="242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2"/>
      <c r="V264" s="242"/>
      <c r="W264" s="242"/>
      <c r="X264" s="242"/>
      <c r="Y264" s="242"/>
      <c r="Z264" s="242"/>
    </row>
    <row r="265">
      <c r="A265" s="242"/>
      <c r="B265" s="242"/>
      <c r="C265" s="242"/>
      <c r="D265" s="242"/>
      <c r="E265" s="242"/>
      <c r="F265" s="242"/>
      <c r="G265" s="242"/>
      <c r="H265" s="242"/>
      <c r="I265" s="242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242"/>
      <c r="W265" s="242"/>
      <c r="X265" s="242"/>
      <c r="Y265" s="242"/>
      <c r="Z265" s="242"/>
    </row>
    <row r="266">
      <c r="A266" s="242"/>
      <c r="B266" s="242"/>
      <c r="C266" s="242"/>
      <c r="D266" s="242"/>
      <c r="E266" s="242"/>
      <c r="F266" s="242"/>
      <c r="G266" s="242"/>
      <c r="H266" s="242"/>
      <c r="I266" s="242"/>
      <c r="J266" s="242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2"/>
      <c r="V266" s="242"/>
      <c r="W266" s="242"/>
      <c r="X266" s="242"/>
      <c r="Y266" s="242"/>
      <c r="Z266" s="242"/>
    </row>
    <row r="267">
      <c r="A267" s="242"/>
      <c r="B267" s="242"/>
      <c r="C267" s="242"/>
      <c r="D267" s="242"/>
      <c r="E267" s="242"/>
      <c r="F267" s="242"/>
      <c r="G267" s="242"/>
      <c r="H267" s="242"/>
      <c r="I267" s="242"/>
      <c r="J267" s="242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2"/>
      <c r="V267" s="242"/>
      <c r="W267" s="242"/>
      <c r="X267" s="242"/>
      <c r="Y267" s="242"/>
      <c r="Z267" s="242"/>
    </row>
    <row r="268">
      <c r="A268" s="242"/>
      <c r="B268" s="242"/>
      <c r="C268" s="242"/>
      <c r="D268" s="242"/>
      <c r="E268" s="242"/>
      <c r="F268" s="242"/>
      <c r="G268" s="242"/>
      <c r="H268" s="242"/>
      <c r="I268" s="242"/>
      <c r="J268" s="242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2"/>
      <c r="V268" s="242"/>
      <c r="W268" s="242"/>
      <c r="X268" s="242"/>
      <c r="Y268" s="242"/>
      <c r="Z268" s="242"/>
    </row>
    <row r="269">
      <c r="A269" s="242"/>
      <c r="B269" s="242"/>
      <c r="C269" s="242"/>
      <c r="D269" s="242"/>
      <c r="E269" s="242"/>
      <c r="F269" s="242"/>
      <c r="G269" s="242"/>
      <c r="H269" s="242"/>
      <c r="I269" s="242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2"/>
      <c r="W269" s="242"/>
      <c r="X269" s="242"/>
      <c r="Y269" s="242"/>
      <c r="Z269" s="242"/>
    </row>
    <row r="270">
      <c r="A270" s="242"/>
      <c r="B270" s="242"/>
      <c r="C270" s="242"/>
      <c r="D270" s="242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  <c r="Y270" s="242"/>
      <c r="Z270" s="242"/>
    </row>
    <row r="271">
      <c r="A271" s="242"/>
      <c r="B271" s="242"/>
      <c r="C271" s="242"/>
      <c r="D271" s="242"/>
      <c r="E271" s="242"/>
      <c r="F271" s="242"/>
      <c r="G271" s="242"/>
      <c r="H271" s="242"/>
      <c r="I271" s="242"/>
      <c r="J271" s="242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2"/>
      <c r="V271" s="242"/>
      <c r="W271" s="242"/>
      <c r="X271" s="242"/>
      <c r="Y271" s="242"/>
      <c r="Z271" s="242"/>
    </row>
    <row r="272">
      <c r="A272" s="242"/>
      <c r="B272" s="242"/>
      <c r="C272" s="242"/>
      <c r="D272" s="242"/>
      <c r="E272" s="242"/>
      <c r="F272" s="242"/>
      <c r="G272" s="242"/>
      <c r="H272" s="242"/>
      <c r="I272" s="242"/>
      <c r="J272" s="242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2"/>
      <c r="V272" s="242"/>
      <c r="W272" s="242"/>
      <c r="X272" s="242"/>
      <c r="Y272" s="242"/>
      <c r="Z272" s="242"/>
    </row>
    <row r="273">
      <c r="A273" s="242"/>
      <c r="B273" s="242"/>
      <c r="C273" s="242"/>
      <c r="D273" s="242"/>
      <c r="E273" s="242"/>
      <c r="F273" s="242"/>
      <c r="G273" s="242"/>
      <c r="H273" s="242"/>
      <c r="I273" s="242"/>
      <c r="J273" s="242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2"/>
      <c r="V273" s="242"/>
      <c r="W273" s="242"/>
      <c r="X273" s="242"/>
      <c r="Y273" s="242"/>
      <c r="Z273" s="242"/>
    </row>
    <row r="274">
      <c r="A274" s="242"/>
      <c r="B274" s="242"/>
      <c r="C274" s="242"/>
      <c r="D274" s="242"/>
      <c r="E274" s="242"/>
      <c r="F274" s="242"/>
      <c r="G274" s="242"/>
      <c r="H274" s="242"/>
      <c r="I274" s="242"/>
      <c r="J274" s="242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2"/>
      <c r="V274" s="242"/>
      <c r="W274" s="242"/>
      <c r="X274" s="242"/>
      <c r="Y274" s="242"/>
      <c r="Z274" s="242"/>
    </row>
    <row r="275">
      <c r="A275" s="242"/>
      <c r="B275" s="242"/>
      <c r="C275" s="242"/>
      <c r="D275" s="242"/>
      <c r="E275" s="242"/>
      <c r="F275" s="242"/>
      <c r="G275" s="242"/>
      <c r="H275" s="242"/>
      <c r="I275" s="242"/>
      <c r="J275" s="242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2"/>
      <c r="V275" s="242"/>
      <c r="W275" s="242"/>
      <c r="X275" s="242"/>
      <c r="Y275" s="242"/>
      <c r="Z275" s="242"/>
    </row>
    <row r="276">
      <c r="A276" s="242"/>
      <c r="B276" s="242"/>
      <c r="C276" s="242"/>
      <c r="D276" s="242"/>
      <c r="E276" s="242"/>
      <c r="F276" s="242"/>
      <c r="G276" s="242"/>
      <c r="H276" s="242"/>
      <c r="I276" s="242"/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42"/>
      <c r="W276" s="242"/>
      <c r="X276" s="242"/>
      <c r="Y276" s="242"/>
      <c r="Z276" s="242"/>
    </row>
    <row r="277">
      <c r="A277" s="242"/>
      <c r="B277" s="242"/>
      <c r="C277" s="242"/>
      <c r="D277" s="242"/>
      <c r="E277" s="242"/>
      <c r="F277" s="242"/>
      <c r="G277" s="242"/>
      <c r="H277" s="242"/>
      <c r="I277" s="242"/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42"/>
      <c r="W277" s="242"/>
      <c r="X277" s="242"/>
      <c r="Y277" s="242"/>
      <c r="Z277" s="242"/>
    </row>
    <row r="278">
      <c r="A278" s="242"/>
      <c r="B278" s="242"/>
      <c r="C278" s="242"/>
      <c r="D278" s="242"/>
      <c r="E278" s="242"/>
      <c r="F278" s="242"/>
      <c r="G278" s="242"/>
      <c r="H278" s="242"/>
      <c r="I278" s="242"/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42"/>
      <c r="W278" s="242"/>
      <c r="X278" s="242"/>
      <c r="Y278" s="242"/>
      <c r="Z278" s="242"/>
    </row>
    <row r="279">
      <c r="A279" s="242"/>
      <c r="B279" s="242"/>
      <c r="C279" s="242"/>
      <c r="D279" s="242"/>
      <c r="E279" s="242"/>
      <c r="F279" s="242"/>
      <c r="G279" s="242"/>
      <c r="H279" s="242"/>
      <c r="I279" s="242"/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42"/>
      <c r="W279" s="242"/>
      <c r="X279" s="242"/>
      <c r="Y279" s="242"/>
      <c r="Z279" s="242"/>
    </row>
    <row r="280">
      <c r="A280" s="242"/>
      <c r="B280" s="242"/>
      <c r="C280" s="242"/>
      <c r="D280" s="242"/>
      <c r="E280" s="242"/>
      <c r="F280" s="242"/>
      <c r="G280" s="242"/>
      <c r="H280" s="242"/>
      <c r="I280" s="242"/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42"/>
      <c r="W280" s="242"/>
      <c r="X280" s="242"/>
      <c r="Y280" s="242"/>
      <c r="Z280" s="242"/>
    </row>
    <row r="281">
      <c r="A281" s="242"/>
      <c r="B281" s="242"/>
      <c r="C281" s="242"/>
      <c r="D281" s="242"/>
      <c r="E281" s="242"/>
      <c r="F281" s="242"/>
      <c r="G281" s="242"/>
      <c r="H281" s="242"/>
      <c r="I281" s="242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2"/>
      <c r="W281" s="242"/>
      <c r="X281" s="242"/>
      <c r="Y281" s="242"/>
      <c r="Z281" s="242"/>
    </row>
    <row r="282">
      <c r="A282" s="242"/>
      <c r="B282" s="242"/>
      <c r="C282" s="242"/>
      <c r="D282" s="242"/>
      <c r="E282" s="242"/>
      <c r="F282" s="242"/>
      <c r="G282" s="242"/>
      <c r="H282" s="242"/>
      <c r="I282" s="242"/>
      <c r="J282" s="242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2"/>
      <c r="V282" s="242"/>
      <c r="W282" s="242"/>
      <c r="X282" s="242"/>
      <c r="Y282" s="242"/>
      <c r="Z282" s="242"/>
    </row>
    <row r="283">
      <c r="A283" s="242"/>
      <c r="B283" s="242"/>
      <c r="C283" s="242"/>
      <c r="D283" s="242"/>
      <c r="E283" s="242"/>
      <c r="F283" s="242"/>
      <c r="G283" s="242"/>
      <c r="H283" s="242"/>
      <c r="I283" s="242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2"/>
      <c r="W283" s="242"/>
      <c r="X283" s="242"/>
      <c r="Y283" s="242"/>
      <c r="Z283" s="242"/>
    </row>
    <row r="284">
      <c r="A284" s="242"/>
      <c r="B284" s="242"/>
      <c r="C284" s="242"/>
      <c r="D284" s="242"/>
      <c r="E284" s="242"/>
      <c r="F284" s="242"/>
      <c r="G284" s="242"/>
      <c r="H284" s="242"/>
      <c r="I284" s="242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42"/>
      <c r="W284" s="242"/>
      <c r="X284" s="242"/>
      <c r="Y284" s="242"/>
      <c r="Z284" s="242"/>
    </row>
    <row r="285">
      <c r="A285" s="242"/>
      <c r="B285" s="242"/>
      <c r="C285" s="242"/>
      <c r="D285" s="242"/>
      <c r="E285" s="242"/>
      <c r="F285" s="242"/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2"/>
      <c r="W285" s="242"/>
      <c r="X285" s="242"/>
      <c r="Y285" s="242"/>
      <c r="Z285" s="242"/>
    </row>
    <row r="286">
      <c r="A286" s="242"/>
      <c r="B286" s="242"/>
      <c r="C286" s="242"/>
      <c r="D286" s="242"/>
      <c r="E286" s="242"/>
      <c r="F286" s="242"/>
      <c r="G286" s="242"/>
      <c r="H286" s="242"/>
      <c r="I286" s="242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42"/>
      <c r="W286" s="242"/>
      <c r="X286" s="242"/>
      <c r="Y286" s="242"/>
      <c r="Z286" s="242"/>
    </row>
    <row r="287">
      <c r="A287" s="242"/>
      <c r="B287" s="242"/>
      <c r="C287" s="242"/>
      <c r="D287" s="242"/>
      <c r="E287" s="242"/>
      <c r="F287" s="242"/>
      <c r="G287" s="242"/>
      <c r="H287" s="242"/>
      <c r="I287" s="242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2"/>
      <c r="W287" s="242"/>
      <c r="X287" s="242"/>
      <c r="Y287" s="242"/>
      <c r="Z287" s="242"/>
    </row>
    <row r="288">
      <c r="A288" s="242"/>
      <c r="B288" s="242"/>
      <c r="C288" s="242"/>
      <c r="D288" s="242"/>
      <c r="E288" s="242"/>
      <c r="F288" s="242"/>
      <c r="G288" s="242"/>
      <c r="H288" s="242"/>
      <c r="I288" s="242"/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42"/>
      <c r="W288" s="242"/>
      <c r="X288" s="242"/>
      <c r="Y288" s="242"/>
      <c r="Z288" s="242"/>
    </row>
    <row r="289">
      <c r="A289" s="242"/>
      <c r="B289" s="242"/>
      <c r="C289" s="242"/>
      <c r="D289" s="242"/>
      <c r="E289" s="242"/>
      <c r="F289" s="242"/>
      <c r="G289" s="242"/>
      <c r="H289" s="242"/>
      <c r="I289" s="242"/>
      <c r="J289" s="242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2"/>
      <c r="V289" s="242"/>
      <c r="W289" s="242"/>
      <c r="X289" s="242"/>
      <c r="Y289" s="242"/>
      <c r="Z289" s="242"/>
    </row>
    <row r="290">
      <c r="A290" s="242"/>
      <c r="B290" s="242"/>
      <c r="C290" s="242"/>
      <c r="D290" s="242"/>
      <c r="E290" s="242"/>
      <c r="F290" s="242"/>
      <c r="G290" s="242"/>
      <c r="H290" s="242"/>
      <c r="I290" s="242"/>
      <c r="J290" s="242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2"/>
      <c r="V290" s="242"/>
      <c r="W290" s="242"/>
      <c r="X290" s="242"/>
      <c r="Y290" s="242"/>
      <c r="Z290" s="242"/>
    </row>
    <row r="291">
      <c r="A291" s="242"/>
      <c r="B291" s="242"/>
      <c r="C291" s="242"/>
      <c r="D291" s="242"/>
      <c r="E291" s="242"/>
      <c r="F291" s="242"/>
      <c r="G291" s="242"/>
      <c r="H291" s="242"/>
      <c r="I291" s="242"/>
      <c r="J291" s="242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2"/>
      <c r="V291" s="242"/>
      <c r="W291" s="242"/>
      <c r="X291" s="242"/>
      <c r="Y291" s="242"/>
      <c r="Z291" s="242"/>
    </row>
    <row r="292">
      <c r="A292" s="242"/>
      <c r="B292" s="242"/>
      <c r="C292" s="242"/>
      <c r="D292" s="242"/>
      <c r="E292" s="242"/>
      <c r="F292" s="242"/>
      <c r="G292" s="242"/>
      <c r="H292" s="242"/>
      <c r="I292" s="242"/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2"/>
      <c r="V292" s="242"/>
      <c r="W292" s="242"/>
      <c r="X292" s="242"/>
      <c r="Y292" s="242"/>
      <c r="Z292" s="242"/>
    </row>
    <row r="293">
      <c r="A293" s="242"/>
      <c r="B293" s="242"/>
      <c r="C293" s="242"/>
      <c r="D293" s="242"/>
      <c r="E293" s="242"/>
      <c r="F293" s="242"/>
      <c r="G293" s="242"/>
      <c r="H293" s="242"/>
      <c r="I293" s="242"/>
      <c r="J293" s="242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2"/>
      <c r="V293" s="242"/>
      <c r="W293" s="242"/>
      <c r="X293" s="242"/>
      <c r="Y293" s="242"/>
      <c r="Z293" s="242"/>
    </row>
    <row r="294">
      <c r="A294" s="242"/>
      <c r="B294" s="242"/>
      <c r="C294" s="242"/>
      <c r="D294" s="242"/>
      <c r="E294" s="242"/>
      <c r="F294" s="242"/>
      <c r="G294" s="242"/>
      <c r="H294" s="242"/>
      <c r="I294" s="242"/>
      <c r="J294" s="242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2"/>
      <c r="V294" s="242"/>
      <c r="W294" s="242"/>
      <c r="X294" s="242"/>
      <c r="Y294" s="242"/>
      <c r="Z294" s="242"/>
    </row>
    <row r="295">
      <c r="A295" s="242"/>
      <c r="B295" s="242"/>
      <c r="C295" s="242"/>
      <c r="D295" s="242"/>
      <c r="E295" s="242"/>
      <c r="F295" s="242"/>
      <c r="G295" s="242"/>
      <c r="H295" s="242"/>
      <c r="I295" s="242"/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42"/>
      <c r="W295" s="242"/>
      <c r="X295" s="242"/>
      <c r="Y295" s="242"/>
      <c r="Z295" s="242"/>
    </row>
    <row r="296">
      <c r="A296" s="242"/>
      <c r="B296" s="242"/>
      <c r="C296" s="242"/>
      <c r="D296" s="242"/>
      <c r="E296" s="242"/>
      <c r="F296" s="242"/>
      <c r="G296" s="242"/>
      <c r="H296" s="242"/>
      <c r="I296" s="242"/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42"/>
      <c r="W296" s="242"/>
      <c r="X296" s="242"/>
      <c r="Y296" s="242"/>
      <c r="Z296" s="242"/>
    </row>
    <row r="297">
      <c r="A297" s="242"/>
      <c r="B297" s="242"/>
      <c r="C297" s="242"/>
      <c r="D297" s="242"/>
      <c r="E297" s="242"/>
      <c r="F297" s="242"/>
      <c r="G297" s="242"/>
      <c r="H297" s="242"/>
      <c r="I297" s="242"/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42"/>
      <c r="W297" s="242"/>
      <c r="X297" s="242"/>
      <c r="Y297" s="242"/>
      <c r="Z297" s="242"/>
    </row>
    <row r="298">
      <c r="A298" s="242"/>
      <c r="B298" s="242"/>
      <c r="C298" s="242"/>
      <c r="D298" s="242"/>
      <c r="E298" s="242"/>
      <c r="F298" s="242"/>
      <c r="G298" s="242"/>
      <c r="H298" s="242"/>
      <c r="I298" s="242"/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42"/>
      <c r="W298" s="242"/>
      <c r="X298" s="242"/>
      <c r="Y298" s="242"/>
      <c r="Z298" s="242"/>
    </row>
    <row r="299">
      <c r="A299" s="242"/>
      <c r="B299" s="242"/>
      <c r="C299" s="242"/>
      <c r="D299" s="242"/>
      <c r="E299" s="242"/>
      <c r="F299" s="242"/>
      <c r="G299" s="242"/>
      <c r="H299" s="242"/>
      <c r="I299" s="242"/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42"/>
      <c r="W299" s="242"/>
      <c r="X299" s="242"/>
      <c r="Y299" s="242"/>
      <c r="Z299" s="242"/>
    </row>
    <row r="300">
      <c r="A300" s="242"/>
      <c r="B300" s="242"/>
      <c r="C300" s="242"/>
      <c r="D300" s="242"/>
      <c r="E300" s="242"/>
      <c r="F300" s="242"/>
      <c r="G300" s="242"/>
      <c r="H300" s="242"/>
      <c r="I300" s="242"/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42"/>
      <c r="W300" s="242"/>
      <c r="X300" s="242"/>
      <c r="Y300" s="242"/>
      <c r="Z300" s="242"/>
    </row>
    <row r="301">
      <c r="A301" s="242"/>
      <c r="B301" s="242"/>
      <c r="C301" s="242"/>
      <c r="D301" s="242"/>
      <c r="E301" s="242"/>
      <c r="F301" s="242"/>
      <c r="G301" s="242"/>
      <c r="H301" s="242"/>
      <c r="I301" s="242"/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42"/>
      <c r="W301" s="242"/>
      <c r="X301" s="242"/>
      <c r="Y301" s="242"/>
      <c r="Z301" s="242"/>
    </row>
    <row r="302">
      <c r="A302" s="242"/>
      <c r="B302" s="242"/>
      <c r="C302" s="242"/>
      <c r="D302" s="242"/>
      <c r="E302" s="242"/>
      <c r="F302" s="242"/>
      <c r="G302" s="242"/>
      <c r="H302" s="242"/>
      <c r="I302" s="242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42"/>
      <c r="W302" s="242"/>
      <c r="X302" s="242"/>
      <c r="Y302" s="242"/>
      <c r="Z302" s="242"/>
    </row>
    <row r="303">
      <c r="A303" s="242"/>
      <c r="B303" s="242"/>
      <c r="C303" s="242"/>
      <c r="D303" s="242"/>
      <c r="E303" s="242"/>
      <c r="F303" s="242"/>
      <c r="G303" s="242"/>
      <c r="H303" s="242"/>
      <c r="I303" s="242"/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42"/>
      <c r="W303" s="242"/>
      <c r="X303" s="242"/>
      <c r="Y303" s="242"/>
      <c r="Z303" s="242"/>
    </row>
    <row r="304">
      <c r="A304" s="242"/>
      <c r="B304" s="242"/>
      <c r="C304" s="242"/>
      <c r="D304" s="242"/>
      <c r="E304" s="242"/>
      <c r="F304" s="242"/>
      <c r="G304" s="242"/>
      <c r="H304" s="242"/>
      <c r="I304" s="242"/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42"/>
      <c r="W304" s="242"/>
      <c r="X304" s="242"/>
      <c r="Y304" s="242"/>
      <c r="Z304" s="242"/>
    </row>
    <row r="305">
      <c r="A305" s="242"/>
      <c r="B305" s="242"/>
      <c r="C305" s="242"/>
      <c r="D305" s="242"/>
      <c r="E305" s="242"/>
      <c r="F305" s="242"/>
      <c r="G305" s="242"/>
      <c r="H305" s="242"/>
      <c r="I305" s="242"/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42"/>
      <c r="W305" s="242"/>
      <c r="X305" s="242"/>
      <c r="Y305" s="242"/>
      <c r="Z305" s="242"/>
    </row>
    <row r="306">
      <c r="A306" s="242"/>
      <c r="B306" s="242"/>
      <c r="C306" s="242"/>
      <c r="D306" s="242"/>
      <c r="E306" s="242"/>
      <c r="F306" s="242"/>
      <c r="G306" s="242"/>
      <c r="H306" s="242"/>
      <c r="I306" s="242"/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42"/>
      <c r="W306" s="242"/>
      <c r="X306" s="242"/>
      <c r="Y306" s="242"/>
      <c r="Z306" s="242"/>
    </row>
    <row r="307">
      <c r="A307" s="242"/>
      <c r="B307" s="242"/>
      <c r="C307" s="242"/>
      <c r="D307" s="242"/>
      <c r="E307" s="242"/>
      <c r="F307" s="242"/>
      <c r="G307" s="242"/>
      <c r="H307" s="242"/>
      <c r="I307" s="242"/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42"/>
      <c r="W307" s="242"/>
      <c r="X307" s="242"/>
      <c r="Y307" s="242"/>
      <c r="Z307" s="242"/>
    </row>
    <row r="308">
      <c r="A308" s="242"/>
      <c r="B308" s="242"/>
      <c r="C308" s="242"/>
      <c r="D308" s="242"/>
      <c r="E308" s="242"/>
      <c r="F308" s="242"/>
      <c r="G308" s="242"/>
      <c r="H308" s="242"/>
      <c r="I308" s="242"/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42"/>
      <c r="W308" s="242"/>
      <c r="X308" s="242"/>
      <c r="Y308" s="242"/>
      <c r="Z308" s="242"/>
    </row>
    <row r="309">
      <c r="A309" s="242"/>
      <c r="B309" s="242"/>
      <c r="C309" s="242"/>
      <c r="D309" s="242"/>
      <c r="E309" s="242"/>
      <c r="F309" s="242"/>
      <c r="G309" s="242"/>
      <c r="H309" s="242"/>
      <c r="I309" s="242"/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42"/>
      <c r="W309" s="242"/>
      <c r="X309" s="242"/>
      <c r="Y309" s="242"/>
      <c r="Z309" s="242"/>
    </row>
    <row r="310">
      <c r="A310" s="242"/>
      <c r="B310" s="242"/>
      <c r="C310" s="242"/>
      <c r="D310" s="242"/>
      <c r="E310" s="242"/>
      <c r="F310" s="242"/>
      <c r="G310" s="242"/>
      <c r="H310" s="242"/>
      <c r="I310" s="242"/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42"/>
      <c r="W310" s="242"/>
      <c r="X310" s="242"/>
      <c r="Y310" s="242"/>
      <c r="Z310" s="242"/>
    </row>
    <row r="311">
      <c r="A311" s="242"/>
      <c r="B311" s="242"/>
      <c r="C311" s="242"/>
      <c r="D311" s="242"/>
      <c r="E311" s="242"/>
      <c r="F311" s="242"/>
      <c r="G311" s="242"/>
      <c r="H311" s="242"/>
      <c r="I311" s="242"/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42"/>
      <c r="W311" s="242"/>
      <c r="X311" s="242"/>
      <c r="Y311" s="242"/>
      <c r="Z311" s="242"/>
    </row>
    <row r="312">
      <c r="A312" s="242"/>
      <c r="B312" s="242"/>
      <c r="C312" s="242"/>
      <c r="D312" s="242"/>
      <c r="E312" s="242"/>
      <c r="F312" s="242"/>
      <c r="G312" s="242"/>
      <c r="H312" s="242"/>
      <c r="I312" s="242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2"/>
      <c r="W312" s="242"/>
      <c r="X312" s="242"/>
      <c r="Y312" s="242"/>
      <c r="Z312" s="242"/>
    </row>
    <row r="313">
      <c r="A313" s="242"/>
      <c r="B313" s="242"/>
      <c r="C313" s="242"/>
      <c r="D313" s="242"/>
      <c r="E313" s="242"/>
      <c r="F313" s="242"/>
      <c r="G313" s="242"/>
      <c r="H313" s="242"/>
      <c r="I313" s="242"/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42"/>
      <c r="W313" s="242"/>
      <c r="X313" s="242"/>
      <c r="Y313" s="242"/>
      <c r="Z313" s="242"/>
    </row>
    <row r="314">
      <c r="A314" s="242"/>
      <c r="B314" s="242"/>
      <c r="C314" s="242"/>
      <c r="D314" s="242"/>
      <c r="E314" s="242"/>
      <c r="F314" s="242"/>
      <c r="G314" s="242"/>
      <c r="H314" s="242"/>
      <c r="I314" s="242"/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42"/>
      <c r="W314" s="242"/>
      <c r="X314" s="242"/>
      <c r="Y314" s="242"/>
      <c r="Z314" s="242"/>
    </row>
    <row r="315">
      <c r="A315" s="242"/>
      <c r="B315" s="242"/>
      <c r="C315" s="242"/>
      <c r="D315" s="242"/>
      <c r="E315" s="242"/>
      <c r="F315" s="242"/>
      <c r="G315" s="242"/>
      <c r="H315" s="242"/>
      <c r="I315" s="242"/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42"/>
      <c r="W315" s="242"/>
      <c r="X315" s="242"/>
      <c r="Y315" s="242"/>
      <c r="Z315" s="242"/>
    </row>
    <row r="316">
      <c r="A316" s="242"/>
      <c r="B316" s="242"/>
      <c r="C316" s="242"/>
      <c r="D316" s="242"/>
      <c r="E316" s="242"/>
      <c r="F316" s="242"/>
      <c r="G316" s="242"/>
      <c r="H316" s="242"/>
      <c r="I316" s="242"/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42"/>
      <c r="W316" s="242"/>
      <c r="X316" s="242"/>
      <c r="Y316" s="242"/>
      <c r="Z316" s="242"/>
    </row>
    <row r="317">
      <c r="A317" s="242"/>
      <c r="B317" s="242"/>
      <c r="C317" s="242"/>
      <c r="D317" s="242"/>
      <c r="E317" s="242"/>
      <c r="F317" s="242"/>
      <c r="G317" s="242"/>
      <c r="H317" s="242"/>
      <c r="I317" s="242"/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42"/>
      <c r="W317" s="242"/>
      <c r="X317" s="242"/>
      <c r="Y317" s="242"/>
      <c r="Z317" s="242"/>
    </row>
    <row r="318">
      <c r="A318" s="242"/>
      <c r="B318" s="242"/>
      <c r="C318" s="242"/>
      <c r="D318" s="242"/>
      <c r="E318" s="242"/>
      <c r="F318" s="242"/>
      <c r="G318" s="242"/>
      <c r="H318" s="242"/>
      <c r="I318" s="242"/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42"/>
      <c r="W318" s="242"/>
      <c r="X318" s="242"/>
      <c r="Y318" s="242"/>
      <c r="Z318" s="242"/>
    </row>
    <row r="319">
      <c r="A319" s="242"/>
      <c r="B319" s="242"/>
      <c r="C319" s="242"/>
      <c r="D319" s="242"/>
      <c r="E319" s="242"/>
      <c r="F319" s="242"/>
      <c r="G319" s="242"/>
      <c r="H319" s="242"/>
      <c r="I319" s="242"/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42"/>
      <c r="W319" s="242"/>
      <c r="X319" s="242"/>
      <c r="Y319" s="242"/>
      <c r="Z319" s="242"/>
    </row>
    <row r="320">
      <c r="A320" s="242"/>
      <c r="B320" s="242"/>
      <c r="C320" s="242"/>
      <c r="D320" s="242"/>
      <c r="E320" s="242"/>
      <c r="F320" s="242"/>
      <c r="G320" s="242"/>
      <c r="H320" s="242"/>
      <c r="I320" s="242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2"/>
      <c r="W320" s="242"/>
      <c r="X320" s="242"/>
      <c r="Y320" s="242"/>
      <c r="Z320" s="242"/>
    </row>
    <row r="321">
      <c r="A321" s="242"/>
      <c r="B321" s="242"/>
      <c r="C321" s="242"/>
      <c r="D321" s="242"/>
      <c r="E321" s="242"/>
      <c r="F321" s="242"/>
      <c r="G321" s="242"/>
      <c r="H321" s="242"/>
      <c r="I321" s="242"/>
      <c r="J321" s="242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2"/>
      <c r="V321" s="242"/>
      <c r="W321" s="242"/>
      <c r="X321" s="242"/>
      <c r="Y321" s="242"/>
      <c r="Z321" s="242"/>
    </row>
    <row r="322">
      <c r="A322" s="242"/>
      <c r="B322" s="242"/>
      <c r="C322" s="242"/>
      <c r="D322" s="242"/>
      <c r="E322" s="242"/>
      <c r="F322" s="242"/>
      <c r="G322" s="242"/>
      <c r="H322" s="242"/>
      <c r="I322" s="242"/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42"/>
      <c r="W322" s="242"/>
      <c r="X322" s="242"/>
      <c r="Y322" s="242"/>
      <c r="Z322" s="242"/>
    </row>
    <row r="323">
      <c r="A323" s="242"/>
      <c r="B323" s="242"/>
      <c r="C323" s="242"/>
      <c r="D323" s="242"/>
      <c r="E323" s="242"/>
      <c r="F323" s="242"/>
      <c r="G323" s="242"/>
      <c r="H323" s="242"/>
      <c r="I323" s="242"/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42"/>
      <c r="W323" s="242"/>
      <c r="X323" s="242"/>
      <c r="Y323" s="242"/>
      <c r="Z323" s="242"/>
    </row>
    <row r="324">
      <c r="A324" s="242"/>
      <c r="B324" s="242"/>
      <c r="C324" s="242"/>
      <c r="D324" s="242"/>
      <c r="E324" s="242"/>
      <c r="F324" s="242"/>
      <c r="G324" s="242"/>
      <c r="H324" s="242"/>
      <c r="I324" s="242"/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42"/>
      <c r="W324" s="242"/>
      <c r="X324" s="242"/>
      <c r="Y324" s="242"/>
      <c r="Z324" s="242"/>
    </row>
    <row r="325">
      <c r="A325" s="242"/>
      <c r="B325" s="242"/>
      <c r="C325" s="242"/>
      <c r="D325" s="242"/>
      <c r="E325" s="242"/>
      <c r="F325" s="242"/>
      <c r="G325" s="242"/>
      <c r="H325" s="242"/>
      <c r="I325" s="242"/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42"/>
      <c r="W325" s="242"/>
      <c r="X325" s="242"/>
      <c r="Y325" s="242"/>
      <c r="Z325" s="242"/>
    </row>
    <row r="326">
      <c r="A326" s="242"/>
      <c r="B326" s="242"/>
      <c r="C326" s="242"/>
      <c r="D326" s="242"/>
      <c r="E326" s="242"/>
      <c r="F326" s="242"/>
      <c r="G326" s="242"/>
      <c r="H326" s="242"/>
      <c r="I326" s="242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42"/>
      <c r="W326" s="242"/>
      <c r="X326" s="242"/>
      <c r="Y326" s="242"/>
      <c r="Z326" s="242"/>
    </row>
    <row r="327">
      <c r="A327" s="242"/>
      <c r="B327" s="242"/>
      <c r="C327" s="242"/>
      <c r="D327" s="242"/>
      <c r="E327" s="242"/>
      <c r="F327" s="242"/>
      <c r="G327" s="242"/>
      <c r="H327" s="242"/>
      <c r="I327" s="242"/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42"/>
      <c r="W327" s="242"/>
      <c r="X327" s="242"/>
      <c r="Y327" s="242"/>
      <c r="Z327" s="242"/>
    </row>
    <row r="328">
      <c r="A328" s="242"/>
      <c r="B328" s="242"/>
      <c r="C328" s="242"/>
      <c r="D328" s="242"/>
      <c r="E328" s="242"/>
      <c r="F328" s="242"/>
      <c r="G328" s="242"/>
      <c r="H328" s="242"/>
      <c r="I328" s="242"/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42"/>
      <c r="W328" s="242"/>
      <c r="X328" s="242"/>
      <c r="Y328" s="242"/>
      <c r="Z328" s="242"/>
    </row>
    <row r="329">
      <c r="A329" s="242"/>
      <c r="B329" s="242"/>
      <c r="C329" s="242"/>
      <c r="D329" s="242"/>
      <c r="E329" s="242"/>
      <c r="F329" s="242"/>
      <c r="G329" s="242"/>
      <c r="H329" s="242"/>
      <c r="I329" s="242"/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42"/>
      <c r="W329" s="242"/>
      <c r="X329" s="242"/>
      <c r="Y329" s="242"/>
      <c r="Z329" s="242"/>
    </row>
    <row r="330">
      <c r="A330" s="242"/>
      <c r="B330" s="242"/>
      <c r="C330" s="242"/>
      <c r="D330" s="242"/>
      <c r="E330" s="242"/>
      <c r="F330" s="242"/>
      <c r="G330" s="242"/>
      <c r="H330" s="242"/>
      <c r="I330" s="242"/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42"/>
      <c r="W330" s="242"/>
      <c r="X330" s="242"/>
      <c r="Y330" s="242"/>
      <c r="Z330" s="242"/>
    </row>
    <row r="331">
      <c r="A331" s="242"/>
      <c r="B331" s="242"/>
      <c r="C331" s="242"/>
      <c r="D331" s="242"/>
      <c r="E331" s="242"/>
      <c r="F331" s="242"/>
      <c r="G331" s="242"/>
      <c r="H331" s="242"/>
      <c r="I331" s="242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42"/>
      <c r="W331" s="242"/>
      <c r="X331" s="242"/>
      <c r="Y331" s="242"/>
      <c r="Z331" s="242"/>
    </row>
    <row r="332">
      <c r="A332" s="242"/>
      <c r="B332" s="242"/>
      <c r="C332" s="242"/>
      <c r="D332" s="242"/>
      <c r="E332" s="242"/>
      <c r="F332" s="242"/>
      <c r="G332" s="242"/>
      <c r="H332" s="242"/>
      <c r="I332" s="242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42"/>
      <c r="W332" s="242"/>
      <c r="X332" s="242"/>
      <c r="Y332" s="242"/>
      <c r="Z332" s="242"/>
    </row>
    <row r="333">
      <c r="A333" s="242"/>
      <c r="B333" s="242"/>
      <c r="C333" s="242"/>
      <c r="D333" s="242"/>
      <c r="E333" s="242"/>
      <c r="F333" s="242"/>
      <c r="G333" s="242"/>
      <c r="H333" s="242"/>
      <c r="I333" s="242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42"/>
      <c r="W333" s="242"/>
      <c r="X333" s="242"/>
      <c r="Y333" s="242"/>
      <c r="Z333" s="242"/>
    </row>
    <row r="334">
      <c r="A334" s="242"/>
      <c r="B334" s="242"/>
      <c r="C334" s="242"/>
      <c r="D334" s="242"/>
      <c r="E334" s="242"/>
      <c r="F334" s="242"/>
      <c r="G334" s="242"/>
      <c r="H334" s="242"/>
      <c r="I334" s="242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42"/>
      <c r="W334" s="242"/>
      <c r="X334" s="242"/>
      <c r="Y334" s="242"/>
      <c r="Z334" s="242"/>
    </row>
    <row r="335">
      <c r="A335" s="242"/>
      <c r="B335" s="242"/>
      <c r="C335" s="242"/>
      <c r="D335" s="242"/>
      <c r="E335" s="242"/>
      <c r="F335" s="242"/>
      <c r="G335" s="242"/>
      <c r="H335" s="242"/>
      <c r="I335" s="242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42"/>
      <c r="W335" s="242"/>
      <c r="X335" s="242"/>
      <c r="Y335" s="242"/>
      <c r="Z335" s="242"/>
    </row>
    <row r="336">
      <c r="A336" s="242"/>
      <c r="B336" s="242"/>
      <c r="C336" s="242"/>
      <c r="D336" s="242"/>
      <c r="E336" s="242"/>
      <c r="F336" s="242"/>
      <c r="G336" s="242"/>
      <c r="H336" s="242"/>
      <c r="I336" s="242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42"/>
      <c r="W336" s="242"/>
      <c r="X336" s="242"/>
      <c r="Y336" s="242"/>
      <c r="Z336" s="242"/>
    </row>
    <row r="337">
      <c r="A337" s="242"/>
      <c r="B337" s="242"/>
      <c r="C337" s="242"/>
      <c r="D337" s="242"/>
      <c r="E337" s="242"/>
      <c r="F337" s="242"/>
      <c r="G337" s="242"/>
      <c r="H337" s="242"/>
      <c r="I337" s="242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42"/>
      <c r="W337" s="242"/>
      <c r="X337" s="242"/>
      <c r="Y337" s="242"/>
      <c r="Z337" s="242"/>
    </row>
    <row r="338">
      <c r="A338" s="242"/>
      <c r="B338" s="242"/>
      <c r="C338" s="242"/>
      <c r="D338" s="242"/>
      <c r="E338" s="242"/>
      <c r="F338" s="242"/>
      <c r="G338" s="242"/>
      <c r="H338" s="242"/>
      <c r="I338" s="242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42"/>
      <c r="W338" s="242"/>
      <c r="X338" s="242"/>
      <c r="Y338" s="242"/>
      <c r="Z338" s="242"/>
    </row>
    <row r="339">
      <c r="A339" s="242"/>
      <c r="B339" s="242"/>
      <c r="C339" s="242"/>
      <c r="D339" s="242"/>
      <c r="E339" s="242"/>
      <c r="F339" s="242"/>
      <c r="G339" s="242"/>
      <c r="H339" s="242"/>
      <c r="I339" s="242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42"/>
      <c r="W339" s="242"/>
      <c r="X339" s="242"/>
      <c r="Y339" s="242"/>
      <c r="Z339" s="242"/>
    </row>
    <row r="340">
      <c r="A340" s="242"/>
      <c r="B340" s="242"/>
      <c r="C340" s="242"/>
      <c r="D340" s="242"/>
      <c r="E340" s="242"/>
      <c r="F340" s="242"/>
      <c r="G340" s="242"/>
      <c r="H340" s="242"/>
      <c r="I340" s="242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42"/>
      <c r="W340" s="242"/>
      <c r="X340" s="242"/>
      <c r="Y340" s="242"/>
      <c r="Z340" s="242"/>
    </row>
    <row r="341">
      <c r="A341" s="242"/>
      <c r="B341" s="242"/>
      <c r="C341" s="242"/>
      <c r="D341" s="242"/>
      <c r="E341" s="242"/>
      <c r="F341" s="242"/>
      <c r="G341" s="242"/>
      <c r="H341" s="242"/>
      <c r="I341" s="242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42"/>
      <c r="W341" s="242"/>
      <c r="X341" s="242"/>
      <c r="Y341" s="242"/>
      <c r="Z341" s="242"/>
    </row>
    <row r="342">
      <c r="A342" s="242"/>
      <c r="B342" s="242"/>
      <c r="C342" s="242"/>
      <c r="D342" s="242"/>
      <c r="E342" s="242"/>
      <c r="F342" s="242"/>
      <c r="G342" s="242"/>
      <c r="H342" s="242"/>
      <c r="I342" s="242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42"/>
      <c r="W342" s="242"/>
      <c r="X342" s="242"/>
      <c r="Y342" s="242"/>
      <c r="Z342" s="242"/>
    </row>
    <row r="343">
      <c r="A343" s="242"/>
      <c r="B343" s="242"/>
      <c r="C343" s="242"/>
      <c r="D343" s="242"/>
      <c r="E343" s="242"/>
      <c r="F343" s="242"/>
      <c r="G343" s="242"/>
      <c r="H343" s="242"/>
      <c r="I343" s="242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2"/>
      <c r="V343" s="242"/>
      <c r="W343" s="242"/>
      <c r="X343" s="242"/>
      <c r="Y343" s="242"/>
      <c r="Z343" s="242"/>
    </row>
    <row r="344">
      <c r="A344" s="242"/>
      <c r="B344" s="242"/>
      <c r="C344" s="242"/>
      <c r="D344" s="242"/>
      <c r="E344" s="242"/>
      <c r="F344" s="242"/>
      <c r="G344" s="242"/>
      <c r="H344" s="242"/>
      <c r="I344" s="242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42"/>
      <c r="W344" s="242"/>
      <c r="X344" s="242"/>
      <c r="Y344" s="242"/>
      <c r="Z344" s="242"/>
    </row>
    <row r="345">
      <c r="A345" s="242"/>
      <c r="B345" s="242"/>
      <c r="C345" s="242"/>
      <c r="D345" s="242"/>
      <c r="E345" s="242"/>
      <c r="F345" s="242"/>
      <c r="G345" s="242"/>
      <c r="H345" s="242"/>
      <c r="I345" s="242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42"/>
      <c r="W345" s="242"/>
      <c r="X345" s="242"/>
      <c r="Y345" s="242"/>
      <c r="Z345" s="242"/>
    </row>
    <row r="346">
      <c r="A346" s="242"/>
      <c r="B346" s="242"/>
      <c r="C346" s="242"/>
      <c r="D346" s="242"/>
      <c r="E346" s="242"/>
      <c r="F346" s="242"/>
      <c r="G346" s="242"/>
      <c r="H346" s="242"/>
      <c r="I346" s="242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2"/>
      <c r="V346" s="242"/>
      <c r="W346" s="242"/>
      <c r="X346" s="242"/>
      <c r="Y346" s="242"/>
      <c r="Z346" s="242"/>
    </row>
    <row r="347">
      <c r="A347" s="242"/>
      <c r="B347" s="242"/>
      <c r="C347" s="242"/>
      <c r="D347" s="242"/>
      <c r="E347" s="242"/>
      <c r="F347" s="242"/>
      <c r="G347" s="242"/>
      <c r="H347" s="242"/>
      <c r="I347" s="242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2"/>
      <c r="V347" s="242"/>
      <c r="W347" s="242"/>
      <c r="X347" s="242"/>
      <c r="Y347" s="242"/>
      <c r="Z347" s="242"/>
    </row>
    <row r="348">
      <c r="A348" s="242"/>
      <c r="B348" s="242"/>
      <c r="C348" s="242"/>
      <c r="D348" s="242"/>
      <c r="E348" s="242"/>
      <c r="F348" s="242"/>
      <c r="G348" s="242"/>
      <c r="H348" s="242"/>
      <c r="I348" s="242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2"/>
      <c r="V348" s="242"/>
      <c r="W348" s="242"/>
      <c r="X348" s="242"/>
      <c r="Y348" s="242"/>
      <c r="Z348" s="242"/>
    </row>
    <row r="349">
      <c r="A349" s="242"/>
      <c r="B349" s="242"/>
      <c r="C349" s="242"/>
      <c r="D349" s="242"/>
      <c r="E349" s="242"/>
      <c r="F349" s="242"/>
      <c r="G349" s="242"/>
      <c r="H349" s="242"/>
      <c r="I349" s="242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2"/>
      <c r="V349" s="242"/>
      <c r="W349" s="242"/>
      <c r="X349" s="242"/>
      <c r="Y349" s="242"/>
      <c r="Z349" s="242"/>
    </row>
    <row r="350">
      <c r="A350" s="242"/>
      <c r="B350" s="242"/>
      <c r="C350" s="242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2"/>
      <c r="V350" s="242"/>
      <c r="W350" s="242"/>
      <c r="X350" s="242"/>
      <c r="Y350" s="242"/>
      <c r="Z350" s="242"/>
    </row>
    <row r="351">
      <c r="A351" s="242"/>
      <c r="B351" s="242"/>
      <c r="C351" s="242"/>
      <c r="D351" s="242"/>
      <c r="E351" s="242"/>
      <c r="F351" s="242"/>
      <c r="G351" s="242"/>
      <c r="H351" s="242"/>
      <c r="I351" s="242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2"/>
      <c r="V351" s="242"/>
      <c r="W351" s="242"/>
      <c r="X351" s="242"/>
      <c r="Y351" s="242"/>
      <c r="Z351" s="242"/>
    </row>
    <row r="352">
      <c r="A352" s="242"/>
      <c r="B352" s="242"/>
      <c r="C352" s="242"/>
      <c r="D352" s="242"/>
      <c r="E352" s="242"/>
      <c r="F352" s="242"/>
      <c r="G352" s="242"/>
      <c r="H352" s="242"/>
      <c r="I352" s="242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2"/>
      <c r="V352" s="242"/>
      <c r="W352" s="242"/>
      <c r="X352" s="242"/>
      <c r="Y352" s="242"/>
      <c r="Z352" s="242"/>
    </row>
    <row r="353">
      <c r="A353" s="242"/>
      <c r="B353" s="242"/>
      <c r="C353" s="242"/>
      <c r="D353" s="242"/>
      <c r="E353" s="242"/>
      <c r="F353" s="242"/>
      <c r="G353" s="242"/>
      <c r="H353" s="242"/>
      <c r="I353" s="242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2"/>
      <c r="V353" s="242"/>
      <c r="W353" s="242"/>
      <c r="X353" s="242"/>
      <c r="Y353" s="242"/>
      <c r="Z353" s="242"/>
    </row>
    <row r="354">
      <c r="A354" s="242"/>
      <c r="B354" s="242"/>
      <c r="C354" s="242"/>
      <c r="D354" s="242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2"/>
      <c r="V354" s="242"/>
      <c r="W354" s="242"/>
      <c r="X354" s="242"/>
      <c r="Y354" s="242"/>
      <c r="Z354" s="242"/>
    </row>
    <row r="355">
      <c r="A355" s="242"/>
      <c r="B355" s="242"/>
      <c r="C355" s="242"/>
      <c r="D355" s="242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2"/>
      <c r="V355" s="242"/>
      <c r="W355" s="242"/>
      <c r="X355" s="242"/>
      <c r="Y355" s="242"/>
      <c r="Z355" s="242"/>
    </row>
    <row r="356">
      <c r="A356" s="242"/>
      <c r="B356" s="242"/>
      <c r="C356" s="242"/>
      <c r="D356" s="242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2"/>
      <c r="V356" s="242"/>
      <c r="W356" s="242"/>
      <c r="X356" s="242"/>
      <c r="Y356" s="242"/>
      <c r="Z356" s="242"/>
    </row>
    <row r="357">
      <c r="A357" s="242"/>
      <c r="B357" s="242"/>
      <c r="C357" s="242"/>
      <c r="D357" s="242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2"/>
      <c r="V357" s="242"/>
      <c r="W357" s="242"/>
      <c r="X357" s="242"/>
      <c r="Y357" s="242"/>
      <c r="Z357" s="242"/>
    </row>
    <row r="358">
      <c r="A358" s="242"/>
      <c r="B358" s="242"/>
      <c r="C358" s="242"/>
      <c r="D358" s="242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2"/>
      <c r="V358" s="242"/>
      <c r="W358" s="242"/>
      <c r="X358" s="242"/>
      <c r="Y358" s="242"/>
      <c r="Z358" s="242"/>
    </row>
    <row r="359">
      <c r="A359" s="242"/>
      <c r="B359" s="242"/>
      <c r="C359" s="242"/>
      <c r="D359" s="242"/>
      <c r="E359" s="242"/>
      <c r="F359" s="242"/>
      <c r="G359" s="242"/>
      <c r="H359" s="242"/>
      <c r="I359" s="242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2"/>
      <c r="V359" s="242"/>
      <c r="W359" s="242"/>
      <c r="X359" s="242"/>
      <c r="Y359" s="242"/>
      <c r="Z359" s="242"/>
    </row>
    <row r="360">
      <c r="A360" s="242"/>
      <c r="B360" s="242"/>
      <c r="C360" s="242"/>
      <c r="D360" s="242"/>
      <c r="E360" s="242"/>
      <c r="F360" s="242"/>
      <c r="G360" s="242"/>
      <c r="H360" s="242"/>
      <c r="I360" s="242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2"/>
      <c r="V360" s="242"/>
      <c r="W360" s="242"/>
      <c r="X360" s="242"/>
      <c r="Y360" s="242"/>
      <c r="Z360" s="242"/>
    </row>
    <row r="361">
      <c r="A361" s="242"/>
      <c r="B361" s="242"/>
      <c r="C361" s="242"/>
      <c r="D361" s="242"/>
      <c r="E361" s="242"/>
      <c r="F361" s="242"/>
      <c r="G361" s="242"/>
      <c r="H361" s="242"/>
      <c r="I361" s="242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2"/>
      <c r="V361" s="242"/>
      <c r="W361" s="242"/>
      <c r="X361" s="242"/>
      <c r="Y361" s="242"/>
      <c r="Z361" s="242"/>
    </row>
    <row r="362">
      <c r="A362" s="242"/>
      <c r="B362" s="242"/>
      <c r="C362" s="242"/>
      <c r="D362" s="242"/>
      <c r="E362" s="242"/>
      <c r="F362" s="242"/>
      <c r="G362" s="242"/>
      <c r="H362" s="242"/>
      <c r="I362" s="242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2"/>
      <c r="V362" s="242"/>
      <c r="W362" s="242"/>
      <c r="X362" s="242"/>
      <c r="Y362" s="242"/>
      <c r="Z362" s="242"/>
    </row>
    <row r="363">
      <c r="A363" s="242"/>
      <c r="B363" s="242"/>
      <c r="C363" s="242"/>
      <c r="D363" s="242"/>
      <c r="E363" s="242"/>
      <c r="F363" s="242"/>
      <c r="G363" s="242"/>
      <c r="H363" s="242"/>
      <c r="I363" s="242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2"/>
      <c r="V363" s="242"/>
      <c r="W363" s="242"/>
      <c r="X363" s="242"/>
      <c r="Y363" s="242"/>
      <c r="Z363" s="242"/>
    </row>
    <row r="364">
      <c r="A364" s="242"/>
      <c r="B364" s="242"/>
      <c r="C364" s="242"/>
      <c r="D364" s="242"/>
      <c r="E364" s="242"/>
      <c r="F364" s="242"/>
      <c r="G364" s="242"/>
      <c r="H364" s="242"/>
      <c r="I364" s="242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2"/>
      <c r="V364" s="242"/>
      <c r="W364" s="242"/>
      <c r="X364" s="242"/>
      <c r="Y364" s="242"/>
      <c r="Z364" s="242"/>
    </row>
    <row r="365">
      <c r="A365" s="242"/>
      <c r="B365" s="242"/>
      <c r="C365" s="242"/>
      <c r="D365" s="242"/>
      <c r="E365" s="242"/>
      <c r="F365" s="242"/>
      <c r="G365" s="242"/>
      <c r="H365" s="242"/>
      <c r="I365" s="242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2"/>
      <c r="V365" s="242"/>
      <c r="W365" s="242"/>
      <c r="X365" s="242"/>
      <c r="Y365" s="242"/>
      <c r="Z365" s="242"/>
    </row>
    <row r="366">
      <c r="A366" s="242"/>
      <c r="B366" s="242"/>
      <c r="C366" s="242"/>
      <c r="D366" s="242"/>
      <c r="E366" s="242"/>
      <c r="F366" s="242"/>
      <c r="G366" s="242"/>
      <c r="H366" s="242"/>
      <c r="I366" s="242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2"/>
      <c r="V366" s="242"/>
      <c r="W366" s="242"/>
      <c r="X366" s="242"/>
      <c r="Y366" s="242"/>
      <c r="Z366" s="242"/>
    </row>
    <row r="367">
      <c r="A367" s="242"/>
      <c r="B367" s="242"/>
      <c r="C367" s="242"/>
      <c r="D367" s="242"/>
      <c r="E367" s="242"/>
      <c r="F367" s="242"/>
      <c r="G367" s="242"/>
      <c r="H367" s="242"/>
      <c r="I367" s="242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2"/>
      <c r="V367" s="242"/>
      <c r="W367" s="242"/>
      <c r="X367" s="242"/>
      <c r="Y367" s="242"/>
      <c r="Z367" s="242"/>
    </row>
    <row r="368">
      <c r="A368" s="242"/>
      <c r="B368" s="242"/>
      <c r="C368" s="242"/>
      <c r="D368" s="242"/>
      <c r="E368" s="242"/>
      <c r="F368" s="242"/>
      <c r="G368" s="242"/>
      <c r="H368" s="242"/>
      <c r="I368" s="242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2"/>
      <c r="V368" s="242"/>
      <c r="W368" s="242"/>
      <c r="X368" s="242"/>
      <c r="Y368" s="242"/>
      <c r="Z368" s="242"/>
    </row>
    <row r="369">
      <c r="A369" s="242"/>
      <c r="B369" s="242"/>
      <c r="C369" s="242"/>
      <c r="D369" s="242"/>
      <c r="E369" s="242"/>
      <c r="F369" s="242"/>
      <c r="G369" s="242"/>
      <c r="H369" s="242"/>
      <c r="I369" s="242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2"/>
      <c r="V369" s="242"/>
      <c r="W369" s="242"/>
      <c r="X369" s="242"/>
      <c r="Y369" s="242"/>
      <c r="Z369" s="242"/>
    </row>
    <row r="370">
      <c r="A370" s="242"/>
      <c r="B370" s="242"/>
      <c r="C370" s="242"/>
      <c r="D370" s="242"/>
      <c r="E370" s="242"/>
      <c r="F370" s="242"/>
      <c r="G370" s="242"/>
      <c r="H370" s="242"/>
      <c r="I370" s="242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2"/>
      <c r="V370" s="242"/>
      <c r="W370" s="242"/>
      <c r="X370" s="242"/>
      <c r="Y370" s="242"/>
      <c r="Z370" s="242"/>
    </row>
    <row r="371">
      <c r="A371" s="242"/>
      <c r="B371" s="242"/>
      <c r="C371" s="242"/>
      <c r="D371" s="242"/>
      <c r="E371" s="242"/>
      <c r="F371" s="242"/>
      <c r="G371" s="242"/>
      <c r="H371" s="242"/>
      <c r="I371" s="242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2"/>
      <c r="V371" s="242"/>
      <c r="W371" s="242"/>
      <c r="X371" s="242"/>
      <c r="Y371" s="242"/>
      <c r="Z371" s="242"/>
    </row>
    <row r="372">
      <c r="A372" s="242"/>
      <c r="B372" s="242"/>
      <c r="C372" s="242"/>
      <c r="D372" s="242"/>
      <c r="E372" s="242"/>
      <c r="F372" s="242"/>
      <c r="G372" s="242"/>
      <c r="H372" s="242"/>
      <c r="I372" s="242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2"/>
      <c r="V372" s="242"/>
      <c r="W372" s="242"/>
      <c r="X372" s="242"/>
      <c r="Y372" s="242"/>
      <c r="Z372" s="242"/>
    </row>
    <row r="373">
      <c r="A373" s="242"/>
      <c r="B373" s="242"/>
      <c r="C373" s="242"/>
      <c r="D373" s="242"/>
      <c r="E373" s="242"/>
      <c r="F373" s="242"/>
      <c r="G373" s="242"/>
      <c r="H373" s="242"/>
      <c r="I373" s="242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2"/>
      <c r="V373" s="242"/>
      <c r="W373" s="242"/>
      <c r="X373" s="242"/>
      <c r="Y373" s="242"/>
      <c r="Z373" s="242"/>
    </row>
    <row r="374">
      <c r="A374" s="242"/>
      <c r="B374" s="242"/>
      <c r="C374" s="242"/>
      <c r="D374" s="242"/>
      <c r="E374" s="242"/>
      <c r="F374" s="242"/>
      <c r="G374" s="242"/>
      <c r="H374" s="242"/>
      <c r="I374" s="242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2"/>
      <c r="V374" s="242"/>
      <c r="W374" s="242"/>
      <c r="X374" s="242"/>
      <c r="Y374" s="242"/>
      <c r="Z374" s="242"/>
    </row>
    <row r="375">
      <c r="A375" s="242"/>
      <c r="B375" s="242"/>
      <c r="C375" s="242"/>
      <c r="D375" s="242"/>
      <c r="E375" s="242"/>
      <c r="F375" s="242"/>
      <c r="G375" s="242"/>
      <c r="H375" s="242"/>
      <c r="I375" s="242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2"/>
      <c r="V375" s="242"/>
      <c r="W375" s="242"/>
      <c r="X375" s="242"/>
      <c r="Y375" s="242"/>
      <c r="Z375" s="242"/>
    </row>
    <row r="376">
      <c r="A376" s="242"/>
      <c r="B376" s="242"/>
      <c r="C376" s="242"/>
      <c r="D376" s="242"/>
      <c r="E376" s="242"/>
      <c r="F376" s="242"/>
      <c r="G376" s="242"/>
      <c r="H376" s="242"/>
      <c r="I376" s="242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2"/>
      <c r="V376" s="242"/>
      <c r="W376" s="242"/>
      <c r="X376" s="242"/>
      <c r="Y376" s="242"/>
      <c r="Z376" s="242"/>
    </row>
    <row r="377">
      <c r="A377" s="242"/>
      <c r="B377" s="242"/>
      <c r="C377" s="242"/>
      <c r="D377" s="242"/>
      <c r="E377" s="242"/>
      <c r="F377" s="242"/>
      <c r="G377" s="242"/>
      <c r="H377" s="242"/>
      <c r="I377" s="242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2"/>
      <c r="V377" s="242"/>
      <c r="W377" s="242"/>
      <c r="X377" s="242"/>
      <c r="Y377" s="242"/>
      <c r="Z377" s="242"/>
    </row>
    <row r="378">
      <c r="A378" s="242"/>
      <c r="B378" s="242"/>
      <c r="C378" s="242"/>
      <c r="D378" s="242"/>
      <c r="E378" s="242"/>
      <c r="F378" s="242"/>
      <c r="G378" s="242"/>
      <c r="H378" s="242"/>
      <c r="I378" s="242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2"/>
      <c r="V378" s="242"/>
      <c r="W378" s="242"/>
      <c r="X378" s="242"/>
      <c r="Y378" s="242"/>
      <c r="Z378" s="242"/>
    </row>
    <row r="379">
      <c r="A379" s="242"/>
      <c r="B379" s="242"/>
      <c r="C379" s="242"/>
      <c r="D379" s="242"/>
      <c r="E379" s="242"/>
      <c r="F379" s="242"/>
      <c r="G379" s="242"/>
      <c r="H379" s="242"/>
      <c r="I379" s="242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2"/>
      <c r="V379" s="242"/>
      <c r="W379" s="242"/>
      <c r="X379" s="242"/>
      <c r="Y379" s="242"/>
      <c r="Z379" s="242"/>
    </row>
    <row r="380">
      <c r="A380" s="242"/>
      <c r="B380" s="242"/>
      <c r="C380" s="242"/>
      <c r="D380" s="242"/>
      <c r="E380" s="242"/>
      <c r="F380" s="242"/>
      <c r="G380" s="242"/>
      <c r="H380" s="242"/>
      <c r="I380" s="242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2"/>
      <c r="V380" s="242"/>
      <c r="W380" s="242"/>
      <c r="X380" s="242"/>
      <c r="Y380" s="242"/>
      <c r="Z380" s="242"/>
    </row>
    <row r="381">
      <c r="A381" s="242"/>
      <c r="B381" s="242"/>
      <c r="C381" s="242"/>
      <c r="D381" s="242"/>
      <c r="E381" s="242"/>
      <c r="F381" s="242"/>
      <c r="G381" s="242"/>
      <c r="H381" s="242"/>
      <c r="I381" s="242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2"/>
      <c r="V381" s="242"/>
      <c r="W381" s="242"/>
      <c r="X381" s="242"/>
      <c r="Y381" s="242"/>
      <c r="Z381" s="242"/>
    </row>
    <row r="382">
      <c r="A382" s="242"/>
      <c r="B382" s="242"/>
      <c r="C382" s="242"/>
      <c r="D382" s="242"/>
      <c r="E382" s="242"/>
      <c r="F382" s="242"/>
      <c r="G382" s="242"/>
      <c r="H382" s="242"/>
      <c r="I382" s="242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2"/>
      <c r="V382" s="242"/>
      <c r="W382" s="242"/>
      <c r="X382" s="242"/>
      <c r="Y382" s="242"/>
      <c r="Z382" s="242"/>
    </row>
    <row r="383">
      <c r="A383" s="242"/>
      <c r="B383" s="242"/>
      <c r="C383" s="242"/>
      <c r="D383" s="242"/>
      <c r="E383" s="242"/>
      <c r="F383" s="242"/>
      <c r="G383" s="242"/>
      <c r="H383" s="242"/>
      <c r="I383" s="242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2"/>
      <c r="V383" s="242"/>
      <c r="W383" s="242"/>
      <c r="X383" s="242"/>
      <c r="Y383" s="242"/>
      <c r="Z383" s="242"/>
    </row>
    <row r="384">
      <c r="A384" s="242"/>
      <c r="B384" s="242"/>
      <c r="C384" s="242"/>
      <c r="D384" s="242"/>
      <c r="E384" s="242"/>
      <c r="F384" s="242"/>
      <c r="G384" s="242"/>
      <c r="H384" s="242"/>
      <c r="I384" s="242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2"/>
      <c r="V384" s="242"/>
      <c r="W384" s="242"/>
      <c r="X384" s="242"/>
      <c r="Y384" s="242"/>
      <c r="Z384" s="242"/>
    </row>
    <row r="385">
      <c r="A385" s="242"/>
      <c r="B385" s="242"/>
      <c r="C385" s="242"/>
      <c r="D385" s="242"/>
      <c r="E385" s="242"/>
      <c r="F385" s="242"/>
      <c r="G385" s="242"/>
      <c r="H385" s="242"/>
      <c r="I385" s="242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2"/>
      <c r="V385" s="242"/>
      <c r="W385" s="242"/>
      <c r="X385" s="242"/>
      <c r="Y385" s="242"/>
      <c r="Z385" s="242"/>
    </row>
    <row r="386">
      <c r="A386" s="242"/>
      <c r="B386" s="242"/>
      <c r="C386" s="242"/>
      <c r="D386" s="242"/>
      <c r="E386" s="242"/>
      <c r="F386" s="242"/>
      <c r="G386" s="242"/>
      <c r="H386" s="242"/>
      <c r="I386" s="242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2"/>
      <c r="V386" s="242"/>
      <c r="W386" s="242"/>
      <c r="X386" s="242"/>
      <c r="Y386" s="242"/>
      <c r="Z386" s="242"/>
    </row>
    <row r="387">
      <c r="A387" s="242"/>
      <c r="B387" s="242"/>
      <c r="C387" s="242"/>
      <c r="D387" s="242"/>
      <c r="E387" s="242"/>
      <c r="F387" s="242"/>
      <c r="G387" s="242"/>
      <c r="H387" s="242"/>
      <c r="I387" s="242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2"/>
      <c r="V387" s="242"/>
      <c r="W387" s="242"/>
      <c r="X387" s="242"/>
      <c r="Y387" s="242"/>
      <c r="Z387" s="242"/>
    </row>
    <row r="388">
      <c r="A388" s="242"/>
      <c r="B388" s="242"/>
      <c r="C388" s="242"/>
      <c r="D388" s="242"/>
      <c r="E388" s="242"/>
      <c r="F388" s="242"/>
      <c r="G388" s="242"/>
      <c r="H388" s="242"/>
      <c r="I388" s="242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2"/>
      <c r="V388" s="242"/>
      <c r="W388" s="242"/>
      <c r="X388" s="242"/>
      <c r="Y388" s="242"/>
      <c r="Z388" s="242"/>
    </row>
    <row r="389">
      <c r="A389" s="242"/>
      <c r="B389" s="242"/>
      <c r="C389" s="242"/>
      <c r="D389" s="242"/>
      <c r="E389" s="242"/>
      <c r="F389" s="242"/>
      <c r="G389" s="242"/>
      <c r="H389" s="242"/>
      <c r="I389" s="242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2"/>
      <c r="V389" s="242"/>
      <c r="W389" s="242"/>
      <c r="X389" s="242"/>
      <c r="Y389" s="242"/>
      <c r="Z389" s="242"/>
    </row>
    <row r="390">
      <c r="A390" s="242"/>
      <c r="B390" s="242"/>
      <c r="C390" s="242"/>
      <c r="D390" s="242"/>
      <c r="E390" s="242"/>
      <c r="F390" s="242"/>
      <c r="G390" s="242"/>
      <c r="H390" s="242"/>
      <c r="I390" s="242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2"/>
      <c r="V390" s="242"/>
      <c r="W390" s="242"/>
      <c r="X390" s="242"/>
      <c r="Y390" s="242"/>
      <c r="Z390" s="242"/>
    </row>
    <row r="391">
      <c r="A391" s="242"/>
      <c r="B391" s="242"/>
      <c r="C391" s="242"/>
      <c r="D391" s="242"/>
      <c r="E391" s="242"/>
      <c r="F391" s="242"/>
      <c r="G391" s="242"/>
      <c r="H391" s="242"/>
      <c r="I391" s="242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2"/>
      <c r="V391" s="242"/>
      <c r="W391" s="242"/>
      <c r="X391" s="242"/>
      <c r="Y391" s="242"/>
      <c r="Z391" s="242"/>
    </row>
    <row r="392">
      <c r="A392" s="242"/>
      <c r="B392" s="242"/>
      <c r="C392" s="242"/>
      <c r="D392" s="242"/>
      <c r="E392" s="242"/>
      <c r="F392" s="242"/>
      <c r="G392" s="242"/>
      <c r="H392" s="242"/>
      <c r="I392" s="242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2"/>
      <c r="V392" s="242"/>
      <c r="W392" s="242"/>
      <c r="X392" s="242"/>
      <c r="Y392" s="242"/>
      <c r="Z392" s="242"/>
    </row>
    <row r="393">
      <c r="A393" s="242"/>
      <c r="B393" s="242"/>
      <c r="C393" s="242"/>
      <c r="D393" s="242"/>
      <c r="E393" s="242"/>
      <c r="F393" s="242"/>
      <c r="G393" s="242"/>
      <c r="H393" s="242"/>
      <c r="I393" s="242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2"/>
      <c r="V393" s="242"/>
      <c r="W393" s="242"/>
      <c r="X393" s="242"/>
      <c r="Y393" s="242"/>
      <c r="Z393" s="242"/>
    </row>
    <row r="394">
      <c r="A394" s="242"/>
      <c r="B394" s="242"/>
      <c r="C394" s="242"/>
      <c r="D394" s="242"/>
      <c r="E394" s="242"/>
      <c r="F394" s="242"/>
      <c r="G394" s="242"/>
      <c r="H394" s="242"/>
      <c r="I394" s="242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2"/>
      <c r="V394" s="242"/>
      <c r="W394" s="242"/>
      <c r="X394" s="242"/>
      <c r="Y394" s="242"/>
      <c r="Z394" s="242"/>
    </row>
    <row r="395">
      <c r="A395" s="242"/>
      <c r="B395" s="242"/>
      <c r="C395" s="242"/>
      <c r="D395" s="242"/>
      <c r="E395" s="242"/>
      <c r="F395" s="242"/>
      <c r="G395" s="242"/>
      <c r="H395" s="242"/>
      <c r="I395" s="242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2"/>
      <c r="V395" s="242"/>
      <c r="W395" s="242"/>
      <c r="X395" s="242"/>
      <c r="Y395" s="242"/>
      <c r="Z395" s="242"/>
    </row>
    <row r="396">
      <c r="A396" s="242"/>
      <c r="B396" s="242"/>
      <c r="C396" s="242"/>
      <c r="D396" s="242"/>
      <c r="E396" s="242"/>
      <c r="F396" s="242"/>
      <c r="G396" s="242"/>
      <c r="H396" s="242"/>
      <c r="I396" s="242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2"/>
      <c r="V396" s="242"/>
      <c r="W396" s="242"/>
      <c r="X396" s="242"/>
      <c r="Y396" s="242"/>
      <c r="Z396" s="242"/>
    </row>
    <row r="397">
      <c r="A397" s="242"/>
      <c r="B397" s="242"/>
      <c r="C397" s="242"/>
      <c r="D397" s="242"/>
      <c r="E397" s="242"/>
      <c r="F397" s="242"/>
      <c r="G397" s="242"/>
      <c r="H397" s="242"/>
      <c r="I397" s="242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2"/>
      <c r="V397" s="242"/>
      <c r="W397" s="242"/>
      <c r="X397" s="242"/>
      <c r="Y397" s="242"/>
      <c r="Z397" s="242"/>
    </row>
    <row r="398">
      <c r="A398" s="242"/>
      <c r="B398" s="242"/>
      <c r="C398" s="242"/>
      <c r="D398" s="242"/>
      <c r="E398" s="242"/>
      <c r="F398" s="242"/>
      <c r="G398" s="242"/>
      <c r="H398" s="242"/>
      <c r="I398" s="242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2"/>
      <c r="V398" s="242"/>
      <c r="W398" s="242"/>
      <c r="X398" s="242"/>
      <c r="Y398" s="242"/>
      <c r="Z398" s="242"/>
    </row>
    <row r="399">
      <c r="A399" s="242"/>
      <c r="B399" s="242"/>
      <c r="C399" s="242"/>
      <c r="D399" s="242"/>
      <c r="E399" s="242"/>
      <c r="F399" s="242"/>
      <c r="G399" s="242"/>
      <c r="H399" s="242"/>
      <c r="I399" s="242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2"/>
      <c r="V399" s="242"/>
      <c r="W399" s="242"/>
      <c r="X399" s="242"/>
      <c r="Y399" s="242"/>
      <c r="Z399" s="242"/>
    </row>
    <row r="400">
      <c r="A400" s="242"/>
      <c r="B400" s="242"/>
      <c r="C400" s="242"/>
      <c r="D400" s="242"/>
      <c r="E400" s="242"/>
      <c r="F400" s="242"/>
      <c r="G400" s="242"/>
      <c r="H400" s="242"/>
      <c r="I400" s="242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2"/>
      <c r="V400" s="242"/>
      <c r="W400" s="242"/>
      <c r="X400" s="242"/>
      <c r="Y400" s="242"/>
      <c r="Z400" s="242"/>
    </row>
    <row r="401">
      <c r="A401" s="242"/>
      <c r="B401" s="242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2"/>
      <c r="V401" s="242"/>
      <c r="W401" s="242"/>
      <c r="X401" s="242"/>
      <c r="Y401" s="242"/>
      <c r="Z401" s="242"/>
    </row>
    <row r="402">
      <c r="A402" s="242"/>
      <c r="B402" s="242"/>
      <c r="C402" s="242"/>
      <c r="D402" s="242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2"/>
      <c r="V402" s="242"/>
      <c r="W402" s="242"/>
      <c r="X402" s="242"/>
      <c r="Y402" s="242"/>
      <c r="Z402" s="242"/>
    </row>
    <row r="403">
      <c r="A403" s="242"/>
      <c r="B403" s="242"/>
      <c r="C403" s="242"/>
      <c r="D403" s="242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2"/>
      <c r="V403" s="242"/>
      <c r="W403" s="242"/>
      <c r="X403" s="242"/>
      <c r="Y403" s="242"/>
      <c r="Z403" s="242"/>
    </row>
    <row r="404">
      <c r="A404" s="242"/>
      <c r="B404" s="242"/>
      <c r="C404" s="242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2"/>
      <c r="V404" s="242"/>
      <c r="W404" s="242"/>
      <c r="X404" s="242"/>
      <c r="Y404" s="242"/>
      <c r="Z404" s="242"/>
    </row>
    <row r="405">
      <c r="A405" s="242"/>
      <c r="B405" s="242"/>
      <c r="C405" s="242"/>
      <c r="D405" s="242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2"/>
      <c r="V405" s="242"/>
      <c r="W405" s="242"/>
      <c r="X405" s="242"/>
      <c r="Y405" s="242"/>
      <c r="Z405" s="242"/>
    </row>
    <row r="406">
      <c r="A406" s="242"/>
      <c r="B406" s="242"/>
      <c r="C406" s="242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2"/>
      <c r="V406" s="242"/>
      <c r="W406" s="242"/>
      <c r="X406" s="242"/>
      <c r="Y406" s="242"/>
      <c r="Z406" s="242"/>
    </row>
    <row r="407">
      <c r="A407" s="242"/>
      <c r="B407" s="242"/>
      <c r="C407" s="242"/>
      <c r="D407" s="242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2"/>
      <c r="V407" s="242"/>
      <c r="W407" s="242"/>
      <c r="X407" s="242"/>
      <c r="Y407" s="242"/>
      <c r="Z407" s="242"/>
    </row>
    <row r="408">
      <c r="A408" s="242"/>
      <c r="B408" s="242"/>
      <c r="C408" s="242"/>
      <c r="D408" s="242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2"/>
      <c r="V408" s="242"/>
      <c r="W408" s="242"/>
      <c r="X408" s="242"/>
      <c r="Y408" s="242"/>
      <c r="Z408" s="242"/>
    </row>
    <row r="409">
      <c r="A409" s="242"/>
      <c r="B409" s="242"/>
      <c r="C409" s="242"/>
      <c r="D409" s="242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2"/>
      <c r="V409" s="242"/>
      <c r="W409" s="242"/>
      <c r="X409" s="242"/>
      <c r="Y409" s="242"/>
      <c r="Z409" s="242"/>
    </row>
    <row r="410">
      <c r="A410" s="242"/>
      <c r="B410" s="242"/>
      <c r="C410" s="242"/>
      <c r="D410" s="242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2"/>
      <c r="V410" s="242"/>
      <c r="W410" s="242"/>
      <c r="X410" s="242"/>
      <c r="Y410" s="242"/>
      <c r="Z410" s="242"/>
    </row>
    <row r="411">
      <c r="A411" s="242"/>
      <c r="B411" s="242"/>
      <c r="C411" s="242"/>
      <c r="D411" s="242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2"/>
      <c r="V411" s="242"/>
      <c r="W411" s="242"/>
      <c r="X411" s="242"/>
      <c r="Y411" s="242"/>
      <c r="Z411" s="242"/>
    </row>
    <row r="412">
      <c r="A412" s="242"/>
      <c r="B412" s="242"/>
      <c r="C412" s="242"/>
      <c r="D412" s="242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2"/>
      <c r="V412" s="242"/>
      <c r="W412" s="242"/>
      <c r="X412" s="242"/>
      <c r="Y412" s="242"/>
      <c r="Z412" s="242"/>
    </row>
    <row r="413">
      <c r="A413" s="242"/>
      <c r="B413" s="242"/>
      <c r="C413" s="242"/>
      <c r="D413" s="242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2"/>
      <c r="V413" s="242"/>
      <c r="W413" s="242"/>
      <c r="X413" s="242"/>
      <c r="Y413" s="242"/>
      <c r="Z413" s="242"/>
    </row>
    <row r="414">
      <c r="A414" s="242"/>
      <c r="B414" s="242"/>
      <c r="C414" s="242"/>
      <c r="D414" s="242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2"/>
      <c r="V414" s="242"/>
      <c r="W414" s="242"/>
      <c r="X414" s="242"/>
      <c r="Y414" s="242"/>
      <c r="Z414" s="242"/>
    </row>
    <row r="415">
      <c r="A415" s="242"/>
      <c r="B415" s="242"/>
      <c r="C415" s="242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2"/>
      <c r="V415" s="242"/>
      <c r="W415" s="242"/>
      <c r="X415" s="242"/>
      <c r="Y415" s="242"/>
      <c r="Z415" s="242"/>
    </row>
    <row r="416">
      <c r="A416" s="242"/>
      <c r="B416" s="242"/>
      <c r="C416" s="242"/>
      <c r="D416" s="242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2"/>
      <c r="V416" s="242"/>
      <c r="W416" s="242"/>
      <c r="X416" s="242"/>
      <c r="Y416" s="242"/>
      <c r="Z416" s="242"/>
    </row>
    <row r="417">
      <c r="A417" s="242"/>
      <c r="B417" s="242"/>
      <c r="C417" s="242"/>
      <c r="D417" s="242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2"/>
      <c r="V417" s="242"/>
      <c r="W417" s="242"/>
      <c r="X417" s="242"/>
      <c r="Y417" s="242"/>
      <c r="Z417" s="242"/>
    </row>
    <row r="418">
      <c r="A418" s="242"/>
      <c r="B418" s="242"/>
      <c r="C418" s="242"/>
      <c r="D418" s="242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2"/>
      <c r="V418" s="242"/>
      <c r="W418" s="242"/>
      <c r="X418" s="242"/>
      <c r="Y418" s="242"/>
      <c r="Z418" s="242"/>
    </row>
    <row r="419">
      <c r="A419" s="242"/>
      <c r="B419" s="242"/>
      <c r="C419" s="242"/>
      <c r="D419" s="242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2"/>
      <c r="V419" s="242"/>
      <c r="W419" s="242"/>
      <c r="X419" s="242"/>
      <c r="Y419" s="242"/>
      <c r="Z419" s="242"/>
    </row>
    <row r="420">
      <c r="A420" s="242"/>
      <c r="B420" s="242"/>
      <c r="C420" s="242"/>
      <c r="D420" s="242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2"/>
      <c r="V420" s="242"/>
      <c r="W420" s="242"/>
      <c r="X420" s="242"/>
      <c r="Y420" s="242"/>
      <c r="Z420" s="242"/>
    </row>
    <row r="421">
      <c r="A421" s="242"/>
      <c r="B421" s="242"/>
      <c r="C421" s="242"/>
      <c r="D421" s="242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2"/>
      <c r="V421" s="242"/>
      <c r="W421" s="242"/>
      <c r="X421" s="242"/>
      <c r="Y421" s="242"/>
      <c r="Z421" s="242"/>
    </row>
    <row r="422">
      <c r="A422" s="242"/>
      <c r="B422" s="242"/>
      <c r="C422" s="242"/>
      <c r="D422" s="242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2"/>
      <c r="V422" s="242"/>
      <c r="W422" s="242"/>
      <c r="X422" s="242"/>
      <c r="Y422" s="242"/>
      <c r="Z422" s="242"/>
    </row>
    <row r="423">
      <c r="A423" s="242"/>
      <c r="B423" s="242"/>
      <c r="C423" s="242"/>
      <c r="D423" s="242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2"/>
      <c r="V423" s="242"/>
      <c r="W423" s="242"/>
      <c r="X423" s="242"/>
      <c r="Y423" s="242"/>
      <c r="Z423" s="242"/>
    </row>
    <row r="424">
      <c r="A424" s="242"/>
      <c r="B424" s="242"/>
      <c r="C424" s="242"/>
      <c r="D424" s="242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2"/>
      <c r="V424" s="242"/>
      <c r="W424" s="242"/>
      <c r="X424" s="242"/>
      <c r="Y424" s="242"/>
      <c r="Z424" s="242"/>
    </row>
    <row r="425">
      <c r="A425" s="242"/>
      <c r="B425" s="242"/>
      <c r="C425" s="242"/>
      <c r="D425" s="242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2"/>
      <c r="V425" s="242"/>
      <c r="W425" s="242"/>
      <c r="X425" s="242"/>
      <c r="Y425" s="242"/>
      <c r="Z425" s="242"/>
    </row>
    <row r="426">
      <c r="A426" s="242"/>
      <c r="B426" s="242"/>
      <c r="C426" s="242"/>
      <c r="D426" s="242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2"/>
      <c r="V426" s="242"/>
      <c r="W426" s="242"/>
      <c r="X426" s="242"/>
      <c r="Y426" s="242"/>
      <c r="Z426" s="242"/>
    </row>
    <row r="427">
      <c r="A427" s="242"/>
      <c r="B427" s="242"/>
      <c r="C427" s="242"/>
      <c r="D427" s="242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2"/>
      <c r="V427" s="242"/>
      <c r="W427" s="242"/>
      <c r="X427" s="242"/>
      <c r="Y427" s="242"/>
      <c r="Z427" s="242"/>
    </row>
    <row r="428">
      <c r="A428" s="242"/>
      <c r="B428" s="242"/>
      <c r="C428" s="242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2"/>
      <c r="V428" s="242"/>
      <c r="W428" s="242"/>
      <c r="X428" s="242"/>
      <c r="Y428" s="242"/>
      <c r="Z428" s="242"/>
    </row>
    <row r="429">
      <c r="A429" s="242"/>
      <c r="B429" s="242"/>
      <c r="C429" s="242"/>
      <c r="D429" s="242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2"/>
      <c r="V429" s="242"/>
      <c r="W429" s="242"/>
      <c r="X429" s="242"/>
      <c r="Y429" s="242"/>
      <c r="Z429" s="242"/>
    </row>
    <row r="430">
      <c r="A430" s="242"/>
      <c r="B430" s="242"/>
      <c r="C430" s="242"/>
      <c r="D430" s="242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2"/>
      <c r="V430" s="242"/>
      <c r="W430" s="242"/>
      <c r="X430" s="242"/>
      <c r="Y430" s="242"/>
      <c r="Z430" s="242"/>
    </row>
    <row r="431">
      <c r="A431" s="242"/>
      <c r="B431" s="242"/>
      <c r="C431" s="242"/>
      <c r="D431" s="242"/>
      <c r="E431" s="242"/>
      <c r="F431" s="242"/>
      <c r="G431" s="242"/>
      <c r="H431" s="242"/>
      <c r="I431" s="242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2"/>
      <c r="V431" s="242"/>
      <c r="W431" s="242"/>
      <c r="X431" s="242"/>
      <c r="Y431" s="242"/>
      <c r="Z431" s="242"/>
    </row>
    <row r="432">
      <c r="A432" s="242"/>
      <c r="B432" s="242"/>
      <c r="C432" s="242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2"/>
      <c r="V432" s="242"/>
      <c r="W432" s="242"/>
      <c r="X432" s="242"/>
      <c r="Y432" s="242"/>
      <c r="Z432" s="242"/>
    </row>
    <row r="433">
      <c r="A433" s="242"/>
      <c r="B433" s="242"/>
      <c r="C433" s="242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2"/>
      <c r="V433" s="242"/>
      <c r="W433" s="242"/>
      <c r="X433" s="242"/>
      <c r="Y433" s="242"/>
      <c r="Z433" s="242"/>
    </row>
    <row r="434">
      <c r="A434" s="242"/>
      <c r="B434" s="242"/>
      <c r="C434" s="242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2"/>
      <c r="V434" s="242"/>
      <c r="W434" s="242"/>
      <c r="X434" s="242"/>
      <c r="Y434" s="242"/>
      <c r="Z434" s="242"/>
    </row>
    <row r="435">
      <c r="A435" s="242"/>
      <c r="B435" s="242"/>
      <c r="C435" s="242"/>
      <c r="D435" s="242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2"/>
      <c r="V435" s="242"/>
      <c r="W435" s="242"/>
      <c r="X435" s="242"/>
      <c r="Y435" s="242"/>
      <c r="Z435" s="242"/>
    </row>
    <row r="436">
      <c r="A436" s="242"/>
      <c r="B436" s="242"/>
      <c r="C436" s="242"/>
      <c r="D436" s="242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2"/>
      <c r="V436" s="242"/>
      <c r="W436" s="242"/>
      <c r="X436" s="242"/>
      <c r="Y436" s="242"/>
      <c r="Z436" s="242"/>
    </row>
    <row r="437">
      <c r="A437" s="242"/>
      <c r="B437" s="242"/>
      <c r="C437" s="242"/>
      <c r="D437" s="242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2"/>
      <c r="V437" s="242"/>
      <c r="W437" s="242"/>
      <c r="X437" s="242"/>
      <c r="Y437" s="242"/>
      <c r="Z437" s="242"/>
    </row>
    <row r="438">
      <c r="A438" s="242"/>
      <c r="B438" s="242"/>
      <c r="C438" s="242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2"/>
      <c r="V438" s="242"/>
      <c r="W438" s="242"/>
      <c r="X438" s="242"/>
      <c r="Y438" s="242"/>
      <c r="Z438" s="242"/>
    </row>
    <row r="439">
      <c r="A439" s="242"/>
      <c r="B439" s="242"/>
      <c r="C439" s="242"/>
      <c r="D439" s="242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2"/>
      <c r="V439" s="242"/>
      <c r="W439" s="242"/>
      <c r="X439" s="242"/>
      <c r="Y439" s="242"/>
      <c r="Z439" s="242"/>
    </row>
    <row r="440">
      <c r="A440" s="242"/>
      <c r="B440" s="242"/>
      <c r="C440" s="242"/>
      <c r="D440" s="242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2"/>
      <c r="V440" s="242"/>
      <c r="W440" s="242"/>
      <c r="X440" s="242"/>
      <c r="Y440" s="242"/>
      <c r="Z440" s="242"/>
    </row>
    <row r="441">
      <c r="A441" s="242"/>
      <c r="B441" s="242"/>
      <c r="C441" s="242"/>
      <c r="D441" s="242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2"/>
      <c r="V441" s="242"/>
      <c r="W441" s="242"/>
      <c r="X441" s="242"/>
      <c r="Y441" s="242"/>
      <c r="Z441" s="242"/>
    </row>
    <row r="442">
      <c r="A442" s="242"/>
      <c r="B442" s="242"/>
      <c r="C442" s="242"/>
      <c r="D442" s="242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2"/>
      <c r="V442" s="242"/>
      <c r="W442" s="242"/>
      <c r="X442" s="242"/>
      <c r="Y442" s="242"/>
      <c r="Z442" s="242"/>
    </row>
    <row r="443">
      <c r="A443" s="242"/>
      <c r="B443" s="242"/>
      <c r="C443" s="242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2"/>
      <c r="V443" s="242"/>
      <c r="W443" s="242"/>
      <c r="X443" s="242"/>
      <c r="Y443" s="242"/>
      <c r="Z443" s="242"/>
    </row>
    <row r="444">
      <c r="A444" s="242"/>
      <c r="B444" s="242"/>
      <c r="C444" s="242"/>
      <c r="D444" s="242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2"/>
      <c r="V444" s="242"/>
      <c r="W444" s="242"/>
      <c r="X444" s="242"/>
      <c r="Y444" s="242"/>
      <c r="Z444" s="242"/>
    </row>
    <row r="445">
      <c r="A445" s="242"/>
      <c r="B445" s="242"/>
      <c r="C445" s="242"/>
      <c r="D445" s="242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2"/>
      <c r="V445" s="242"/>
      <c r="W445" s="242"/>
      <c r="X445" s="242"/>
      <c r="Y445" s="242"/>
      <c r="Z445" s="242"/>
    </row>
    <row r="446">
      <c r="A446" s="242"/>
      <c r="B446" s="242"/>
      <c r="C446" s="242"/>
      <c r="D446" s="242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2"/>
      <c r="V446" s="242"/>
      <c r="W446" s="242"/>
      <c r="X446" s="242"/>
      <c r="Y446" s="242"/>
      <c r="Z446" s="242"/>
    </row>
    <row r="447">
      <c r="A447" s="242"/>
      <c r="B447" s="242"/>
      <c r="C447" s="242"/>
      <c r="D447" s="242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2"/>
      <c r="V447" s="242"/>
      <c r="W447" s="242"/>
      <c r="X447" s="242"/>
      <c r="Y447" s="242"/>
      <c r="Z447" s="242"/>
    </row>
    <row r="448">
      <c r="A448" s="242"/>
      <c r="B448" s="242"/>
      <c r="C448" s="242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2"/>
      <c r="V448" s="242"/>
      <c r="W448" s="242"/>
      <c r="X448" s="242"/>
      <c r="Y448" s="242"/>
      <c r="Z448" s="242"/>
    </row>
    <row r="449">
      <c r="A449" s="242"/>
      <c r="B449" s="242"/>
      <c r="C449" s="242"/>
      <c r="D449" s="242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2"/>
      <c r="V449" s="242"/>
      <c r="W449" s="242"/>
      <c r="X449" s="242"/>
      <c r="Y449" s="242"/>
      <c r="Z449" s="242"/>
    </row>
    <row r="450">
      <c r="A450" s="242"/>
      <c r="B450" s="242"/>
      <c r="C450" s="242"/>
      <c r="D450" s="242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2"/>
      <c r="V450" s="242"/>
      <c r="W450" s="242"/>
      <c r="X450" s="242"/>
      <c r="Y450" s="242"/>
      <c r="Z450" s="242"/>
    </row>
    <row r="451">
      <c r="A451" s="242"/>
      <c r="B451" s="242"/>
      <c r="C451" s="242"/>
      <c r="D451" s="242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2"/>
      <c r="V451" s="242"/>
      <c r="W451" s="242"/>
      <c r="X451" s="242"/>
      <c r="Y451" s="242"/>
      <c r="Z451" s="242"/>
    </row>
    <row r="452">
      <c r="A452" s="242"/>
      <c r="B452" s="242"/>
      <c r="C452" s="242"/>
      <c r="D452" s="242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2"/>
      <c r="V452" s="242"/>
      <c r="W452" s="242"/>
      <c r="X452" s="242"/>
      <c r="Y452" s="242"/>
      <c r="Z452" s="242"/>
    </row>
    <row r="453">
      <c r="A453" s="242"/>
      <c r="B453" s="242"/>
      <c r="C453" s="242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2"/>
      <c r="V453" s="242"/>
      <c r="W453" s="242"/>
      <c r="X453" s="242"/>
      <c r="Y453" s="242"/>
      <c r="Z453" s="242"/>
    </row>
    <row r="454">
      <c r="A454" s="242"/>
      <c r="B454" s="242"/>
      <c r="C454" s="242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2"/>
      <c r="V454" s="242"/>
      <c r="W454" s="242"/>
      <c r="X454" s="242"/>
      <c r="Y454" s="242"/>
      <c r="Z454" s="242"/>
    </row>
    <row r="455">
      <c r="A455" s="242"/>
      <c r="B455" s="242"/>
      <c r="C455" s="242"/>
      <c r="D455" s="242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2"/>
      <c r="V455" s="242"/>
      <c r="W455" s="242"/>
      <c r="X455" s="242"/>
      <c r="Y455" s="242"/>
      <c r="Z455" s="242"/>
    </row>
    <row r="456">
      <c r="A456" s="242"/>
      <c r="B456" s="242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2"/>
      <c r="V456" s="242"/>
      <c r="W456" s="242"/>
      <c r="X456" s="242"/>
      <c r="Y456" s="242"/>
      <c r="Z456" s="242"/>
    </row>
    <row r="457">
      <c r="A457" s="242"/>
      <c r="B457" s="242"/>
      <c r="C457" s="242"/>
      <c r="D457" s="242"/>
      <c r="E457" s="242"/>
      <c r="F457" s="242"/>
      <c r="G457" s="242"/>
      <c r="H457" s="242"/>
      <c r="I457" s="242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2"/>
      <c r="V457" s="242"/>
      <c r="W457" s="242"/>
      <c r="X457" s="242"/>
      <c r="Y457" s="242"/>
      <c r="Z457" s="242"/>
    </row>
    <row r="458">
      <c r="A458" s="242"/>
      <c r="B458" s="242"/>
      <c r="C458" s="242"/>
      <c r="D458" s="242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2"/>
      <c r="V458" s="242"/>
      <c r="W458" s="242"/>
      <c r="X458" s="242"/>
      <c r="Y458" s="242"/>
      <c r="Z458" s="242"/>
    </row>
    <row r="459">
      <c r="A459" s="242"/>
      <c r="B459" s="242"/>
      <c r="C459" s="242"/>
      <c r="D459" s="242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2"/>
      <c r="V459" s="242"/>
      <c r="W459" s="242"/>
      <c r="X459" s="242"/>
      <c r="Y459" s="242"/>
      <c r="Z459" s="242"/>
    </row>
    <row r="460">
      <c r="A460" s="242"/>
      <c r="B460" s="242"/>
      <c r="C460" s="242"/>
      <c r="D460" s="242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2"/>
      <c r="V460" s="242"/>
      <c r="W460" s="242"/>
      <c r="X460" s="242"/>
      <c r="Y460" s="242"/>
      <c r="Z460" s="242"/>
    </row>
    <row r="461">
      <c r="A461" s="242"/>
      <c r="B461" s="242"/>
      <c r="C461" s="242"/>
      <c r="D461" s="242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2"/>
      <c r="V461" s="242"/>
      <c r="W461" s="242"/>
      <c r="X461" s="242"/>
      <c r="Y461" s="242"/>
      <c r="Z461" s="242"/>
    </row>
    <row r="462">
      <c r="A462" s="242"/>
      <c r="B462" s="242"/>
      <c r="C462" s="242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2"/>
      <c r="V462" s="242"/>
      <c r="W462" s="242"/>
      <c r="X462" s="242"/>
      <c r="Y462" s="242"/>
      <c r="Z462" s="242"/>
    </row>
    <row r="463">
      <c r="A463" s="242"/>
      <c r="B463" s="242"/>
      <c r="C463" s="242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2"/>
      <c r="V463" s="242"/>
      <c r="W463" s="242"/>
      <c r="X463" s="242"/>
      <c r="Y463" s="242"/>
      <c r="Z463" s="242"/>
    </row>
    <row r="464">
      <c r="A464" s="242"/>
      <c r="B464" s="242"/>
      <c r="C464" s="242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2"/>
      <c r="V464" s="242"/>
      <c r="W464" s="242"/>
      <c r="X464" s="242"/>
      <c r="Y464" s="242"/>
      <c r="Z464" s="242"/>
    </row>
    <row r="465">
      <c r="A465" s="242"/>
      <c r="B465" s="242"/>
      <c r="C465" s="242"/>
      <c r="D465" s="242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2"/>
      <c r="V465" s="242"/>
      <c r="W465" s="242"/>
      <c r="X465" s="242"/>
      <c r="Y465" s="242"/>
      <c r="Z465" s="242"/>
    </row>
    <row r="466">
      <c r="A466" s="242"/>
      <c r="B466" s="242"/>
      <c r="C466" s="242"/>
      <c r="D466" s="242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2"/>
      <c r="V466" s="242"/>
      <c r="W466" s="242"/>
      <c r="X466" s="242"/>
      <c r="Y466" s="242"/>
      <c r="Z466" s="242"/>
    </row>
    <row r="467">
      <c r="A467" s="242"/>
      <c r="B467" s="242"/>
      <c r="C467" s="242"/>
      <c r="D467" s="242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2"/>
      <c r="V467" s="242"/>
      <c r="W467" s="242"/>
      <c r="X467" s="242"/>
      <c r="Y467" s="242"/>
      <c r="Z467" s="242"/>
    </row>
    <row r="468">
      <c r="A468" s="242"/>
      <c r="B468" s="242"/>
      <c r="C468" s="242"/>
      <c r="D468" s="242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2"/>
      <c r="V468" s="242"/>
      <c r="W468" s="242"/>
      <c r="X468" s="242"/>
      <c r="Y468" s="242"/>
      <c r="Z468" s="242"/>
    </row>
    <row r="469">
      <c r="A469" s="242"/>
      <c r="B469" s="242"/>
      <c r="C469" s="242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2"/>
      <c r="V469" s="242"/>
      <c r="W469" s="242"/>
      <c r="X469" s="242"/>
      <c r="Y469" s="242"/>
      <c r="Z469" s="242"/>
    </row>
    <row r="470">
      <c r="A470" s="242"/>
      <c r="B470" s="242"/>
      <c r="C470" s="242"/>
      <c r="D470" s="242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2"/>
      <c r="V470" s="242"/>
      <c r="W470" s="242"/>
      <c r="X470" s="242"/>
      <c r="Y470" s="242"/>
      <c r="Z470" s="242"/>
    </row>
    <row r="471">
      <c r="A471" s="242"/>
      <c r="B471" s="242"/>
      <c r="C471" s="242"/>
      <c r="D471" s="242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2"/>
      <c r="V471" s="242"/>
      <c r="W471" s="242"/>
      <c r="X471" s="242"/>
      <c r="Y471" s="242"/>
      <c r="Z471" s="242"/>
    </row>
    <row r="472">
      <c r="A472" s="242"/>
      <c r="B472" s="242"/>
      <c r="C472" s="242"/>
      <c r="D472" s="242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2"/>
      <c r="V472" s="242"/>
      <c r="W472" s="242"/>
      <c r="X472" s="242"/>
      <c r="Y472" s="242"/>
      <c r="Z472" s="242"/>
    </row>
    <row r="473">
      <c r="A473" s="242"/>
      <c r="B473" s="242"/>
      <c r="C473" s="242"/>
      <c r="D473" s="242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2"/>
      <c r="V473" s="242"/>
      <c r="W473" s="242"/>
      <c r="X473" s="242"/>
      <c r="Y473" s="242"/>
      <c r="Z473" s="242"/>
    </row>
    <row r="474">
      <c r="A474" s="242"/>
      <c r="B474" s="242"/>
      <c r="C474" s="242"/>
      <c r="D474" s="242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2"/>
      <c r="V474" s="242"/>
      <c r="W474" s="242"/>
      <c r="X474" s="242"/>
      <c r="Y474" s="242"/>
      <c r="Z474" s="242"/>
    </row>
    <row r="475">
      <c r="A475" s="242"/>
      <c r="B475" s="242"/>
      <c r="C475" s="242"/>
      <c r="D475" s="242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2"/>
      <c r="V475" s="242"/>
      <c r="W475" s="242"/>
      <c r="X475" s="242"/>
      <c r="Y475" s="242"/>
      <c r="Z475" s="242"/>
    </row>
    <row r="476">
      <c r="A476" s="242"/>
      <c r="B476" s="242"/>
      <c r="C476" s="242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2"/>
      <c r="V476" s="242"/>
      <c r="W476" s="242"/>
      <c r="X476" s="242"/>
      <c r="Y476" s="242"/>
      <c r="Z476" s="242"/>
    </row>
    <row r="477">
      <c r="A477" s="242"/>
      <c r="B477" s="242"/>
      <c r="C477" s="242"/>
      <c r="D477" s="242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2"/>
      <c r="V477" s="242"/>
      <c r="W477" s="242"/>
      <c r="X477" s="242"/>
      <c r="Y477" s="242"/>
      <c r="Z477" s="242"/>
    </row>
    <row r="478">
      <c r="A478" s="242"/>
      <c r="B478" s="242"/>
      <c r="C478" s="242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2"/>
      <c r="V478" s="242"/>
      <c r="W478" s="242"/>
      <c r="X478" s="242"/>
      <c r="Y478" s="242"/>
      <c r="Z478" s="242"/>
    </row>
    <row r="479">
      <c r="A479" s="242"/>
      <c r="B479" s="242"/>
      <c r="C479" s="242"/>
      <c r="D479" s="242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2"/>
      <c r="V479" s="242"/>
      <c r="W479" s="242"/>
      <c r="X479" s="242"/>
      <c r="Y479" s="242"/>
      <c r="Z479" s="242"/>
    </row>
    <row r="480">
      <c r="A480" s="242"/>
      <c r="B480" s="242"/>
      <c r="C480" s="242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2"/>
      <c r="V480" s="242"/>
      <c r="W480" s="242"/>
      <c r="X480" s="242"/>
      <c r="Y480" s="242"/>
      <c r="Z480" s="242"/>
    </row>
    <row r="481">
      <c r="A481" s="242"/>
      <c r="B481" s="242"/>
      <c r="C481" s="242"/>
      <c r="D481" s="242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2"/>
      <c r="V481" s="242"/>
      <c r="W481" s="242"/>
      <c r="X481" s="242"/>
      <c r="Y481" s="242"/>
      <c r="Z481" s="242"/>
    </row>
    <row r="482">
      <c r="A482" s="242"/>
      <c r="B482" s="242"/>
      <c r="C482" s="242"/>
      <c r="D482" s="242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2"/>
      <c r="V482" s="242"/>
      <c r="W482" s="242"/>
      <c r="X482" s="242"/>
      <c r="Y482" s="242"/>
      <c r="Z482" s="242"/>
    </row>
    <row r="483">
      <c r="A483" s="242"/>
      <c r="B483" s="242"/>
      <c r="C483" s="242"/>
      <c r="D483" s="242"/>
      <c r="E483" s="242"/>
      <c r="F483" s="242"/>
      <c r="G483" s="242"/>
      <c r="H483" s="242"/>
      <c r="I483" s="242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2"/>
      <c r="V483" s="242"/>
      <c r="W483" s="242"/>
      <c r="X483" s="242"/>
      <c r="Y483" s="242"/>
      <c r="Z483" s="242"/>
    </row>
    <row r="484">
      <c r="A484" s="242"/>
      <c r="B484" s="242"/>
      <c r="C484" s="242"/>
      <c r="D484" s="242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2"/>
      <c r="V484" s="242"/>
      <c r="W484" s="242"/>
      <c r="X484" s="242"/>
      <c r="Y484" s="242"/>
      <c r="Z484" s="242"/>
    </row>
    <row r="485">
      <c r="A485" s="242"/>
      <c r="B485" s="242"/>
      <c r="C485" s="242"/>
      <c r="D485" s="242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2"/>
      <c r="V485" s="242"/>
      <c r="W485" s="242"/>
      <c r="X485" s="242"/>
      <c r="Y485" s="242"/>
      <c r="Z485" s="242"/>
    </row>
    <row r="486">
      <c r="A486" s="242"/>
      <c r="B486" s="242"/>
      <c r="C486" s="242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2"/>
      <c r="V486" s="242"/>
      <c r="W486" s="242"/>
      <c r="X486" s="242"/>
      <c r="Y486" s="242"/>
      <c r="Z486" s="242"/>
    </row>
    <row r="487">
      <c r="A487" s="242"/>
      <c r="B487" s="242"/>
      <c r="C487" s="242"/>
      <c r="D487" s="242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2"/>
      <c r="V487" s="242"/>
      <c r="W487" s="242"/>
      <c r="X487" s="242"/>
      <c r="Y487" s="242"/>
      <c r="Z487" s="242"/>
    </row>
    <row r="488">
      <c r="A488" s="242"/>
      <c r="B488" s="242"/>
      <c r="C488" s="242"/>
      <c r="D488" s="242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2"/>
      <c r="V488" s="242"/>
      <c r="W488" s="242"/>
      <c r="X488" s="242"/>
      <c r="Y488" s="242"/>
      <c r="Z488" s="242"/>
    </row>
    <row r="489">
      <c r="A489" s="242"/>
      <c r="B489" s="242"/>
      <c r="C489" s="242"/>
      <c r="D489" s="242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2"/>
      <c r="V489" s="242"/>
      <c r="W489" s="242"/>
      <c r="X489" s="242"/>
      <c r="Y489" s="242"/>
      <c r="Z489" s="242"/>
    </row>
    <row r="490">
      <c r="A490" s="242"/>
      <c r="B490" s="242"/>
      <c r="C490" s="242"/>
      <c r="D490" s="242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2"/>
      <c r="V490" s="242"/>
      <c r="W490" s="242"/>
      <c r="X490" s="242"/>
      <c r="Y490" s="242"/>
      <c r="Z490" s="242"/>
    </row>
    <row r="491">
      <c r="A491" s="242"/>
      <c r="B491" s="242"/>
      <c r="C491" s="242"/>
      <c r="D491" s="242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2"/>
      <c r="V491" s="242"/>
      <c r="W491" s="242"/>
      <c r="X491" s="242"/>
      <c r="Y491" s="242"/>
      <c r="Z491" s="242"/>
    </row>
    <row r="492">
      <c r="A492" s="242"/>
      <c r="B492" s="242"/>
      <c r="C492" s="242"/>
      <c r="D492" s="242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2"/>
      <c r="V492" s="242"/>
      <c r="W492" s="242"/>
      <c r="X492" s="242"/>
      <c r="Y492" s="242"/>
      <c r="Z492" s="242"/>
    </row>
    <row r="493">
      <c r="A493" s="242"/>
      <c r="B493" s="242"/>
      <c r="C493" s="242"/>
      <c r="D493" s="242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2"/>
      <c r="V493" s="242"/>
      <c r="W493" s="242"/>
      <c r="X493" s="242"/>
      <c r="Y493" s="242"/>
      <c r="Z493" s="242"/>
    </row>
    <row r="494">
      <c r="A494" s="242"/>
      <c r="B494" s="242"/>
      <c r="C494" s="242"/>
      <c r="D494" s="242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2"/>
      <c r="V494" s="242"/>
      <c r="W494" s="242"/>
      <c r="X494" s="242"/>
      <c r="Y494" s="242"/>
      <c r="Z494" s="242"/>
    </row>
    <row r="495">
      <c r="A495" s="242"/>
      <c r="B495" s="242"/>
      <c r="C495" s="242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2"/>
      <c r="V495" s="242"/>
      <c r="W495" s="242"/>
      <c r="X495" s="242"/>
      <c r="Y495" s="242"/>
      <c r="Z495" s="242"/>
    </row>
    <row r="496">
      <c r="A496" s="242"/>
      <c r="B496" s="242"/>
      <c r="C496" s="242"/>
      <c r="D496" s="242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2"/>
      <c r="V496" s="242"/>
      <c r="W496" s="242"/>
      <c r="X496" s="242"/>
      <c r="Y496" s="242"/>
      <c r="Z496" s="242"/>
    </row>
    <row r="497">
      <c r="A497" s="242"/>
      <c r="B497" s="242"/>
      <c r="C497" s="242"/>
      <c r="D497" s="242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2"/>
      <c r="V497" s="242"/>
      <c r="W497" s="242"/>
      <c r="X497" s="242"/>
      <c r="Y497" s="242"/>
      <c r="Z497" s="242"/>
    </row>
    <row r="498">
      <c r="A498" s="242"/>
      <c r="B498" s="242"/>
      <c r="C498" s="242"/>
      <c r="D498" s="242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2"/>
      <c r="V498" s="242"/>
      <c r="W498" s="242"/>
      <c r="X498" s="242"/>
      <c r="Y498" s="242"/>
      <c r="Z498" s="242"/>
    </row>
    <row r="499">
      <c r="A499" s="242"/>
      <c r="B499" s="242"/>
      <c r="C499" s="242"/>
      <c r="D499" s="242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2"/>
      <c r="V499" s="242"/>
      <c r="W499" s="242"/>
      <c r="X499" s="242"/>
      <c r="Y499" s="242"/>
      <c r="Z499" s="242"/>
    </row>
    <row r="500">
      <c r="A500" s="242"/>
      <c r="B500" s="242"/>
      <c r="C500" s="242"/>
      <c r="D500" s="242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2"/>
      <c r="V500" s="242"/>
      <c r="W500" s="242"/>
      <c r="X500" s="242"/>
      <c r="Y500" s="242"/>
      <c r="Z500" s="242"/>
    </row>
    <row r="501">
      <c r="A501" s="242"/>
      <c r="B501" s="242"/>
      <c r="C501" s="242"/>
      <c r="D501" s="242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2"/>
      <c r="V501" s="242"/>
      <c r="W501" s="242"/>
      <c r="X501" s="242"/>
      <c r="Y501" s="242"/>
      <c r="Z501" s="242"/>
    </row>
    <row r="502">
      <c r="A502" s="242"/>
      <c r="B502" s="242"/>
      <c r="C502" s="242"/>
      <c r="D502" s="242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2"/>
      <c r="V502" s="242"/>
      <c r="W502" s="242"/>
      <c r="X502" s="242"/>
      <c r="Y502" s="242"/>
      <c r="Z502" s="242"/>
    </row>
    <row r="503">
      <c r="A503" s="242"/>
      <c r="B503" s="242"/>
      <c r="C503" s="242"/>
      <c r="D503" s="242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2"/>
      <c r="V503" s="242"/>
      <c r="W503" s="242"/>
      <c r="X503" s="242"/>
      <c r="Y503" s="242"/>
      <c r="Z503" s="242"/>
    </row>
    <row r="504">
      <c r="A504" s="242"/>
      <c r="B504" s="242"/>
      <c r="C504" s="242"/>
      <c r="D504" s="242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2"/>
      <c r="V504" s="242"/>
      <c r="W504" s="242"/>
      <c r="X504" s="242"/>
      <c r="Y504" s="242"/>
      <c r="Z504" s="242"/>
    </row>
    <row r="505">
      <c r="A505" s="242"/>
      <c r="B505" s="242"/>
      <c r="C505" s="242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2"/>
      <c r="V505" s="242"/>
      <c r="W505" s="242"/>
      <c r="X505" s="242"/>
      <c r="Y505" s="242"/>
      <c r="Z505" s="242"/>
    </row>
    <row r="506">
      <c r="A506" s="242"/>
      <c r="B506" s="242"/>
      <c r="C506" s="242"/>
      <c r="D506" s="242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2"/>
      <c r="V506" s="242"/>
      <c r="W506" s="242"/>
      <c r="X506" s="242"/>
      <c r="Y506" s="242"/>
      <c r="Z506" s="242"/>
    </row>
    <row r="507">
      <c r="A507" s="242"/>
      <c r="B507" s="242"/>
      <c r="C507" s="242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2"/>
      <c r="V507" s="242"/>
      <c r="W507" s="242"/>
      <c r="X507" s="242"/>
      <c r="Y507" s="242"/>
      <c r="Z507" s="242"/>
    </row>
    <row r="508">
      <c r="A508" s="242"/>
      <c r="B508" s="242"/>
      <c r="C508" s="242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2"/>
      <c r="V508" s="242"/>
      <c r="W508" s="242"/>
      <c r="X508" s="242"/>
      <c r="Y508" s="242"/>
      <c r="Z508" s="242"/>
    </row>
    <row r="509">
      <c r="A509" s="242"/>
      <c r="B509" s="242"/>
      <c r="C509" s="242"/>
      <c r="D509" s="242"/>
      <c r="E509" s="242"/>
      <c r="F509" s="242"/>
      <c r="G509" s="242"/>
      <c r="H509" s="242"/>
      <c r="I509" s="242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2"/>
      <c r="V509" s="242"/>
      <c r="W509" s="242"/>
      <c r="X509" s="242"/>
      <c r="Y509" s="242"/>
      <c r="Z509" s="242"/>
    </row>
    <row r="510">
      <c r="A510" s="242"/>
      <c r="B510" s="242"/>
      <c r="C510" s="242"/>
      <c r="D510" s="242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2"/>
      <c r="V510" s="242"/>
      <c r="W510" s="242"/>
      <c r="X510" s="242"/>
      <c r="Y510" s="242"/>
      <c r="Z510" s="242"/>
    </row>
    <row r="511">
      <c r="A511" s="242"/>
      <c r="B511" s="242"/>
      <c r="C511" s="242"/>
      <c r="D511" s="242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2"/>
      <c r="V511" s="242"/>
      <c r="W511" s="242"/>
      <c r="X511" s="242"/>
      <c r="Y511" s="242"/>
      <c r="Z511" s="242"/>
    </row>
    <row r="512">
      <c r="A512" s="242"/>
      <c r="B512" s="242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2"/>
      <c r="V512" s="242"/>
      <c r="W512" s="242"/>
      <c r="X512" s="242"/>
      <c r="Y512" s="242"/>
      <c r="Z512" s="242"/>
    </row>
    <row r="513">
      <c r="A513" s="242"/>
      <c r="B513" s="242"/>
      <c r="C513" s="242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2"/>
      <c r="V513" s="242"/>
      <c r="W513" s="242"/>
      <c r="X513" s="242"/>
      <c r="Y513" s="242"/>
      <c r="Z513" s="242"/>
    </row>
    <row r="514">
      <c r="A514" s="242"/>
      <c r="B514" s="242"/>
      <c r="C514" s="242"/>
      <c r="D514" s="242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2"/>
      <c r="V514" s="242"/>
      <c r="W514" s="242"/>
      <c r="X514" s="242"/>
      <c r="Y514" s="242"/>
      <c r="Z514" s="242"/>
    </row>
    <row r="515">
      <c r="A515" s="242"/>
      <c r="B515" s="242"/>
      <c r="C515" s="242"/>
      <c r="D515" s="242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2"/>
      <c r="V515" s="242"/>
      <c r="W515" s="242"/>
      <c r="X515" s="242"/>
      <c r="Y515" s="242"/>
      <c r="Z515" s="242"/>
    </row>
    <row r="516">
      <c r="A516" s="242"/>
      <c r="B516" s="242"/>
      <c r="C516" s="242"/>
      <c r="D516" s="242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2"/>
      <c r="V516" s="242"/>
      <c r="W516" s="242"/>
      <c r="X516" s="242"/>
      <c r="Y516" s="242"/>
      <c r="Z516" s="242"/>
    </row>
    <row r="517">
      <c r="A517" s="242"/>
      <c r="B517" s="242"/>
      <c r="C517" s="242"/>
      <c r="D517" s="242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2"/>
      <c r="V517" s="242"/>
      <c r="W517" s="242"/>
      <c r="X517" s="242"/>
      <c r="Y517" s="242"/>
      <c r="Z517" s="242"/>
    </row>
    <row r="518">
      <c r="A518" s="242"/>
      <c r="B518" s="242"/>
      <c r="C518" s="242"/>
      <c r="D518" s="242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2"/>
      <c r="V518" s="242"/>
      <c r="W518" s="242"/>
      <c r="X518" s="242"/>
      <c r="Y518" s="242"/>
      <c r="Z518" s="242"/>
    </row>
    <row r="519">
      <c r="A519" s="242"/>
      <c r="B519" s="242"/>
      <c r="C519" s="242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2"/>
      <c r="V519" s="242"/>
      <c r="W519" s="242"/>
      <c r="X519" s="242"/>
      <c r="Y519" s="242"/>
      <c r="Z519" s="242"/>
    </row>
    <row r="520">
      <c r="A520" s="242"/>
      <c r="B520" s="242"/>
      <c r="C520" s="242"/>
      <c r="D520" s="242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2"/>
      <c r="V520" s="242"/>
      <c r="W520" s="242"/>
      <c r="X520" s="242"/>
      <c r="Y520" s="242"/>
      <c r="Z520" s="242"/>
    </row>
    <row r="521">
      <c r="A521" s="242"/>
      <c r="B521" s="242"/>
      <c r="C521" s="242"/>
      <c r="D521" s="242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2"/>
      <c r="V521" s="242"/>
      <c r="W521" s="242"/>
      <c r="X521" s="242"/>
      <c r="Y521" s="242"/>
      <c r="Z521" s="242"/>
    </row>
    <row r="522">
      <c r="A522" s="242"/>
      <c r="B522" s="242"/>
      <c r="C522" s="242"/>
      <c r="D522" s="242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2"/>
      <c r="V522" s="242"/>
      <c r="W522" s="242"/>
      <c r="X522" s="242"/>
      <c r="Y522" s="242"/>
      <c r="Z522" s="242"/>
    </row>
    <row r="523">
      <c r="A523" s="242"/>
      <c r="B523" s="242"/>
      <c r="C523" s="242"/>
      <c r="D523" s="242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2"/>
      <c r="V523" s="242"/>
      <c r="W523" s="242"/>
      <c r="X523" s="242"/>
      <c r="Y523" s="242"/>
      <c r="Z523" s="242"/>
    </row>
    <row r="524">
      <c r="A524" s="242"/>
      <c r="B524" s="242"/>
      <c r="C524" s="242"/>
      <c r="D524" s="242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2"/>
      <c r="V524" s="242"/>
      <c r="W524" s="242"/>
      <c r="X524" s="242"/>
      <c r="Y524" s="242"/>
      <c r="Z524" s="242"/>
    </row>
    <row r="525">
      <c r="A525" s="242"/>
      <c r="B525" s="242"/>
      <c r="C525" s="242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2"/>
      <c r="V525" s="242"/>
      <c r="W525" s="242"/>
      <c r="X525" s="242"/>
      <c r="Y525" s="242"/>
      <c r="Z525" s="242"/>
    </row>
    <row r="526">
      <c r="A526" s="242"/>
      <c r="B526" s="242"/>
      <c r="C526" s="242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2"/>
      <c r="V526" s="242"/>
      <c r="W526" s="242"/>
      <c r="X526" s="242"/>
      <c r="Y526" s="242"/>
      <c r="Z526" s="242"/>
    </row>
    <row r="527">
      <c r="A527" s="242"/>
      <c r="B527" s="242"/>
      <c r="C527" s="242"/>
      <c r="D527" s="242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2"/>
      <c r="V527" s="242"/>
      <c r="W527" s="242"/>
      <c r="X527" s="242"/>
      <c r="Y527" s="242"/>
      <c r="Z527" s="242"/>
    </row>
    <row r="528">
      <c r="A528" s="242"/>
      <c r="B528" s="242"/>
      <c r="C528" s="242"/>
      <c r="D528" s="242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2"/>
      <c r="V528" s="242"/>
      <c r="W528" s="242"/>
      <c r="X528" s="242"/>
      <c r="Y528" s="242"/>
      <c r="Z528" s="242"/>
    </row>
    <row r="529">
      <c r="A529" s="242"/>
      <c r="B529" s="242"/>
      <c r="C529" s="242"/>
      <c r="D529" s="242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2"/>
      <c r="V529" s="242"/>
      <c r="W529" s="242"/>
      <c r="X529" s="242"/>
      <c r="Y529" s="242"/>
      <c r="Z529" s="242"/>
    </row>
    <row r="530">
      <c r="A530" s="242"/>
      <c r="B530" s="242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2"/>
      <c r="V530" s="242"/>
      <c r="W530" s="242"/>
      <c r="X530" s="242"/>
      <c r="Y530" s="242"/>
      <c r="Z530" s="242"/>
    </row>
    <row r="531">
      <c r="A531" s="242"/>
      <c r="B531" s="242"/>
      <c r="C531" s="242"/>
      <c r="D531" s="242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2"/>
      <c r="V531" s="242"/>
      <c r="W531" s="242"/>
      <c r="X531" s="242"/>
      <c r="Y531" s="242"/>
      <c r="Z531" s="242"/>
    </row>
    <row r="532">
      <c r="A532" s="242"/>
      <c r="B532" s="242"/>
      <c r="C532" s="242"/>
      <c r="D532" s="242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2"/>
      <c r="V532" s="242"/>
      <c r="W532" s="242"/>
      <c r="X532" s="242"/>
      <c r="Y532" s="242"/>
      <c r="Z532" s="242"/>
    </row>
    <row r="533">
      <c r="A533" s="242"/>
      <c r="B533" s="242"/>
      <c r="C533" s="242"/>
      <c r="D533" s="242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2"/>
      <c r="V533" s="242"/>
      <c r="W533" s="242"/>
      <c r="X533" s="242"/>
      <c r="Y533" s="242"/>
      <c r="Z533" s="242"/>
    </row>
    <row r="534">
      <c r="A534" s="242"/>
      <c r="B534" s="242"/>
      <c r="C534" s="242"/>
      <c r="D534" s="242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2"/>
      <c r="V534" s="242"/>
      <c r="W534" s="242"/>
      <c r="X534" s="242"/>
      <c r="Y534" s="242"/>
      <c r="Z534" s="242"/>
    </row>
    <row r="535">
      <c r="A535" s="242"/>
      <c r="B535" s="242"/>
      <c r="C535" s="242"/>
      <c r="D535" s="242"/>
      <c r="E535" s="242"/>
      <c r="F535" s="242"/>
      <c r="G535" s="242"/>
      <c r="H535" s="242"/>
      <c r="I535" s="242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2"/>
      <c r="V535" s="242"/>
      <c r="W535" s="242"/>
      <c r="X535" s="242"/>
      <c r="Y535" s="242"/>
      <c r="Z535" s="242"/>
    </row>
    <row r="536">
      <c r="A536" s="242"/>
      <c r="B536" s="242"/>
      <c r="C536" s="242"/>
      <c r="D536" s="242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2"/>
      <c r="V536" s="242"/>
      <c r="W536" s="242"/>
      <c r="X536" s="242"/>
      <c r="Y536" s="242"/>
      <c r="Z536" s="242"/>
    </row>
    <row r="537">
      <c r="A537" s="242"/>
      <c r="B537" s="242"/>
      <c r="C537" s="242"/>
      <c r="D537" s="242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2"/>
      <c r="V537" s="242"/>
      <c r="W537" s="242"/>
      <c r="X537" s="242"/>
      <c r="Y537" s="242"/>
      <c r="Z537" s="242"/>
    </row>
    <row r="538">
      <c r="A538" s="242"/>
      <c r="B538" s="242"/>
      <c r="C538" s="242"/>
      <c r="D538" s="242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2"/>
      <c r="V538" s="242"/>
      <c r="W538" s="242"/>
      <c r="X538" s="242"/>
      <c r="Y538" s="242"/>
      <c r="Z538" s="242"/>
    </row>
    <row r="539">
      <c r="A539" s="242"/>
      <c r="B539" s="242"/>
      <c r="C539" s="242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2"/>
      <c r="V539" s="242"/>
      <c r="W539" s="242"/>
      <c r="X539" s="242"/>
      <c r="Y539" s="242"/>
      <c r="Z539" s="242"/>
    </row>
    <row r="540">
      <c r="A540" s="242"/>
      <c r="B540" s="242"/>
      <c r="C540" s="242"/>
      <c r="D540" s="242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2"/>
      <c r="V540" s="242"/>
      <c r="W540" s="242"/>
      <c r="X540" s="242"/>
      <c r="Y540" s="242"/>
      <c r="Z540" s="242"/>
    </row>
    <row r="541">
      <c r="A541" s="242"/>
      <c r="B541" s="242"/>
      <c r="C541" s="242"/>
      <c r="D541" s="242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2"/>
      <c r="V541" s="242"/>
      <c r="W541" s="242"/>
      <c r="X541" s="242"/>
      <c r="Y541" s="242"/>
      <c r="Z541" s="242"/>
    </row>
    <row r="542">
      <c r="A542" s="242"/>
      <c r="B542" s="242"/>
      <c r="C542" s="242"/>
      <c r="D542" s="242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2"/>
      <c r="V542" s="242"/>
      <c r="W542" s="242"/>
      <c r="X542" s="242"/>
      <c r="Y542" s="242"/>
      <c r="Z542" s="242"/>
    </row>
    <row r="543">
      <c r="A543" s="242"/>
      <c r="B543" s="242"/>
      <c r="C543" s="242"/>
      <c r="D543" s="242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2"/>
      <c r="V543" s="242"/>
      <c r="W543" s="242"/>
      <c r="X543" s="242"/>
      <c r="Y543" s="242"/>
      <c r="Z543" s="242"/>
    </row>
    <row r="544">
      <c r="A544" s="242"/>
      <c r="B544" s="242"/>
      <c r="C544" s="242"/>
      <c r="D544" s="242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2"/>
      <c r="V544" s="242"/>
      <c r="W544" s="242"/>
      <c r="X544" s="242"/>
      <c r="Y544" s="242"/>
      <c r="Z544" s="242"/>
    </row>
    <row r="545">
      <c r="A545" s="242"/>
      <c r="B545" s="242"/>
      <c r="C545" s="242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2"/>
      <c r="V545" s="242"/>
      <c r="W545" s="242"/>
      <c r="X545" s="242"/>
      <c r="Y545" s="242"/>
      <c r="Z545" s="242"/>
    </row>
    <row r="546">
      <c r="A546" s="242"/>
      <c r="B546" s="242"/>
      <c r="C546" s="242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2"/>
      <c r="V546" s="242"/>
      <c r="W546" s="242"/>
      <c r="X546" s="242"/>
      <c r="Y546" s="242"/>
      <c r="Z546" s="242"/>
    </row>
    <row r="547">
      <c r="A547" s="242"/>
      <c r="B547" s="242"/>
      <c r="C547" s="242"/>
      <c r="D547" s="242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2"/>
      <c r="V547" s="242"/>
      <c r="W547" s="242"/>
      <c r="X547" s="242"/>
      <c r="Y547" s="242"/>
      <c r="Z547" s="242"/>
    </row>
    <row r="548">
      <c r="A548" s="242"/>
      <c r="B548" s="242"/>
      <c r="C548" s="242"/>
      <c r="D548" s="242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2"/>
      <c r="V548" s="242"/>
      <c r="W548" s="242"/>
      <c r="X548" s="242"/>
      <c r="Y548" s="242"/>
      <c r="Z548" s="242"/>
    </row>
    <row r="549">
      <c r="A549" s="242"/>
      <c r="B549" s="242"/>
      <c r="C549" s="242"/>
      <c r="D549" s="242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2"/>
      <c r="V549" s="242"/>
      <c r="W549" s="242"/>
      <c r="X549" s="242"/>
      <c r="Y549" s="242"/>
      <c r="Z549" s="242"/>
    </row>
    <row r="550">
      <c r="A550" s="242"/>
      <c r="B550" s="242"/>
      <c r="C550" s="242"/>
      <c r="D550" s="242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2"/>
      <c r="V550" s="242"/>
      <c r="W550" s="242"/>
      <c r="X550" s="242"/>
      <c r="Y550" s="242"/>
      <c r="Z550" s="242"/>
    </row>
    <row r="551">
      <c r="A551" s="242"/>
      <c r="B551" s="242"/>
      <c r="C551" s="242"/>
      <c r="D551" s="242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2"/>
      <c r="V551" s="242"/>
      <c r="W551" s="242"/>
      <c r="X551" s="242"/>
      <c r="Y551" s="242"/>
      <c r="Z551" s="242"/>
    </row>
    <row r="552">
      <c r="A552" s="242"/>
      <c r="B552" s="242"/>
      <c r="C552" s="242"/>
      <c r="D552" s="242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2"/>
      <c r="V552" s="242"/>
      <c r="W552" s="242"/>
      <c r="X552" s="242"/>
      <c r="Y552" s="242"/>
      <c r="Z552" s="242"/>
    </row>
    <row r="553">
      <c r="A553" s="242"/>
      <c r="B553" s="242"/>
      <c r="C553" s="242"/>
      <c r="D553" s="242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2"/>
      <c r="V553" s="242"/>
      <c r="W553" s="242"/>
      <c r="X553" s="242"/>
      <c r="Y553" s="242"/>
      <c r="Z553" s="242"/>
    </row>
    <row r="554">
      <c r="A554" s="242"/>
      <c r="B554" s="242"/>
      <c r="C554" s="242"/>
      <c r="D554" s="242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2"/>
      <c r="V554" s="242"/>
      <c r="W554" s="242"/>
      <c r="X554" s="242"/>
      <c r="Y554" s="242"/>
      <c r="Z554" s="242"/>
    </row>
    <row r="555">
      <c r="A555" s="242"/>
      <c r="B555" s="242"/>
      <c r="C555" s="242"/>
      <c r="D555" s="242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2"/>
      <c r="V555" s="242"/>
      <c r="W555" s="242"/>
      <c r="X555" s="242"/>
      <c r="Y555" s="242"/>
      <c r="Z555" s="242"/>
    </row>
    <row r="556">
      <c r="A556" s="242"/>
      <c r="B556" s="242"/>
      <c r="C556" s="242"/>
      <c r="D556" s="242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2"/>
      <c r="V556" s="242"/>
      <c r="W556" s="242"/>
      <c r="X556" s="242"/>
      <c r="Y556" s="242"/>
      <c r="Z556" s="242"/>
    </row>
    <row r="557">
      <c r="A557" s="242"/>
      <c r="B557" s="242"/>
      <c r="C557" s="242"/>
      <c r="D557" s="242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2"/>
      <c r="V557" s="242"/>
      <c r="W557" s="242"/>
      <c r="X557" s="242"/>
      <c r="Y557" s="242"/>
      <c r="Z557" s="242"/>
    </row>
    <row r="558">
      <c r="A558" s="242"/>
      <c r="B558" s="242"/>
      <c r="C558" s="242"/>
      <c r="D558" s="242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2"/>
      <c r="V558" s="242"/>
      <c r="W558" s="242"/>
      <c r="X558" s="242"/>
      <c r="Y558" s="242"/>
      <c r="Z558" s="242"/>
    </row>
    <row r="559">
      <c r="A559" s="242"/>
      <c r="B559" s="242"/>
      <c r="C559" s="242"/>
      <c r="D559" s="242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2"/>
      <c r="V559" s="242"/>
      <c r="W559" s="242"/>
      <c r="X559" s="242"/>
      <c r="Y559" s="242"/>
      <c r="Z559" s="242"/>
    </row>
    <row r="560">
      <c r="A560" s="242"/>
      <c r="B560" s="242"/>
      <c r="C560" s="242"/>
      <c r="D560" s="242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2"/>
      <c r="V560" s="242"/>
      <c r="W560" s="242"/>
      <c r="X560" s="242"/>
      <c r="Y560" s="242"/>
      <c r="Z560" s="242"/>
    </row>
    <row r="561">
      <c r="A561" s="242"/>
      <c r="B561" s="242"/>
      <c r="C561" s="242"/>
      <c r="D561" s="242"/>
      <c r="E561" s="242"/>
      <c r="F561" s="242"/>
      <c r="G561" s="242"/>
      <c r="H561" s="242"/>
      <c r="I561" s="242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2"/>
      <c r="V561" s="242"/>
      <c r="W561" s="242"/>
      <c r="X561" s="242"/>
      <c r="Y561" s="242"/>
      <c r="Z561" s="242"/>
    </row>
    <row r="562">
      <c r="A562" s="242"/>
      <c r="B562" s="242"/>
      <c r="C562" s="242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2"/>
      <c r="V562" s="242"/>
      <c r="W562" s="242"/>
      <c r="X562" s="242"/>
      <c r="Y562" s="242"/>
      <c r="Z562" s="242"/>
    </row>
    <row r="563">
      <c r="A563" s="242"/>
      <c r="B563" s="242"/>
      <c r="C563" s="242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2"/>
      <c r="V563" s="242"/>
      <c r="W563" s="242"/>
      <c r="X563" s="242"/>
      <c r="Y563" s="242"/>
      <c r="Z563" s="242"/>
    </row>
    <row r="564">
      <c r="A564" s="242"/>
      <c r="B564" s="242"/>
      <c r="C564" s="242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2"/>
      <c r="V564" s="242"/>
      <c r="W564" s="242"/>
      <c r="X564" s="242"/>
      <c r="Y564" s="242"/>
      <c r="Z564" s="242"/>
    </row>
    <row r="565">
      <c r="A565" s="242"/>
      <c r="B565" s="242"/>
      <c r="C565" s="242"/>
      <c r="D565" s="242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2"/>
      <c r="V565" s="242"/>
      <c r="W565" s="242"/>
      <c r="X565" s="242"/>
      <c r="Y565" s="242"/>
      <c r="Z565" s="242"/>
    </row>
    <row r="566">
      <c r="A566" s="242"/>
      <c r="B566" s="242"/>
      <c r="C566" s="242"/>
      <c r="D566" s="242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2"/>
      <c r="V566" s="242"/>
      <c r="W566" s="242"/>
      <c r="X566" s="242"/>
      <c r="Y566" s="242"/>
      <c r="Z566" s="242"/>
    </row>
    <row r="567">
      <c r="A567" s="242"/>
      <c r="B567" s="242"/>
      <c r="C567" s="242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2"/>
      <c r="V567" s="242"/>
      <c r="W567" s="242"/>
      <c r="X567" s="242"/>
      <c r="Y567" s="242"/>
      <c r="Z567" s="242"/>
    </row>
    <row r="568">
      <c r="A568" s="242"/>
      <c r="B568" s="242"/>
      <c r="C568" s="242"/>
      <c r="D568" s="242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2"/>
      <c r="V568" s="242"/>
      <c r="W568" s="242"/>
      <c r="X568" s="242"/>
      <c r="Y568" s="242"/>
      <c r="Z568" s="242"/>
    </row>
    <row r="569">
      <c r="A569" s="242"/>
      <c r="B569" s="242"/>
      <c r="C569" s="242"/>
      <c r="D569" s="242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2"/>
      <c r="V569" s="242"/>
      <c r="W569" s="242"/>
      <c r="X569" s="242"/>
      <c r="Y569" s="242"/>
      <c r="Z569" s="242"/>
    </row>
    <row r="570">
      <c r="A570" s="242"/>
      <c r="B570" s="242"/>
      <c r="C570" s="242"/>
      <c r="D570" s="242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2"/>
      <c r="V570" s="242"/>
      <c r="W570" s="242"/>
      <c r="X570" s="242"/>
      <c r="Y570" s="242"/>
      <c r="Z570" s="242"/>
    </row>
    <row r="571">
      <c r="A571" s="242"/>
      <c r="B571" s="242"/>
      <c r="C571" s="242"/>
      <c r="D571" s="242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2"/>
      <c r="V571" s="242"/>
      <c r="W571" s="242"/>
      <c r="X571" s="242"/>
      <c r="Y571" s="242"/>
      <c r="Z571" s="242"/>
    </row>
    <row r="572">
      <c r="A572" s="242"/>
      <c r="B572" s="242"/>
      <c r="C572" s="242"/>
      <c r="D572" s="242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2"/>
      <c r="V572" s="242"/>
      <c r="W572" s="242"/>
      <c r="X572" s="242"/>
      <c r="Y572" s="242"/>
      <c r="Z572" s="242"/>
    </row>
    <row r="573">
      <c r="A573" s="242"/>
      <c r="B573" s="242"/>
      <c r="C573" s="242"/>
      <c r="D573" s="242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2"/>
      <c r="V573" s="242"/>
      <c r="W573" s="242"/>
      <c r="X573" s="242"/>
      <c r="Y573" s="242"/>
      <c r="Z573" s="242"/>
    </row>
    <row r="574">
      <c r="A574" s="242"/>
      <c r="B574" s="242"/>
      <c r="C574" s="242"/>
      <c r="D574" s="242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2"/>
      <c r="V574" s="242"/>
      <c r="W574" s="242"/>
      <c r="X574" s="242"/>
      <c r="Y574" s="242"/>
      <c r="Z574" s="242"/>
    </row>
    <row r="575">
      <c r="A575" s="242"/>
      <c r="B575" s="242"/>
      <c r="C575" s="242"/>
      <c r="D575" s="242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2"/>
      <c r="V575" s="242"/>
      <c r="W575" s="242"/>
      <c r="X575" s="242"/>
      <c r="Y575" s="242"/>
      <c r="Z575" s="242"/>
    </row>
    <row r="576">
      <c r="A576" s="242"/>
      <c r="B576" s="242"/>
      <c r="C576" s="242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2"/>
      <c r="V576" s="242"/>
      <c r="W576" s="242"/>
      <c r="X576" s="242"/>
      <c r="Y576" s="242"/>
      <c r="Z576" s="242"/>
    </row>
    <row r="577">
      <c r="A577" s="242"/>
      <c r="B577" s="242"/>
      <c r="C577" s="242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2"/>
      <c r="V577" s="242"/>
      <c r="W577" s="242"/>
      <c r="X577" s="242"/>
      <c r="Y577" s="242"/>
      <c r="Z577" s="242"/>
    </row>
    <row r="578">
      <c r="A578" s="242"/>
      <c r="B578" s="242"/>
      <c r="C578" s="242"/>
      <c r="D578" s="242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2"/>
      <c r="V578" s="242"/>
      <c r="W578" s="242"/>
      <c r="X578" s="242"/>
      <c r="Y578" s="242"/>
      <c r="Z578" s="242"/>
    </row>
    <row r="579">
      <c r="A579" s="242"/>
      <c r="B579" s="242"/>
      <c r="C579" s="242"/>
      <c r="D579" s="242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2"/>
      <c r="V579" s="242"/>
      <c r="W579" s="242"/>
      <c r="X579" s="242"/>
      <c r="Y579" s="242"/>
      <c r="Z579" s="242"/>
    </row>
    <row r="580">
      <c r="A580" s="242"/>
      <c r="B580" s="242"/>
      <c r="C580" s="242"/>
      <c r="D580" s="242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2"/>
      <c r="V580" s="242"/>
      <c r="W580" s="242"/>
      <c r="X580" s="242"/>
      <c r="Y580" s="242"/>
      <c r="Z580" s="242"/>
    </row>
    <row r="581">
      <c r="A581" s="242"/>
      <c r="B581" s="242"/>
      <c r="C581" s="242"/>
      <c r="D581" s="242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2"/>
      <c r="V581" s="242"/>
      <c r="W581" s="242"/>
      <c r="X581" s="242"/>
      <c r="Y581" s="242"/>
      <c r="Z581" s="242"/>
    </row>
    <row r="582">
      <c r="A582" s="242"/>
      <c r="B582" s="242"/>
      <c r="C582" s="242"/>
      <c r="D582" s="242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2"/>
      <c r="V582" s="242"/>
      <c r="W582" s="242"/>
      <c r="X582" s="242"/>
      <c r="Y582" s="242"/>
      <c r="Z582" s="242"/>
    </row>
    <row r="583">
      <c r="A583" s="242"/>
      <c r="B583" s="242"/>
      <c r="C583" s="242"/>
      <c r="D583" s="242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2"/>
      <c r="V583" s="242"/>
      <c r="W583" s="242"/>
      <c r="X583" s="242"/>
      <c r="Y583" s="242"/>
      <c r="Z583" s="242"/>
    </row>
    <row r="584">
      <c r="A584" s="242"/>
      <c r="B584" s="242"/>
      <c r="C584" s="242"/>
      <c r="D584" s="242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2"/>
      <c r="V584" s="242"/>
      <c r="W584" s="242"/>
      <c r="X584" s="242"/>
      <c r="Y584" s="242"/>
      <c r="Z584" s="242"/>
    </row>
    <row r="585">
      <c r="A585" s="242"/>
      <c r="B585" s="242"/>
      <c r="C585" s="242"/>
      <c r="D585" s="242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2"/>
      <c r="V585" s="242"/>
      <c r="W585" s="242"/>
      <c r="X585" s="242"/>
      <c r="Y585" s="242"/>
      <c r="Z585" s="242"/>
    </row>
    <row r="586">
      <c r="A586" s="242"/>
      <c r="B586" s="242"/>
      <c r="C586" s="242"/>
      <c r="D586" s="242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2"/>
      <c r="V586" s="242"/>
      <c r="W586" s="242"/>
      <c r="X586" s="242"/>
      <c r="Y586" s="242"/>
      <c r="Z586" s="242"/>
    </row>
    <row r="587">
      <c r="A587" s="242"/>
      <c r="B587" s="242"/>
      <c r="C587" s="242"/>
      <c r="D587" s="242"/>
      <c r="E587" s="242"/>
      <c r="F587" s="242"/>
      <c r="G587" s="242"/>
      <c r="H587" s="242"/>
      <c r="I587" s="242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2"/>
      <c r="V587" s="242"/>
      <c r="W587" s="242"/>
      <c r="X587" s="242"/>
      <c r="Y587" s="242"/>
      <c r="Z587" s="242"/>
    </row>
    <row r="588">
      <c r="A588" s="242"/>
      <c r="B588" s="242"/>
      <c r="C588" s="242"/>
      <c r="D588" s="242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2"/>
      <c r="V588" s="242"/>
      <c r="W588" s="242"/>
      <c r="X588" s="242"/>
      <c r="Y588" s="242"/>
      <c r="Z588" s="242"/>
    </row>
    <row r="589">
      <c r="A589" s="242"/>
      <c r="B589" s="242"/>
      <c r="C589" s="242"/>
      <c r="D589" s="242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2"/>
      <c r="V589" s="242"/>
      <c r="W589" s="242"/>
      <c r="X589" s="242"/>
      <c r="Y589" s="242"/>
      <c r="Z589" s="242"/>
    </row>
    <row r="590">
      <c r="A590" s="242"/>
      <c r="B590" s="242"/>
      <c r="C590" s="242"/>
      <c r="D590" s="242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2"/>
      <c r="V590" s="242"/>
      <c r="W590" s="242"/>
      <c r="X590" s="242"/>
      <c r="Y590" s="242"/>
      <c r="Z590" s="242"/>
    </row>
    <row r="591">
      <c r="A591" s="242"/>
      <c r="B591" s="242"/>
      <c r="C591" s="242"/>
      <c r="D591" s="242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2"/>
      <c r="V591" s="242"/>
      <c r="W591" s="242"/>
      <c r="X591" s="242"/>
      <c r="Y591" s="242"/>
      <c r="Z591" s="242"/>
    </row>
    <row r="592">
      <c r="A592" s="242"/>
      <c r="B592" s="242"/>
      <c r="C592" s="242"/>
      <c r="D592" s="242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2"/>
      <c r="V592" s="242"/>
      <c r="W592" s="242"/>
      <c r="X592" s="242"/>
      <c r="Y592" s="242"/>
      <c r="Z592" s="242"/>
    </row>
    <row r="593">
      <c r="A593" s="242"/>
      <c r="B593" s="242"/>
      <c r="C593" s="242"/>
      <c r="D593" s="242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2"/>
      <c r="V593" s="242"/>
      <c r="W593" s="242"/>
      <c r="X593" s="242"/>
      <c r="Y593" s="242"/>
      <c r="Z593" s="242"/>
    </row>
    <row r="594">
      <c r="A594" s="242"/>
      <c r="B594" s="242"/>
      <c r="C594" s="242"/>
      <c r="D594" s="242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2"/>
      <c r="V594" s="242"/>
      <c r="W594" s="242"/>
      <c r="X594" s="242"/>
      <c r="Y594" s="242"/>
      <c r="Z594" s="242"/>
    </row>
    <row r="595">
      <c r="A595" s="242"/>
      <c r="B595" s="242"/>
      <c r="C595" s="242"/>
      <c r="D595" s="242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2"/>
      <c r="V595" s="242"/>
      <c r="W595" s="242"/>
      <c r="X595" s="242"/>
      <c r="Y595" s="242"/>
      <c r="Z595" s="242"/>
    </row>
    <row r="596">
      <c r="A596" s="242"/>
      <c r="B596" s="242"/>
      <c r="C596" s="242"/>
      <c r="D596" s="242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2"/>
      <c r="V596" s="242"/>
      <c r="W596" s="242"/>
      <c r="X596" s="242"/>
      <c r="Y596" s="242"/>
      <c r="Z596" s="242"/>
    </row>
    <row r="597">
      <c r="A597" s="242"/>
      <c r="B597" s="242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2"/>
      <c r="V597" s="242"/>
      <c r="W597" s="242"/>
      <c r="X597" s="242"/>
      <c r="Y597" s="242"/>
      <c r="Z597" s="242"/>
    </row>
    <row r="598">
      <c r="A598" s="242"/>
      <c r="B598" s="242"/>
      <c r="C598" s="242"/>
      <c r="D598" s="242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2"/>
      <c r="V598" s="242"/>
      <c r="W598" s="242"/>
      <c r="X598" s="242"/>
      <c r="Y598" s="242"/>
      <c r="Z598" s="242"/>
    </row>
    <row r="599">
      <c r="A599" s="242"/>
      <c r="B599" s="242"/>
      <c r="C599" s="242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2"/>
      <c r="V599" s="242"/>
      <c r="W599" s="242"/>
      <c r="X599" s="242"/>
      <c r="Y599" s="242"/>
      <c r="Z599" s="242"/>
    </row>
    <row r="600">
      <c r="A600" s="242"/>
      <c r="B600" s="242"/>
      <c r="C600" s="242"/>
      <c r="D600" s="242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2"/>
      <c r="V600" s="242"/>
      <c r="W600" s="242"/>
      <c r="X600" s="242"/>
      <c r="Y600" s="242"/>
      <c r="Z600" s="242"/>
    </row>
    <row r="601">
      <c r="A601" s="242"/>
      <c r="B601" s="242"/>
      <c r="C601" s="242"/>
      <c r="D601" s="242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2"/>
      <c r="V601" s="242"/>
      <c r="W601" s="242"/>
      <c r="X601" s="242"/>
      <c r="Y601" s="242"/>
      <c r="Z601" s="242"/>
    </row>
    <row r="602">
      <c r="A602" s="242"/>
      <c r="B602" s="242"/>
      <c r="C602" s="242"/>
      <c r="D602" s="242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2"/>
      <c r="V602" s="242"/>
      <c r="W602" s="242"/>
      <c r="X602" s="242"/>
      <c r="Y602" s="242"/>
      <c r="Z602" s="242"/>
    </row>
    <row r="603">
      <c r="A603" s="242"/>
      <c r="B603" s="242"/>
      <c r="C603" s="242"/>
      <c r="D603" s="242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2"/>
      <c r="V603" s="242"/>
      <c r="W603" s="242"/>
      <c r="X603" s="242"/>
      <c r="Y603" s="242"/>
      <c r="Z603" s="242"/>
    </row>
    <row r="604">
      <c r="A604" s="242"/>
      <c r="B604" s="242"/>
      <c r="C604" s="242"/>
      <c r="D604" s="242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2"/>
      <c r="V604" s="242"/>
      <c r="W604" s="242"/>
      <c r="X604" s="242"/>
      <c r="Y604" s="242"/>
      <c r="Z604" s="242"/>
    </row>
    <row r="605">
      <c r="A605" s="242"/>
      <c r="B605" s="242"/>
      <c r="C605" s="242"/>
      <c r="D605" s="242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2"/>
      <c r="V605" s="242"/>
      <c r="W605" s="242"/>
      <c r="X605" s="242"/>
      <c r="Y605" s="242"/>
      <c r="Z605" s="242"/>
    </row>
    <row r="606">
      <c r="A606" s="242"/>
      <c r="B606" s="242"/>
      <c r="C606" s="242"/>
      <c r="D606" s="242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2"/>
      <c r="V606" s="242"/>
      <c r="W606" s="242"/>
      <c r="X606" s="242"/>
      <c r="Y606" s="242"/>
      <c r="Z606" s="242"/>
    </row>
    <row r="607">
      <c r="A607" s="242"/>
      <c r="B607" s="242"/>
      <c r="C607" s="242"/>
      <c r="D607" s="242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2"/>
      <c r="V607" s="242"/>
      <c r="W607" s="242"/>
      <c r="X607" s="242"/>
      <c r="Y607" s="242"/>
      <c r="Z607" s="242"/>
    </row>
    <row r="608">
      <c r="A608" s="242"/>
      <c r="B608" s="242"/>
      <c r="C608" s="242"/>
      <c r="D608" s="242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2"/>
      <c r="V608" s="242"/>
      <c r="W608" s="242"/>
      <c r="X608" s="242"/>
      <c r="Y608" s="242"/>
      <c r="Z608" s="242"/>
    </row>
    <row r="609">
      <c r="A609" s="242"/>
      <c r="B609" s="242"/>
      <c r="C609" s="242"/>
      <c r="D609" s="242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2"/>
      <c r="V609" s="242"/>
      <c r="W609" s="242"/>
      <c r="X609" s="242"/>
      <c r="Y609" s="242"/>
      <c r="Z609" s="242"/>
    </row>
    <row r="610">
      <c r="A610" s="242"/>
      <c r="B610" s="242"/>
      <c r="C610" s="242"/>
      <c r="D610" s="242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2"/>
      <c r="V610" s="242"/>
      <c r="W610" s="242"/>
      <c r="X610" s="242"/>
      <c r="Y610" s="242"/>
      <c r="Z610" s="242"/>
    </row>
    <row r="611">
      <c r="A611" s="242"/>
      <c r="B611" s="242"/>
      <c r="C611" s="242"/>
      <c r="D611" s="242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2"/>
      <c r="V611" s="242"/>
      <c r="W611" s="242"/>
      <c r="X611" s="242"/>
      <c r="Y611" s="242"/>
      <c r="Z611" s="242"/>
    </row>
    <row r="612">
      <c r="A612" s="242"/>
      <c r="B612" s="242"/>
      <c r="C612" s="242"/>
      <c r="D612" s="242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2"/>
      <c r="V612" s="242"/>
      <c r="W612" s="242"/>
      <c r="X612" s="242"/>
      <c r="Y612" s="242"/>
      <c r="Z612" s="242"/>
    </row>
    <row r="613">
      <c r="A613" s="242"/>
      <c r="B613" s="242"/>
      <c r="C613" s="242"/>
      <c r="D613" s="242"/>
      <c r="E613" s="242"/>
      <c r="F613" s="242"/>
      <c r="G613" s="242"/>
      <c r="H613" s="242"/>
      <c r="I613" s="242"/>
      <c r="J613" s="242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2"/>
      <c r="V613" s="242"/>
      <c r="W613" s="242"/>
      <c r="X613" s="242"/>
      <c r="Y613" s="242"/>
      <c r="Z613" s="242"/>
    </row>
    <row r="614">
      <c r="A614" s="242"/>
      <c r="B614" s="242"/>
      <c r="C614" s="242"/>
      <c r="D614" s="242"/>
      <c r="E614" s="242"/>
      <c r="F614" s="242"/>
      <c r="G614" s="242"/>
      <c r="H614" s="242"/>
      <c r="I614" s="242"/>
      <c r="J614" s="242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2"/>
      <c r="V614" s="242"/>
      <c r="W614" s="242"/>
      <c r="X614" s="242"/>
      <c r="Y614" s="242"/>
      <c r="Z614" s="242"/>
    </row>
    <row r="615">
      <c r="A615" s="242"/>
      <c r="B615" s="242"/>
      <c r="C615" s="242"/>
      <c r="D615" s="242"/>
      <c r="E615" s="242"/>
      <c r="F615" s="242"/>
      <c r="G615" s="242"/>
      <c r="H615" s="242"/>
      <c r="I615" s="242"/>
      <c r="J615" s="242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2"/>
      <c r="V615" s="242"/>
      <c r="W615" s="242"/>
      <c r="X615" s="242"/>
      <c r="Y615" s="242"/>
      <c r="Z615" s="242"/>
    </row>
    <row r="616">
      <c r="A616" s="242"/>
      <c r="B616" s="242"/>
      <c r="C616" s="242"/>
      <c r="D616" s="242"/>
      <c r="E616" s="242"/>
      <c r="F616" s="242"/>
      <c r="G616" s="242"/>
      <c r="H616" s="242"/>
      <c r="I616" s="242"/>
      <c r="J616" s="242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2"/>
      <c r="V616" s="242"/>
      <c r="W616" s="242"/>
      <c r="X616" s="242"/>
      <c r="Y616" s="242"/>
      <c r="Z616" s="242"/>
    </row>
    <row r="617">
      <c r="A617" s="242"/>
      <c r="B617" s="242"/>
      <c r="C617" s="242"/>
      <c r="D617" s="242"/>
      <c r="E617" s="242"/>
      <c r="F617" s="242"/>
      <c r="G617" s="242"/>
      <c r="H617" s="242"/>
      <c r="I617" s="242"/>
      <c r="J617" s="242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2"/>
      <c r="V617" s="242"/>
      <c r="W617" s="242"/>
      <c r="X617" s="242"/>
      <c r="Y617" s="242"/>
      <c r="Z617" s="242"/>
    </row>
    <row r="618">
      <c r="A618" s="242"/>
      <c r="B618" s="242"/>
      <c r="C618" s="242"/>
      <c r="D618" s="242"/>
      <c r="E618" s="242"/>
      <c r="F618" s="242"/>
      <c r="G618" s="242"/>
      <c r="H618" s="242"/>
      <c r="I618" s="242"/>
      <c r="J618" s="242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2"/>
      <c r="V618" s="242"/>
      <c r="W618" s="242"/>
      <c r="X618" s="242"/>
      <c r="Y618" s="242"/>
      <c r="Z618" s="242"/>
    </row>
    <row r="619">
      <c r="A619" s="242"/>
      <c r="B619" s="242"/>
      <c r="C619" s="242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2"/>
      <c r="V619" s="242"/>
      <c r="W619" s="242"/>
      <c r="X619" s="242"/>
      <c r="Y619" s="242"/>
      <c r="Z619" s="242"/>
    </row>
    <row r="620">
      <c r="A620" s="242"/>
      <c r="B620" s="242"/>
      <c r="C620" s="242"/>
      <c r="D620" s="242"/>
      <c r="E620" s="242"/>
      <c r="F620" s="242"/>
      <c r="G620" s="242"/>
      <c r="H620" s="242"/>
      <c r="I620" s="242"/>
      <c r="J620" s="242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2"/>
      <c r="V620" s="242"/>
      <c r="W620" s="242"/>
      <c r="X620" s="242"/>
      <c r="Y620" s="242"/>
      <c r="Z620" s="242"/>
    </row>
    <row r="621">
      <c r="A621" s="242"/>
      <c r="B621" s="242"/>
      <c r="C621" s="242"/>
      <c r="D621" s="242"/>
      <c r="E621" s="242"/>
      <c r="F621" s="242"/>
      <c r="G621" s="242"/>
      <c r="H621" s="242"/>
      <c r="I621" s="242"/>
      <c r="J621" s="242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2"/>
      <c r="V621" s="242"/>
      <c r="W621" s="242"/>
      <c r="X621" s="242"/>
      <c r="Y621" s="242"/>
      <c r="Z621" s="242"/>
    </row>
    <row r="622">
      <c r="A622" s="242"/>
      <c r="B622" s="242"/>
      <c r="C622" s="242"/>
      <c r="D622" s="242"/>
      <c r="E622" s="242"/>
      <c r="F622" s="242"/>
      <c r="G622" s="242"/>
      <c r="H622" s="242"/>
      <c r="I622" s="242"/>
      <c r="J622" s="242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2"/>
      <c r="V622" s="242"/>
      <c r="W622" s="242"/>
      <c r="X622" s="242"/>
      <c r="Y622" s="242"/>
      <c r="Z622" s="242"/>
    </row>
    <row r="623">
      <c r="A623" s="242"/>
      <c r="B623" s="242"/>
      <c r="C623" s="242"/>
      <c r="D623" s="242"/>
      <c r="E623" s="242"/>
      <c r="F623" s="242"/>
      <c r="G623" s="242"/>
      <c r="H623" s="242"/>
      <c r="I623" s="242"/>
      <c r="J623" s="242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2"/>
      <c r="V623" s="242"/>
      <c r="W623" s="242"/>
      <c r="X623" s="242"/>
      <c r="Y623" s="242"/>
      <c r="Z623" s="242"/>
    </row>
    <row r="624">
      <c r="A624" s="242"/>
      <c r="B624" s="242"/>
      <c r="C624" s="242"/>
      <c r="D624" s="242"/>
      <c r="E624" s="242"/>
      <c r="F624" s="242"/>
      <c r="G624" s="242"/>
      <c r="H624" s="242"/>
      <c r="I624" s="242"/>
      <c r="J624" s="242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2"/>
      <c r="V624" s="242"/>
      <c r="W624" s="242"/>
      <c r="X624" s="242"/>
      <c r="Y624" s="242"/>
      <c r="Z624" s="242"/>
    </row>
    <row r="625">
      <c r="A625" s="242"/>
      <c r="B625" s="242"/>
      <c r="C625" s="242"/>
      <c r="D625" s="242"/>
      <c r="E625" s="242"/>
      <c r="F625" s="242"/>
      <c r="G625" s="242"/>
      <c r="H625" s="242"/>
      <c r="I625" s="242"/>
      <c r="J625" s="242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2"/>
      <c r="V625" s="242"/>
      <c r="W625" s="242"/>
      <c r="X625" s="242"/>
      <c r="Y625" s="242"/>
      <c r="Z625" s="242"/>
    </row>
    <row r="626">
      <c r="A626" s="242"/>
      <c r="B626" s="242"/>
      <c r="C626" s="242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2"/>
      <c r="V626" s="242"/>
      <c r="W626" s="242"/>
      <c r="X626" s="242"/>
      <c r="Y626" s="242"/>
      <c r="Z626" s="242"/>
    </row>
    <row r="627">
      <c r="A627" s="242"/>
      <c r="B627" s="242"/>
      <c r="C627" s="242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2"/>
      <c r="V627" s="242"/>
      <c r="W627" s="242"/>
      <c r="X627" s="242"/>
      <c r="Y627" s="242"/>
      <c r="Z627" s="242"/>
    </row>
    <row r="628">
      <c r="A628" s="242"/>
      <c r="B628" s="242"/>
      <c r="C628" s="242"/>
      <c r="D628" s="242"/>
      <c r="E628" s="242"/>
      <c r="F628" s="242"/>
      <c r="G628" s="242"/>
      <c r="H628" s="242"/>
      <c r="I628" s="242"/>
      <c r="J628" s="242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2"/>
      <c r="V628" s="242"/>
      <c r="W628" s="242"/>
      <c r="X628" s="242"/>
      <c r="Y628" s="242"/>
      <c r="Z628" s="242"/>
    </row>
    <row r="629">
      <c r="A629" s="242"/>
      <c r="B629" s="242"/>
      <c r="C629" s="242"/>
      <c r="D629" s="242"/>
      <c r="E629" s="242"/>
      <c r="F629" s="242"/>
      <c r="G629" s="242"/>
      <c r="H629" s="242"/>
      <c r="I629" s="242"/>
      <c r="J629" s="242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2"/>
      <c r="V629" s="242"/>
      <c r="W629" s="242"/>
      <c r="X629" s="242"/>
      <c r="Y629" s="242"/>
      <c r="Z629" s="242"/>
    </row>
    <row r="630">
      <c r="A630" s="242"/>
      <c r="B630" s="242"/>
      <c r="C630" s="242"/>
      <c r="D630" s="242"/>
      <c r="E630" s="242"/>
      <c r="F630" s="242"/>
      <c r="G630" s="242"/>
      <c r="H630" s="242"/>
      <c r="I630" s="242"/>
      <c r="J630" s="242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2"/>
      <c r="V630" s="242"/>
      <c r="W630" s="242"/>
      <c r="X630" s="242"/>
      <c r="Y630" s="242"/>
      <c r="Z630" s="242"/>
    </row>
    <row r="631">
      <c r="A631" s="242"/>
      <c r="B631" s="242"/>
      <c r="C631" s="242"/>
      <c r="D631" s="242"/>
      <c r="E631" s="242"/>
      <c r="F631" s="242"/>
      <c r="G631" s="242"/>
      <c r="H631" s="242"/>
      <c r="I631" s="242"/>
      <c r="J631" s="242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2"/>
      <c r="V631" s="242"/>
      <c r="W631" s="242"/>
      <c r="X631" s="242"/>
      <c r="Y631" s="242"/>
      <c r="Z631" s="242"/>
    </row>
    <row r="632">
      <c r="A632" s="242"/>
      <c r="B632" s="242"/>
      <c r="C632" s="242"/>
      <c r="D632" s="242"/>
      <c r="E632" s="242"/>
      <c r="F632" s="242"/>
      <c r="G632" s="242"/>
      <c r="H632" s="242"/>
      <c r="I632" s="242"/>
      <c r="J632" s="242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2"/>
      <c r="V632" s="242"/>
      <c r="W632" s="242"/>
      <c r="X632" s="242"/>
      <c r="Y632" s="242"/>
      <c r="Z632" s="242"/>
    </row>
    <row r="633">
      <c r="A633" s="242"/>
      <c r="B633" s="242"/>
      <c r="C633" s="242"/>
      <c r="D633" s="242"/>
      <c r="E633" s="242"/>
      <c r="F633" s="242"/>
      <c r="G633" s="242"/>
      <c r="H633" s="242"/>
      <c r="I633" s="242"/>
      <c r="J633" s="242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2"/>
      <c r="V633" s="242"/>
      <c r="W633" s="242"/>
      <c r="X633" s="242"/>
      <c r="Y633" s="242"/>
      <c r="Z633" s="242"/>
    </row>
    <row r="634">
      <c r="A634" s="242"/>
      <c r="B634" s="242"/>
      <c r="C634" s="242"/>
      <c r="D634" s="242"/>
      <c r="E634" s="242"/>
      <c r="F634" s="242"/>
      <c r="G634" s="242"/>
      <c r="H634" s="242"/>
      <c r="I634" s="242"/>
      <c r="J634" s="242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2"/>
      <c r="V634" s="242"/>
      <c r="W634" s="242"/>
      <c r="X634" s="242"/>
      <c r="Y634" s="242"/>
      <c r="Z634" s="242"/>
    </row>
    <row r="635">
      <c r="A635" s="242"/>
      <c r="B635" s="242"/>
      <c r="C635" s="242"/>
      <c r="D635" s="242"/>
      <c r="E635" s="242"/>
      <c r="F635" s="242"/>
      <c r="G635" s="242"/>
      <c r="H635" s="242"/>
      <c r="I635" s="242"/>
      <c r="J635" s="242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2"/>
      <c r="V635" s="242"/>
      <c r="W635" s="242"/>
      <c r="X635" s="242"/>
      <c r="Y635" s="242"/>
      <c r="Z635" s="242"/>
    </row>
    <row r="636">
      <c r="A636" s="242"/>
      <c r="B636" s="242"/>
      <c r="C636" s="242"/>
      <c r="D636" s="242"/>
      <c r="E636" s="242"/>
      <c r="F636" s="242"/>
      <c r="G636" s="242"/>
      <c r="H636" s="242"/>
      <c r="I636" s="242"/>
      <c r="J636" s="242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2"/>
      <c r="V636" s="242"/>
      <c r="W636" s="242"/>
      <c r="X636" s="242"/>
      <c r="Y636" s="242"/>
      <c r="Z636" s="242"/>
    </row>
    <row r="637">
      <c r="A637" s="242"/>
      <c r="B637" s="242"/>
      <c r="C637" s="242"/>
      <c r="D637" s="242"/>
      <c r="E637" s="242"/>
      <c r="F637" s="242"/>
      <c r="G637" s="242"/>
      <c r="H637" s="242"/>
      <c r="I637" s="242"/>
      <c r="J637" s="242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2"/>
      <c r="V637" s="242"/>
      <c r="W637" s="242"/>
      <c r="X637" s="242"/>
      <c r="Y637" s="242"/>
      <c r="Z637" s="242"/>
    </row>
    <row r="638">
      <c r="A638" s="242"/>
      <c r="B638" s="242"/>
      <c r="C638" s="242"/>
      <c r="D638" s="242"/>
      <c r="E638" s="242"/>
      <c r="F638" s="242"/>
      <c r="G638" s="242"/>
      <c r="H638" s="242"/>
      <c r="I638" s="242"/>
      <c r="J638" s="242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2"/>
      <c r="V638" s="242"/>
      <c r="W638" s="242"/>
      <c r="X638" s="242"/>
      <c r="Y638" s="242"/>
      <c r="Z638" s="242"/>
    </row>
    <row r="639">
      <c r="A639" s="242"/>
      <c r="B639" s="242"/>
      <c r="C639" s="242"/>
      <c r="D639" s="242"/>
      <c r="E639" s="242"/>
      <c r="F639" s="242"/>
      <c r="G639" s="242"/>
      <c r="H639" s="242"/>
      <c r="I639" s="242"/>
      <c r="J639" s="242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2"/>
      <c r="V639" s="242"/>
      <c r="W639" s="242"/>
      <c r="X639" s="242"/>
      <c r="Y639" s="242"/>
      <c r="Z639" s="242"/>
    </row>
    <row r="640">
      <c r="A640" s="242"/>
      <c r="B640" s="242"/>
      <c r="C640" s="242"/>
      <c r="D640" s="242"/>
      <c r="E640" s="242"/>
      <c r="F640" s="242"/>
      <c r="G640" s="242"/>
      <c r="H640" s="242"/>
      <c r="I640" s="242"/>
      <c r="J640" s="242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2"/>
      <c r="V640" s="242"/>
      <c r="W640" s="242"/>
      <c r="X640" s="242"/>
      <c r="Y640" s="242"/>
      <c r="Z640" s="242"/>
    </row>
    <row r="641">
      <c r="A641" s="242"/>
      <c r="B641" s="242"/>
      <c r="C641" s="242"/>
      <c r="D641" s="242"/>
      <c r="E641" s="242"/>
      <c r="F641" s="242"/>
      <c r="G641" s="242"/>
      <c r="H641" s="242"/>
      <c r="I641" s="242"/>
      <c r="J641" s="242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2"/>
      <c r="V641" s="242"/>
      <c r="W641" s="242"/>
      <c r="X641" s="242"/>
      <c r="Y641" s="242"/>
      <c r="Z641" s="242"/>
    </row>
    <row r="642">
      <c r="A642" s="242"/>
      <c r="B642" s="242"/>
      <c r="C642" s="242"/>
      <c r="D642" s="242"/>
      <c r="E642" s="242"/>
      <c r="F642" s="242"/>
      <c r="G642" s="242"/>
      <c r="H642" s="242"/>
      <c r="I642" s="242"/>
      <c r="J642" s="242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2"/>
      <c r="V642" s="242"/>
      <c r="W642" s="242"/>
      <c r="X642" s="242"/>
      <c r="Y642" s="242"/>
      <c r="Z642" s="242"/>
    </row>
    <row r="643">
      <c r="A643" s="242"/>
      <c r="B643" s="242"/>
      <c r="C643" s="242"/>
      <c r="D643" s="242"/>
      <c r="E643" s="242"/>
      <c r="F643" s="242"/>
      <c r="G643" s="242"/>
      <c r="H643" s="242"/>
      <c r="I643" s="242"/>
      <c r="J643" s="242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2"/>
      <c r="V643" s="242"/>
      <c r="W643" s="242"/>
      <c r="X643" s="242"/>
      <c r="Y643" s="242"/>
      <c r="Z643" s="242"/>
    </row>
    <row r="644">
      <c r="A644" s="242"/>
      <c r="B644" s="242"/>
      <c r="C644" s="242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2"/>
      <c r="V644" s="242"/>
      <c r="W644" s="242"/>
      <c r="X644" s="242"/>
      <c r="Y644" s="242"/>
      <c r="Z644" s="242"/>
    </row>
    <row r="645">
      <c r="A645" s="242"/>
      <c r="B645" s="242"/>
      <c r="C645" s="242"/>
      <c r="D645" s="242"/>
      <c r="E645" s="242"/>
      <c r="F645" s="242"/>
      <c r="G645" s="242"/>
      <c r="H645" s="242"/>
      <c r="I645" s="242"/>
      <c r="J645" s="242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2"/>
      <c r="V645" s="242"/>
      <c r="W645" s="242"/>
      <c r="X645" s="242"/>
      <c r="Y645" s="242"/>
      <c r="Z645" s="242"/>
    </row>
    <row r="646">
      <c r="A646" s="242"/>
      <c r="B646" s="242"/>
      <c r="C646" s="242"/>
      <c r="D646" s="242"/>
      <c r="E646" s="242"/>
      <c r="F646" s="242"/>
      <c r="G646" s="242"/>
      <c r="H646" s="242"/>
      <c r="I646" s="242"/>
      <c r="J646" s="242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2"/>
      <c r="V646" s="242"/>
      <c r="W646" s="242"/>
      <c r="X646" s="242"/>
      <c r="Y646" s="242"/>
      <c r="Z646" s="242"/>
    </row>
    <row r="647">
      <c r="A647" s="242"/>
      <c r="B647" s="242"/>
      <c r="C647" s="242"/>
      <c r="D647" s="242"/>
      <c r="E647" s="242"/>
      <c r="F647" s="242"/>
      <c r="G647" s="242"/>
      <c r="H647" s="242"/>
      <c r="I647" s="242"/>
      <c r="J647" s="242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2"/>
      <c r="V647" s="242"/>
      <c r="W647" s="242"/>
      <c r="X647" s="242"/>
      <c r="Y647" s="242"/>
      <c r="Z647" s="242"/>
    </row>
    <row r="648">
      <c r="A648" s="242"/>
      <c r="B648" s="242"/>
      <c r="C648" s="242"/>
      <c r="D648" s="242"/>
      <c r="E648" s="242"/>
      <c r="F648" s="242"/>
      <c r="G648" s="242"/>
      <c r="H648" s="242"/>
      <c r="I648" s="242"/>
      <c r="J648" s="242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2"/>
      <c r="V648" s="242"/>
      <c r="W648" s="242"/>
      <c r="X648" s="242"/>
      <c r="Y648" s="242"/>
      <c r="Z648" s="242"/>
    </row>
    <row r="649">
      <c r="A649" s="242"/>
      <c r="B649" s="242"/>
      <c r="C649" s="242"/>
      <c r="D649" s="242"/>
      <c r="E649" s="242"/>
      <c r="F649" s="242"/>
      <c r="G649" s="242"/>
      <c r="H649" s="242"/>
      <c r="I649" s="242"/>
      <c r="J649" s="242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2"/>
      <c r="V649" s="242"/>
      <c r="W649" s="242"/>
      <c r="X649" s="242"/>
      <c r="Y649" s="242"/>
      <c r="Z649" s="242"/>
    </row>
    <row r="650">
      <c r="A650" s="242"/>
      <c r="B650" s="242"/>
      <c r="C650" s="242"/>
      <c r="D650" s="242"/>
      <c r="E650" s="242"/>
      <c r="F650" s="242"/>
      <c r="G650" s="242"/>
      <c r="H650" s="242"/>
      <c r="I650" s="242"/>
      <c r="J650" s="242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2"/>
      <c r="V650" s="242"/>
      <c r="W650" s="242"/>
      <c r="X650" s="242"/>
      <c r="Y650" s="242"/>
      <c r="Z650" s="242"/>
    </row>
    <row r="651">
      <c r="A651" s="242"/>
      <c r="B651" s="242"/>
      <c r="C651" s="242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2"/>
      <c r="V651" s="242"/>
      <c r="W651" s="242"/>
      <c r="X651" s="242"/>
      <c r="Y651" s="242"/>
      <c r="Z651" s="242"/>
    </row>
    <row r="652">
      <c r="A652" s="242"/>
      <c r="B652" s="242"/>
      <c r="C652" s="242"/>
      <c r="D652" s="242"/>
      <c r="E652" s="242"/>
      <c r="F652" s="242"/>
      <c r="G652" s="242"/>
      <c r="H652" s="242"/>
      <c r="I652" s="242"/>
      <c r="J652" s="242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2"/>
      <c r="V652" s="242"/>
      <c r="W652" s="242"/>
      <c r="X652" s="242"/>
      <c r="Y652" s="242"/>
      <c r="Z652" s="242"/>
    </row>
    <row r="653">
      <c r="A653" s="242"/>
      <c r="B653" s="242"/>
      <c r="C653" s="242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2"/>
      <c r="V653" s="242"/>
      <c r="W653" s="242"/>
      <c r="X653" s="242"/>
      <c r="Y653" s="242"/>
      <c r="Z653" s="242"/>
    </row>
    <row r="654">
      <c r="A654" s="242"/>
      <c r="B654" s="242"/>
      <c r="C654" s="242"/>
      <c r="D654" s="242"/>
      <c r="E654" s="242"/>
      <c r="F654" s="242"/>
      <c r="G654" s="242"/>
      <c r="H654" s="242"/>
      <c r="I654" s="242"/>
      <c r="J654" s="242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2"/>
      <c r="V654" s="242"/>
      <c r="W654" s="242"/>
      <c r="X654" s="242"/>
      <c r="Y654" s="242"/>
      <c r="Z654" s="242"/>
    </row>
    <row r="655">
      <c r="A655" s="242"/>
      <c r="B655" s="242"/>
      <c r="C655" s="242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2"/>
      <c r="V655" s="242"/>
      <c r="W655" s="242"/>
      <c r="X655" s="242"/>
      <c r="Y655" s="242"/>
      <c r="Z655" s="242"/>
    </row>
    <row r="656">
      <c r="A656" s="242"/>
      <c r="B656" s="242"/>
      <c r="C656" s="242"/>
      <c r="D656" s="242"/>
      <c r="E656" s="242"/>
      <c r="F656" s="242"/>
      <c r="G656" s="242"/>
      <c r="H656" s="242"/>
      <c r="I656" s="242"/>
      <c r="J656" s="242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2"/>
      <c r="V656" s="242"/>
      <c r="W656" s="242"/>
      <c r="X656" s="242"/>
      <c r="Y656" s="242"/>
      <c r="Z656" s="242"/>
    </row>
    <row r="657">
      <c r="A657" s="242"/>
      <c r="B657" s="242"/>
      <c r="C657" s="242"/>
      <c r="D657" s="242"/>
      <c r="E657" s="242"/>
      <c r="F657" s="242"/>
      <c r="G657" s="242"/>
      <c r="H657" s="242"/>
      <c r="I657" s="242"/>
      <c r="J657" s="242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2"/>
      <c r="V657" s="242"/>
      <c r="W657" s="242"/>
      <c r="X657" s="242"/>
      <c r="Y657" s="242"/>
      <c r="Z657" s="242"/>
    </row>
    <row r="658">
      <c r="A658" s="242"/>
      <c r="B658" s="242"/>
      <c r="C658" s="242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2"/>
      <c r="V658" s="242"/>
      <c r="W658" s="242"/>
      <c r="X658" s="242"/>
      <c r="Y658" s="242"/>
      <c r="Z658" s="242"/>
    </row>
    <row r="659">
      <c r="A659" s="242"/>
      <c r="B659" s="242"/>
      <c r="C659" s="242"/>
      <c r="D659" s="242"/>
      <c r="E659" s="242"/>
      <c r="F659" s="242"/>
      <c r="G659" s="242"/>
      <c r="H659" s="242"/>
      <c r="I659" s="242"/>
      <c r="J659" s="242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2"/>
      <c r="V659" s="242"/>
      <c r="W659" s="242"/>
      <c r="X659" s="242"/>
      <c r="Y659" s="242"/>
      <c r="Z659" s="242"/>
    </row>
    <row r="660">
      <c r="A660" s="242"/>
      <c r="B660" s="242"/>
      <c r="C660" s="242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2"/>
      <c r="V660" s="242"/>
      <c r="W660" s="242"/>
      <c r="X660" s="242"/>
      <c r="Y660" s="242"/>
      <c r="Z660" s="242"/>
    </row>
    <row r="661">
      <c r="A661" s="242"/>
      <c r="B661" s="242"/>
      <c r="C661" s="242"/>
      <c r="D661" s="242"/>
      <c r="E661" s="242"/>
      <c r="F661" s="242"/>
      <c r="G661" s="242"/>
      <c r="H661" s="242"/>
      <c r="I661" s="242"/>
      <c r="J661" s="242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2"/>
      <c r="V661" s="242"/>
      <c r="W661" s="242"/>
      <c r="X661" s="242"/>
      <c r="Y661" s="242"/>
      <c r="Z661" s="242"/>
    </row>
    <row r="662">
      <c r="A662" s="242"/>
      <c r="B662" s="242"/>
      <c r="C662" s="242"/>
      <c r="D662" s="242"/>
      <c r="E662" s="242"/>
      <c r="F662" s="242"/>
      <c r="G662" s="242"/>
      <c r="H662" s="242"/>
      <c r="I662" s="242"/>
      <c r="J662" s="242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2"/>
      <c r="V662" s="242"/>
      <c r="W662" s="242"/>
      <c r="X662" s="242"/>
      <c r="Y662" s="242"/>
      <c r="Z662" s="242"/>
    </row>
    <row r="663">
      <c r="A663" s="242"/>
      <c r="B663" s="242"/>
      <c r="C663" s="242"/>
      <c r="D663" s="242"/>
      <c r="E663" s="242"/>
      <c r="F663" s="242"/>
      <c r="G663" s="242"/>
      <c r="H663" s="242"/>
      <c r="I663" s="242"/>
      <c r="J663" s="242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2"/>
      <c r="V663" s="242"/>
      <c r="W663" s="242"/>
      <c r="X663" s="242"/>
      <c r="Y663" s="242"/>
      <c r="Z663" s="242"/>
    </row>
    <row r="664">
      <c r="A664" s="242"/>
      <c r="B664" s="242"/>
      <c r="C664" s="242"/>
      <c r="D664" s="242"/>
      <c r="E664" s="242"/>
      <c r="F664" s="242"/>
      <c r="G664" s="242"/>
      <c r="H664" s="242"/>
      <c r="I664" s="242"/>
      <c r="J664" s="242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2"/>
      <c r="V664" s="242"/>
      <c r="W664" s="242"/>
      <c r="X664" s="242"/>
      <c r="Y664" s="242"/>
      <c r="Z664" s="242"/>
    </row>
    <row r="665">
      <c r="A665" s="242"/>
      <c r="B665" s="242"/>
      <c r="C665" s="242"/>
      <c r="D665" s="242"/>
      <c r="E665" s="242"/>
      <c r="F665" s="242"/>
      <c r="G665" s="242"/>
      <c r="H665" s="242"/>
      <c r="I665" s="242"/>
      <c r="J665" s="242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2"/>
      <c r="V665" s="242"/>
      <c r="W665" s="242"/>
      <c r="X665" s="242"/>
      <c r="Y665" s="242"/>
      <c r="Z665" s="242"/>
    </row>
    <row r="666">
      <c r="A666" s="242"/>
      <c r="B666" s="242"/>
      <c r="C666" s="242"/>
      <c r="D666" s="242"/>
      <c r="E666" s="242"/>
      <c r="F666" s="242"/>
      <c r="G666" s="242"/>
      <c r="H666" s="242"/>
      <c r="I666" s="242"/>
      <c r="J666" s="242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2"/>
      <c r="V666" s="242"/>
      <c r="W666" s="242"/>
      <c r="X666" s="242"/>
      <c r="Y666" s="242"/>
      <c r="Z666" s="242"/>
    </row>
    <row r="667">
      <c r="A667" s="242"/>
      <c r="B667" s="242"/>
      <c r="C667" s="242"/>
      <c r="D667" s="242"/>
      <c r="E667" s="242"/>
      <c r="F667" s="242"/>
      <c r="G667" s="242"/>
      <c r="H667" s="242"/>
      <c r="I667" s="242"/>
      <c r="J667" s="242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2"/>
      <c r="V667" s="242"/>
      <c r="W667" s="242"/>
      <c r="X667" s="242"/>
      <c r="Y667" s="242"/>
      <c r="Z667" s="242"/>
    </row>
    <row r="668">
      <c r="A668" s="242"/>
      <c r="B668" s="242"/>
      <c r="C668" s="242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2"/>
      <c r="V668" s="242"/>
      <c r="W668" s="242"/>
      <c r="X668" s="242"/>
      <c r="Y668" s="242"/>
      <c r="Z668" s="242"/>
    </row>
    <row r="669">
      <c r="A669" s="242"/>
      <c r="B669" s="242"/>
      <c r="C669" s="242"/>
      <c r="D669" s="242"/>
      <c r="E669" s="242"/>
      <c r="F669" s="242"/>
      <c r="G669" s="242"/>
      <c r="H669" s="242"/>
      <c r="I669" s="242"/>
      <c r="J669" s="242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2"/>
      <c r="V669" s="242"/>
      <c r="W669" s="242"/>
      <c r="X669" s="242"/>
      <c r="Y669" s="242"/>
      <c r="Z669" s="242"/>
    </row>
    <row r="670">
      <c r="A670" s="242"/>
      <c r="B670" s="242"/>
      <c r="C670" s="242"/>
      <c r="D670" s="242"/>
      <c r="E670" s="242"/>
      <c r="F670" s="242"/>
      <c r="G670" s="242"/>
      <c r="H670" s="242"/>
      <c r="I670" s="242"/>
      <c r="J670" s="242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2"/>
      <c r="V670" s="242"/>
      <c r="W670" s="242"/>
      <c r="X670" s="242"/>
      <c r="Y670" s="242"/>
      <c r="Z670" s="242"/>
    </row>
    <row r="671">
      <c r="A671" s="242"/>
      <c r="B671" s="242"/>
      <c r="C671" s="242"/>
      <c r="D671" s="242"/>
      <c r="E671" s="242"/>
      <c r="F671" s="242"/>
      <c r="G671" s="242"/>
      <c r="H671" s="242"/>
      <c r="I671" s="242"/>
      <c r="J671" s="242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2"/>
      <c r="V671" s="242"/>
      <c r="W671" s="242"/>
      <c r="X671" s="242"/>
      <c r="Y671" s="242"/>
      <c r="Z671" s="242"/>
    </row>
    <row r="672">
      <c r="A672" s="242"/>
      <c r="B672" s="242"/>
      <c r="C672" s="242"/>
      <c r="D672" s="242"/>
      <c r="E672" s="242"/>
      <c r="F672" s="242"/>
      <c r="G672" s="242"/>
      <c r="H672" s="242"/>
      <c r="I672" s="242"/>
      <c r="J672" s="242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2"/>
      <c r="V672" s="242"/>
      <c r="W672" s="242"/>
      <c r="X672" s="242"/>
      <c r="Y672" s="242"/>
      <c r="Z672" s="242"/>
    </row>
    <row r="673">
      <c r="A673" s="242"/>
      <c r="B673" s="242"/>
      <c r="C673" s="242"/>
      <c r="D673" s="242"/>
      <c r="E673" s="242"/>
      <c r="F673" s="242"/>
      <c r="G673" s="242"/>
      <c r="H673" s="242"/>
      <c r="I673" s="242"/>
      <c r="J673" s="242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2"/>
      <c r="V673" s="242"/>
      <c r="W673" s="242"/>
      <c r="X673" s="242"/>
      <c r="Y673" s="242"/>
      <c r="Z673" s="242"/>
    </row>
    <row r="674">
      <c r="A674" s="242"/>
      <c r="B674" s="242"/>
      <c r="C674" s="242"/>
      <c r="D674" s="242"/>
      <c r="E674" s="242"/>
      <c r="F674" s="242"/>
      <c r="G674" s="242"/>
      <c r="H674" s="242"/>
      <c r="I674" s="242"/>
      <c r="J674" s="242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2"/>
      <c r="V674" s="242"/>
      <c r="W674" s="242"/>
      <c r="X674" s="242"/>
      <c r="Y674" s="242"/>
      <c r="Z674" s="242"/>
    </row>
    <row r="675">
      <c r="A675" s="242"/>
      <c r="B675" s="242"/>
      <c r="C675" s="242"/>
      <c r="D675" s="242"/>
      <c r="E675" s="242"/>
      <c r="F675" s="242"/>
      <c r="G675" s="242"/>
      <c r="H675" s="242"/>
      <c r="I675" s="242"/>
      <c r="J675" s="242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2"/>
      <c r="V675" s="242"/>
      <c r="W675" s="242"/>
      <c r="X675" s="242"/>
      <c r="Y675" s="242"/>
      <c r="Z675" s="242"/>
    </row>
    <row r="676">
      <c r="A676" s="242"/>
      <c r="B676" s="242"/>
      <c r="C676" s="242"/>
      <c r="D676" s="242"/>
      <c r="E676" s="242"/>
      <c r="F676" s="242"/>
      <c r="G676" s="242"/>
      <c r="H676" s="242"/>
      <c r="I676" s="242"/>
      <c r="J676" s="242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2"/>
      <c r="V676" s="242"/>
      <c r="W676" s="242"/>
      <c r="X676" s="242"/>
      <c r="Y676" s="242"/>
      <c r="Z676" s="242"/>
    </row>
    <row r="677">
      <c r="A677" s="242"/>
      <c r="B677" s="242"/>
      <c r="C677" s="242"/>
      <c r="D677" s="242"/>
      <c r="E677" s="242"/>
      <c r="F677" s="242"/>
      <c r="G677" s="242"/>
      <c r="H677" s="242"/>
      <c r="I677" s="242"/>
      <c r="J677" s="242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2"/>
      <c r="V677" s="242"/>
      <c r="W677" s="242"/>
      <c r="X677" s="242"/>
      <c r="Y677" s="242"/>
      <c r="Z677" s="242"/>
    </row>
    <row r="678">
      <c r="A678" s="242"/>
      <c r="B678" s="242"/>
      <c r="C678" s="242"/>
      <c r="D678" s="242"/>
      <c r="E678" s="242"/>
      <c r="F678" s="242"/>
      <c r="G678" s="242"/>
      <c r="H678" s="242"/>
      <c r="I678" s="242"/>
      <c r="J678" s="242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2"/>
      <c r="V678" s="242"/>
      <c r="W678" s="242"/>
      <c r="X678" s="242"/>
      <c r="Y678" s="242"/>
      <c r="Z678" s="242"/>
    </row>
    <row r="679">
      <c r="A679" s="242"/>
      <c r="B679" s="242"/>
      <c r="C679" s="242"/>
      <c r="D679" s="242"/>
      <c r="E679" s="242"/>
      <c r="F679" s="242"/>
      <c r="G679" s="242"/>
      <c r="H679" s="242"/>
      <c r="I679" s="242"/>
      <c r="J679" s="242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2"/>
      <c r="V679" s="242"/>
      <c r="W679" s="242"/>
      <c r="X679" s="242"/>
      <c r="Y679" s="242"/>
      <c r="Z679" s="242"/>
    </row>
    <row r="680">
      <c r="A680" s="242"/>
      <c r="B680" s="242"/>
      <c r="C680" s="242"/>
      <c r="D680" s="242"/>
      <c r="E680" s="242"/>
      <c r="F680" s="242"/>
      <c r="G680" s="242"/>
      <c r="H680" s="242"/>
      <c r="I680" s="242"/>
      <c r="J680" s="242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2"/>
      <c r="V680" s="242"/>
      <c r="W680" s="242"/>
      <c r="X680" s="242"/>
      <c r="Y680" s="242"/>
      <c r="Z680" s="242"/>
    </row>
    <row r="681">
      <c r="A681" s="242"/>
      <c r="B681" s="242"/>
      <c r="C681" s="242"/>
      <c r="D681" s="242"/>
      <c r="E681" s="242"/>
      <c r="F681" s="242"/>
      <c r="G681" s="242"/>
      <c r="H681" s="242"/>
      <c r="I681" s="242"/>
      <c r="J681" s="242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2"/>
      <c r="V681" s="242"/>
      <c r="W681" s="242"/>
      <c r="X681" s="242"/>
      <c r="Y681" s="242"/>
      <c r="Z681" s="242"/>
    </row>
    <row r="682">
      <c r="A682" s="242"/>
      <c r="B682" s="242"/>
      <c r="C682" s="242"/>
      <c r="D682" s="242"/>
      <c r="E682" s="242"/>
      <c r="F682" s="242"/>
      <c r="G682" s="242"/>
      <c r="H682" s="242"/>
      <c r="I682" s="242"/>
      <c r="J682" s="242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2"/>
      <c r="V682" s="242"/>
      <c r="W682" s="242"/>
      <c r="X682" s="242"/>
      <c r="Y682" s="242"/>
      <c r="Z682" s="242"/>
    </row>
    <row r="683">
      <c r="A683" s="242"/>
      <c r="B683" s="242"/>
      <c r="C683" s="242"/>
      <c r="D683" s="242"/>
      <c r="E683" s="242"/>
      <c r="F683" s="242"/>
      <c r="G683" s="242"/>
      <c r="H683" s="242"/>
      <c r="I683" s="242"/>
      <c r="J683" s="242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2"/>
      <c r="V683" s="242"/>
      <c r="W683" s="242"/>
      <c r="X683" s="242"/>
      <c r="Y683" s="242"/>
      <c r="Z683" s="242"/>
    </row>
    <row r="684">
      <c r="A684" s="242"/>
      <c r="B684" s="242"/>
      <c r="C684" s="242"/>
      <c r="D684" s="242"/>
      <c r="E684" s="242"/>
      <c r="F684" s="242"/>
      <c r="G684" s="242"/>
      <c r="H684" s="242"/>
      <c r="I684" s="242"/>
      <c r="J684" s="242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2"/>
      <c r="V684" s="242"/>
      <c r="W684" s="242"/>
      <c r="X684" s="242"/>
      <c r="Y684" s="242"/>
      <c r="Z684" s="242"/>
    </row>
    <row r="685">
      <c r="A685" s="242"/>
      <c r="B685" s="242"/>
      <c r="C685" s="242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2"/>
      <c r="V685" s="242"/>
      <c r="W685" s="242"/>
      <c r="X685" s="242"/>
      <c r="Y685" s="242"/>
      <c r="Z685" s="242"/>
    </row>
    <row r="686">
      <c r="A686" s="242"/>
      <c r="B686" s="242"/>
      <c r="C686" s="242"/>
      <c r="D686" s="242"/>
      <c r="E686" s="242"/>
      <c r="F686" s="242"/>
      <c r="G686" s="242"/>
      <c r="H686" s="242"/>
      <c r="I686" s="242"/>
      <c r="J686" s="242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2"/>
      <c r="V686" s="242"/>
      <c r="W686" s="242"/>
      <c r="X686" s="242"/>
      <c r="Y686" s="242"/>
      <c r="Z686" s="242"/>
    </row>
    <row r="687">
      <c r="A687" s="242"/>
      <c r="B687" s="242"/>
      <c r="C687" s="242"/>
      <c r="D687" s="242"/>
      <c r="E687" s="242"/>
      <c r="F687" s="242"/>
      <c r="G687" s="242"/>
      <c r="H687" s="242"/>
      <c r="I687" s="242"/>
      <c r="J687" s="242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2"/>
      <c r="V687" s="242"/>
      <c r="W687" s="242"/>
      <c r="X687" s="242"/>
      <c r="Y687" s="242"/>
      <c r="Z687" s="242"/>
    </row>
    <row r="688">
      <c r="A688" s="242"/>
      <c r="B688" s="242"/>
      <c r="C688" s="242"/>
      <c r="D688" s="242"/>
      <c r="E688" s="242"/>
      <c r="F688" s="242"/>
      <c r="G688" s="242"/>
      <c r="H688" s="242"/>
      <c r="I688" s="242"/>
      <c r="J688" s="242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2"/>
      <c r="V688" s="242"/>
      <c r="W688" s="242"/>
      <c r="X688" s="242"/>
      <c r="Y688" s="242"/>
      <c r="Z688" s="242"/>
    </row>
    <row r="689">
      <c r="A689" s="242"/>
      <c r="B689" s="242"/>
      <c r="C689" s="242"/>
      <c r="D689" s="242"/>
      <c r="E689" s="242"/>
      <c r="F689" s="242"/>
      <c r="G689" s="242"/>
      <c r="H689" s="242"/>
      <c r="I689" s="242"/>
      <c r="J689" s="242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2"/>
      <c r="V689" s="242"/>
      <c r="W689" s="242"/>
      <c r="X689" s="242"/>
      <c r="Y689" s="242"/>
      <c r="Z689" s="242"/>
    </row>
    <row r="690">
      <c r="A690" s="242"/>
      <c r="B690" s="242"/>
      <c r="C690" s="242"/>
      <c r="D690" s="242"/>
      <c r="E690" s="242"/>
      <c r="F690" s="242"/>
      <c r="G690" s="242"/>
      <c r="H690" s="242"/>
      <c r="I690" s="242"/>
      <c r="J690" s="242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2"/>
      <c r="V690" s="242"/>
      <c r="W690" s="242"/>
      <c r="X690" s="242"/>
      <c r="Y690" s="242"/>
      <c r="Z690" s="242"/>
    </row>
    <row r="691">
      <c r="A691" s="242"/>
      <c r="B691" s="242"/>
      <c r="C691" s="242"/>
      <c r="D691" s="242"/>
      <c r="E691" s="242"/>
      <c r="F691" s="242"/>
      <c r="G691" s="242"/>
      <c r="H691" s="242"/>
      <c r="I691" s="242"/>
      <c r="J691" s="242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2"/>
      <c r="V691" s="242"/>
      <c r="W691" s="242"/>
      <c r="X691" s="242"/>
      <c r="Y691" s="242"/>
      <c r="Z691" s="242"/>
    </row>
    <row r="692">
      <c r="A692" s="242"/>
      <c r="B692" s="242"/>
      <c r="C692" s="242"/>
      <c r="D692" s="242"/>
      <c r="E692" s="242"/>
      <c r="F692" s="242"/>
      <c r="G692" s="242"/>
      <c r="H692" s="242"/>
      <c r="I692" s="242"/>
      <c r="J692" s="242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2"/>
      <c r="V692" s="242"/>
      <c r="W692" s="242"/>
      <c r="X692" s="242"/>
      <c r="Y692" s="242"/>
      <c r="Z692" s="242"/>
    </row>
    <row r="693">
      <c r="A693" s="242"/>
      <c r="B693" s="242"/>
      <c r="C693" s="242"/>
      <c r="D693" s="242"/>
      <c r="E693" s="242"/>
      <c r="F693" s="242"/>
      <c r="G693" s="242"/>
      <c r="H693" s="242"/>
      <c r="I693" s="242"/>
      <c r="J693" s="242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2"/>
      <c r="V693" s="242"/>
      <c r="W693" s="242"/>
      <c r="X693" s="242"/>
      <c r="Y693" s="242"/>
      <c r="Z693" s="242"/>
    </row>
    <row r="694">
      <c r="A694" s="242"/>
      <c r="B694" s="242"/>
      <c r="C694" s="242"/>
      <c r="D694" s="242"/>
      <c r="E694" s="242"/>
      <c r="F694" s="242"/>
      <c r="G694" s="242"/>
      <c r="H694" s="242"/>
      <c r="I694" s="242"/>
      <c r="J694" s="242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2"/>
      <c r="V694" s="242"/>
      <c r="W694" s="242"/>
      <c r="X694" s="242"/>
      <c r="Y694" s="242"/>
      <c r="Z694" s="242"/>
    </row>
    <row r="695">
      <c r="A695" s="242"/>
      <c r="B695" s="242"/>
      <c r="C695" s="242"/>
      <c r="D695" s="242"/>
      <c r="E695" s="242"/>
      <c r="F695" s="242"/>
      <c r="G695" s="242"/>
      <c r="H695" s="242"/>
      <c r="I695" s="242"/>
      <c r="J695" s="242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2"/>
      <c r="V695" s="242"/>
      <c r="W695" s="242"/>
      <c r="X695" s="242"/>
      <c r="Y695" s="242"/>
      <c r="Z695" s="242"/>
    </row>
    <row r="696">
      <c r="A696" s="242"/>
      <c r="B696" s="242"/>
      <c r="C696" s="242"/>
      <c r="D696" s="242"/>
      <c r="E696" s="242"/>
      <c r="F696" s="242"/>
      <c r="G696" s="242"/>
      <c r="H696" s="242"/>
      <c r="I696" s="242"/>
      <c r="J696" s="242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2"/>
      <c r="V696" s="242"/>
      <c r="W696" s="242"/>
      <c r="X696" s="242"/>
      <c r="Y696" s="242"/>
      <c r="Z696" s="242"/>
    </row>
    <row r="697">
      <c r="A697" s="242"/>
      <c r="B697" s="242"/>
      <c r="C697" s="242"/>
      <c r="D697" s="242"/>
      <c r="E697" s="242"/>
      <c r="F697" s="242"/>
      <c r="G697" s="242"/>
      <c r="H697" s="242"/>
      <c r="I697" s="242"/>
      <c r="J697" s="242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2"/>
      <c r="V697" s="242"/>
      <c r="W697" s="242"/>
      <c r="X697" s="242"/>
      <c r="Y697" s="242"/>
      <c r="Z697" s="242"/>
    </row>
    <row r="698">
      <c r="A698" s="242"/>
      <c r="B698" s="242"/>
      <c r="C698" s="242"/>
      <c r="D698" s="242"/>
      <c r="E698" s="242"/>
      <c r="F698" s="242"/>
      <c r="G698" s="242"/>
      <c r="H698" s="242"/>
      <c r="I698" s="242"/>
      <c r="J698" s="242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2"/>
      <c r="V698" s="242"/>
      <c r="W698" s="242"/>
      <c r="X698" s="242"/>
      <c r="Y698" s="242"/>
      <c r="Z698" s="242"/>
    </row>
    <row r="699">
      <c r="A699" s="242"/>
      <c r="B699" s="242"/>
      <c r="C699" s="242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2"/>
      <c r="V699" s="242"/>
      <c r="W699" s="242"/>
      <c r="X699" s="242"/>
      <c r="Y699" s="242"/>
      <c r="Z699" s="242"/>
    </row>
    <row r="700">
      <c r="A700" s="242"/>
      <c r="B700" s="242"/>
      <c r="C700" s="242"/>
      <c r="D700" s="242"/>
      <c r="E700" s="242"/>
      <c r="F700" s="242"/>
      <c r="G700" s="242"/>
      <c r="H700" s="242"/>
      <c r="I700" s="242"/>
      <c r="J700" s="242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2"/>
      <c r="V700" s="242"/>
      <c r="W700" s="242"/>
      <c r="X700" s="242"/>
      <c r="Y700" s="242"/>
      <c r="Z700" s="242"/>
    </row>
    <row r="701">
      <c r="A701" s="242"/>
      <c r="B701" s="242"/>
      <c r="C701" s="242"/>
      <c r="D701" s="242"/>
      <c r="E701" s="242"/>
      <c r="F701" s="242"/>
      <c r="G701" s="242"/>
      <c r="H701" s="242"/>
      <c r="I701" s="242"/>
      <c r="J701" s="242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2"/>
      <c r="V701" s="242"/>
      <c r="W701" s="242"/>
      <c r="X701" s="242"/>
      <c r="Y701" s="242"/>
      <c r="Z701" s="242"/>
    </row>
    <row r="702">
      <c r="A702" s="242"/>
      <c r="B702" s="242"/>
      <c r="C702" s="242"/>
      <c r="D702" s="242"/>
      <c r="E702" s="242"/>
      <c r="F702" s="242"/>
      <c r="G702" s="242"/>
      <c r="H702" s="242"/>
      <c r="I702" s="242"/>
      <c r="J702" s="242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2"/>
      <c r="V702" s="242"/>
      <c r="W702" s="242"/>
      <c r="X702" s="242"/>
      <c r="Y702" s="242"/>
      <c r="Z702" s="242"/>
    </row>
    <row r="703">
      <c r="A703" s="242"/>
      <c r="B703" s="242"/>
      <c r="C703" s="242"/>
      <c r="D703" s="242"/>
      <c r="E703" s="242"/>
      <c r="F703" s="242"/>
      <c r="G703" s="242"/>
      <c r="H703" s="242"/>
      <c r="I703" s="242"/>
      <c r="J703" s="242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2"/>
      <c r="V703" s="242"/>
      <c r="W703" s="242"/>
      <c r="X703" s="242"/>
      <c r="Y703" s="242"/>
      <c r="Z703" s="242"/>
    </row>
    <row r="704">
      <c r="A704" s="242"/>
      <c r="B704" s="242"/>
      <c r="C704" s="242"/>
      <c r="D704" s="242"/>
      <c r="E704" s="242"/>
      <c r="F704" s="242"/>
      <c r="G704" s="242"/>
      <c r="H704" s="242"/>
      <c r="I704" s="242"/>
      <c r="J704" s="242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2"/>
      <c r="V704" s="242"/>
      <c r="W704" s="242"/>
      <c r="X704" s="242"/>
      <c r="Y704" s="242"/>
      <c r="Z704" s="242"/>
    </row>
    <row r="705">
      <c r="A705" s="242"/>
      <c r="B705" s="242"/>
      <c r="C705" s="242"/>
      <c r="D705" s="242"/>
      <c r="E705" s="242"/>
      <c r="F705" s="242"/>
      <c r="G705" s="242"/>
      <c r="H705" s="242"/>
      <c r="I705" s="242"/>
      <c r="J705" s="242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2"/>
      <c r="V705" s="242"/>
      <c r="W705" s="242"/>
      <c r="X705" s="242"/>
      <c r="Y705" s="242"/>
      <c r="Z705" s="242"/>
    </row>
    <row r="706">
      <c r="A706" s="242"/>
      <c r="B706" s="242"/>
      <c r="C706" s="242"/>
      <c r="D706" s="242"/>
      <c r="E706" s="242"/>
      <c r="F706" s="242"/>
      <c r="G706" s="242"/>
      <c r="H706" s="242"/>
      <c r="I706" s="242"/>
      <c r="J706" s="242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2"/>
      <c r="V706" s="242"/>
      <c r="W706" s="242"/>
      <c r="X706" s="242"/>
      <c r="Y706" s="242"/>
      <c r="Z706" s="242"/>
    </row>
    <row r="707">
      <c r="A707" s="242"/>
      <c r="B707" s="242"/>
      <c r="C707" s="242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2"/>
      <c r="V707" s="242"/>
      <c r="W707" s="242"/>
      <c r="X707" s="242"/>
      <c r="Y707" s="242"/>
      <c r="Z707" s="242"/>
    </row>
    <row r="708">
      <c r="A708" s="242"/>
      <c r="B708" s="242"/>
      <c r="C708" s="242"/>
      <c r="D708" s="242"/>
      <c r="E708" s="242"/>
      <c r="F708" s="242"/>
      <c r="G708" s="242"/>
      <c r="H708" s="242"/>
      <c r="I708" s="242"/>
      <c r="J708" s="242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2"/>
      <c r="V708" s="242"/>
      <c r="W708" s="242"/>
      <c r="X708" s="242"/>
      <c r="Y708" s="242"/>
      <c r="Z708" s="242"/>
    </row>
    <row r="709">
      <c r="A709" s="242"/>
      <c r="B709" s="242"/>
      <c r="C709" s="242"/>
      <c r="D709" s="242"/>
      <c r="E709" s="242"/>
      <c r="F709" s="242"/>
      <c r="G709" s="242"/>
      <c r="H709" s="242"/>
      <c r="I709" s="242"/>
      <c r="J709" s="242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2"/>
      <c r="V709" s="242"/>
      <c r="W709" s="242"/>
      <c r="X709" s="242"/>
      <c r="Y709" s="242"/>
      <c r="Z709" s="242"/>
    </row>
    <row r="710">
      <c r="A710" s="242"/>
      <c r="B710" s="242"/>
      <c r="C710" s="242"/>
      <c r="D710" s="242"/>
      <c r="E710" s="242"/>
      <c r="F710" s="242"/>
      <c r="G710" s="242"/>
      <c r="H710" s="242"/>
      <c r="I710" s="242"/>
      <c r="J710" s="242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2"/>
      <c r="V710" s="242"/>
      <c r="W710" s="242"/>
      <c r="X710" s="242"/>
      <c r="Y710" s="242"/>
      <c r="Z710" s="242"/>
    </row>
    <row r="711">
      <c r="A711" s="242"/>
      <c r="B711" s="242"/>
      <c r="C711" s="242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2"/>
      <c r="V711" s="242"/>
      <c r="W711" s="242"/>
      <c r="X711" s="242"/>
      <c r="Y711" s="242"/>
      <c r="Z711" s="242"/>
    </row>
    <row r="712">
      <c r="A712" s="242"/>
      <c r="B712" s="242"/>
      <c r="C712" s="242"/>
      <c r="D712" s="242"/>
      <c r="E712" s="242"/>
      <c r="F712" s="242"/>
      <c r="G712" s="242"/>
      <c r="H712" s="242"/>
      <c r="I712" s="242"/>
      <c r="J712" s="242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2"/>
      <c r="V712" s="242"/>
      <c r="W712" s="242"/>
      <c r="X712" s="242"/>
      <c r="Y712" s="242"/>
      <c r="Z712" s="242"/>
    </row>
    <row r="713">
      <c r="A713" s="242"/>
      <c r="B713" s="242"/>
      <c r="C713" s="242"/>
      <c r="D713" s="242"/>
      <c r="E713" s="242"/>
      <c r="F713" s="242"/>
      <c r="G713" s="242"/>
      <c r="H713" s="242"/>
      <c r="I713" s="242"/>
      <c r="J713" s="242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2"/>
      <c r="V713" s="242"/>
      <c r="W713" s="242"/>
      <c r="X713" s="242"/>
      <c r="Y713" s="242"/>
      <c r="Z713" s="242"/>
    </row>
    <row r="714">
      <c r="A714" s="242"/>
      <c r="B714" s="242"/>
      <c r="C714" s="242"/>
      <c r="D714" s="242"/>
      <c r="E714" s="242"/>
      <c r="F714" s="242"/>
      <c r="G714" s="242"/>
      <c r="H714" s="242"/>
      <c r="I714" s="242"/>
      <c r="J714" s="242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2"/>
      <c r="V714" s="242"/>
      <c r="W714" s="242"/>
      <c r="X714" s="242"/>
      <c r="Y714" s="242"/>
      <c r="Z714" s="242"/>
    </row>
    <row r="715">
      <c r="A715" s="242"/>
      <c r="B715" s="242"/>
      <c r="C715" s="242"/>
      <c r="D715" s="242"/>
      <c r="E715" s="242"/>
      <c r="F715" s="242"/>
      <c r="G715" s="242"/>
      <c r="H715" s="242"/>
      <c r="I715" s="242"/>
      <c r="J715" s="242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2"/>
      <c r="V715" s="242"/>
      <c r="W715" s="242"/>
      <c r="X715" s="242"/>
      <c r="Y715" s="242"/>
      <c r="Z715" s="242"/>
    </row>
    <row r="716">
      <c r="A716" s="242"/>
      <c r="B716" s="242"/>
      <c r="C716" s="242"/>
      <c r="D716" s="242"/>
      <c r="E716" s="242"/>
      <c r="F716" s="242"/>
      <c r="G716" s="242"/>
      <c r="H716" s="242"/>
      <c r="I716" s="242"/>
      <c r="J716" s="242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2"/>
      <c r="V716" s="242"/>
      <c r="W716" s="242"/>
      <c r="X716" s="242"/>
      <c r="Y716" s="242"/>
      <c r="Z716" s="242"/>
    </row>
    <row r="717">
      <c r="A717" s="242"/>
      <c r="B717" s="242"/>
      <c r="C717" s="242"/>
      <c r="D717" s="242"/>
      <c r="E717" s="242"/>
      <c r="F717" s="242"/>
      <c r="G717" s="242"/>
      <c r="H717" s="242"/>
      <c r="I717" s="242"/>
      <c r="J717" s="242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2"/>
      <c r="V717" s="242"/>
      <c r="W717" s="242"/>
      <c r="X717" s="242"/>
      <c r="Y717" s="242"/>
      <c r="Z717" s="242"/>
    </row>
    <row r="718">
      <c r="A718" s="242"/>
      <c r="B718" s="242"/>
      <c r="C718" s="242"/>
      <c r="D718" s="242"/>
      <c r="E718" s="242"/>
      <c r="F718" s="242"/>
      <c r="G718" s="242"/>
      <c r="H718" s="242"/>
      <c r="I718" s="242"/>
      <c r="J718" s="242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2"/>
      <c r="V718" s="242"/>
      <c r="W718" s="242"/>
      <c r="X718" s="242"/>
      <c r="Y718" s="242"/>
      <c r="Z718" s="242"/>
    </row>
    <row r="719">
      <c r="A719" s="242"/>
      <c r="B719" s="242"/>
      <c r="C719" s="242"/>
      <c r="D719" s="242"/>
      <c r="E719" s="242"/>
      <c r="F719" s="242"/>
      <c r="G719" s="242"/>
      <c r="H719" s="242"/>
      <c r="I719" s="242"/>
      <c r="J719" s="242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2"/>
      <c r="V719" s="242"/>
      <c r="W719" s="242"/>
      <c r="X719" s="242"/>
      <c r="Y719" s="242"/>
      <c r="Z719" s="242"/>
    </row>
    <row r="720">
      <c r="A720" s="242"/>
      <c r="B720" s="242"/>
      <c r="C720" s="242"/>
      <c r="D720" s="242"/>
      <c r="E720" s="242"/>
      <c r="F720" s="242"/>
      <c r="G720" s="242"/>
      <c r="H720" s="242"/>
      <c r="I720" s="242"/>
      <c r="J720" s="242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2"/>
      <c r="V720" s="242"/>
      <c r="W720" s="242"/>
      <c r="X720" s="242"/>
      <c r="Y720" s="242"/>
      <c r="Z720" s="242"/>
    </row>
    <row r="721">
      <c r="A721" s="242"/>
      <c r="B721" s="242"/>
      <c r="C721" s="242"/>
      <c r="D721" s="242"/>
      <c r="E721" s="242"/>
      <c r="F721" s="242"/>
      <c r="G721" s="242"/>
      <c r="H721" s="242"/>
      <c r="I721" s="242"/>
      <c r="J721" s="242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2"/>
      <c r="V721" s="242"/>
      <c r="W721" s="242"/>
      <c r="X721" s="242"/>
      <c r="Y721" s="242"/>
      <c r="Z721" s="242"/>
    </row>
    <row r="722">
      <c r="A722" s="242"/>
      <c r="B722" s="242"/>
      <c r="C722" s="242"/>
      <c r="D722" s="242"/>
      <c r="E722" s="242"/>
      <c r="F722" s="242"/>
      <c r="G722" s="242"/>
      <c r="H722" s="242"/>
      <c r="I722" s="242"/>
      <c r="J722" s="242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2"/>
      <c r="V722" s="242"/>
      <c r="W722" s="242"/>
      <c r="X722" s="242"/>
      <c r="Y722" s="242"/>
      <c r="Z722" s="242"/>
    </row>
    <row r="723">
      <c r="A723" s="242"/>
      <c r="B723" s="242"/>
      <c r="C723" s="242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2"/>
      <c r="V723" s="242"/>
      <c r="W723" s="242"/>
      <c r="X723" s="242"/>
      <c r="Y723" s="242"/>
      <c r="Z723" s="242"/>
    </row>
    <row r="724">
      <c r="A724" s="242"/>
      <c r="B724" s="242"/>
      <c r="C724" s="242"/>
      <c r="D724" s="242"/>
      <c r="E724" s="242"/>
      <c r="F724" s="242"/>
      <c r="G724" s="242"/>
      <c r="H724" s="242"/>
      <c r="I724" s="242"/>
      <c r="J724" s="242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2"/>
      <c r="V724" s="242"/>
      <c r="W724" s="242"/>
      <c r="X724" s="242"/>
      <c r="Y724" s="242"/>
      <c r="Z724" s="242"/>
    </row>
    <row r="725">
      <c r="A725" s="242"/>
      <c r="B725" s="242"/>
      <c r="C725" s="242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2"/>
      <c r="V725" s="242"/>
      <c r="W725" s="242"/>
      <c r="X725" s="242"/>
      <c r="Y725" s="242"/>
      <c r="Z725" s="242"/>
    </row>
    <row r="726">
      <c r="A726" s="242"/>
      <c r="B726" s="242"/>
      <c r="C726" s="242"/>
      <c r="D726" s="242"/>
      <c r="E726" s="242"/>
      <c r="F726" s="242"/>
      <c r="G726" s="242"/>
      <c r="H726" s="242"/>
      <c r="I726" s="242"/>
      <c r="J726" s="242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2"/>
      <c r="V726" s="242"/>
      <c r="W726" s="242"/>
      <c r="X726" s="242"/>
      <c r="Y726" s="242"/>
      <c r="Z726" s="242"/>
    </row>
    <row r="727">
      <c r="A727" s="242"/>
      <c r="B727" s="242"/>
      <c r="C727" s="242"/>
      <c r="D727" s="242"/>
      <c r="E727" s="242"/>
      <c r="F727" s="242"/>
      <c r="G727" s="242"/>
      <c r="H727" s="242"/>
      <c r="I727" s="242"/>
      <c r="J727" s="242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2"/>
      <c r="V727" s="242"/>
      <c r="W727" s="242"/>
      <c r="X727" s="242"/>
      <c r="Y727" s="242"/>
      <c r="Z727" s="242"/>
    </row>
    <row r="728">
      <c r="A728" s="242"/>
      <c r="B728" s="242"/>
      <c r="C728" s="242"/>
      <c r="D728" s="242"/>
      <c r="E728" s="242"/>
      <c r="F728" s="242"/>
      <c r="G728" s="242"/>
      <c r="H728" s="242"/>
      <c r="I728" s="242"/>
      <c r="J728" s="242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2"/>
      <c r="V728" s="242"/>
      <c r="W728" s="242"/>
      <c r="X728" s="242"/>
      <c r="Y728" s="242"/>
      <c r="Z728" s="242"/>
    </row>
    <row r="729">
      <c r="A729" s="242"/>
      <c r="B729" s="242"/>
      <c r="C729" s="242"/>
      <c r="D729" s="242"/>
      <c r="E729" s="242"/>
      <c r="F729" s="242"/>
      <c r="G729" s="242"/>
      <c r="H729" s="242"/>
      <c r="I729" s="242"/>
      <c r="J729" s="242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2"/>
      <c r="V729" s="242"/>
      <c r="W729" s="242"/>
      <c r="X729" s="242"/>
      <c r="Y729" s="242"/>
      <c r="Z729" s="242"/>
    </row>
    <row r="730">
      <c r="A730" s="242"/>
      <c r="B730" s="242"/>
      <c r="C730" s="242"/>
      <c r="D730" s="242"/>
      <c r="E730" s="242"/>
      <c r="F730" s="242"/>
      <c r="G730" s="242"/>
      <c r="H730" s="242"/>
      <c r="I730" s="242"/>
      <c r="J730" s="242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2"/>
      <c r="V730" s="242"/>
      <c r="W730" s="242"/>
      <c r="X730" s="242"/>
      <c r="Y730" s="242"/>
      <c r="Z730" s="242"/>
    </row>
    <row r="731">
      <c r="A731" s="242"/>
      <c r="B731" s="242"/>
      <c r="C731" s="242"/>
      <c r="D731" s="242"/>
      <c r="E731" s="242"/>
      <c r="F731" s="242"/>
      <c r="G731" s="242"/>
      <c r="H731" s="242"/>
      <c r="I731" s="242"/>
      <c r="J731" s="242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2"/>
      <c r="V731" s="242"/>
      <c r="W731" s="242"/>
      <c r="X731" s="242"/>
      <c r="Y731" s="242"/>
      <c r="Z731" s="242"/>
    </row>
    <row r="732">
      <c r="A732" s="242"/>
      <c r="B732" s="242"/>
      <c r="C732" s="242"/>
      <c r="D732" s="242"/>
      <c r="E732" s="242"/>
      <c r="F732" s="242"/>
      <c r="G732" s="242"/>
      <c r="H732" s="242"/>
      <c r="I732" s="242"/>
      <c r="J732" s="242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2"/>
      <c r="V732" s="242"/>
      <c r="W732" s="242"/>
      <c r="X732" s="242"/>
      <c r="Y732" s="242"/>
      <c r="Z732" s="242"/>
    </row>
    <row r="733">
      <c r="A733" s="242"/>
      <c r="B733" s="242"/>
      <c r="C733" s="242"/>
      <c r="D733" s="242"/>
      <c r="E733" s="242"/>
      <c r="F733" s="242"/>
      <c r="G733" s="242"/>
      <c r="H733" s="242"/>
      <c r="I733" s="242"/>
      <c r="J733" s="242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2"/>
      <c r="V733" s="242"/>
      <c r="W733" s="242"/>
      <c r="X733" s="242"/>
      <c r="Y733" s="242"/>
      <c r="Z733" s="242"/>
    </row>
    <row r="734">
      <c r="A734" s="242"/>
      <c r="B734" s="242"/>
      <c r="C734" s="242"/>
      <c r="D734" s="242"/>
      <c r="E734" s="242"/>
      <c r="F734" s="242"/>
      <c r="G734" s="242"/>
      <c r="H734" s="242"/>
      <c r="I734" s="242"/>
      <c r="J734" s="242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2"/>
      <c r="V734" s="242"/>
      <c r="W734" s="242"/>
      <c r="X734" s="242"/>
      <c r="Y734" s="242"/>
      <c r="Z734" s="242"/>
    </row>
    <row r="735">
      <c r="A735" s="242"/>
      <c r="B735" s="242"/>
      <c r="C735" s="242"/>
      <c r="D735" s="242"/>
      <c r="E735" s="242"/>
      <c r="F735" s="242"/>
      <c r="G735" s="242"/>
      <c r="H735" s="242"/>
      <c r="I735" s="242"/>
      <c r="J735" s="242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2"/>
      <c r="V735" s="242"/>
      <c r="W735" s="242"/>
      <c r="X735" s="242"/>
      <c r="Y735" s="242"/>
      <c r="Z735" s="242"/>
    </row>
    <row r="736">
      <c r="A736" s="242"/>
      <c r="B736" s="242"/>
      <c r="C736" s="242"/>
      <c r="D736" s="242"/>
      <c r="E736" s="242"/>
      <c r="F736" s="242"/>
      <c r="G736" s="242"/>
      <c r="H736" s="242"/>
      <c r="I736" s="242"/>
      <c r="J736" s="242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2"/>
      <c r="V736" s="242"/>
      <c r="W736" s="242"/>
      <c r="X736" s="242"/>
      <c r="Y736" s="242"/>
      <c r="Z736" s="242"/>
    </row>
    <row r="737">
      <c r="A737" s="242"/>
      <c r="B737" s="242"/>
      <c r="C737" s="242"/>
      <c r="D737" s="242"/>
      <c r="E737" s="242"/>
      <c r="F737" s="242"/>
      <c r="G737" s="242"/>
      <c r="H737" s="242"/>
      <c r="I737" s="242"/>
      <c r="J737" s="242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2"/>
      <c r="V737" s="242"/>
      <c r="W737" s="242"/>
      <c r="X737" s="242"/>
      <c r="Y737" s="242"/>
      <c r="Z737" s="242"/>
    </row>
    <row r="738">
      <c r="A738" s="242"/>
      <c r="B738" s="242"/>
      <c r="C738" s="242"/>
      <c r="D738" s="242"/>
      <c r="E738" s="242"/>
      <c r="F738" s="242"/>
      <c r="G738" s="242"/>
      <c r="H738" s="242"/>
      <c r="I738" s="242"/>
      <c r="J738" s="242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2"/>
      <c r="V738" s="242"/>
      <c r="W738" s="242"/>
      <c r="X738" s="242"/>
      <c r="Y738" s="242"/>
      <c r="Z738" s="242"/>
    </row>
    <row r="739">
      <c r="A739" s="242"/>
      <c r="B739" s="242"/>
      <c r="C739" s="242"/>
      <c r="D739" s="242"/>
      <c r="E739" s="242"/>
      <c r="F739" s="242"/>
      <c r="G739" s="242"/>
      <c r="H739" s="242"/>
      <c r="I739" s="242"/>
      <c r="J739" s="242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2"/>
      <c r="V739" s="242"/>
      <c r="W739" s="242"/>
      <c r="X739" s="242"/>
      <c r="Y739" s="242"/>
      <c r="Z739" s="242"/>
    </row>
    <row r="740">
      <c r="A740" s="242"/>
      <c r="B740" s="242"/>
      <c r="C740" s="242"/>
      <c r="D740" s="242"/>
      <c r="E740" s="242"/>
      <c r="F740" s="242"/>
      <c r="G740" s="242"/>
      <c r="H740" s="242"/>
      <c r="I740" s="242"/>
      <c r="J740" s="242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2"/>
      <c r="V740" s="242"/>
      <c r="W740" s="242"/>
      <c r="X740" s="242"/>
      <c r="Y740" s="242"/>
      <c r="Z740" s="242"/>
    </row>
    <row r="741">
      <c r="A741" s="242"/>
      <c r="B741" s="242"/>
      <c r="C741" s="242"/>
      <c r="D741" s="242"/>
      <c r="E741" s="242"/>
      <c r="F741" s="242"/>
      <c r="G741" s="242"/>
      <c r="H741" s="242"/>
      <c r="I741" s="242"/>
      <c r="J741" s="242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2"/>
      <c r="V741" s="242"/>
      <c r="W741" s="242"/>
      <c r="X741" s="242"/>
      <c r="Y741" s="242"/>
      <c r="Z741" s="242"/>
    </row>
    <row r="742">
      <c r="A742" s="242"/>
      <c r="B742" s="242"/>
      <c r="C742" s="242"/>
      <c r="D742" s="242"/>
      <c r="E742" s="242"/>
      <c r="F742" s="242"/>
      <c r="G742" s="242"/>
      <c r="H742" s="242"/>
      <c r="I742" s="242"/>
      <c r="J742" s="242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2"/>
      <c r="V742" s="242"/>
      <c r="W742" s="242"/>
      <c r="X742" s="242"/>
      <c r="Y742" s="242"/>
      <c r="Z742" s="242"/>
    </row>
    <row r="743">
      <c r="A743" s="242"/>
      <c r="B743" s="242"/>
      <c r="C743" s="242"/>
      <c r="D743" s="242"/>
      <c r="E743" s="242"/>
      <c r="F743" s="242"/>
      <c r="G743" s="242"/>
      <c r="H743" s="242"/>
      <c r="I743" s="242"/>
      <c r="J743" s="242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2"/>
      <c r="V743" s="242"/>
      <c r="W743" s="242"/>
      <c r="X743" s="242"/>
      <c r="Y743" s="242"/>
      <c r="Z743" s="242"/>
    </row>
    <row r="744">
      <c r="A744" s="242"/>
      <c r="B744" s="242"/>
      <c r="C744" s="242"/>
      <c r="D744" s="242"/>
      <c r="E744" s="242"/>
      <c r="F744" s="242"/>
      <c r="G744" s="242"/>
      <c r="H744" s="242"/>
      <c r="I744" s="242"/>
      <c r="J744" s="242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2"/>
      <c r="V744" s="242"/>
      <c r="W744" s="242"/>
      <c r="X744" s="242"/>
      <c r="Y744" s="242"/>
      <c r="Z744" s="242"/>
    </row>
    <row r="745">
      <c r="A745" s="242"/>
      <c r="B745" s="242"/>
      <c r="C745" s="242"/>
      <c r="D745" s="242"/>
      <c r="E745" s="242"/>
      <c r="F745" s="242"/>
      <c r="G745" s="242"/>
      <c r="H745" s="242"/>
      <c r="I745" s="242"/>
      <c r="J745" s="242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2"/>
      <c r="V745" s="242"/>
      <c r="W745" s="242"/>
      <c r="X745" s="242"/>
      <c r="Y745" s="242"/>
      <c r="Z745" s="242"/>
    </row>
    <row r="746">
      <c r="A746" s="242"/>
      <c r="B746" s="242"/>
      <c r="C746" s="242"/>
      <c r="D746" s="242"/>
      <c r="E746" s="242"/>
      <c r="F746" s="242"/>
      <c r="G746" s="242"/>
      <c r="H746" s="242"/>
      <c r="I746" s="242"/>
      <c r="J746" s="242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2"/>
      <c r="V746" s="242"/>
      <c r="W746" s="242"/>
      <c r="X746" s="242"/>
      <c r="Y746" s="242"/>
      <c r="Z746" s="242"/>
    </row>
    <row r="747">
      <c r="A747" s="242"/>
      <c r="B747" s="242"/>
      <c r="C747" s="242"/>
      <c r="D747" s="242"/>
      <c r="E747" s="242"/>
      <c r="F747" s="242"/>
      <c r="G747" s="242"/>
      <c r="H747" s="242"/>
      <c r="I747" s="242"/>
      <c r="J747" s="242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2"/>
      <c r="V747" s="242"/>
      <c r="W747" s="242"/>
      <c r="X747" s="242"/>
      <c r="Y747" s="242"/>
      <c r="Z747" s="242"/>
    </row>
    <row r="748">
      <c r="A748" s="242"/>
      <c r="B748" s="242"/>
      <c r="C748" s="242"/>
      <c r="D748" s="242"/>
      <c r="E748" s="242"/>
      <c r="F748" s="242"/>
      <c r="G748" s="242"/>
      <c r="H748" s="242"/>
      <c r="I748" s="242"/>
      <c r="J748" s="242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2"/>
      <c r="V748" s="242"/>
      <c r="W748" s="242"/>
      <c r="X748" s="242"/>
      <c r="Y748" s="242"/>
      <c r="Z748" s="242"/>
    </row>
    <row r="749">
      <c r="A749" s="242"/>
      <c r="B749" s="242"/>
      <c r="C749" s="242"/>
      <c r="D749" s="242"/>
      <c r="E749" s="242"/>
      <c r="F749" s="242"/>
      <c r="G749" s="242"/>
      <c r="H749" s="242"/>
      <c r="I749" s="242"/>
      <c r="J749" s="242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2"/>
      <c r="V749" s="242"/>
      <c r="W749" s="242"/>
      <c r="X749" s="242"/>
      <c r="Y749" s="242"/>
      <c r="Z749" s="242"/>
    </row>
    <row r="750">
      <c r="A750" s="242"/>
      <c r="B750" s="242"/>
      <c r="C750" s="242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2"/>
      <c r="V750" s="242"/>
      <c r="W750" s="242"/>
      <c r="X750" s="242"/>
      <c r="Y750" s="242"/>
      <c r="Z750" s="242"/>
    </row>
    <row r="751">
      <c r="A751" s="242"/>
      <c r="B751" s="242"/>
      <c r="C751" s="242"/>
      <c r="D751" s="242"/>
      <c r="E751" s="242"/>
      <c r="F751" s="242"/>
      <c r="G751" s="242"/>
      <c r="H751" s="242"/>
      <c r="I751" s="242"/>
      <c r="J751" s="242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2"/>
      <c r="V751" s="242"/>
      <c r="W751" s="242"/>
      <c r="X751" s="242"/>
      <c r="Y751" s="242"/>
      <c r="Z751" s="242"/>
    </row>
    <row r="752">
      <c r="A752" s="242"/>
      <c r="B752" s="242"/>
      <c r="C752" s="242"/>
      <c r="D752" s="242"/>
      <c r="E752" s="242"/>
      <c r="F752" s="242"/>
      <c r="G752" s="242"/>
      <c r="H752" s="242"/>
      <c r="I752" s="242"/>
      <c r="J752" s="242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2"/>
      <c r="V752" s="242"/>
      <c r="W752" s="242"/>
      <c r="X752" s="242"/>
      <c r="Y752" s="242"/>
      <c r="Z752" s="242"/>
    </row>
    <row r="753">
      <c r="A753" s="242"/>
      <c r="B753" s="242"/>
      <c r="C753" s="242"/>
      <c r="D753" s="242"/>
      <c r="E753" s="242"/>
      <c r="F753" s="242"/>
      <c r="G753" s="242"/>
      <c r="H753" s="242"/>
      <c r="I753" s="242"/>
      <c r="J753" s="242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2"/>
      <c r="V753" s="242"/>
      <c r="W753" s="242"/>
      <c r="X753" s="242"/>
      <c r="Y753" s="242"/>
      <c r="Z753" s="242"/>
    </row>
    <row r="754">
      <c r="A754" s="242"/>
      <c r="B754" s="242"/>
      <c r="C754" s="242"/>
      <c r="D754" s="242"/>
      <c r="E754" s="242"/>
      <c r="F754" s="242"/>
      <c r="G754" s="242"/>
      <c r="H754" s="242"/>
      <c r="I754" s="242"/>
      <c r="J754" s="242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2"/>
      <c r="V754" s="242"/>
      <c r="W754" s="242"/>
      <c r="X754" s="242"/>
      <c r="Y754" s="242"/>
      <c r="Z754" s="242"/>
    </row>
    <row r="755">
      <c r="A755" s="242"/>
      <c r="B755" s="242"/>
      <c r="C755" s="242"/>
      <c r="D755" s="242"/>
      <c r="E755" s="242"/>
      <c r="F755" s="242"/>
      <c r="G755" s="242"/>
      <c r="H755" s="242"/>
      <c r="I755" s="242"/>
      <c r="J755" s="242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2"/>
      <c r="V755" s="242"/>
      <c r="W755" s="242"/>
      <c r="X755" s="242"/>
      <c r="Y755" s="242"/>
      <c r="Z755" s="242"/>
    </row>
    <row r="756">
      <c r="A756" s="242"/>
      <c r="B756" s="242"/>
      <c r="C756" s="242"/>
      <c r="D756" s="242"/>
      <c r="E756" s="242"/>
      <c r="F756" s="242"/>
      <c r="G756" s="242"/>
      <c r="H756" s="242"/>
      <c r="I756" s="242"/>
      <c r="J756" s="242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2"/>
      <c r="V756" s="242"/>
      <c r="W756" s="242"/>
      <c r="X756" s="242"/>
      <c r="Y756" s="242"/>
      <c r="Z756" s="242"/>
    </row>
    <row r="757">
      <c r="A757" s="242"/>
      <c r="B757" s="242"/>
      <c r="C757" s="242"/>
      <c r="D757" s="242"/>
      <c r="E757" s="242"/>
      <c r="F757" s="242"/>
      <c r="G757" s="242"/>
      <c r="H757" s="242"/>
      <c r="I757" s="242"/>
      <c r="J757" s="242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2"/>
      <c r="V757" s="242"/>
      <c r="W757" s="242"/>
      <c r="X757" s="242"/>
      <c r="Y757" s="242"/>
      <c r="Z757" s="242"/>
    </row>
    <row r="758">
      <c r="A758" s="242"/>
      <c r="B758" s="242"/>
      <c r="C758" s="242"/>
      <c r="D758" s="242"/>
      <c r="E758" s="242"/>
      <c r="F758" s="242"/>
      <c r="G758" s="242"/>
      <c r="H758" s="242"/>
      <c r="I758" s="242"/>
      <c r="J758" s="242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2"/>
      <c r="V758" s="242"/>
      <c r="W758" s="242"/>
      <c r="X758" s="242"/>
      <c r="Y758" s="242"/>
      <c r="Z758" s="242"/>
    </row>
    <row r="759">
      <c r="A759" s="242"/>
      <c r="B759" s="242"/>
      <c r="C759" s="242"/>
      <c r="D759" s="242"/>
      <c r="E759" s="242"/>
      <c r="F759" s="242"/>
      <c r="G759" s="242"/>
      <c r="H759" s="242"/>
      <c r="I759" s="242"/>
      <c r="J759" s="242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2"/>
      <c r="V759" s="242"/>
      <c r="W759" s="242"/>
      <c r="X759" s="242"/>
      <c r="Y759" s="242"/>
      <c r="Z759" s="242"/>
    </row>
    <row r="760">
      <c r="A760" s="242"/>
      <c r="B760" s="242"/>
      <c r="C760" s="242"/>
      <c r="D760" s="242"/>
      <c r="E760" s="242"/>
      <c r="F760" s="242"/>
      <c r="G760" s="242"/>
      <c r="H760" s="242"/>
      <c r="I760" s="242"/>
      <c r="J760" s="242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2"/>
      <c r="V760" s="242"/>
      <c r="W760" s="242"/>
      <c r="X760" s="242"/>
      <c r="Y760" s="242"/>
      <c r="Z760" s="242"/>
    </row>
    <row r="761">
      <c r="A761" s="242"/>
      <c r="B761" s="242"/>
      <c r="C761" s="242"/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2"/>
      <c r="V761" s="242"/>
      <c r="W761" s="242"/>
      <c r="X761" s="242"/>
      <c r="Y761" s="242"/>
      <c r="Z761" s="242"/>
    </row>
    <row r="762">
      <c r="A762" s="242"/>
      <c r="B762" s="242"/>
      <c r="C762" s="242"/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2"/>
      <c r="V762" s="242"/>
      <c r="W762" s="242"/>
      <c r="X762" s="242"/>
      <c r="Y762" s="242"/>
      <c r="Z762" s="242"/>
    </row>
    <row r="763">
      <c r="A763" s="242"/>
      <c r="B763" s="242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2"/>
      <c r="V763" s="242"/>
      <c r="W763" s="242"/>
      <c r="X763" s="242"/>
      <c r="Y763" s="242"/>
      <c r="Z763" s="242"/>
    </row>
    <row r="764">
      <c r="A764" s="242"/>
      <c r="B764" s="242"/>
      <c r="C764" s="242"/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2"/>
      <c r="V764" s="242"/>
      <c r="W764" s="242"/>
      <c r="X764" s="242"/>
      <c r="Y764" s="242"/>
      <c r="Z764" s="242"/>
    </row>
    <row r="765">
      <c r="A765" s="242"/>
      <c r="B765" s="242"/>
      <c r="C765" s="242"/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2"/>
      <c r="V765" s="242"/>
      <c r="W765" s="242"/>
      <c r="X765" s="242"/>
      <c r="Y765" s="242"/>
      <c r="Z765" s="242"/>
    </row>
    <row r="766">
      <c r="A766" s="242"/>
      <c r="B766" s="242"/>
      <c r="C766" s="242"/>
      <c r="D766" s="242"/>
      <c r="E766" s="242"/>
      <c r="F766" s="242"/>
      <c r="G766" s="242"/>
      <c r="H766" s="242"/>
      <c r="I766" s="242"/>
      <c r="J766" s="242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2"/>
      <c r="V766" s="242"/>
      <c r="W766" s="242"/>
      <c r="X766" s="242"/>
      <c r="Y766" s="242"/>
      <c r="Z766" s="242"/>
    </row>
    <row r="767">
      <c r="A767" s="242"/>
      <c r="B767" s="242"/>
      <c r="C767" s="242"/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2"/>
      <c r="V767" s="242"/>
      <c r="W767" s="242"/>
      <c r="X767" s="242"/>
      <c r="Y767" s="242"/>
      <c r="Z767" s="242"/>
    </row>
    <row r="768">
      <c r="A768" s="242"/>
      <c r="B768" s="242"/>
      <c r="C768" s="242"/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2"/>
      <c r="V768" s="242"/>
      <c r="W768" s="242"/>
      <c r="X768" s="242"/>
      <c r="Y768" s="242"/>
      <c r="Z768" s="242"/>
    </row>
    <row r="769">
      <c r="A769" s="242"/>
      <c r="B769" s="242"/>
      <c r="C769" s="242"/>
      <c r="D769" s="242"/>
      <c r="E769" s="242"/>
      <c r="F769" s="242"/>
      <c r="G769" s="242"/>
      <c r="H769" s="242"/>
      <c r="I769" s="242"/>
      <c r="J769" s="242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2"/>
      <c r="V769" s="242"/>
      <c r="W769" s="242"/>
      <c r="X769" s="242"/>
      <c r="Y769" s="242"/>
      <c r="Z769" s="242"/>
    </row>
    <row r="770">
      <c r="A770" s="242"/>
      <c r="B770" s="242"/>
      <c r="C770" s="242"/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2"/>
      <c r="V770" s="242"/>
      <c r="W770" s="242"/>
      <c r="X770" s="242"/>
      <c r="Y770" s="242"/>
      <c r="Z770" s="242"/>
    </row>
    <row r="771">
      <c r="A771" s="242"/>
      <c r="B771" s="242"/>
      <c r="C771" s="242"/>
      <c r="D771" s="242"/>
      <c r="E771" s="242"/>
      <c r="F771" s="242"/>
      <c r="G771" s="242"/>
      <c r="H771" s="242"/>
      <c r="I771" s="242"/>
      <c r="J771" s="242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2"/>
      <c r="V771" s="242"/>
      <c r="W771" s="242"/>
      <c r="X771" s="242"/>
      <c r="Y771" s="242"/>
      <c r="Z771" s="242"/>
    </row>
    <row r="772">
      <c r="A772" s="242"/>
      <c r="B772" s="242"/>
      <c r="C772" s="242"/>
      <c r="D772" s="242"/>
      <c r="E772" s="242"/>
      <c r="F772" s="242"/>
      <c r="G772" s="242"/>
      <c r="H772" s="242"/>
      <c r="I772" s="242"/>
      <c r="J772" s="242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2"/>
      <c r="V772" s="242"/>
      <c r="W772" s="242"/>
      <c r="X772" s="242"/>
      <c r="Y772" s="242"/>
      <c r="Z772" s="242"/>
    </row>
    <row r="773">
      <c r="A773" s="242"/>
      <c r="B773" s="242"/>
      <c r="C773" s="242"/>
      <c r="D773" s="242"/>
      <c r="E773" s="242"/>
      <c r="F773" s="242"/>
      <c r="G773" s="242"/>
      <c r="H773" s="242"/>
      <c r="I773" s="242"/>
      <c r="J773" s="242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2"/>
      <c r="V773" s="242"/>
      <c r="W773" s="242"/>
      <c r="X773" s="242"/>
      <c r="Y773" s="242"/>
      <c r="Z773" s="242"/>
    </row>
    <row r="774">
      <c r="A774" s="242"/>
      <c r="B774" s="242"/>
      <c r="C774" s="242"/>
      <c r="D774" s="242"/>
      <c r="E774" s="242"/>
      <c r="F774" s="242"/>
      <c r="G774" s="242"/>
      <c r="H774" s="242"/>
      <c r="I774" s="242"/>
      <c r="J774" s="242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2"/>
      <c r="V774" s="242"/>
      <c r="W774" s="242"/>
      <c r="X774" s="242"/>
      <c r="Y774" s="242"/>
      <c r="Z774" s="242"/>
    </row>
    <row r="775">
      <c r="A775" s="242"/>
      <c r="B775" s="242"/>
      <c r="C775" s="242"/>
      <c r="D775" s="242"/>
      <c r="E775" s="242"/>
      <c r="F775" s="242"/>
      <c r="G775" s="242"/>
      <c r="H775" s="242"/>
      <c r="I775" s="242"/>
      <c r="J775" s="242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2"/>
      <c r="V775" s="242"/>
      <c r="W775" s="242"/>
      <c r="X775" s="242"/>
      <c r="Y775" s="242"/>
      <c r="Z775" s="242"/>
    </row>
    <row r="776">
      <c r="A776" s="242"/>
      <c r="B776" s="242"/>
      <c r="C776" s="242"/>
      <c r="D776" s="242"/>
      <c r="E776" s="242"/>
      <c r="F776" s="242"/>
      <c r="G776" s="242"/>
      <c r="H776" s="242"/>
      <c r="I776" s="242"/>
      <c r="J776" s="242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2"/>
      <c r="V776" s="242"/>
      <c r="W776" s="242"/>
      <c r="X776" s="242"/>
      <c r="Y776" s="242"/>
      <c r="Z776" s="242"/>
    </row>
    <row r="777">
      <c r="A777" s="242"/>
      <c r="B777" s="242"/>
      <c r="C777" s="242"/>
      <c r="D777" s="242"/>
      <c r="E777" s="242"/>
      <c r="F777" s="242"/>
      <c r="G777" s="242"/>
      <c r="H777" s="242"/>
      <c r="I777" s="242"/>
      <c r="J777" s="242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2"/>
      <c r="V777" s="242"/>
      <c r="W777" s="242"/>
      <c r="X777" s="242"/>
      <c r="Y777" s="242"/>
      <c r="Z777" s="242"/>
    </row>
    <row r="778">
      <c r="A778" s="242"/>
      <c r="B778" s="242"/>
      <c r="C778" s="242"/>
      <c r="D778" s="242"/>
      <c r="E778" s="242"/>
      <c r="F778" s="242"/>
      <c r="G778" s="242"/>
      <c r="H778" s="242"/>
      <c r="I778" s="242"/>
      <c r="J778" s="242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2"/>
      <c r="V778" s="242"/>
      <c r="W778" s="242"/>
      <c r="X778" s="242"/>
      <c r="Y778" s="242"/>
      <c r="Z778" s="242"/>
    </row>
    <row r="779">
      <c r="A779" s="242"/>
      <c r="B779" s="242"/>
      <c r="C779" s="242"/>
      <c r="D779" s="242"/>
      <c r="E779" s="242"/>
      <c r="F779" s="242"/>
      <c r="G779" s="242"/>
      <c r="H779" s="242"/>
      <c r="I779" s="242"/>
      <c r="J779" s="242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2"/>
      <c r="V779" s="242"/>
      <c r="W779" s="242"/>
      <c r="X779" s="242"/>
      <c r="Y779" s="242"/>
      <c r="Z779" s="242"/>
    </row>
    <row r="780">
      <c r="A780" s="242"/>
      <c r="B780" s="242"/>
      <c r="C780" s="242"/>
      <c r="D780" s="242"/>
      <c r="E780" s="242"/>
      <c r="F780" s="242"/>
      <c r="G780" s="242"/>
      <c r="H780" s="242"/>
      <c r="I780" s="242"/>
      <c r="J780" s="242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2"/>
      <c r="V780" s="242"/>
      <c r="W780" s="242"/>
      <c r="X780" s="242"/>
      <c r="Y780" s="242"/>
      <c r="Z780" s="242"/>
    </row>
    <row r="781">
      <c r="A781" s="242"/>
      <c r="B781" s="242"/>
      <c r="C781" s="242"/>
      <c r="D781" s="242"/>
      <c r="E781" s="242"/>
      <c r="F781" s="242"/>
      <c r="G781" s="242"/>
      <c r="H781" s="242"/>
      <c r="I781" s="242"/>
      <c r="J781" s="242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2"/>
      <c r="V781" s="242"/>
      <c r="W781" s="242"/>
      <c r="X781" s="242"/>
      <c r="Y781" s="242"/>
      <c r="Z781" s="242"/>
    </row>
    <row r="782">
      <c r="A782" s="242"/>
      <c r="B782" s="242"/>
      <c r="C782" s="242"/>
      <c r="D782" s="242"/>
      <c r="E782" s="242"/>
      <c r="F782" s="242"/>
      <c r="G782" s="242"/>
      <c r="H782" s="242"/>
      <c r="I782" s="242"/>
      <c r="J782" s="242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2"/>
      <c r="V782" s="242"/>
      <c r="W782" s="242"/>
      <c r="X782" s="242"/>
      <c r="Y782" s="242"/>
      <c r="Z782" s="242"/>
    </row>
    <row r="783">
      <c r="A783" s="242"/>
      <c r="B783" s="242"/>
      <c r="C783" s="242"/>
      <c r="D783" s="242"/>
      <c r="E783" s="242"/>
      <c r="F783" s="242"/>
      <c r="G783" s="242"/>
      <c r="H783" s="242"/>
      <c r="I783" s="242"/>
      <c r="J783" s="242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2"/>
      <c r="V783" s="242"/>
      <c r="W783" s="242"/>
      <c r="X783" s="242"/>
      <c r="Y783" s="242"/>
      <c r="Z783" s="242"/>
    </row>
    <row r="784">
      <c r="A784" s="242"/>
      <c r="B784" s="242"/>
      <c r="C784" s="242"/>
      <c r="D784" s="242"/>
      <c r="E784" s="242"/>
      <c r="F784" s="242"/>
      <c r="G784" s="242"/>
      <c r="H784" s="242"/>
      <c r="I784" s="242"/>
      <c r="J784" s="242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2"/>
      <c r="V784" s="242"/>
      <c r="W784" s="242"/>
      <c r="X784" s="242"/>
      <c r="Y784" s="242"/>
      <c r="Z784" s="242"/>
    </row>
    <row r="785">
      <c r="A785" s="242"/>
      <c r="B785" s="242"/>
      <c r="C785" s="242"/>
      <c r="D785" s="242"/>
      <c r="E785" s="242"/>
      <c r="F785" s="242"/>
      <c r="G785" s="242"/>
      <c r="H785" s="242"/>
      <c r="I785" s="242"/>
      <c r="J785" s="242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2"/>
      <c r="V785" s="242"/>
      <c r="W785" s="242"/>
      <c r="X785" s="242"/>
      <c r="Y785" s="242"/>
      <c r="Z785" s="242"/>
    </row>
    <row r="786">
      <c r="A786" s="242"/>
      <c r="B786" s="242"/>
      <c r="C786" s="242"/>
      <c r="D786" s="242"/>
      <c r="E786" s="242"/>
      <c r="F786" s="242"/>
      <c r="G786" s="242"/>
      <c r="H786" s="242"/>
      <c r="I786" s="242"/>
      <c r="J786" s="242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2"/>
      <c r="V786" s="242"/>
      <c r="W786" s="242"/>
      <c r="X786" s="242"/>
      <c r="Y786" s="242"/>
      <c r="Z786" s="242"/>
    </row>
    <row r="787">
      <c r="A787" s="242"/>
      <c r="B787" s="242"/>
      <c r="C787" s="242"/>
      <c r="D787" s="242"/>
      <c r="E787" s="242"/>
      <c r="F787" s="242"/>
      <c r="G787" s="242"/>
      <c r="H787" s="242"/>
      <c r="I787" s="242"/>
      <c r="J787" s="242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2"/>
      <c r="V787" s="242"/>
      <c r="W787" s="242"/>
      <c r="X787" s="242"/>
      <c r="Y787" s="242"/>
      <c r="Z787" s="242"/>
    </row>
    <row r="788">
      <c r="A788" s="242"/>
      <c r="B788" s="242"/>
      <c r="C788" s="242"/>
      <c r="D788" s="242"/>
      <c r="E788" s="242"/>
      <c r="F788" s="242"/>
      <c r="G788" s="242"/>
      <c r="H788" s="242"/>
      <c r="I788" s="242"/>
      <c r="J788" s="242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2"/>
      <c r="V788" s="242"/>
      <c r="W788" s="242"/>
      <c r="X788" s="242"/>
      <c r="Y788" s="242"/>
      <c r="Z788" s="242"/>
    </row>
    <row r="789">
      <c r="A789" s="242"/>
      <c r="B789" s="242"/>
      <c r="C789" s="242"/>
      <c r="D789" s="242"/>
      <c r="E789" s="242"/>
      <c r="F789" s="242"/>
      <c r="G789" s="242"/>
      <c r="H789" s="242"/>
      <c r="I789" s="242"/>
      <c r="J789" s="242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2"/>
      <c r="V789" s="242"/>
      <c r="W789" s="242"/>
      <c r="X789" s="242"/>
      <c r="Y789" s="242"/>
      <c r="Z789" s="242"/>
    </row>
    <row r="790">
      <c r="A790" s="242"/>
      <c r="B790" s="242"/>
      <c r="C790" s="242"/>
      <c r="D790" s="242"/>
      <c r="E790" s="242"/>
      <c r="F790" s="242"/>
      <c r="G790" s="242"/>
      <c r="H790" s="242"/>
      <c r="I790" s="242"/>
      <c r="J790" s="242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2"/>
      <c r="V790" s="242"/>
      <c r="W790" s="242"/>
      <c r="X790" s="242"/>
      <c r="Y790" s="242"/>
      <c r="Z790" s="242"/>
    </row>
    <row r="791">
      <c r="A791" s="242"/>
      <c r="B791" s="242"/>
      <c r="C791" s="242"/>
      <c r="D791" s="242"/>
      <c r="E791" s="242"/>
      <c r="F791" s="242"/>
      <c r="G791" s="242"/>
      <c r="H791" s="242"/>
      <c r="I791" s="242"/>
      <c r="J791" s="242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2"/>
      <c r="V791" s="242"/>
      <c r="W791" s="242"/>
      <c r="X791" s="242"/>
      <c r="Y791" s="242"/>
      <c r="Z791" s="242"/>
    </row>
    <row r="792">
      <c r="A792" s="242"/>
      <c r="B792" s="242"/>
      <c r="C792" s="242"/>
      <c r="D792" s="242"/>
      <c r="E792" s="242"/>
      <c r="F792" s="242"/>
      <c r="G792" s="242"/>
      <c r="H792" s="242"/>
      <c r="I792" s="242"/>
      <c r="J792" s="242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2"/>
      <c r="V792" s="242"/>
      <c r="W792" s="242"/>
      <c r="X792" s="242"/>
      <c r="Y792" s="242"/>
      <c r="Z792" s="242"/>
    </row>
    <row r="793">
      <c r="A793" s="242"/>
      <c r="B793" s="242"/>
      <c r="C793" s="242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2"/>
      <c r="V793" s="242"/>
      <c r="W793" s="242"/>
      <c r="X793" s="242"/>
      <c r="Y793" s="242"/>
      <c r="Z793" s="242"/>
    </row>
    <row r="794">
      <c r="A794" s="242"/>
      <c r="B794" s="242"/>
      <c r="C794" s="242"/>
      <c r="D794" s="242"/>
      <c r="E794" s="242"/>
      <c r="F794" s="242"/>
      <c r="G794" s="242"/>
      <c r="H794" s="242"/>
      <c r="I794" s="242"/>
      <c r="J794" s="242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2"/>
      <c r="V794" s="242"/>
      <c r="W794" s="242"/>
      <c r="X794" s="242"/>
      <c r="Y794" s="242"/>
      <c r="Z794" s="242"/>
    </row>
    <row r="795">
      <c r="A795" s="242"/>
      <c r="B795" s="242"/>
      <c r="C795" s="242"/>
      <c r="D795" s="242"/>
      <c r="E795" s="242"/>
      <c r="F795" s="242"/>
      <c r="G795" s="242"/>
      <c r="H795" s="242"/>
      <c r="I795" s="242"/>
      <c r="J795" s="242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2"/>
      <c r="V795" s="242"/>
      <c r="W795" s="242"/>
      <c r="X795" s="242"/>
      <c r="Y795" s="242"/>
      <c r="Z795" s="242"/>
    </row>
    <row r="796">
      <c r="A796" s="242"/>
      <c r="B796" s="242"/>
      <c r="C796" s="242"/>
      <c r="D796" s="242"/>
      <c r="E796" s="242"/>
      <c r="F796" s="242"/>
      <c r="G796" s="242"/>
      <c r="H796" s="242"/>
      <c r="I796" s="242"/>
      <c r="J796" s="242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2"/>
      <c r="V796" s="242"/>
      <c r="W796" s="242"/>
      <c r="X796" s="242"/>
      <c r="Y796" s="242"/>
      <c r="Z796" s="242"/>
    </row>
    <row r="797">
      <c r="A797" s="242"/>
      <c r="B797" s="242"/>
      <c r="C797" s="242"/>
      <c r="D797" s="242"/>
      <c r="E797" s="242"/>
      <c r="F797" s="242"/>
      <c r="G797" s="242"/>
      <c r="H797" s="242"/>
      <c r="I797" s="242"/>
      <c r="J797" s="242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2"/>
      <c r="V797" s="242"/>
      <c r="W797" s="242"/>
      <c r="X797" s="242"/>
      <c r="Y797" s="242"/>
      <c r="Z797" s="242"/>
    </row>
    <row r="798">
      <c r="A798" s="242"/>
      <c r="B798" s="242"/>
      <c r="C798" s="242"/>
      <c r="D798" s="242"/>
      <c r="E798" s="242"/>
      <c r="F798" s="242"/>
      <c r="G798" s="242"/>
      <c r="H798" s="242"/>
      <c r="I798" s="242"/>
      <c r="J798" s="242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2"/>
      <c r="V798" s="242"/>
      <c r="W798" s="242"/>
      <c r="X798" s="242"/>
      <c r="Y798" s="242"/>
      <c r="Z798" s="242"/>
    </row>
    <row r="799">
      <c r="A799" s="242"/>
      <c r="B799" s="242"/>
      <c r="C799" s="242"/>
      <c r="D799" s="242"/>
      <c r="E799" s="242"/>
      <c r="F799" s="242"/>
      <c r="G799" s="242"/>
      <c r="H799" s="242"/>
      <c r="I799" s="242"/>
      <c r="J799" s="242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2"/>
      <c r="V799" s="242"/>
      <c r="W799" s="242"/>
      <c r="X799" s="242"/>
      <c r="Y799" s="242"/>
      <c r="Z799" s="242"/>
    </row>
    <row r="800">
      <c r="A800" s="242"/>
      <c r="B800" s="242"/>
      <c r="C800" s="242"/>
      <c r="D800" s="242"/>
      <c r="E800" s="242"/>
      <c r="F800" s="242"/>
      <c r="G800" s="242"/>
      <c r="H800" s="242"/>
      <c r="I800" s="242"/>
      <c r="J800" s="242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2"/>
      <c r="V800" s="242"/>
      <c r="W800" s="242"/>
      <c r="X800" s="242"/>
      <c r="Y800" s="242"/>
      <c r="Z800" s="242"/>
    </row>
    <row r="801">
      <c r="A801" s="242"/>
      <c r="B801" s="242"/>
      <c r="C801" s="242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2"/>
      <c r="V801" s="242"/>
      <c r="W801" s="242"/>
      <c r="X801" s="242"/>
      <c r="Y801" s="242"/>
      <c r="Z801" s="242"/>
    </row>
    <row r="802">
      <c r="A802" s="242"/>
      <c r="B802" s="242"/>
      <c r="C802" s="242"/>
      <c r="D802" s="242"/>
      <c r="E802" s="242"/>
      <c r="F802" s="242"/>
      <c r="G802" s="242"/>
      <c r="H802" s="242"/>
      <c r="I802" s="242"/>
      <c r="J802" s="242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2"/>
      <c r="V802" s="242"/>
      <c r="W802" s="242"/>
      <c r="X802" s="242"/>
      <c r="Y802" s="242"/>
      <c r="Z802" s="242"/>
    </row>
    <row r="803">
      <c r="A803" s="242"/>
      <c r="B803" s="242"/>
      <c r="C803" s="242"/>
      <c r="D803" s="242"/>
      <c r="E803" s="242"/>
      <c r="F803" s="242"/>
      <c r="G803" s="242"/>
      <c r="H803" s="242"/>
      <c r="I803" s="242"/>
      <c r="J803" s="242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2"/>
      <c r="V803" s="242"/>
      <c r="W803" s="242"/>
      <c r="X803" s="242"/>
      <c r="Y803" s="242"/>
      <c r="Z803" s="242"/>
    </row>
    <row r="804">
      <c r="A804" s="242"/>
      <c r="B804" s="242"/>
      <c r="C804" s="242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2"/>
      <c r="V804" s="242"/>
      <c r="W804" s="242"/>
      <c r="X804" s="242"/>
      <c r="Y804" s="242"/>
      <c r="Z804" s="242"/>
    </row>
    <row r="805">
      <c r="A805" s="242"/>
      <c r="B805" s="242"/>
      <c r="C805" s="242"/>
      <c r="D805" s="242"/>
      <c r="E805" s="242"/>
      <c r="F805" s="242"/>
      <c r="G805" s="242"/>
      <c r="H805" s="242"/>
      <c r="I805" s="242"/>
      <c r="J805" s="242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2"/>
      <c r="V805" s="242"/>
      <c r="W805" s="242"/>
      <c r="X805" s="242"/>
      <c r="Y805" s="242"/>
      <c r="Z805" s="242"/>
    </row>
    <row r="806">
      <c r="A806" s="242"/>
      <c r="B806" s="242"/>
      <c r="C806" s="242"/>
      <c r="D806" s="242"/>
      <c r="E806" s="242"/>
      <c r="F806" s="242"/>
      <c r="G806" s="242"/>
      <c r="H806" s="242"/>
      <c r="I806" s="242"/>
      <c r="J806" s="242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2"/>
      <c r="V806" s="242"/>
      <c r="W806" s="242"/>
      <c r="X806" s="242"/>
      <c r="Y806" s="242"/>
      <c r="Z806" s="242"/>
    </row>
    <row r="807">
      <c r="A807" s="242"/>
      <c r="B807" s="242"/>
      <c r="C807" s="242"/>
      <c r="D807" s="242"/>
      <c r="E807" s="242"/>
      <c r="F807" s="242"/>
      <c r="G807" s="242"/>
      <c r="H807" s="242"/>
      <c r="I807" s="242"/>
      <c r="J807" s="242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2"/>
      <c r="V807" s="242"/>
      <c r="W807" s="242"/>
      <c r="X807" s="242"/>
      <c r="Y807" s="242"/>
      <c r="Z807" s="242"/>
    </row>
    <row r="808">
      <c r="A808" s="242"/>
      <c r="B808" s="242"/>
      <c r="C808" s="242"/>
      <c r="D808" s="242"/>
      <c r="E808" s="242"/>
      <c r="F808" s="242"/>
      <c r="G808" s="242"/>
      <c r="H808" s="242"/>
      <c r="I808" s="242"/>
      <c r="J808" s="242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2"/>
      <c r="V808" s="242"/>
      <c r="W808" s="242"/>
      <c r="X808" s="242"/>
      <c r="Y808" s="242"/>
      <c r="Z808" s="242"/>
    </row>
    <row r="809">
      <c r="A809" s="242"/>
      <c r="B809" s="242"/>
      <c r="C809" s="242"/>
      <c r="D809" s="242"/>
      <c r="E809" s="242"/>
      <c r="F809" s="242"/>
      <c r="G809" s="242"/>
      <c r="H809" s="242"/>
      <c r="I809" s="242"/>
      <c r="J809" s="242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2"/>
      <c r="V809" s="242"/>
      <c r="W809" s="242"/>
      <c r="X809" s="242"/>
      <c r="Y809" s="242"/>
      <c r="Z809" s="242"/>
    </row>
    <row r="810">
      <c r="A810" s="242"/>
      <c r="B810" s="242"/>
      <c r="C810" s="242"/>
      <c r="D810" s="242"/>
      <c r="E810" s="242"/>
      <c r="F810" s="242"/>
      <c r="G810" s="242"/>
      <c r="H810" s="242"/>
      <c r="I810" s="242"/>
      <c r="J810" s="242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2"/>
      <c r="V810" s="242"/>
      <c r="W810" s="242"/>
      <c r="X810" s="242"/>
      <c r="Y810" s="242"/>
      <c r="Z810" s="242"/>
    </row>
    <row r="811">
      <c r="A811" s="242"/>
      <c r="B811" s="242"/>
      <c r="C811" s="242"/>
      <c r="D811" s="242"/>
      <c r="E811" s="242"/>
      <c r="F811" s="242"/>
      <c r="G811" s="242"/>
      <c r="H811" s="242"/>
      <c r="I811" s="242"/>
      <c r="J811" s="242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2"/>
      <c r="V811" s="242"/>
      <c r="W811" s="242"/>
      <c r="X811" s="242"/>
      <c r="Y811" s="242"/>
      <c r="Z811" s="242"/>
    </row>
    <row r="812">
      <c r="A812" s="242"/>
      <c r="B812" s="242"/>
      <c r="C812" s="242"/>
      <c r="D812" s="242"/>
      <c r="E812" s="242"/>
      <c r="F812" s="242"/>
      <c r="G812" s="242"/>
      <c r="H812" s="242"/>
      <c r="I812" s="242"/>
      <c r="J812" s="242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2"/>
      <c r="V812" s="242"/>
      <c r="W812" s="242"/>
      <c r="X812" s="242"/>
      <c r="Y812" s="242"/>
      <c r="Z812" s="242"/>
    </row>
    <row r="813">
      <c r="A813" s="242"/>
      <c r="B813" s="242"/>
      <c r="C813" s="242"/>
      <c r="D813" s="242"/>
      <c r="E813" s="242"/>
      <c r="F813" s="242"/>
      <c r="G813" s="242"/>
      <c r="H813" s="242"/>
      <c r="I813" s="242"/>
      <c r="J813" s="242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2"/>
      <c r="V813" s="242"/>
      <c r="W813" s="242"/>
      <c r="X813" s="242"/>
      <c r="Y813" s="242"/>
      <c r="Z813" s="242"/>
    </row>
    <row r="814">
      <c r="A814" s="242"/>
      <c r="B814" s="242"/>
      <c r="C814" s="242"/>
      <c r="D814" s="242"/>
      <c r="E814" s="242"/>
      <c r="F814" s="242"/>
      <c r="G814" s="242"/>
      <c r="H814" s="242"/>
      <c r="I814" s="242"/>
      <c r="J814" s="242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2"/>
      <c r="V814" s="242"/>
      <c r="W814" s="242"/>
      <c r="X814" s="242"/>
      <c r="Y814" s="242"/>
      <c r="Z814" s="242"/>
    </row>
    <row r="815">
      <c r="A815" s="242"/>
      <c r="B815" s="242"/>
      <c r="C815" s="242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2"/>
      <c r="V815" s="242"/>
      <c r="W815" s="242"/>
      <c r="X815" s="242"/>
      <c r="Y815" s="242"/>
      <c r="Z815" s="242"/>
    </row>
    <row r="816">
      <c r="A816" s="242"/>
      <c r="B816" s="242"/>
      <c r="C816" s="242"/>
      <c r="D816" s="242"/>
      <c r="E816" s="242"/>
      <c r="F816" s="242"/>
      <c r="G816" s="242"/>
      <c r="H816" s="242"/>
      <c r="I816" s="242"/>
      <c r="J816" s="242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2"/>
      <c r="V816" s="242"/>
      <c r="W816" s="242"/>
      <c r="X816" s="242"/>
      <c r="Y816" s="242"/>
      <c r="Z816" s="242"/>
    </row>
    <row r="817">
      <c r="A817" s="242"/>
      <c r="B817" s="242"/>
      <c r="C817" s="242"/>
      <c r="D817" s="242"/>
      <c r="E817" s="242"/>
      <c r="F817" s="242"/>
      <c r="G817" s="242"/>
      <c r="H817" s="242"/>
      <c r="I817" s="242"/>
      <c r="J817" s="242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2"/>
      <c r="V817" s="242"/>
      <c r="W817" s="242"/>
      <c r="X817" s="242"/>
      <c r="Y817" s="242"/>
      <c r="Z817" s="242"/>
    </row>
    <row r="818">
      <c r="A818" s="242"/>
      <c r="B818" s="242"/>
      <c r="C818" s="242"/>
      <c r="D818" s="242"/>
      <c r="E818" s="242"/>
      <c r="F818" s="242"/>
      <c r="G818" s="242"/>
      <c r="H818" s="242"/>
      <c r="I818" s="242"/>
      <c r="J818" s="242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2"/>
      <c r="V818" s="242"/>
      <c r="W818" s="242"/>
      <c r="X818" s="242"/>
      <c r="Y818" s="242"/>
      <c r="Z818" s="242"/>
    </row>
    <row r="819">
      <c r="A819" s="242"/>
      <c r="B819" s="242"/>
      <c r="C819" s="242"/>
      <c r="D819" s="242"/>
      <c r="E819" s="242"/>
      <c r="F819" s="242"/>
      <c r="G819" s="242"/>
      <c r="H819" s="242"/>
      <c r="I819" s="242"/>
      <c r="J819" s="242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2"/>
      <c r="V819" s="242"/>
      <c r="W819" s="242"/>
      <c r="X819" s="242"/>
      <c r="Y819" s="242"/>
      <c r="Z819" s="242"/>
    </row>
    <row r="820">
      <c r="A820" s="242"/>
      <c r="B820" s="242"/>
      <c r="C820" s="242"/>
      <c r="D820" s="242"/>
      <c r="E820" s="242"/>
      <c r="F820" s="242"/>
      <c r="G820" s="242"/>
      <c r="H820" s="242"/>
      <c r="I820" s="242"/>
      <c r="J820" s="242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2"/>
      <c r="V820" s="242"/>
      <c r="W820" s="242"/>
      <c r="X820" s="242"/>
      <c r="Y820" s="242"/>
      <c r="Z820" s="242"/>
    </row>
    <row r="821">
      <c r="A821" s="242"/>
      <c r="B821" s="242"/>
      <c r="C821" s="242"/>
      <c r="D821" s="242"/>
      <c r="E821" s="242"/>
      <c r="F821" s="242"/>
      <c r="G821" s="242"/>
      <c r="H821" s="242"/>
      <c r="I821" s="242"/>
      <c r="J821" s="242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2"/>
      <c r="V821" s="242"/>
      <c r="W821" s="242"/>
      <c r="X821" s="242"/>
      <c r="Y821" s="242"/>
      <c r="Z821" s="242"/>
    </row>
    <row r="822">
      <c r="A822" s="242"/>
      <c r="B822" s="242"/>
      <c r="C822" s="242"/>
      <c r="D822" s="242"/>
      <c r="E822" s="242"/>
      <c r="F822" s="242"/>
      <c r="G822" s="242"/>
      <c r="H822" s="242"/>
      <c r="I822" s="242"/>
      <c r="J822" s="242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2"/>
      <c r="V822" s="242"/>
      <c r="W822" s="242"/>
      <c r="X822" s="242"/>
      <c r="Y822" s="242"/>
      <c r="Z822" s="242"/>
    </row>
    <row r="823">
      <c r="A823" s="242"/>
      <c r="B823" s="242"/>
      <c r="C823" s="242"/>
      <c r="D823" s="242"/>
      <c r="E823" s="242"/>
      <c r="F823" s="242"/>
      <c r="G823" s="242"/>
      <c r="H823" s="242"/>
      <c r="I823" s="242"/>
      <c r="J823" s="242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2"/>
      <c r="V823" s="242"/>
      <c r="W823" s="242"/>
      <c r="X823" s="242"/>
      <c r="Y823" s="242"/>
      <c r="Z823" s="242"/>
    </row>
    <row r="824">
      <c r="A824" s="242"/>
      <c r="B824" s="242"/>
      <c r="C824" s="242"/>
      <c r="D824" s="242"/>
      <c r="E824" s="242"/>
      <c r="F824" s="242"/>
      <c r="G824" s="242"/>
      <c r="H824" s="242"/>
      <c r="I824" s="242"/>
      <c r="J824" s="242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2"/>
      <c r="V824" s="242"/>
      <c r="W824" s="242"/>
      <c r="X824" s="242"/>
      <c r="Y824" s="242"/>
      <c r="Z824" s="242"/>
    </row>
    <row r="825">
      <c r="A825" s="242"/>
      <c r="B825" s="242"/>
      <c r="C825" s="242"/>
      <c r="D825" s="242"/>
      <c r="E825" s="242"/>
      <c r="F825" s="242"/>
      <c r="G825" s="242"/>
      <c r="H825" s="242"/>
      <c r="I825" s="242"/>
      <c r="J825" s="242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2"/>
      <c r="V825" s="242"/>
      <c r="W825" s="242"/>
      <c r="X825" s="242"/>
      <c r="Y825" s="242"/>
      <c r="Z825" s="242"/>
    </row>
    <row r="826">
      <c r="A826" s="242"/>
      <c r="B826" s="242"/>
      <c r="C826" s="242"/>
      <c r="D826" s="242"/>
      <c r="E826" s="242"/>
      <c r="F826" s="242"/>
      <c r="G826" s="242"/>
      <c r="H826" s="242"/>
      <c r="I826" s="242"/>
      <c r="J826" s="242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2"/>
      <c r="V826" s="242"/>
      <c r="W826" s="242"/>
      <c r="X826" s="242"/>
      <c r="Y826" s="242"/>
      <c r="Z826" s="242"/>
    </row>
    <row r="827">
      <c r="A827" s="242"/>
      <c r="B827" s="242"/>
      <c r="C827" s="242"/>
      <c r="D827" s="242"/>
      <c r="E827" s="242"/>
      <c r="F827" s="242"/>
      <c r="G827" s="242"/>
      <c r="H827" s="242"/>
      <c r="I827" s="242"/>
      <c r="J827" s="242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2"/>
      <c r="V827" s="242"/>
      <c r="W827" s="242"/>
      <c r="X827" s="242"/>
      <c r="Y827" s="242"/>
      <c r="Z827" s="242"/>
    </row>
    <row r="828">
      <c r="A828" s="242"/>
      <c r="B828" s="242"/>
      <c r="C828" s="242"/>
      <c r="D828" s="242"/>
      <c r="E828" s="242"/>
      <c r="F828" s="242"/>
      <c r="G828" s="242"/>
      <c r="H828" s="242"/>
      <c r="I828" s="242"/>
      <c r="J828" s="242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2"/>
      <c r="V828" s="242"/>
      <c r="W828" s="242"/>
      <c r="X828" s="242"/>
      <c r="Y828" s="242"/>
      <c r="Z828" s="242"/>
    </row>
    <row r="829">
      <c r="A829" s="242"/>
      <c r="B829" s="242"/>
      <c r="C829" s="242"/>
      <c r="D829" s="242"/>
      <c r="E829" s="242"/>
      <c r="F829" s="242"/>
      <c r="G829" s="242"/>
      <c r="H829" s="242"/>
      <c r="I829" s="242"/>
      <c r="J829" s="242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2"/>
      <c r="V829" s="242"/>
      <c r="W829" s="242"/>
      <c r="X829" s="242"/>
      <c r="Y829" s="242"/>
      <c r="Z829" s="242"/>
    </row>
    <row r="830">
      <c r="A830" s="242"/>
      <c r="B830" s="242"/>
      <c r="C830" s="242"/>
      <c r="D830" s="242"/>
      <c r="E830" s="242"/>
      <c r="F830" s="242"/>
      <c r="G830" s="242"/>
      <c r="H830" s="242"/>
      <c r="I830" s="242"/>
      <c r="J830" s="242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2"/>
      <c r="V830" s="242"/>
      <c r="W830" s="242"/>
      <c r="X830" s="242"/>
      <c r="Y830" s="242"/>
      <c r="Z830" s="242"/>
    </row>
    <row r="831">
      <c r="A831" s="242"/>
      <c r="B831" s="242"/>
      <c r="C831" s="242"/>
      <c r="D831" s="242"/>
      <c r="E831" s="242"/>
      <c r="F831" s="242"/>
      <c r="G831" s="242"/>
      <c r="H831" s="242"/>
      <c r="I831" s="242"/>
      <c r="J831" s="242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2"/>
      <c r="V831" s="242"/>
      <c r="W831" s="242"/>
      <c r="X831" s="242"/>
      <c r="Y831" s="242"/>
      <c r="Z831" s="242"/>
    </row>
    <row r="832">
      <c r="A832" s="242"/>
      <c r="B832" s="242"/>
      <c r="C832" s="242"/>
      <c r="D832" s="242"/>
      <c r="E832" s="242"/>
      <c r="F832" s="242"/>
      <c r="G832" s="242"/>
      <c r="H832" s="242"/>
      <c r="I832" s="242"/>
      <c r="J832" s="242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2"/>
      <c r="V832" s="242"/>
      <c r="W832" s="242"/>
      <c r="X832" s="242"/>
      <c r="Y832" s="242"/>
      <c r="Z832" s="242"/>
    </row>
    <row r="833">
      <c r="A833" s="242"/>
      <c r="B833" s="242"/>
      <c r="C833" s="242"/>
      <c r="D833" s="242"/>
      <c r="E833" s="242"/>
      <c r="F833" s="242"/>
      <c r="G833" s="242"/>
      <c r="H833" s="242"/>
      <c r="I833" s="242"/>
      <c r="J833" s="242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2"/>
      <c r="V833" s="242"/>
      <c r="W833" s="242"/>
      <c r="X833" s="242"/>
      <c r="Y833" s="242"/>
      <c r="Z833" s="242"/>
    </row>
    <row r="834">
      <c r="A834" s="242"/>
      <c r="B834" s="242"/>
      <c r="C834" s="242"/>
      <c r="D834" s="242"/>
      <c r="E834" s="242"/>
      <c r="F834" s="242"/>
      <c r="G834" s="242"/>
      <c r="H834" s="242"/>
      <c r="I834" s="242"/>
      <c r="J834" s="242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2"/>
      <c r="V834" s="242"/>
      <c r="W834" s="242"/>
      <c r="X834" s="242"/>
      <c r="Y834" s="242"/>
      <c r="Z834" s="242"/>
    </row>
    <row r="835">
      <c r="A835" s="242"/>
      <c r="B835" s="242"/>
      <c r="C835" s="242"/>
      <c r="D835" s="242"/>
      <c r="E835" s="242"/>
      <c r="F835" s="242"/>
      <c r="G835" s="242"/>
      <c r="H835" s="242"/>
      <c r="I835" s="242"/>
      <c r="J835" s="242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2"/>
      <c r="V835" s="242"/>
      <c r="W835" s="242"/>
      <c r="X835" s="242"/>
      <c r="Y835" s="242"/>
      <c r="Z835" s="242"/>
    </row>
    <row r="836">
      <c r="A836" s="242"/>
      <c r="B836" s="242"/>
      <c r="C836" s="242"/>
      <c r="D836" s="242"/>
      <c r="E836" s="242"/>
      <c r="F836" s="242"/>
      <c r="G836" s="242"/>
      <c r="H836" s="242"/>
      <c r="I836" s="242"/>
      <c r="J836" s="242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2"/>
      <c r="V836" s="242"/>
      <c r="W836" s="242"/>
      <c r="X836" s="242"/>
      <c r="Y836" s="242"/>
      <c r="Z836" s="242"/>
    </row>
    <row r="837">
      <c r="A837" s="242"/>
      <c r="B837" s="242"/>
      <c r="C837" s="242"/>
      <c r="D837" s="242"/>
      <c r="E837" s="242"/>
      <c r="F837" s="242"/>
      <c r="G837" s="242"/>
      <c r="H837" s="242"/>
      <c r="I837" s="242"/>
      <c r="J837" s="242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2"/>
      <c r="V837" s="242"/>
      <c r="W837" s="242"/>
      <c r="X837" s="242"/>
      <c r="Y837" s="242"/>
      <c r="Z837" s="242"/>
    </row>
    <row r="838">
      <c r="A838" s="242"/>
      <c r="B838" s="242"/>
      <c r="C838" s="242"/>
      <c r="D838" s="242"/>
      <c r="E838" s="242"/>
      <c r="F838" s="242"/>
      <c r="G838" s="242"/>
      <c r="H838" s="242"/>
      <c r="I838" s="242"/>
      <c r="J838" s="242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2"/>
      <c r="V838" s="242"/>
      <c r="W838" s="242"/>
      <c r="X838" s="242"/>
      <c r="Y838" s="242"/>
      <c r="Z838" s="242"/>
    </row>
    <row r="839">
      <c r="A839" s="242"/>
      <c r="B839" s="242"/>
      <c r="C839" s="242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2"/>
      <c r="V839" s="242"/>
      <c r="W839" s="242"/>
      <c r="X839" s="242"/>
      <c r="Y839" s="242"/>
      <c r="Z839" s="242"/>
    </row>
    <row r="840">
      <c r="A840" s="242"/>
      <c r="B840" s="242"/>
      <c r="C840" s="242"/>
      <c r="D840" s="242"/>
      <c r="E840" s="242"/>
      <c r="F840" s="242"/>
      <c r="G840" s="242"/>
      <c r="H840" s="242"/>
      <c r="I840" s="242"/>
      <c r="J840" s="242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2"/>
      <c r="V840" s="242"/>
      <c r="W840" s="242"/>
      <c r="X840" s="242"/>
      <c r="Y840" s="242"/>
      <c r="Z840" s="242"/>
    </row>
    <row r="841">
      <c r="A841" s="242"/>
      <c r="B841" s="242"/>
      <c r="C841" s="242"/>
      <c r="D841" s="242"/>
      <c r="E841" s="242"/>
      <c r="F841" s="242"/>
      <c r="G841" s="242"/>
      <c r="H841" s="242"/>
      <c r="I841" s="242"/>
      <c r="J841" s="242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2"/>
      <c r="V841" s="242"/>
      <c r="W841" s="242"/>
      <c r="X841" s="242"/>
      <c r="Y841" s="242"/>
      <c r="Z841" s="242"/>
    </row>
    <row r="842">
      <c r="A842" s="242"/>
      <c r="B842" s="242"/>
      <c r="C842" s="242"/>
      <c r="D842" s="242"/>
      <c r="E842" s="242"/>
      <c r="F842" s="242"/>
      <c r="G842" s="242"/>
      <c r="H842" s="242"/>
      <c r="I842" s="242"/>
      <c r="J842" s="242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2"/>
      <c r="V842" s="242"/>
      <c r="W842" s="242"/>
      <c r="X842" s="242"/>
      <c r="Y842" s="242"/>
      <c r="Z842" s="242"/>
    </row>
    <row r="843">
      <c r="A843" s="242"/>
      <c r="B843" s="242"/>
      <c r="C843" s="242"/>
      <c r="D843" s="242"/>
      <c r="E843" s="242"/>
      <c r="F843" s="242"/>
      <c r="G843" s="242"/>
      <c r="H843" s="242"/>
      <c r="I843" s="242"/>
      <c r="J843" s="242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2"/>
      <c r="V843" s="242"/>
      <c r="W843" s="242"/>
      <c r="X843" s="242"/>
      <c r="Y843" s="242"/>
      <c r="Z843" s="242"/>
    </row>
    <row r="844">
      <c r="A844" s="242"/>
      <c r="B844" s="242"/>
      <c r="C844" s="242"/>
      <c r="D844" s="242"/>
      <c r="E844" s="242"/>
      <c r="F844" s="242"/>
      <c r="G844" s="242"/>
      <c r="H844" s="242"/>
      <c r="I844" s="242"/>
      <c r="J844" s="242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2"/>
      <c r="V844" s="242"/>
      <c r="W844" s="242"/>
      <c r="X844" s="242"/>
      <c r="Y844" s="242"/>
      <c r="Z844" s="242"/>
    </row>
    <row r="845">
      <c r="A845" s="242"/>
      <c r="B845" s="242"/>
      <c r="C845" s="242"/>
      <c r="D845" s="242"/>
      <c r="E845" s="242"/>
      <c r="F845" s="242"/>
      <c r="G845" s="242"/>
      <c r="H845" s="242"/>
      <c r="I845" s="242"/>
      <c r="J845" s="242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2"/>
      <c r="V845" s="242"/>
      <c r="W845" s="242"/>
      <c r="X845" s="242"/>
      <c r="Y845" s="242"/>
      <c r="Z845" s="242"/>
    </row>
    <row r="846">
      <c r="A846" s="242"/>
      <c r="B846" s="242"/>
      <c r="C846" s="242"/>
      <c r="D846" s="242"/>
      <c r="E846" s="242"/>
      <c r="F846" s="242"/>
      <c r="G846" s="242"/>
      <c r="H846" s="242"/>
      <c r="I846" s="242"/>
      <c r="J846" s="242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2"/>
      <c r="V846" s="242"/>
      <c r="W846" s="242"/>
      <c r="X846" s="242"/>
      <c r="Y846" s="242"/>
      <c r="Z846" s="242"/>
    </row>
    <row r="847">
      <c r="A847" s="242"/>
      <c r="B847" s="242"/>
      <c r="C847" s="242"/>
      <c r="D847" s="242"/>
      <c r="E847" s="242"/>
      <c r="F847" s="242"/>
      <c r="G847" s="242"/>
      <c r="H847" s="242"/>
      <c r="I847" s="242"/>
      <c r="J847" s="242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2"/>
      <c r="V847" s="242"/>
      <c r="W847" s="242"/>
      <c r="X847" s="242"/>
      <c r="Y847" s="242"/>
      <c r="Z847" s="242"/>
    </row>
    <row r="848">
      <c r="A848" s="242"/>
      <c r="B848" s="242"/>
      <c r="C848" s="242"/>
      <c r="D848" s="242"/>
      <c r="E848" s="242"/>
      <c r="F848" s="242"/>
      <c r="G848" s="242"/>
      <c r="H848" s="242"/>
      <c r="I848" s="242"/>
      <c r="J848" s="242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2"/>
      <c r="V848" s="242"/>
      <c r="W848" s="242"/>
      <c r="X848" s="242"/>
      <c r="Y848" s="242"/>
      <c r="Z848" s="242"/>
    </row>
    <row r="849">
      <c r="A849" s="242"/>
      <c r="B849" s="242"/>
      <c r="C849" s="242"/>
      <c r="D849" s="242"/>
      <c r="E849" s="242"/>
      <c r="F849" s="242"/>
      <c r="G849" s="242"/>
      <c r="H849" s="242"/>
      <c r="I849" s="242"/>
      <c r="J849" s="242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2"/>
      <c r="V849" s="242"/>
      <c r="W849" s="242"/>
      <c r="X849" s="242"/>
      <c r="Y849" s="242"/>
      <c r="Z849" s="242"/>
    </row>
    <row r="850">
      <c r="A850" s="242"/>
      <c r="B850" s="242"/>
      <c r="C850" s="242"/>
      <c r="D850" s="242"/>
      <c r="E850" s="242"/>
      <c r="F850" s="242"/>
      <c r="G850" s="242"/>
      <c r="H850" s="242"/>
      <c r="I850" s="242"/>
      <c r="J850" s="242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2"/>
      <c r="V850" s="242"/>
      <c r="W850" s="242"/>
      <c r="X850" s="242"/>
      <c r="Y850" s="242"/>
      <c r="Z850" s="242"/>
    </row>
    <row r="851">
      <c r="A851" s="242"/>
      <c r="B851" s="242"/>
      <c r="C851" s="242"/>
      <c r="D851" s="242"/>
      <c r="E851" s="242"/>
      <c r="F851" s="242"/>
      <c r="G851" s="242"/>
      <c r="H851" s="242"/>
      <c r="I851" s="242"/>
      <c r="J851" s="242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2"/>
      <c r="V851" s="242"/>
      <c r="W851" s="242"/>
      <c r="X851" s="242"/>
      <c r="Y851" s="242"/>
      <c r="Z851" s="242"/>
    </row>
    <row r="852">
      <c r="A852" s="242"/>
      <c r="B852" s="242"/>
      <c r="C852" s="242"/>
      <c r="D852" s="242"/>
      <c r="E852" s="242"/>
      <c r="F852" s="242"/>
      <c r="G852" s="242"/>
      <c r="H852" s="242"/>
      <c r="I852" s="242"/>
      <c r="J852" s="242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2"/>
      <c r="V852" s="242"/>
      <c r="W852" s="242"/>
      <c r="X852" s="242"/>
      <c r="Y852" s="242"/>
      <c r="Z852" s="242"/>
    </row>
    <row r="853">
      <c r="A853" s="242"/>
      <c r="B853" s="242"/>
      <c r="C853" s="242"/>
      <c r="D853" s="242"/>
      <c r="E853" s="242"/>
      <c r="F853" s="242"/>
      <c r="G853" s="242"/>
      <c r="H853" s="242"/>
      <c r="I853" s="242"/>
      <c r="J853" s="242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2"/>
      <c r="V853" s="242"/>
      <c r="W853" s="242"/>
      <c r="X853" s="242"/>
      <c r="Y853" s="242"/>
      <c r="Z853" s="242"/>
    </row>
    <row r="854">
      <c r="A854" s="242"/>
      <c r="B854" s="242"/>
      <c r="C854" s="242"/>
      <c r="D854" s="242"/>
      <c r="E854" s="242"/>
      <c r="F854" s="242"/>
      <c r="G854" s="242"/>
      <c r="H854" s="242"/>
      <c r="I854" s="242"/>
      <c r="J854" s="242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2"/>
      <c r="V854" s="242"/>
      <c r="W854" s="242"/>
      <c r="X854" s="242"/>
      <c r="Y854" s="242"/>
      <c r="Z854" s="242"/>
    </row>
    <row r="855">
      <c r="A855" s="242"/>
      <c r="B855" s="242"/>
      <c r="C855" s="242"/>
      <c r="D855" s="242"/>
      <c r="E855" s="242"/>
      <c r="F855" s="242"/>
      <c r="G855" s="242"/>
      <c r="H855" s="242"/>
      <c r="I855" s="242"/>
      <c r="J855" s="242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2"/>
      <c r="V855" s="242"/>
      <c r="W855" s="242"/>
      <c r="X855" s="242"/>
      <c r="Y855" s="242"/>
      <c r="Z855" s="242"/>
    </row>
    <row r="856">
      <c r="A856" s="242"/>
      <c r="B856" s="242"/>
      <c r="C856" s="242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2"/>
      <c r="V856" s="242"/>
      <c r="W856" s="242"/>
      <c r="X856" s="242"/>
      <c r="Y856" s="242"/>
      <c r="Z856" s="242"/>
    </row>
    <row r="857">
      <c r="A857" s="242"/>
      <c r="B857" s="242"/>
      <c r="C857" s="242"/>
      <c r="D857" s="242"/>
      <c r="E857" s="242"/>
      <c r="F857" s="242"/>
      <c r="G857" s="242"/>
      <c r="H857" s="242"/>
      <c r="I857" s="242"/>
      <c r="J857" s="242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2"/>
      <c r="V857" s="242"/>
      <c r="W857" s="242"/>
      <c r="X857" s="242"/>
      <c r="Y857" s="242"/>
      <c r="Z857" s="242"/>
    </row>
    <row r="858">
      <c r="A858" s="242"/>
      <c r="B858" s="242"/>
      <c r="C858" s="242"/>
      <c r="D858" s="242"/>
      <c r="E858" s="242"/>
      <c r="F858" s="242"/>
      <c r="G858" s="242"/>
      <c r="H858" s="242"/>
      <c r="I858" s="242"/>
      <c r="J858" s="242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2"/>
      <c r="V858" s="242"/>
      <c r="W858" s="242"/>
      <c r="X858" s="242"/>
      <c r="Y858" s="242"/>
      <c r="Z858" s="242"/>
    </row>
    <row r="859">
      <c r="A859" s="242"/>
      <c r="B859" s="242"/>
      <c r="C859" s="242"/>
      <c r="D859" s="242"/>
      <c r="E859" s="242"/>
      <c r="F859" s="242"/>
      <c r="G859" s="242"/>
      <c r="H859" s="242"/>
      <c r="I859" s="242"/>
      <c r="J859" s="242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2"/>
      <c r="V859" s="242"/>
      <c r="W859" s="242"/>
      <c r="X859" s="242"/>
      <c r="Y859" s="242"/>
      <c r="Z859" s="242"/>
    </row>
    <row r="860">
      <c r="A860" s="242"/>
      <c r="B860" s="242"/>
      <c r="C860" s="242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2"/>
      <c r="V860" s="242"/>
      <c r="W860" s="242"/>
      <c r="X860" s="242"/>
      <c r="Y860" s="242"/>
      <c r="Z860" s="242"/>
    </row>
    <row r="861">
      <c r="A861" s="242"/>
      <c r="B861" s="242"/>
      <c r="C861" s="242"/>
      <c r="D861" s="242"/>
      <c r="E861" s="242"/>
      <c r="F861" s="242"/>
      <c r="G861" s="242"/>
      <c r="H861" s="242"/>
      <c r="I861" s="242"/>
      <c r="J861" s="242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2"/>
      <c r="V861" s="242"/>
      <c r="W861" s="242"/>
      <c r="X861" s="242"/>
      <c r="Y861" s="242"/>
      <c r="Z861" s="242"/>
    </row>
    <row r="862">
      <c r="A862" s="242"/>
      <c r="B862" s="242"/>
      <c r="C862" s="242"/>
      <c r="D862" s="242"/>
      <c r="E862" s="242"/>
      <c r="F862" s="242"/>
      <c r="G862" s="242"/>
      <c r="H862" s="242"/>
      <c r="I862" s="242"/>
      <c r="J862" s="242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2"/>
      <c r="V862" s="242"/>
      <c r="W862" s="242"/>
      <c r="X862" s="242"/>
      <c r="Y862" s="242"/>
      <c r="Z862" s="242"/>
    </row>
    <row r="863">
      <c r="A863" s="242"/>
      <c r="B863" s="242"/>
      <c r="C863" s="242"/>
      <c r="D863" s="242"/>
      <c r="E863" s="242"/>
      <c r="F863" s="242"/>
      <c r="G863" s="242"/>
      <c r="H863" s="242"/>
      <c r="I863" s="242"/>
      <c r="J863" s="242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2"/>
      <c r="V863" s="242"/>
      <c r="W863" s="242"/>
      <c r="X863" s="242"/>
      <c r="Y863" s="242"/>
      <c r="Z863" s="242"/>
    </row>
    <row r="864">
      <c r="A864" s="242"/>
      <c r="B864" s="242"/>
      <c r="C864" s="242"/>
      <c r="D864" s="242"/>
      <c r="E864" s="242"/>
      <c r="F864" s="242"/>
      <c r="G864" s="242"/>
      <c r="H864" s="242"/>
      <c r="I864" s="242"/>
      <c r="J864" s="242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2"/>
      <c r="V864" s="242"/>
      <c r="W864" s="242"/>
      <c r="X864" s="242"/>
      <c r="Y864" s="242"/>
      <c r="Z864" s="242"/>
    </row>
    <row r="865">
      <c r="A865" s="242"/>
      <c r="B865" s="242"/>
      <c r="C865" s="242"/>
      <c r="D865" s="242"/>
      <c r="E865" s="242"/>
      <c r="F865" s="242"/>
      <c r="G865" s="242"/>
      <c r="H865" s="242"/>
      <c r="I865" s="242"/>
      <c r="J865" s="242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2"/>
      <c r="V865" s="242"/>
      <c r="W865" s="242"/>
      <c r="X865" s="242"/>
      <c r="Y865" s="242"/>
      <c r="Z865" s="242"/>
    </row>
    <row r="866">
      <c r="A866" s="242"/>
      <c r="B866" s="242"/>
      <c r="C866" s="242"/>
      <c r="D866" s="242"/>
      <c r="E866" s="242"/>
      <c r="F866" s="242"/>
      <c r="G866" s="242"/>
      <c r="H866" s="242"/>
      <c r="I866" s="242"/>
      <c r="J866" s="242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2"/>
      <c r="V866" s="242"/>
      <c r="W866" s="242"/>
      <c r="X866" s="242"/>
      <c r="Y866" s="242"/>
      <c r="Z866" s="242"/>
    </row>
    <row r="867">
      <c r="A867" s="242"/>
      <c r="B867" s="242"/>
      <c r="C867" s="242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2"/>
      <c r="V867" s="242"/>
      <c r="W867" s="242"/>
      <c r="X867" s="242"/>
      <c r="Y867" s="242"/>
      <c r="Z867" s="242"/>
    </row>
    <row r="868">
      <c r="A868" s="242"/>
      <c r="B868" s="242"/>
      <c r="C868" s="242"/>
      <c r="D868" s="242"/>
      <c r="E868" s="242"/>
      <c r="F868" s="242"/>
      <c r="G868" s="242"/>
      <c r="H868" s="242"/>
      <c r="I868" s="242"/>
      <c r="J868" s="242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2"/>
      <c r="V868" s="242"/>
      <c r="W868" s="242"/>
      <c r="X868" s="242"/>
      <c r="Y868" s="242"/>
      <c r="Z868" s="242"/>
    </row>
    <row r="869">
      <c r="A869" s="242"/>
      <c r="B869" s="242"/>
      <c r="C869" s="242"/>
      <c r="D869" s="242"/>
      <c r="E869" s="242"/>
      <c r="F869" s="242"/>
      <c r="G869" s="242"/>
      <c r="H869" s="242"/>
      <c r="I869" s="242"/>
      <c r="J869" s="242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2"/>
      <c r="V869" s="242"/>
      <c r="W869" s="242"/>
      <c r="X869" s="242"/>
      <c r="Y869" s="242"/>
      <c r="Z869" s="242"/>
    </row>
    <row r="870">
      <c r="A870" s="242"/>
      <c r="B870" s="242"/>
      <c r="C870" s="242"/>
      <c r="D870" s="242"/>
      <c r="E870" s="242"/>
      <c r="F870" s="242"/>
      <c r="G870" s="242"/>
      <c r="H870" s="242"/>
      <c r="I870" s="242"/>
      <c r="J870" s="242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2"/>
      <c r="V870" s="242"/>
      <c r="W870" s="242"/>
      <c r="X870" s="242"/>
      <c r="Y870" s="242"/>
      <c r="Z870" s="242"/>
    </row>
    <row r="871">
      <c r="A871" s="242"/>
      <c r="B871" s="242"/>
      <c r="C871" s="242"/>
      <c r="D871" s="242"/>
      <c r="E871" s="242"/>
      <c r="F871" s="242"/>
      <c r="G871" s="242"/>
      <c r="H871" s="242"/>
      <c r="I871" s="242"/>
      <c r="J871" s="242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2"/>
      <c r="V871" s="242"/>
      <c r="W871" s="242"/>
      <c r="X871" s="242"/>
      <c r="Y871" s="242"/>
      <c r="Z871" s="242"/>
    </row>
    <row r="872">
      <c r="A872" s="242"/>
      <c r="B872" s="242"/>
      <c r="C872" s="242"/>
      <c r="D872" s="242"/>
      <c r="E872" s="242"/>
      <c r="F872" s="242"/>
      <c r="G872" s="242"/>
      <c r="H872" s="242"/>
      <c r="I872" s="242"/>
      <c r="J872" s="242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2"/>
      <c r="V872" s="242"/>
      <c r="W872" s="242"/>
      <c r="X872" s="242"/>
      <c r="Y872" s="242"/>
      <c r="Z872" s="242"/>
    </row>
    <row r="873">
      <c r="A873" s="242"/>
      <c r="B873" s="242"/>
      <c r="C873" s="242"/>
      <c r="D873" s="242"/>
      <c r="E873" s="242"/>
      <c r="F873" s="242"/>
      <c r="G873" s="242"/>
      <c r="H873" s="242"/>
      <c r="I873" s="242"/>
      <c r="J873" s="242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2"/>
      <c r="V873" s="242"/>
      <c r="W873" s="242"/>
      <c r="X873" s="242"/>
      <c r="Y873" s="242"/>
      <c r="Z873" s="242"/>
    </row>
    <row r="874">
      <c r="A874" s="242"/>
      <c r="B874" s="242"/>
      <c r="C874" s="242"/>
      <c r="D874" s="242"/>
      <c r="E874" s="242"/>
      <c r="F874" s="242"/>
      <c r="G874" s="242"/>
      <c r="H874" s="242"/>
      <c r="I874" s="242"/>
      <c r="J874" s="242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2"/>
      <c r="V874" s="242"/>
      <c r="W874" s="242"/>
      <c r="X874" s="242"/>
      <c r="Y874" s="242"/>
      <c r="Z874" s="242"/>
    </row>
    <row r="875">
      <c r="A875" s="242"/>
      <c r="B875" s="242"/>
      <c r="C875" s="242"/>
      <c r="D875" s="242"/>
      <c r="E875" s="242"/>
      <c r="F875" s="242"/>
      <c r="G875" s="242"/>
      <c r="H875" s="242"/>
      <c r="I875" s="242"/>
      <c r="J875" s="242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2"/>
      <c r="V875" s="242"/>
      <c r="W875" s="242"/>
      <c r="X875" s="242"/>
      <c r="Y875" s="242"/>
      <c r="Z875" s="242"/>
    </row>
    <row r="876">
      <c r="A876" s="242"/>
      <c r="B876" s="242"/>
      <c r="C876" s="242"/>
      <c r="D876" s="242"/>
      <c r="E876" s="242"/>
      <c r="F876" s="242"/>
      <c r="G876" s="242"/>
      <c r="H876" s="242"/>
      <c r="I876" s="242"/>
      <c r="J876" s="242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2"/>
      <c r="V876" s="242"/>
      <c r="W876" s="242"/>
      <c r="X876" s="242"/>
      <c r="Y876" s="242"/>
      <c r="Z876" s="242"/>
    </row>
    <row r="877">
      <c r="A877" s="242"/>
      <c r="B877" s="242"/>
      <c r="C877" s="242"/>
      <c r="D877" s="242"/>
      <c r="E877" s="242"/>
      <c r="F877" s="242"/>
      <c r="G877" s="242"/>
      <c r="H877" s="242"/>
      <c r="I877" s="242"/>
      <c r="J877" s="242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2"/>
      <c r="V877" s="242"/>
      <c r="W877" s="242"/>
      <c r="X877" s="242"/>
      <c r="Y877" s="242"/>
      <c r="Z877" s="242"/>
    </row>
    <row r="878">
      <c r="A878" s="242"/>
      <c r="B878" s="242"/>
      <c r="C878" s="242"/>
      <c r="D878" s="242"/>
      <c r="E878" s="242"/>
      <c r="F878" s="242"/>
      <c r="G878" s="242"/>
      <c r="H878" s="242"/>
      <c r="I878" s="242"/>
      <c r="J878" s="242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2"/>
      <c r="V878" s="242"/>
      <c r="W878" s="242"/>
      <c r="X878" s="242"/>
      <c r="Y878" s="242"/>
      <c r="Z878" s="242"/>
    </row>
    <row r="879">
      <c r="A879" s="242"/>
      <c r="B879" s="242"/>
      <c r="C879" s="242"/>
      <c r="D879" s="242"/>
      <c r="E879" s="242"/>
      <c r="F879" s="242"/>
      <c r="G879" s="242"/>
      <c r="H879" s="242"/>
      <c r="I879" s="242"/>
      <c r="J879" s="242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2"/>
      <c r="V879" s="242"/>
      <c r="W879" s="242"/>
      <c r="X879" s="242"/>
      <c r="Y879" s="242"/>
      <c r="Z879" s="242"/>
    </row>
    <row r="880">
      <c r="A880" s="242"/>
      <c r="B880" s="242"/>
      <c r="C880" s="242"/>
      <c r="D880" s="242"/>
      <c r="E880" s="242"/>
      <c r="F880" s="242"/>
      <c r="G880" s="242"/>
      <c r="H880" s="242"/>
      <c r="I880" s="242"/>
      <c r="J880" s="242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2"/>
      <c r="V880" s="242"/>
      <c r="W880" s="242"/>
      <c r="X880" s="242"/>
      <c r="Y880" s="242"/>
      <c r="Z880" s="242"/>
    </row>
    <row r="881">
      <c r="A881" s="242"/>
      <c r="B881" s="242"/>
      <c r="C881" s="242"/>
      <c r="D881" s="242"/>
      <c r="E881" s="242"/>
      <c r="F881" s="242"/>
      <c r="G881" s="242"/>
      <c r="H881" s="242"/>
      <c r="I881" s="242"/>
      <c r="J881" s="242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2"/>
      <c r="V881" s="242"/>
      <c r="W881" s="242"/>
      <c r="X881" s="242"/>
      <c r="Y881" s="242"/>
      <c r="Z881" s="242"/>
    </row>
    <row r="882">
      <c r="A882" s="242"/>
      <c r="B882" s="242"/>
      <c r="C882" s="242"/>
      <c r="D882" s="242"/>
      <c r="E882" s="242"/>
      <c r="F882" s="242"/>
      <c r="G882" s="242"/>
      <c r="H882" s="242"/>
      <c r="I882" s="242"/>
      <c r="J882" s="242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2"/>
      <c r="V882" s="242"/>
      <c r="W882" s="242"/>
      <c r="X882" s="242"/>
      <c r="Y882" s="242"/>
      <c r="Z882" s="242"/>
    </row>
    <row r="883">
      <c r="A883" s="242"/>
      <c r="B883" s="242"/>
      <c r="C883" s="242"/>
      <c r="D883" s="242"/>
      <c r="E883" s="242"/>
      <c r="F883" s="242"/>
      <c r="G883" s="242"/>
      <c r="H883" s="242"/>
      <c r="I883" s="242"/>
      <c r="J883" s="242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2"/>
      <c r="V883" s="242"/>
      <c r="W883" s="242"/>
      <c r="X883" s="242"/>
      <c r="Y883" s="242"/>
      <c r="Z883" s="242"/>
    </row>
    <row r="884">
      <c r="A884" s="242"/>
      <c r="B884" s="242"/>
      <c r="C884" s="242"/>
      <c r="D884" s="242"/>
      <c r="E884" s="242"/>
      <c r="F884" s="242"/>
      <c r="G884" s="242"/>
      <c r="H884" s="242"/>
      <c r="I884" s="242"/>
      <c r="J884" s="242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2"/>
      <c r="V884" s="242"/>
      <c r="W884" s="242"/>
      <c r="X884" s="242"/>
      <c r="Y884" s="242"/>
      <c r="Z884" s="242"/>
    </row>
    <row r="885">
      <c r="A885" s="242"/>
      <c r="B885" s="242"/>
      <c r="C885" s="242"/>
      <c r="D885" s="242"/>
      <c r="E885" s="242"/>
      <c r="F885" s="242"/>
      <c r="G885" s="242"/>
      <c r="H885" s="242"/>
      <c r="I885" s="242"/>
      <c r="J885" s="242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2"/>
      <c r="V885" s="242"/>
      <c r="W885" s="242"/>
      <c r="X885" s="242"/>
      <c r="Y885" s="242"/>
      <c r="Z885" s="242"/>
    </row>
    <row r="886">
      <c r="A886" s="242"/>
      <c r="B886" s="242"/>
      <c r="C886" s="242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2"/>
      <c r="V886" s="242"/>
      <c r="W886" s="242"/>
      <c r="X886" s="242"/>
      <c r="Y886" s="242"/>
      <c r="Z886" s="242"/>
    </row>
    <row r="887">
      <c r="A887" s="242"/>
      <c r="B887" s="242"/>
      <c r="C887" s="242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2"/>
      <c r="V887" s="242"/>
      <c r="W887" s="242"/>
      <c r="X887" s="242"/>
      <c r="Y887" s="242"/>
      <c r="Z887" s="242"/>
    </row>
    <row r="888">
      <c r="A888" s="242"/>
      <c r="B888" s="242"/>
      <c r="C888" s="242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2"/>
      <c r="V888" s="242"/>
      <c r="W888" s="242"/>
      <c r="X888" s="242"/>
      <c r="Y888" s="242"/>
      <c r="Z888" s="242"/>
    </row>
    <row r="889">
      <c r="A889" s="242"/>
      <c r="B889" s="242"/>
      <c r="C889" s="242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2"/>
      <c r="V889" s="242"/>
      <c r="W889" s="242"/>
      <c r="X889" s="242"/>
      <c r="Y889" s="242"/>
      <c r="Z889" s="242"/>
    </row>
    <row r="890">
      <c r="A890" s="242"/>
      <c r="B890" s="242"/>
      <c r="C890" s="242"/>
      <c r="D890" s="242"/>
      <c r="E890" s="242"/>
      <c r="F890" s="242"/>
      <c r="G890" s="242"/>
      <c r="H890" s="242"/>
      <c r="I890" s="242"/>
      <c r="J890" s="242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2"/>
      <c r="V890" s="242"/>
      <c r="W890" s="242"/>
      <c r="X890" s="242"/>
      <c r="Y890" s="242"/>
      <c r="Z890" s="242"/>
    </row>
    <row r="891">
      <c r="A891" s="242"/>
      <c r="B891" s="242"/>
      <c r="C891" s="242"/>
      <c r="D891" s="242"/>
      <c r="E891" s="242"/>
      <c r="F891" s="242"/>
      <c r="G891" s="242"/>
      <c r="H891" s="242"/>
      <c r="I891" s="242"/>
      <c r="J891" s="242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2"/>
      <c r="V891" s="242"/>
      <c r="W891" s="242"/>
      <c r="X891" s="242"/>
      <c r="Y891" s="242"/>
      <c r="Z891" s="242"/>
    </row>
    <row r="892">
      <c r="A892" s="242"/>
      <c r="B892" s="242"/>
      <c r="C892" s="242"/>
      <c r="D892" s="242"/>
      <c r="E892" s="242"/>
      <c r="F892" s="242"/>
      <c r="G892" s="242"/>
      <c r="H892" s="242"/>
      <c r="I892" s="242"/>
      <c r="J892" s="242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2"/>
      <c r="V892" s="242"/>
      <c r="W892" s="242"/>
      <c r="X892" s="242"/>
      <c r="Y892" s="242"/>
      <c r="Z892" s="242"/>
    </row>
    <row r="893">
      <c r="A893" s="242"/>
      <c r="B893" s="242"/>
      <c r="C893" s="242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2"/>
      <c r="V893" s="242"/>
      <c r="W893" s="242"/>
      <c r="X893" s="242"/>
      <c r="Y893" s="242"/>
      <c r="Z893" s="242"/>
    </row>
    <row r="894">
      <c r="A894" s="242"/>
      <c r="B894" s="242"/>
      <c r="C894" s="242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2"/>
      <c r="V894" s="242"/>
      <c r="W894" s="242"/>
      <c r="X894" s="242"/>
      <c r="Y894" s="242"/>
      <c r="Z894" s="242"/>
    </row>
    <row r="895">
      <c r="A895" s="242"/>
      <c r="B895" s="242"/>
      <c r="C895" s="242"/>
      <c r="D895" s="242"/>
      <c r="E895" s="242"/>
      <c r="F895" s="242"/>
      <c r="G895" s="242"/>
      <c r="H895" s="242"/>
      <c r="I895" s="242"/>
      <c r="J895" s="242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2"/>
      <c r="V895" s="242"/>
      <c r="W895" s="242"/>
      <c r="X895" s="242"/>
      <c r="Y895" s="242"/>
      <c r="Z895" s="242"/>
    </row>
    <row r="896">
      <c r="A896" s="242"/>
      <c r="B896" s="242"/>
      <c r="C896" s="242"/>
      <c r="D896" s="242"/>
      <c r="E896" s="242"/>
      <c r="F896" s="242"/>
      <c r="G896" s="242"/>
      <c r="H896" s="242"/>
      <c r="I896" s="242"/>
      <c r="J896" s="242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2"/>
      <c r="V896" s="242"/>
      <c r="W896" s="242"/>
      <c r="X896" s="242"/>
      <c r="Y896" s="242"/>
      <c r="Z896" s="242"/>
    </row>
    <row r="897">
      <c r="A897" s="242"/>
      <c r="B897" s="242"/>
      <c r="C897" s="242"/>
      <c r="D897" s="242"/>
      <c r="E897" s="242"/>
      <c r="F897" s="242"/>
      <c r="G897" s="242"/>
      <c r="H897" s="242"/>
      <c r="I897" s="242"/>
      <c r="J897" s="242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2"/>
      <c r="V897" s="242"/>
      <c r="W897" s="242"/>
      <c r="X897" s="242"/>
      <c r="Y897" s="242"/>
      <c r="Z897" s="242"/>
    </row>
    <row r="898">
      <c r="A898" s="242"/>
      <c r="B898" s="242"/>
      <c r="C898" s="242"/>
      <c r="D898" s="242"/>
      <c r="E898" s="242"/>
      <c r="F898" s="242"/>
      <c r="G898" s="242"/>
      <c r="H898" s="242"/>
      <c r="I898" s="242"/>
      <c r="J898" s="242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2"/>
      <c r="V898" s="242"/>
      <c r="W898" s="242"/>
      <c r="X898" s="242"/>
      <c r="Y898" s="242"/>
      <c r="Z898" s="242"/>
    </row>
    <row r="899">
      <c r="A899" s="242"/>
      <c r="B899" s="242"/>
      <c r="C899" s="242"/>
      <c r="D899" s="242"/>
      <c r="E899" s="242"/>
      <c r="F899" s="242"/>
      <c r="G899" s="242"/>
      <c r="H899" s="242"/>
      <c r="I899" s="242"/>
      <c r="J899" s="242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2"/>
      <c r="V899" s="242"/>
      <c r="W899" s="242"/>
      <c r="X899" s="242"/>
      <c r="Y899" s="242"/>
      <c r="Z899" s="242"/>
    </row>
    <row r="900">
      <c r="A900" s="242"/>
      <c r="B900" s="242"/>
      <c r="C900" s="242"/>
      <c r="D900" s="242"/>
      <c r="E900" s="242"/>
      <c r="F900" s="242"/>
      <c r="G900" s="242"/>
      <c r="H900" s="242"/>
      <c r="I900" s="242"/>
      <c r="J900" s="242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2"/>
      <c r="V900" s="242"/>
      <c r="W900" s="242"/>
      <c r="X900" s="242"/>
      <c r="Y900" s="242"/>
      <c r="Z900" s="242"/>
    </row>
    <row r="901">
      <c r="A901" s="242"/>
      <c r="B901" s="242"/>
      <c r="C901" s="242"/>
      <c r="D901" s="242"/>
      <c r="E901" s="242"/>
      <c r="F901" s="242"/>
      <c r="G901" s="242"/>
      <c r="H901" s="242"/>
      <c r="I901" s="242"/>
      <c r="J901" s="242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2"/>
      <c r="V901" s="242"/>
      <c r="W901" s="242"/>
      <c r="X901" s="242"/>
      <c r="Y901" s="242"/>
      <c r="Z901" s="242"/>
    </row>
    <row r="902">
      <c r="A902" s="242"/>
      <c r="B902" s="242"/>
      <c r="C902" s="242"/>
      <c r="D902" s="242"/>
      <c r="E902" s="242"/>
      <c r="F902" s="242"/>
      <c r="G902" s="242"/>
      <c r="H902" s="242"/>
      <c r="I902" s="242"/>
      <c r="J902" s="242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2"/>
      <c r="V902" s="242"/>
      <c r="W902" s="242"/>
      <c r="X902" s="242"/>
      <c r="Y902" s="242"/>
      <c r="Z902" s="242"/>
    </row>
    <row r="903">
      <c r="A903" s="242"/>
      <c r="B903" s="242"/>
      <c r="C903" s="242"/>
      <c r="D903" s="242"/>
      <c r="E903" s="242"/>
      <c r="F903" s="242"/>
      <c r="G903" s="242"/>
      <c r="H903" s="242"/>
      <c r="I903" s="242"/>
      <c r="J903" s="242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2"/>
      <c r="V903" s="242"/>
      <c r="W903" s="242"/>
      <c r="X903" s="242"/>
      <c r="Y903" s="242"/>
      <c r="Z903" s="242"/>
    </row>
    <row r="904">
      <c r="A904" s="242"/>
      <c r="B904" s="242"/>
      <c r="C904" s="242"/>
      <c r="D904" s="242"/>
      <c r="E904" s="242"/>
      <c r="F904" s="242"/>
      <c r="G904" s="242"/>
      <c r="H904" s="242"/>
      <c r="I904" s="242"/>
      <c r="J904" s="242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2"/>
      <c r="V904" s="242"/>
      <c r="W904" s="242"/>
      <c r="X904" s="242"/>
      <c r="Y904" s="242"/>
      <c r="Z904" s="242"/>
    </row>
    <row r="905">
      <c r="A905" s="242"/>
      <c r="B905" s="242"/>
      <c r="C905" s="242"/>
      <c r="D905" s="242"/>
      <c r="E905" s="242"/>
      <c r="F905" s="242"/>
      <c r="G905" s="242"/>
      <c r="H905" s="242"/>
      <c r="I905" s="242"/>
      <c r="J905" s="242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2"/>
      <c r="V905" s="242"/>
      <c r="W905" s="242"/>
      <c r="X905" s="242"/>
      <c r="Y905" s="242"/>
      <c r="Z905" s="242"/>
    </row>
    <row r="906">
      <c r="A906" s="242"/>
      <c r="B906" s="242"/>
      <c r="C906" s="242"/>
      <c r="D906" s="242"/>
      <c r="E906" s="242"/>
      <c r="F906" s="242"/>
      <c r="G906" s="242"/>
      <c r="H906" s="242"/>
      <c r="I906" s="242"/>
      <c r="J906" s="242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2"/>
      <c r="V906" s="242"/>
      <c r="W906" s="242"/>
      <c r="X906" s="242"/>
      <c r="Y906" s="242"/>
      <c r="Z906" s="242"/>
    </row>
    <row r="907">
      <c r="A907" s="242"/>
      <c r="B907" s="242"/>
      <c r="C907" s="242"/>
      <c r="D907" s="242"/>
      <c r="E907" s="242"/>
      <c r="F907" s="242"/>
      <c r="G907" s="242"/>
      <c r="H907" s="242"/>
      <c r="I907" s="242"/>
      <c r="J907" s="242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2"/>
      <c r="V907" s="242"/>
      <c r="W907" s="242"/>
      <c r="X907" s="242"/>
      <c r="Y907" s="242"/>
      <c r="Z907" s="242"/>
    </row>
    <row r="908">
      <c r="A908" s="242"/>
      <c r="B908" s="242"/>
      <c r="C908" s="242"/>
      <c r="D908" s="242"/>
      <c r="E908" s="242"/>
      <c r="F908" s="242"/>
      <c r="G908" s="242"/>
      <c r="H908" s="242"/>
      <c r="I908" s="242"/>
      <c r="J908" s="242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2"/>
      <c r="V908" s="242"/>
      <c r="W908" s="242"/>
      <c r="X908" s="242"/>
      <c r="Y908" s="242"/>
      <c r="Z908" s="242"/>
    </row>
    <row r="909">
      <c r="A909" s="242"/>
      <c r="B909" s="242"/>
      <c r="C909" s="242"/>
      <c r="D909" s="242"/>
      <c r="E909" s="242"/>
      <c r="F909" s="242"/>
      <c r="G909" s="242"/>
      <c r="H909" s="242"/>
      <c r="I909" s="242"/>
      <c r="J909" s="242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2"/>
      <c r="V909" s="242"/>
      <c r="W909" s="242"/>
      <c r="X909" s="242"/>
      <c r="Y909" s="242"/>
      <c r="Z909" s="242"/>
    </row>
    <row r="910">
      <c r="A910" s="242"/>
      <c r="B910" s="242"/>
      <c r="C910" s="242"/>
      <c r="D910" s="242"/>
      <c r="E910" s="242"/>
      <c r="F910" s="242"/>
      <c r="G910" s="242"/>
      <c r="H910" s="242"/>
      <c r="I910" s="242"/>
      <c r="J910" s="242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2"/>
      <c r="V910" s="242"/>
      <c r="W910" s="242"/>
      <c r="X910" s="242"/>
      <c r="Y910" s="242"/>
      <c r="Z910" s="242"/>
    </row>
    <row r="911">
      <c r="A911" s="242"/>
      <c r="B911" s="242"/>
      <c r="C911" s="242"/>
      <c r="D911" s="242"/>
      <c r="E911" s="242"/>
      <c r="F911" s="242"/>
      <c r="G911" s="242"/>
      <c r="H911" s="242"/>
      <c r="I911" s="242"/>
      <c r="J911" s="242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2"/>
      <c r="V911" s="242"/>
      <c r="W911" s="242"/>
      <c r="X911" s="242"/>
      <c r="Y911" s="242"/>
      <c r="Z911" s="242"/>
    </row>
    <row r="912">
      <c r="A912" s="242"/>
      <c r="B912" s="242"/>
      <c r="C912" s="242"/>
      <c r="D912" s="242"/>
      <c r="E912" s="242"/>
      <c r="F912" s="242"/>
      <c r="G912" s="242"/>
      <c r="H912" s="242"/>
      <c r="I912" s="242"/>
      <c r="J912" s="242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2"/>
      <c r="V912" s="242"/>
      <c r="W912" s="242"/>
      <c r="X912" s="242"/>
      <c r="Y912" s="242"/>
      <c r="Z912" s="242"/>
    </row>
    <row r="913">
      <c r="A913" s="242"/>
      <c r="B913" s="242"/>
      <c r="C913" s="242"/>
      <c r="D913" s="242"/>
      <c r="E913" s="242"/>
      <c r="F913" s="242"/>
      <c r="G913" s="242"/>
      <c r="H913" s="242"/>
      <c r="I913" s="242"/>
      <c r="J913" s="242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2"/>
      <c r="V913" s="242"/>
      <c r="W913" s="242"/>
      <c r="X913" s="242"/>
      <c r="Y913" s="242"/>
      <c r="Z913" s="242"/>
    </row>
    <row r="914">
      <c r="A914" s="242"/>
      <c r="B914" s="242"/>
      <c r="C914" s="242"/>
      <c r="D914" s="242"/>
      <c r="E914" s="242"/>
      <c r="F914" s="242"/>
      <c r="G914" s="242"/>
      <c r="H914" s="242"/>
      <c r="I914" s="242"/>
      <c r="J914" s="242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2"/>
      <c r="V914" s="242"/>
      <c r="W914" s="242"/>
      <c r="X914" s="242"/>
      <c r="Y914" s="242"/>
      <c r="Z914" s="242"/>
    </row>
    <row r="915">
      <c r="A915" s="242"/>
      <c r="B915" s="242"/>
      <c r="C915" s="242"/>
      <c r="D915" s="242"/>
      <c r="E915" s="242"/>
      <c r="F915" s="242"/>
      <c r="G915" s="242"/>
      <c r="H915" s="242"/>
      <c r="I915" s="242"/>
      <c r="J915" s="242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2"/>
      <c r="V915" s="242"/>
      <c r="W915" s="242"/>
      <c r="X915" s="242"/>
      <c r="Y915" s="242"/>
      <c r="Z915" s="242"/>
    </row>
    <row r="916">
      <c r="A916" s="242"/>
      <c r="B916" s="242"/>
      <c r="C916" s="242"/>
      <c r="D916" s="242"/>
      <c r="E916" s="242"/>
      <c r="F916" s="242"/>
      <c r="G916" s="242"/>
      <c r="H916" s="242"/>
      <c r="I916" s="242"/>
      <c r="J916" s="242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2"/>
      <c r="V916" s="242"/>
      <c r="W916" s="242"/>
      <c r="X916" s="242"/>
      <c r="Y916" s="242"/>
      <c r="Z916" s="242"/>
    </row>
    <row r="917">
      <c r="A917" s="242"/>
      <c r="B917" s="242"/>
      <c r="C917" s="242"/>
      <c r="D917" s="242"/>
      <c r="E917" s="242"/>
      <c r="F917" s="242"/>
      <c r="G917" s="242"/>
      <c r="H917" s="242"/>
      <c r="I917" s="242"/>
      <c r="J917" s="242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2"/>
      <c r="V917" s="242"/>
      <c r="W917" s="242"/>
      <c r="X917" s="242"/>
      <c r="Y917" s="242"/>
      <c r="Z917" s="242"/>
    </row>
    <row r="918">
      <c r="A918" s="242"/>
      <c r="B918" s="242"/>
      <c r="C918" s="242"/>
      <c r="D918" s="242"/>
      <c r="E918" s="242"/>
      <c r="F918" s="242"/>
      <c r="G918" s="242"/>
      <c r="H918" s="242"/>
      <c r="I918" s="242"/>
      <c r="J918" s="242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2"/>
      <c r="V918" s="242"/>
      <c r="W918" s="242"/>
      <c r="X918" s="242"/>
      <c r="Y918" s="242"/>
      <c r="Z918" s="242"/>
    </row>
    <row r="919">
      <c r="A919" s="242"/>
      <c r="B919" s="242"/>
      <c r="C919" s="242"/>
      <c r="D919" s="242"/>
      <c r="E919" s="242"/>
      <c r="F919" s="242"/>
      <c r="G919" s="242"/>
      <c r="H919" s="242"/>
      <c r="I919" s="242"/>
      <c r="J919" s="242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2"/>
      <c r="V919" s="242"/>
      <c r="W919" s="242"/>
      <c r="X919" s="242"/>
      <c r="Y919" s="242"/>
      <c r="Z919" s="242"/>
    </row>
    <row r="920">
      <c r="A920" s="242"/>
      <c r="B920" s="242"/>
      <c r="C920" s="242"/>
      <c r="D920" s="242"/>
      <c r="E920" s="242"/>
      <c r="F920" s="242"/>
      <c r="G920" s="242"/>
      <c r="H920" s="242"/>
      <c r="I920" s="242"/>
      <c r="J920" s="242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2"/>
      <c r="V920" s="242"/>
      <c r="W920" s="242"/>
      <c r="X920" s="242"/>
      <c r="Y920" s="242"/>
      <c r="Z920" s="242"/>
    </row>
    <row r="921">
      <c r="A921" s="242"/>
      <c r="B921" s="242"/>
      <c r="C921" s="242"/>
      <c r="D921" s="242"/>
      <c r="E921" s="242"/>
      <c r="F921" s="242"/>
      <c r="G921" s="242"/>
      <c r="H921" s="242"/>
      <c r="I921" s="242"/>
      <c r="J921" s="242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2"/>
      <c r="V921" s="242"/>
      <c r="W921" s="242"/>
      <c r="X921" s="242"/>
      <c r="Y921" s="242"/>
      <c r="Z921" s="242"/>
    </row>
    <row r="922">
      <c r="A922" s="242"/>
      <c r="B922" s="242"/>
      <c r="C922" s="242"/>
      <c r="D922" s="242"/>
      <c r="E922" s="242"/>
      <c r="F922" s="242"/>
      <c r="G922" s="242"/>
      <c r="H922" s="242"/>
      <c r="I922" s="242"/>
      <c r="J922" s="242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2"/>
      <c r="V922" s="242"/>
      <c r="W922" s="242"/>
      <c r="X922" s="242"/>
      <c r="Y922" s="242"/>
      <c r="Z922" s="242"/>
    </row>
    <row r="923">
      <c r="A923" s="242"/>
      <c r="B923" s="242"/>
      <c r="C923" s="242"/>
      <c r="D923" s="242"/>
      <c r="E923" s="242"/>
      <c r="F923" s="242"/>
      <c r="G923" s="242"/>
      <c r="H923" s="242"/>
      <c r="I923" s="242"/>
      <c r="J923" s="242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2"/>
      <c r="V923" s="242"/>
      <c r="W923" s="242"/>
      <c r="X923" s="242"/>
      <c r="Y923" s="242"/>
      <c r="Z923" s="242"/>
    </row>
    <row r="924">
      <c r="A924" s="242"/>
      <c r="B924" s="242"/>
      <c r="C924" s="242"/>
      <c r="D924" s="242"/>
      <c r="E924" s="242"/>
      <c r="F924" s="242"/>
      <c r="G924" s="242"/>
      <c r="H924" s="242"/>
      <c r="I924" s="242"/>
      <c r="J924" s="242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2"/>
      <c r="V924" s="242"/>
      <c r="W924" s="242"/>
      <c r="X924" s="242"/>
      <c r="Y924" s="242"/>
      <c r="Z924" s="242"/>
    </row>
    <row r="925">
      <c r="A925" s="242"/>
      <c r="B925" s="242"/>
      <c r="C925" s="242"/>
      <c r="D925" s="242"/>
      <c r="E925" s="242"/>
      <c r="F925" s="242"/>
      <c r="G925" s="242"/>
      <c r="H925" s="242"/>
      <c r="I925" s="242"/>
      <c r="J925" s="242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2"/>
      <c r="V925" s="242"/>
      <c r="W925" s="242"/>
      <c r="X925" s="242"/>
      <c r="Y925" s="242"/>
      <c r="Z925" s="242"/>
    </row>
    <row r="926">
      <c r="A926" s="242"/>
      <c r="B926" s="242"/>
      <c r="C926" s="242"/>
      <c r="D926" s="242"/>
      <c r="E926" s="242"/>
      <c r="F926" s="242"/>
      <c r="G926" s="242"/>
      <c r="H926" s="242"/>
      <c r="I926" s="242"/>
      <c r="J926" s="242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2"/>
      <c r="V926" s="242"/>
      <c r="W926" s="242"/>
      <c r="X926" s="242"/>
      <c r="Y926" s="242"/>
      <c r="Z926" s="242"/>
    </row>
    <row r="927">
      <c r="A927" s="242"/>
      <c r="B927" s="242"/>
      <c r="C927" s="242"/>
      <c r="D927" s="242"/>
      <c r="E927" s="242"/>
      <c r="F927" s="242"/>
      <c r="G927" s="242"/>
      <c r="H927" s="242"/>
      <c r="I927" s="242"/>
      <c r="J927" s="242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2"/>
      <c r="V927" s="242"/>
      <c r="W927" s="242"/>
      <c r="X927" s="242"/>
      <c r="Y927" s="242"/>
      <c r="Z927" s="242"/>
    </row>
    <row r="928">
      <c r="A928" s="242"/>
      <c r="B928" s="242"/>
      <c r="C928" s="242"/>
      <c r="D928" s="242"/>
      <c r="E928" s="242"/>
      <c r="F928" s="242"/>
      <c r="G928" s="242"/>
      <c r="H928" s="242"/>
      <c r="I928" s="242"/>
      <c r="J928" s="242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2"/>
      <c r="V928" s="242"/>
      <c r="W928" s="242"/>
      <c r="X928" s="242"/>
      <c r="Y928" s="242"/>
      <c r="Z928" s="242"/>
    </row>
    <row r="929">
      <c r="A929" s="242"/>
      <c r="B929" s="242"/>
      <c r="C929" s="242"/>
      <c r="D929" s="242"/>
      <c r="E929" s="242"/>
      <c r="F929" s="242"/>
      <c r="G929" s="242"/>
      <c r="H929" s="242"/>
      <c r="I929" s="242"/>
      <c r="J929" s="242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2"/>
      <c r="V929" s="242"/>
      <c r="W929" s="242"/>
      <c r="X929" s="242"/>
      <c r="Y929" s="242"/>
      <c r="Z929" s="242"/>
    </row>
    <row r="930">
      <c r="A930" s="242"/>
      <c r="B930" s="242"/>
      <c r="C930" s="242"/>
      <c r="D930" s="242"/>
      <c r="E930" s="242"/>
      <c r="F930" s="242"/>
      <c r="G930" s="242"/>
      <c r="H930" s="242"/>
      <c r="I930" s="242"/>
      <c r="J930" s="242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2"/>
      <c r="V930" s="242"/>
      <c r="W930" s="242"/>
      <c r="X930" s="242"/>
      <c r="Y930" s="242"/>
      <c r="Z930" s="242"/>
    </row>
    <row r="931">
      <c r="A931" s="242"/>
      <c r="B931" s="242"/>
      <c r="C931" s="242"/>
      <c r="D931" s="242"/>
      <c r="E931" s="242"/>
      <c r="F931" s="242"/>
      <c r="G931" s="242"/>
      <c r="H931" s="242"/>
      <c r="I931" s="242"/>
      <c r="J931" s="242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2"/>
      <c r="V931" s="242"/>
      <c r="W931" s="242"/>
      <c r="X931" s="242"/>
      <c r="Y931" s="242"/>
      <c r="Z931" s="242"/>
    </row>
    <row r="932">
      <c r="A932" s="242"/>
      <c r="B932" s="242"/>
      <c r="C932" s="242"/>
      <c r="D932" s="242"/>
      <c r="E932" s="242"/>
      <c r="F932" s="242"/>
      <c r="G932" s="242"/>
      <c r="H932" s="242"/>
      <c r="I932" s="242"/>
      <c r="J932" s="242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2"/>
      <c r="V932" s="242"/>
      <c r="W932" s="242"/>
      <c r="X932" s="242"/>
      <c r="Y932" s="242"/>
      <c r="Z932" s="242"/>
    </row>
    <row r="933">
      <c r="A933" s="242"/>
      <c r="B933" s="242"/>
      <c r="C933" s="242"/>
      <c r="D933" s="242"/>
      <c r="E933" s="242"/>
      <c r="F933" s="242"/>
      <c r="G933" s="242"/>
      <c r="H933" s="242"/>
      <c r="I933" s="242"/>
      <c r="J933" s="242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2"/>
      <c r="V933" s="242"/>
      <c r="W933" s="242"/>
      <c r="X933" s="242"/>
      <c r="Y933" s="242"/>
      <c r="Z933" s="242"/>
    </row>
    <row r="934">
      <c r="A934" s="242"/>
      <c r="B934" s="242"/>
      <c r="C934" s="242"/>
      <c r="D934" s="242"/>
      <c r="E934" s="242"/>
      <c r="F934" s="242"/>
      <c r="G934" s="242"/>
      <c r="H934" s="242"/>
      <c r="I934" s="242"/>
      <c r="J934" s="242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2"/>
      <c r="V934" s="242"/>
      <c r="W934" s="242"/>
      <c r="X934" s="242"/>
      <c r="Y934" s="242"/>
      <c r="Z934" s="242"/>
    </row>
    <row r="935">
      <c r="A935" s="242"/>
      <c r="B935" s="242"/>
      <c r="C935" s="242"/>
      <c r="D935" s="242"/>
      <c r="E935" s="242"/>
      <c r="F935" s="242"/>
      <c r="G935" s="242"/>
      <c r="H935" s="242"/>
      <c r="I935" s="242"/>
      <c r="J935" s="242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2"/>
      <c r="V935" s="242"/>
      <c r="W935" s="242"/>
      <c r="X935" s="242"/>
      <c r="Y935" s="242"/>
      <c r="Z935" s="242"/>
    </row>
    <row r="936">
      <c r="A936" s="242"/>
      <c r="B936" s="242"/>
      <c r="C936" s="242"/>
      <c r="D936" s="242"/>
      <c r="E936" s="242"/>
      <c r="F936" s="242"/>
      <c r="G936" s="242"/>
      <c r="H936" s="242"/>
      <c r="I936" s="242"/>
      <c r="J936" s="242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2"/>
      <c r="V936" s="242"/>
      <c r="W936" s="242"/>
      <c r="X936" s="242"/>
      <c r="Y936" s="242"/>
      <c r="Z936" s="242"/>
    </row>
    <row r="937">
      <c r="A937" s="242"/>
      <c r="B937" s="242"/>
      <c r="C937" s="242"/>
      <c r="D937" s="242"/>
      <c r="E937" s="242"/>
      <c r="F937" s="242"/>
      <c r="G937" s="242"/>
      <c r="H937" s="242"/>
      <c r="I937" s="242"/>
      <c r="J937" s="242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2"/>
      <c r="V937" s="242"/>
      <c r="W937" s="242"/>
      <c r="X937" s="242"/>
      <c r="Y937" s="242"/>
      <c r="Z937" s="242"/>
    </row>
    <row r="938">
      <c r="A938" s="242"/>
      <c r="B938" s="242"/>
      <c r="C938" s="242"/>
      <c r="D938" s="242"/>
      <c r="E938" s="242"/>
      <c r="F938" s="242"/>
      <c r="G938" s="242"/>
      <c r="H938" s="242"/>
      <c r="I938" s="242"/>
      <c r="J938" s="242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2"/>
      <c r="V938" s="242"/>
      <c r="W938" s="242"/>
      <c r="X938" s="242"/>
      <c r="Y938" s="242"/>
      <c r="Z938" s="242"/>
    </row>
    <row r="939">
      <c r="A939" s="242"/>
      <c r="B939" s="242"/>
      <c r="C939" s="242"/>
      <c r="D939" s="242"/>
      <c r="E939" s="242"/>
      <c r="F939" s="242"/>
      <c r="G939" s="242"/>
      <c r="H939" s="242"/>
      <c r="I939" s="242"/>
      <c r="J939" s="242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2"/>
      <c r="V939" s="242"/>
      <c r="W939" s="242"/>
      <c r="X939" s="242"/>
      <c r="Y939" s="242"/>
      <c r="Z939" s="242"/>
    </row>
    <row r="940">
      <c r="A940" s="242"/>
      <c r="B940" s="242"/>
      <c r="C940" s="242"/>
      <c r="D940" s="242"/>
      <c r="E940" s="242"/>
      <c r="F940" s="242"/>
      <c r="G940" s="242"/>
      <c r="H940" s="242"/>
      <c r="I940" s="242"/>
      <c r="J940" s="242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2"/>
      <c r="V940" s="242"/>
      <c r="W940" s="242"/>
      <c r="X940" s="242"/>
      <c r="Y940" s="242"/>
      <c r="Z940" s="242"/>
    </row>
    <row r="941">
      <c r="A941" s="242"/>
      <c r="B941" s="242"/>
      <c r="C941" s="242"/>
      <c r="D941" s="242"/>
      <c r="E941" s="242"/>
      <c r="F941" s="242"/>
      <c r="G941" s="242"/>
      <c r="H941" s="242"/>
      <c r="I941" s="242"/>
      <c r="J941" s="242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2"/>
      <c r="V941" s="242"/>
      <c r="W941" s="242"/>
      <c r="X941" s="242"/>
      <c r="Y941" s="242"/>
      <c r="Z941" s="242"/>
    </row>
    <row r="942">
      <c r="A942" s="242"/>
      <c r="B942" s="242"/>
      <c r="C942" s="242"/>
      <c r="D942" s="242"/>
      <c r="E942" s="242"/>
      <c r="F942" s="242"/>
      <c r="G942" s="242"/>
      <c r="H942" s="242"/>
      <c r="I942" s="242"/>
      <c r="J942" s="242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2"/>
      <c r="V942" s="242"/>
      <c r="W942" s="242"/>
      <c r="X942" s="242"/>
      <c r="Y942" s="242"/>
      <c r="Z942" s="242"/>
    </row>
    <row r="943">
      <c r="A943" s="242"/>
      <c r="B943" s="242"/>
      <c r="C943" s="242"/>
      <c r="D943" s="242"/>
      <c r="E943" s="242"/>
      <c r="F943" s="242"/>
      <c r="G943" s="242"/>
      <c r="H943" s="242"/>
      <c r="I943" s="242"/>
      <c r="J943" s="242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2"/>
      <c r="V943" s="242"/>
      <c r="W943" s="242"/>
      <c r="X943" s="242"/>
      <c r="Y943" s="242"/>
      <c r="Z943" s="242"/>
    </row>
    <row r="944">
      <c r="A944" s="242"/>
      <c r="B944" s="242"/>
      <c r="C944" s="242"/>
      <c r="D944" s="242"/>
      <c r="E944" s="242"/>
      <c r="F944" s="242"/>
      <c r="G944" s="242"/>
      <c r="H944" s="242"/>
      <c r="I944" s="242"/>
      <c r="J944" s="242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2"/>
      <c r="V944" s="242"/>
      <c r="W944" s="242"/>
      <c r="X944" s="242"/>
      <c r="Y944" s="242"/>
      <c r="Z944" s="242"/>
    </row>
    <row r="945">
      <c r="A945" s="242"/>
      <c r="B945" s="242"/>
      <c r="C945" s="242"/>
      <c r="D945" s="242"/>
      <c r="E945" s="242"/>
      <c r="F945" s="242"/>
      <c r="G945" s="242"/>
      <c r="H945" s="242"/>
      <c r="I945" s="242"/>
      <c r="J945" s="242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2"/>
      <c r="V945" s="242"/>
      <c r="W945" s="242"/>
      <c r="X945" s="242"/>
      <c r="Y945" s="242"/>
      <c r="Z945" s="242"/>
    </row>
    <row r="946">
      <c r="A946" s="242"/>
      <c r="B946" s="242"/>
      <c r="C946" s="242"/>
      <c r="D946" s="242"/>
      <c r="E946" s="242"/>
      <c r="F946" s="242"/>
      <c r="G946" s="242"/>
      <c r="H946" s="242"/>
      <c r="I946" s="242"/>
      <c r="J946" s="242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2"/>
      <c r="V946" s="242"/>
      <c r="W946" s="242"/>
      <c r="X946" s="242"/>
      <c r="Y946" s="242"/>
      <c r="Z946" s="242"/>
    </row>
    <row r="947">
      <c r="A947" s="242"/>
      <c r="B947" s="242"/>
      <c r="C947" s="242"/>
      <c r="D947" s="242"/>
      <c r="E947" s="242"/>
      <c r="F947" s="242"/>
      <c r="G947" s="242"/>
      <c r="H947" s="242"/>
      <c r="I947" s="242"/>
      <c r="J947" s="242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2"/>
      <c r="V947" s="242"/>
      <c r="W947" s="242"/>
      <c r="X947" s="242"/>
      <c r="Y947" s="242"/>
      <c r="Z947" s="242"/>
    </row>
    <row r="948">
      <c r="A948" s="242"/>
      <c r="B948" s="242"/>
      <c r="C948" s="242"/>
      <c r="D948" s="242"/>
      <c r="E948" s="242"/>
      <c r="F948" s="242"/>
      <c r="G948" s="242"/>
      <c r="H948" s="242"/>
      <c r="I948" s="242"/>
      <c r="J948" s="242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2"/>
      <c r="V948" s="242"/>
      <c r="W948" s="242"/>
      <c r="X948" s="242"/>
      <c r="Y948" s="242"/>
      <c r="Z948" s="242"/>
    </row>
    <row r="949">
      <c r="A949" s="242"/>
      <c r="B949" s="242"/>
      <c r="C949" s="242"/>
      <c r="D949" s="242"/>
      <c r="E949" s="242"/>
      <c r="F949" s="242"/>
      <c r="G949" s="242"/>
      <c r="H949" s="242"/>
      <c r="I949" s="242"/>
      <c r="J949" s="242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2"/>
      <c r="V949" s="242"/>
      <c r="W949" s="242"/>
      <c r="X949" s="242"/>
      <c r="Y949" s="242"/>
      <c r="Z949" s="242"/>
    </row>
    <row r="950">
      <c r="A950" s="242"/>
      <c r="B950" s="242"/>
      <c r="C950" s="242"/>
      <c r="D950" s="242"/>
      <c r="E950" s="242"/>
      <c r="F950" s="242"/>
      <c r="G950" s="242"/>
      <c r="H950" s="242"/>
      <c r="I950" s="242"/>
      <c r="J950" s="242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2"/>
      <c r="V950" s="242"/>
      <c r="W950" s="242"/>
      <c r="X950" s="242"/>
      <c r="Y950" s="242"/>
      <c r="Z950" s="242"/>
    </row>
    <row r="951">
      <c r="A951" s="242"/>
      <c r="B951" s="242"/>
      <c r="C951" s="242"/>
      <c r="D951" s="242"/>
      <c r="E951" s="242"/>
      <c r="F951" s="242"/>
      <c r="G951" s="242"/>
      <c r="H951" s="242"/>
      <c r="I951" s="242"/>
      <c r="J951" s="242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2"/>
      <c r="V951" s="242"/>
      <c r="W951" s="242"/>
      <c r="X951" s="242"/>
      <c r="Y951" s="242"/>
      <c r="Z951" s="242"/>
    </row>
    <row r="952">
      <c r="A952" s="242"/>
      <c r="B952" s="242"/>
      <c r="C952" s="242"/>
      <c r="D952" s="242"/>
      <c r="E952" s="242"/>
      <c r="F952" s="242"/>
      <c r="G952" s="242"/>
      <c r="H952" s="242"/>
      <c r="I952" s="242"/>
      <c r="J952" s="242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2"/>
      <c r="V952" s="242"/>
      <c r="W952" s="242"/>
      <c r="X952" s="242"/>
      <c r="Y952" s="242"/>
      <c r="Z952" s="242"/>
    </row>
    <row r="953">
      <c r="A953" s="242"/>
      <c r="B953" s="242"/>
      <c r="C953" s="242"/>
      <c r="D953" s="242"/>
      <c r="E953" s="242"/>
      <c r="F953" s="242"/>
      <c r="G953" s="242"/>
      <c r="H953" s="242"/>
      <c r="I953" s="242"/>
      <c r="J953" s="242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2"/>
      <c r="V953" s="242"/>
      <c r="W953" s="242"/>
      <c r="X953" s="242"/>
      <c r="Y953" s="242"/>
      <c r="Z953" s="242"/>
    </row>
    <row r="954">
      <c r="A954" s="242"/>
      <c r="B954" s="242"/>
      <c r="C954" s="242"/>
      <c r="D954" s="242"/>
      <c r="E954" s="242"/>
      <c r="F954" s="242"/>
      <c r="G954" s="242"/>
      <c r="H954" s="242"/>
      <c r="I954" s="242"/>
      <c r="J954" s="242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2"/>
      <c r="V954" s="242"/>
      <c r="W954" s="242"/>
      <c r="X954" s="242"/>
      <c r="Y954" s="242"/>
      <c r="Z954" s="242"/>
    </row>
    <row r="955">
      <c r="A955" s="242"/>
      <c r="B955" s="242"/>
      <c r="C955" s="242"/>
      <c r="D955" s="242"/>
      <c r="E955" s="242"/>
      <c r="F955" s="242"/>
      <c r="G955" s="242"/>
      <c r="H955" s="242"/>
      <c r="I955" s="242"/>
      <c r="J955" s="242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2"/>
      <c r="V955" s="242"/>
      <c r="W955" s="242"/>
      <c r="X955" s="242"/>
      <c r="Y955" s="242"/>
      <c r="Z955" s="242"/>
    </row>
    <row r="956">
      <c r="A956" s="242"/>
      <c r="B956" s="242"/>
      <c r="C956" s="242"/>
      <c r="D956" s="242"/>
      <c r="E956" s="242"/>
      <c r="F956" s="242"/>
      <c r="G956" s="242"/>
      <c r="H956" s="242"/>
      <c r="I956" s="242"/>
      <c r="J956" s="242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2"/>
      <c r="V956" s="242"/>
      <c r="W956" s="242"/>
      <c r="X956" s="242"/>
      <c r="Y956" s="242"/>
      <c r="Z956" s="242"/>
    </row>
    <row r="957">
      <c r="A957" s="242"/>
      <c r="B957" s="242"/>
      <c r="C957" s="242"/>
      <c r="D957" s="242"/>
      <c r="E957" s="242"/>
      <c r="F957" s="242"/>
      <c r="G957" s="242"/>
      <c r="H957" s="242"/>
      <c r="I957" s="242"/>
      <c r="J957" s="242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2"/>
      <c r="V957" s="242"/>
      <c r="W957" s="242"/>
      <c r="X957" s="242"/>
      <c r="Y957" s="242"/>
      <c r="Z957" s="242"/>
    </row>
    <row r="958">
      <c r="A958" s="242"/>
      <c r="B958" s="242"/>
      <c r="C958" s="242"/>
      <c r="D958" s="242"/>
      <c r="E958" s="242"/>
      <c r="F958" s="242"/>
      <c r="G958" s="242"/>
      <c r="H958" s="242"/>
      <c r="I958" s="242"/>
      <c r="J958" s="242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2"/>
      <c r="V958" s="242"/>
      <c r="W958" s="242"/>
      <c r="X958" s="242"/>
      <c r="Y958" s="242"/>
      <c r="Z958" s="242"/>
    </row>
    <row r="959">
      <c r="A959" s="242"/>
      <c r="B959" s="242"/>
      <c r="C959" s="242"/>
      <c r="D959" s="242"/>
      <c r="E959" s="242"/>
      <c r="F959" s="242"/>
      <c r="G959" s="242"/>
      <c r="H959" s="242"/>
      <c r="I959" s="242"/>
      <c r="J959" s="242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2"/>
      <c r="V959" s="242"/>
      <c r="W959" s="242"/>
      <c r="X959" s="242"/>
      <c r="Y959" s="242"/>
      <c r="Z959" s="242"/>
    </row>
    <row r="960">
      <c r="A960" s="242"/>
      <c r="B960" s="242"/>
      <c r="C960" s="242"/>
      <c r="D960" s="242"/>
      <c r="E960" s="242"/>
      <c r="F960" s="242"/>
      <c r="G960" s="242"/>
      <c r="H960" s="242"/>
      <c r="I960" s="242"/>
      <c r="J960" s="242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2"/>
      <c r="V960" s="242"/>
      <c r="W960" s="242"/>
      <c r="X960" s="242"/>
      <c r="Y960" s="242"/>
      <c r="Z960" s="242"/>
    </row>
    <row r="961">
      <c r="A961" s="242"/>
      <c r="B961" s="242"/>
      <c r="C961" s="242"/>
      <c r="D961" s="242"/>
      <c r="E961" s="242"/>
      <c r="F961" s="242"/>
      <c r="G961" s="242"/>
      <c r="H961" s="242"/>
      <c r="I961" s="242"/>
      <c r="J961" s="242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2"/>
      <c r="V961" s="242"/>
      <c r="W961" s="242"/>
      <c r="X961" s="242"/>
      <c r="Y961" s="242"/>
      <c r="Z961" s="242"/>
    </row>
    <row r="962">
      <c r="A962" s="242"/>
      <c r="B962" s="242"/>
      <c r="C962" s="242"/>
      <c r="D962" s="242"/>
      <c r="E962" s="242"/>
      <c r="F962" s="242"/>
      <c r="G962" s="242"/>
      <c r="H962" s="242"/>
      <c r="I962" s="242"/>
      <c r="J962" s="242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2"/>
      <c r="V962" s="242"/>
      <c r="W962" s="242"/>
      <c r="X962" s="242"/>
      <c r="Y962" s="242"/>
      <c r="Z962" s="242"/>
    </row>
    <row r="963">
      <c r="A963" s="242"/>
      <c r="B963" s="242"/>
      <c r="C963" s="242"/>
      <c r="D963" s="242"/>
      <c r="E963" s="242"/>
      <c r="F963" s="242"/>
      <c r="G963" s="242"/>
      <c r="H963" s="242"/>
      <c r="I963" s="242"/>
      <c r="J963" s="242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2"/>
      <c r="V963" s="242"/>
      <c r="W963" s="242"/>
      <c r="X963" s="242"/>
      <c r="Y963" s="242"/>
      <c r="Z963" s="242"/>
    </row>
    <row r="964">
      <c r="A964" s="242"/>
      <c r="B964" s="242"/>
      <c r="C964" s="242"/>
      <c r="D964" s="242"/>
      <c r="E964" s="242"/>
      <c r="F964" s="242"/>
      <c r="G964" s="242"/>
      <c r="H964" s="242"/>
      <c r="I964" s="242"/>
      <c r="J964" s="242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2"/>
      <c r="V964" s="242"/>
      <c r="W964" s="242"/>
      <c r="X964" s="242"/>
      <c r="Y964" s="242"/>
      <c r="Z964" s="242"/>
    </row>
    <row r="965">
      <c r="A965" s="242"/>
      <c r="B965" s="242"/>
      <c r="C965" s="242"/>
      <c r="D965" s="242"/>
      <c r="E965" s="242"/>
      <c r="F965" s="242"/>
      <c r="G965" s="242"/>
      <c r="H965" s="242"/>
      <c r="I965" s="242"/>
      <c r="J965" s="242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2"/>
      <c r="V965" s="242"/>
      <c r="W965" s="242"/>
      <c r="X965" s="242"/>
      <c r="Y965" s="242"/>
      <c r="Z965" s="242"/>
    </row>
    <row r="966">
      <c r="A966" s="242"/>
      <c r="B966" s="242"/>
      <c r="C966" s="242"/>
      <c r="D966" s="242"/>
      <c r="E966" s="242"/>
      <c r="F966" s="242"/>
      <c r="G966" s="242"/>
      <c r="H966" s="242"/>
      <c r="I966" s="242"/>
      <c r="J966" s="242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2"/>
      <c r="V966" s="242"/>
      <c r="W966" s="242"/>
      <c r="X966" s="242"/>
      <c r="Y966" s="242"/>
      <c r="Z966" s="242"/>
    </row>
    <row r="967">
      <c r="A967" s="242"/>
      <c r="B967" s="242"/>
      <c r="C967" s="242"/>
      <c r="D967" s="242"/>
      <c r="E967" s="242"/>
      <c r="F967" s="242"/>
      <c r="G967" s="242"/>
      <c r="H967" s="242"/>
      <c r="I967" s="242"/>
      <c r="J967" s="242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2"/>
      <c r="V967" s="242"/>
      <c r="W967" s="242"/>
      <c r="X967" s="242"/>
      <c r="Y967" s="242"/>
      <c r="Z967" s="242"/>
    </row>
    <row r="968">
      <c r="A968" s="242"/>
      <c r="B968" s="242"/>
      <c r="C968" s="242"/>
      <c r="D968" s="242"/>
      <c r="E968" s="242"/>
      <c r="F968" s="242"/>
      <c r="G968" s="242"/>
      <c r="H968" s="242"/>
      <c r="I968" s="242"/>
      <c r="J968" s="242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2"/>
      <c r="V968" s="242"/>
      <c r="W968" s="242"/>
      <c r="X968" s="242"/>
      <c r="Y968" s="242"/>
      <c r="Z968" s="242"/>
    </row>
    <row r="969">
      <c r="A969" s="242"/>
      <c r="B969" s="242"/>
      <c r="C969" s="242"/>
      <c r="D969" s="242"/>
      <c r="E969" s="242"/>
      <c r="F969" s="242"/>
      <c r="G969" s="242"/>
      <c r="H969" s="242"/>
      <c r="I969" s="242"/>
      <c r="J969" s="242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2"/>
      <c r="V969" s="242"/>
      <c r="W969" s="242"/>
      <c r="X969" s="242"/>
      <c r="Y969" s="242"/>
      <c r="Z969" s="242"/>
    </row>
    <row r="970">
      <c r="A970" s="242"/>
      <c r="B970" s="242"/>
      <c r="C970" s="242"/>
      <c r="D970" s="242"/>
      <c r="E970" s="242"/>
      <c r="F970" s="242"/>
      <c r="G970" s="242"/>
      <c r="H970" s="242"/>
      <c r="I970" s="242"/>
      <c r="J970" s="242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2"/>
      <c r="V970" s="242"/>
      <c r="W970" s="242"/>
      <c r="X970" s="242"/>
      <c r="Y970" s="242"/>
      <c r="Z970" s="242"/>
    </row>
    <row r="971">
      <c r="A971" s="242"/>
      <c r="B971" s="242"/>
      <c r="C971" s="242"/>
      <c r="D971" s="242"/>
      <c r="E971" s="242"/>
      <c r="F971" s="242"/>
      <c r="G971" s="242"/>
      <c r="H971" s="242"/>
      <c r="I971" s="242"/>
      <c r="J971" s="242"/>
      <c r="K971" s="242"/>
      <c r="L971" s="242"/>
      <c r="M971" s="242"/>
      <c r="N971" s="242"/>
      <c r="O971" s="242"/>
      <c r="P971" s="242"/>
      <c r="Q971" s="242"/>
      <c r="R971" s="242"/>
      <c r="S971" s="242"/>
      <c r="T971" s="242"/>
      <c r="U971" s="242"/>
      <c r="V971" s="242"/>
      <c r="W971" s="242"/>
      <c r="X971" s="242"/>
      <c r="Y971" s="242"/>
      <c r="Z971" s="242"/>
    </row>
    <row r="972">
      <c r="A972" s="242"/>
      <c r="B972" s="242"/>
      <c r="C972" s="242"/>
      <c r="D972" s="242"/>
      <c r="E972" s="242"/>
      <c r="F972" s="242"/>
      <c r="G972" s="242"/>
      <c r="H972" s="242"/>
      <c r="I972" s="242"/>
      <c r="J972" s="242"/>
      <c r="K972" s="242"/>
      <c r="L972" s="242"/>
      <c r="M972" s="242"/>
      <c r="N972" s="242"/>
      <c r="O972" s="242"/>
      <c r="P972" s="242"/>
      <c r="Q972" s="242"/>
      <c r="R972" s="242"/>
      <c r="S972" s="242"/>
      <c r="T972" s="242"/>
      <c r="U972" s="242"/>
      <c r="V972" s="242"/>
      <c r="W972" s="242"/>
      <c r="X972" s="242"/>
      <c r="Y972" s="242"/>
      <c r="Z972" s="242"/>
    </row>
    <row r="973">
      <c r="A973" s="242"/>
      <c r="B973" s="242"/>
      <c r="C973" s="242"/>
      <c r="D973" s="242"/>
      <c r="E973" s="242"/>
      <c r="F973" s="242"/>
      <c r="G973" s="242"/>
      <c r="H973" s="242"/>
      <c r="I973" s="242"/>
      <c r="J973" s="242"/>
      <c r="K973" s="242"/>
      <c r="L973" s="242"/>
      <c r="M973" s="242"/>
      <c r="N973" s="242"/>
      <c r="O973" s="242"/>
      <c r="P973" s="242"/>
      <c r="Q973" s="242"/>
      <c r="R973" s="242"/>
      <c r="S973" s="242"/>
      <c r="T973" s="242"/>
      <c r="U973" s="242"/>
      <c r="V973" s="242"/>
      <c r="W973" s="242"/>
      <c r="X973" s="242"/>
      <c r="Y973" s="242"/>
      <c r="Z973" s="242"/>
    </row>
    <row r="974">
      <c r="A974" s="242"/>
      <c r="B974" s="242"/>
      <c r="C974" s="242"/>
      <c r="D974" s="242"/>
      <c r="E974" s="242"/>
      <c r="F974" s="242"/>
      <c r="G974" s="242"/>
      <c r="H974" s="242"/>
      <c r="I974" s="242"/>
      <c r="J974" s="242"/>
      <c r="K974" s="242"/>
      <c r="L974" s="242"/>
      <c r="M974" s="242"/>
      <c r="N974" s="242"/>
      <c r="O974" s="242"/>
      <c r="P974" s="242"/>
      <c r="Q974" s="242"/>
      <c r="R974" s="242"/>
      <c r="S974" s="242"/>
      <c r="T974" s="242"/>
      <c r="U974" s="242"/>
      <c r="V974" s="242"/>
      <c r="W974" s="242"/>
      <c r="X974" s="242"/>
      <c r="Y974" s="242"/>
      <c r="Z974" s="242"/>
    </row>
    <row r="975">
      <c r="A975" s="242"/>
      <c r="B975" s="242"/>
      <c r="C975" s="242"/>
      <c r="D975" s="242"/>
      <c r="E975" s="242"/>
      <c r="F975" s="242"/>
      <c r="G975" s="242"/>
      <c r="H975" s="242"/>
      <c r="I975" s="242"/>
      <c r="J975" s="242"/>
      <c r="K975" s="242"/>
      <c r="L975" s="242"/>
      <c r="M975" s="242"/>
      <c r="N975" s="242"/>
      <c r="O975" s="242"/>
      <c r="P975" s="242"/>
      <c r="Q975" s="242"/>
      <c r="R975" s="242"/>
      <c r="S975" s="242"/>
      <c r="T975" s="242"/>
      <c r="U975" s="242"/>
      <c r="V975" s="242"/>
      <c r="W975" s="242"/>
      <c r="X975" s="242"/>
      <c r="Y975" s="242"/>
      <c r="Z975" s="242"/>
    </row>
    <row r="976">
      <c r="A976" s="242"/>
      <c r="B976" s="242"/>
      <c r="C976" s="242"/>
      <c r="D976" s="242"/>
      <c r="E976" s="242"/>
      <c r="F976" s="242"/>
      <c r="G976" s="242"/>
      <c r="H976" s="242"/>
      <c r="I976" s="242"/>
      <c r="J976" s="242"/>
      <c r="K976" s="242"/>
      <c r="L976" s="242"/>
      <c r="M976" s="242"/>
      <c r="N976" s="242"/>
      <c r="O976" s="242"/>
      <c r="P976" s="242"/>
      <c r="Q976" s="242"/>
      <c r="R976" s="242"/>
      <c r="S976" s="242"/>
      <c r="T976" s="242"/>
      <c r="U976" s="242"/>
      <c r="V976" s="242"/>
      <c r="W976" s="242"/>
      <c r="X976" s="242"/>
      <c r="Y976" s="242"/>
      <c r="Z976" s="242"/>
    </row>
    <row r="977">
      <c r="A977" s="242"/>
      <c r="B977" s="242"/>
      <c r="C977" s="242"/>
      <c r="D977" s="242"/>
      <c r="E977" s="242"/>
      <c r="F977" s="242"/>
      <c r="G977" s="242"/>
      <c r="H977" s="242"/>
      <c r="I977" s="242"/>
      <c r="J977" s="242"/>
      <c r="K977" s="242"/>
      <c r="L977" s="242"/>
      <c r="M977" s="242"/>
      <c r="N977" s="242"/>
      <c r="O977" s="242"/>
      <c r="P977" s="242"/>
      <c r="Q977" s="242"/>
      <c r="R977" s="242"/>
      <c r="S977" s="242"/>
      <c r="T977" s="242"/>
      <c r="U977" s="242"/>
      <c r="V977" s="242"/>
      <c r="W977" s="242"/>
      <c r="X977" s="242"/>
      <c r="Y977" s="242"/>
      <c r="Z977" s="242"/>
    </row>
    <row r="978">
      <c r="A978" s="242"/>
      <c r="B978" s="242"/>
      <c r="C978" s="242"/>
      <c r="D978" s="242"/>
      <c r="E978" s="242"/>
      <c r="F978" s="242"/>
      <c r="G978" s="242"/>
      <c r="H978" s="242"/>
      <c r="I978" s="242"/>
      <c r="J978" s="242"/>
      <c r="K978" s="242"/>
      <c r="L978" s="242"/>
      <c r="M978" s="242"/>
      <c r="N978" s="242"/>
      <c r="O978" s="242"/>
      <c r="P978" s="242"/>
      <c r="Q978" s="242"/>
      <c r="R978" s="242"/>
      <c r="S978" s="242"/>
      <c r="T978" s="242"/>
      <c r="U978" s="242"/>
      <c r="V978" s="242"/>
      <c r="W978" s="242"/>
      <c r="X978" s="242"/>
      <c r="Y978" s="242"/>
      <c r="Z978" s="242"/>
    </row>
    <row r="979">
      <c r="A979" s="242"/>
      <c r="B979" s="242"/>
      <c r="C979" s="242"/>
      <c r="D979" s="242"/>
      <c r="E979" s="242"/>
      <c r="F979" s="242"/>
      <c r="G979" s="242"/>
      <c r="H979" s="242"/>
      <c r="I979" s="242"/>
      <c r="J979" s="242"/>
      <c r="K979" s="242"/>
      <c r="L979" s="242"/>
      <c r="M979" s="242"/>
      <c r="N979" s="242"/>
      <c r="O979" s="242"/>
      <c r="P979" s="242"/>
      <c r="Q979" s="242"/>
      <c r="R979" s="242"/>
      <c r="S979" s="242"/>
      <c r="T979" s="242"/>
      <c r="U979" s="242"/>
      <c r="V979" s="242"/>
      <c r="W979" s="242"/>
      <c r="X979" s="242"/>
      <c r="Y979" s="242"/>
      <c r="Z979" s="242"/>
    </row>
    <row r="980">
      <c r="A980" s="242"/>
      <c r="B980" s="242"/>
      <c r="C980" s="242"/>
      <c r="D980" s="242"/>
      <c r="E980" s="242"/>
      <c r="F980" s="242"/>
      <c r="G980" s="242"/>
      <c r="H980" s="242"/>
      <c r="I980" s="242"/>
      <c r="J980" s="242"/>
      <c r="K980" s="242"/>
      <c r="L980" s="242"/>
      <c r="M980" s="242"/>
      <c r="N980" s="242"/>
      <c r="O980" s="242"/>
      <c r="P980" s="242"/>
      <c r="Q980" s="242"/>
      <c r="R980" s="242"/>
      <c r="S980" s="242"/>
      <c r="T980" s="242"/>
      <c r="U980" s="242"/>
      <c r="V980" s="242"/>
      <c r="W980" s="242"/>
      <c r="X980" s="242"/>
      <c r="Y980" s="242"/>
      <c r="Z980" s="242"/>
    </row>
    <row r="981">
      <c r="A981" s="242"/>
      <c r="B981" s="242"/>
      <c r="C981" s="242"/>
      <c r="D981" s="242"/>
      <c r="E981" s="242"/>
      <c r="F981" s="242"/>
      <c r="G981" s="242"/>
      <c r="H981" s="242"/>
      <c r="I981" s="242"/>
      <c r="J981" s="242"/>
      <c r="K981" s="242"/>
      <c r="L981" s="242"/>
      <c r="M981" s="242"/>
      <c r="N981" s="242"/>
      <c r="O981" s="242"/>
      <c r="P981" s="242"/>
      <c r="Q981" s="242"/>
      <c r="R981" s="242"/>
      <c r="S981" s="242"/>
      <c r="T981" s="242"/>
      <c r="U981" s="242"/>
      <c r="V981" s="242"/>
      <c r="W981" s="242"/>
      <c r="X981" s="242"/>
      <c r="Y981" s="242"/>
      <c r="Z981" s="242"/>
    </row>
    <row r="982">
      <c r="A982" s="242"/>
      <c r="B982" s="242"/>
      <c r="C982" s="242"/>
      <c r="D982" s="242"/>
      <c r="E982" s="242"/>
      <c r="F982" s="242"/>
      <c r="G982" s="242"/>
      <c r="H982" s="242"/>
      <c r="I982" s="242"/>
      <c r="J982" s="242"/>
      <c r="K982" s="242"/>
      <c r="L982" s="242"/>
      <c r="M982" s="242"/>
      <c r="N982" s="242"/>
      <c r="O982" s="242"/>
      <c r="P982" s="242"/>
      <c r="Q982" s="242"/>
      <c r="R982" s="242"/>
      <c r="S982" s="242"/>
      <c r="T982" s="242"/>
      <c r="U982" s="242"/>
      <c r="V982" s="242"/>
      <c r="W982" s="242"/>
      <c r="X982" s="242"/>
      <c r="Y982" s="242"/>
      <c r="Z982" s="242"/>
    </row>
    <row r="983">
      <c r="A983" s="242"/>
      <c r="B983" s="242"/>
      <c r="C983" s="242"/>
      <c r="D983" s="242"/>
      <c r="E983" s="242"/>
      <c r="F983" s="242"/>
      <c r="G983" s="242"/>
      <c r="H983" s="242"/>
      <c r="I983" s="242"/>
      <c r="J983" s="242"/>
      <c r="K983" s="242"/>
      <c r="L983" s="242"/>
      <c r="M983" s="242"/>
      <c r="N983" s="242"/>
      <c r="O983" s="242"/>
      <c r="P983" s="242"/>
      <c r="Q983" s="242"/>
      <c r="R983" s="242"/>
      <c r="S983" s="242"/>
      <c r="T983" s="242"/>
      <c r="U983" s="242"/>
      <c r="V983" s="242"/>
      <c r="W983" s="242"/>
      <c r="X983" s="242"/>
      <c r="Y983" s="242"/>
      <c r="Z983" s="242"/>
    </row>
    <row r="984">
      <c r="A984" s="242"/>
      <c r="B984" s="242"/>
      <c r="C984" s="242"/>
      <c r="D984" s="242"/>
      <c r="E984" s="242"/>
      <c r="F984" s="242"/>
      <c r="G984" s="242"/>
      <c r="H984" s="242"/>
      <c r="I984" s="242"/>
      <c r="J984" s="242"/>
      <c r="K984" s="242"/>
      <c r="L984" s="242"/>
      <c r="M984" s="242"/>
      <c r="N984" s="242"/>
      <c r="O984" s="242"/>
      <c r="P984" s="242"/>
      <c r="Q984" s="242"/>
      <c r="R984" s="242"/>
      <c r="S984" s="242"/>
      <c r="T984" s="242"/>
      <c r="U984" s="242"/>
      <c r="V984" s="242"/>
      <c r="W984" s="242"/>
      <c r="X984" s="242"/>
      <c r="Y984" s="242"/>
      <c r="Z984" s="242"/>
    </row>
    <row r="985">
      <c r="A985" s="242"/>
      <c r="B985" s="242"/>
      <c r="C985" s="242"/>
      <c r="D985" s="242"/>
      <c r="E985" s="242"/>
      <c r="F985" s="242"/>
      <c r="G985" s="242"/>
      <c r="H985" s="242"/>
      <c r="I985" s="242"/>
      <c r="J985" s="242"/>
      <c r="K985" s="242"/>
      <c r="L985" s="242"/>
      <c r="M985" s="242"/>
      <c r="N985" s="242"/>
      <c r="O985" s="242"/>
      <c r="P985" s="242"/>
      <c r="Q985" s="242"/>
      <c r="R985" s="242"/>
      <c r="S985" s="242"/>
      <c r="T985" s="242"/>
      <c r="U985" s="242"/>
      <c r="V985" s="242"/>
      <c r="W985" s="242"/>
      <c r="X985" s="242"/>
      <c r="Y985" s="242"/>
      <c r="Z985" s="242"/>
    </row>
    <row r="986">
      <c r="A986" s="242"/>
      <c r="B986" s="242"/>
      <c r="C986" s="242"/>
      <c r="D986" s="242"/>
      <c r="E986" s="242"/>
      <c r="F986" s="242"/>
      <c r="G986" s="242"/>
      <c r="H986" s="242"/>
      <c r="I986" s="242"/>
      <c r="J986" s="242"/>
      <c r="K986" s="242"/>
      <c r="L986" s="242"/>
      <c r="M986" s="242"/>
      <c r="N986" s="242"/>
      <c r="O986" s="242"/>
      <c r="P986" s="242"/>
      <c r="Q986" s="242"/>
      <c r="R986" s="242"/>
      <c r="S986" s="242"/>
      <c r="T986" s="242"/>
      <c r="U986" s="242"/>
      <c r="V986" s="242"/>
      <c r="W986" s="242"/>
      <c r="X986" s="242"/>
      <c r="Y986" s="242"/>
      <c r="Z986" s="242"/>
    </row>
    <row r="987">
      <c r="A987" s="242"/>
      <c r="B987" s="242"/>
      <c r="C987" s="242"/>
      <c r="D987" s="242"/>
      <c r="E987" s="242"/>
      <c r="F987" s="242"/>
      <c r="G987" s="242"/>
      <c r="H987" s="242"/>
      <c r="I987" s="242"/>
      <c r="J987" s="242"/>
      <c r="K987" s="242"/>
      <c r="L987" s="242"/>
      <c r="M987" s="242"/>
      <c r="N987" s="242"/>
      <c r="O987" s="242"/>
      <c r="P987" s="242"/>
      <c r="Q987" s="242"/>
      <c r="R987" s="242"/>
      <c r="S987" s="242"/>
      <c r="T987" s="242"/>
      <c r="U987" s="242"/>
      <c r="V987" s="242"/>
      <c r="W987" s="242"/>
      <c r="X987" s="242"/>
      <c r="Y987" s="242"/>
      <c r="Z987" s="242"/>
    </row>
    <row r="988">
      <c r="A988" s="242"/>
      <c r="B988" s="242"/>
      <c r="C988" s="242"/>
      <c r="D988" s="242"/>
      <c r="E988" s="242"/>
      <c r="F988" s="242"/>
      <c r="G988" s="242"/>
      <c r="H988" s="242"/>
      <c r="I988" s="242"/>
      <c r="J988" s="242"/>
      <c r="K988" s="242"/>
      <c r="L988" s="242"/>
      <c r="M988" s="242"/>
      <c r="N988" s="242"/>
      <c r="O988" s="242"/>
      <c r="P988" s="242"/>
      <c r="Q988" s="242"/>
      <c r="R988" s="242"/>
      <c r="S988" s="242"/>
      <c r="T988" s="242"/>
      <c r="U988" s="242"/>
      <c r="V988" s="242"/>
      <c r="W988" s="242"/>
      <c r="X988" s="242"/>
      <c r="Y988" s="242"/>
      <c r="Z988" s="242"/>
    </row>
    <row r="989">
      <c r="A989" s="242"/>
      <c r="B989" s="242"/>
      <c r="C989" s="242"/>
      <c r="D989" s="242"/>
      <c r="E989" s="242"/>
      <c r="F989" s="242"/>
      <c r="G989" s="242"/>
      <c r="H989" s="242"/>
      <c r="I989" s="242"/>
      <c r="J989" s="242"/>
      <c r="K989" s="242"/>
      <c r="L989" s="242"/>
      <c r="M989" s="242"/>
      <c r="N989" s="242"/>
      <c r="O989" s="242"/>
      <c r="P989" s="242"/>
      <c r="Q989" s="242"/>
      <c r="R989" s="242"/>
      <c r="S989" s="242"/>
      <c r="T989" s="242"/>
      <c r="U989" s="242"/>
      <c r="V989" s="242"/>
      <c r="W989" s="242"/>
      <c r="X989" s="242"/>
      <c r="Y989" s="242"/>
      <c r="Z989" s="242"/>
    </row>
    <row r="990">
      <c r="A990" s="242"/>
      <c r="B990" s="242"/>
      <c r="C990" s="242"/>
      <c r="D990" s="242"/>
      <c r="E990" s="242"/>
      <c r="F990" s="242"/>
      <c r="G990" s="242"/>
      <c r="H990" s="242"/>
      <c r="I990" s="242"/>
      <c r="J990" s="242"/>
      <c r="K990" s="242"/>
      <c r="L990" s="242"/>
      <c r="M990" s="242"/>
      <c r="N990" s="242"/>
      <c r="O990" s="242"/>
      <c r="P990" s="242"/>
      <c r="Q990" s="242"/>
      <c r="R990" s="242"/>
      <c r="S990" s="242"/>
      <c r="T990" s="242"/>
      <c r="U990" s="242"/>
      <c r="V990" s="242"/>
      <c r="W990" s="242"/>
      <c r="X990" s="242"/>
      <c r="Y990" s="242"/>
      <c r="Z990" s="242"/>
    </row>
    <row r="991">
      <c r="A991" s="242"/>
      <c r="B991" s="242"/>
      <c r="C991" s="242"/>
      <c r="D991" s="242"/>
      <c r="E991" s="242"/>
      <c r="F991" s="242"/>
      <c r="G991" s="242"/>
      <c r="H991" s="242"/>
      <c r="I991" s="242"/>
      <c r="J991" s="242"/>
      <c r="K991" s="242"/>
      <c r="L991" s="242"/>
      <c r="M991" s="242"/>
      <c r="N991" s="242"/>
      <c r="O991" s="242"/>
      <c r="P991" s="242"/>
      <c r="Q991" s="242"/>
      <c r="R991" s="242"/>
      <c r="S991" s="242"/>
      <c r="T991" s="242"/>
      <c r="U991" s="242"/>
      <c r="V991" s="242"/>
      <c r="W991" s="242"/>
      <c r="X991" s="242"/>
      <c r="Y991" s="242"/>
      <c r="Z991" s="242"/>
    </row>
    <row r="992">
      <c r="A992" s="242"/>
      <c r="B992" s="242"/>
      <c r="C992" s="242"/>
      <c r="D992" s="242"/>
      <c r="E992" s="242"/>
      <c r="F992" s="242"/>
      <c r="G992" s="242"/>
      <c r="H992" s="242"/>
      <c r="I992" s="242"/>
      <c r="J992" s="242"/>
      <c r="K992" s="242"/>
      <c r="L992" s="242"/>
      <c r="M992" s="242"/>
      <c r="N992" s="242"/>
      <c r="O992" s="242"/>
      <c r="P992" s="242"/>
      <c r="Q992" s="242"/>
      <c r="R992" s="242"/>
      <c r="S992" s="242"/>
      <c r="T992" s="242"/>
      <c r="U992" s="242"/>
      <c r="V992" s="242"/>
      <c r="W992" s="242"/>
      <c r="X992" s="242"/>
      <c r="Y992" s="242"/>
      <c r="Z992" s="242"/>
    </row>
    <row r="993">
      <c r="A993" s="242"/>
      <c r="B993" s="242"/>
      <c r="C993" s="242"/>
      <c r="D993" s="242"/>
      <c r="E993" s="242"/>
      <c r="F993" s="242"/>
      <c r="G993" s="242"/>
      <c r="H993" s="242"/>
      <c r="I993" s="242"/>
      <c r="J993" s="242"/>
      <c r="K993" s="242"/>
      <c r="L993" s="242"/>
      <c r="M993" s="242"/>
      <c r="N993" s="242"/>
      <c r="O993" s="242"/>
      <c r="P993" s="242"/>
      <c r="Q993" s="242"/>
      <c r="R993" s="242"/>
      <c r="S993" s="242"/>
      <c r="T993" s="242"/>
      <c r="U993" s="242"/>
      <c r="V993" s="242"/>
      <c r="W993" s="242"/>
      <c r="X993" s="242"/>
      <c r="Y993" s="242"/>
      <c r="Z993" s="242"/>
    </row>
    <row r="994">
      <c r="A994" s="242"/>
      <c r="B994" s="242"/>
      <c r="C994" s="242"/>
      <c r="D994" s="242"/>
      <c r="E994" s="242"/>
      <c r="F994" s="242"/>
      <c r="G994" s="242"/>
      <c r="H994" s="242"/>
      <c r="I994" s="242"/>
      <c r="J994" s="242"/>
      <c r="K994" s="242"/>
      <c r="L994" s="242"/>
      <c r="M994" s="242"/>
      <c r="N994" s="242"/>
      <c r="O994" s="242"/>
      <c r="P994" s="242"/>
      <c r="Q994" s="242"/>
      <c r="R994" s="242"/>
      <c r="S994" s="242"/>
      <c r="T994" s="242"/>
      <c r="U994" s="242"/>
      <c r="V994" s="242"/>
      <c r="W994" s="242"/>
      <c r="X994" s="242"/>
      <c r="Y994" s="242"/>
      <c r="Z994" s="242"/>
    </row>
    <row r="995">
      <c r="A995" s="242"/>
      <c r="B995" s="242"/>
      <c r="C995" s="242"/>
      <c r="D995" s="242"/>
      <c r="E995" s="242"/>
      <c r="F995" s="242"/>
      <c r="G995" s="242"/>
      <c r="H995" s="242"/>
      <c r="I995" s="242"/>
      <c r="J995" s="242"/>
      <c r="K995" s="242"/>
      <c r="L995" s="242"/>
      <c r="M995" s="242"/>
      <c r="N995" s="242"/>
      <c r="O995" s="242"/>
      <c r="P995" s="242"/>
      <c r="Q995" s="242"/>
      <c r="R995" s="242"/>
      <c r="S995" s="242"/>
      <c r="T995" s="242"/>
      <c r="U995" s="242"/>
      <c r="V995" s="242"/>
      <c r="W995" s="242"/>
      <c r="X995" s="242"/>
      <c r="Y995" s="242"/>
      <c r="Z995" s="242"/>
    </row>
    <row r="996">
      <c r="A996" s="242"/>
      <c r="B996" s="242"/>
      <c r="C996" s="242"/>
      <c r="D996" s="242"/>
      <c r="E996" s="242"/>
      <c r="F996" s="242"/>
      <c r="G996" s="242"/>
      <c r="H996" s="242"/>
      <c r="I996" s="242"/>
      <c r="J996" s="242"/>
      <c r="K996" s="242"/>
      <c r="L996" s="242"/>
      <c r="M996" s="242"/>
      <c r="N996" s="242"/>
      <c r="O996" s="242"/>
      <c r="P996" s="242"/>
      <c r="Q996" s="242"/>
      <c r="R996" s="242"/>
      <c r="S996" s="242"/>
      <c r="T996" s="242"/>
      <c r="U996" s="242"/>
      <c r="V996" s="242"/>
      <c r="W996" s="242"/>
      <c r="X996" s="242"/>
      <c r="Y996" s="242"/>
      <c r="Z996" s="242"/>
    </row>
    <row r="997">
      <c r="A997" s="242"/>
      <c r="B997" s="242"/>
      <c r="C997" s="242"/>
      <c r="D997" s="242"/>
      <c r="E997" s="242"/>
      <c r="F997" s="242"/>
      <c r="G997" s="242"/>
      <c r="H997" s="242"/>
      <c r="I997" s="242"/>
      <c r="J997" s="242"/>
      <c r="K997" s="242"/>
      <c r="L997" s="242"/>
      <c r="M997" s="242"/>
      <c r="N997" s="242"/>
      <c r="O997" s="242"/>
      <c r="P997" s="242"/>
      <c r="Q997" s="242"/>
      <c r="R997" s="242"/>
      <c r="S997" s="242"/>
      <c r="T997" s="242"/>
      <c r="U997" s="242"/>
      <c r="V997" s="242"/>
      <c r="W997" s="242"/>
      <c r="X997" s="242"/>
      <c r="Y997" s="242"/>
      <c r="Z997" s="242"/>
    </row>
    <row r="998">
      <c r="A998" s="242"/>
      <c r="B998" s="242"/>
      <c r="C998" s="242"/>
      <c r="D998" s="242"/>
      <c r="E998" s="242"/>
      <c r="F998" s="242"/>
      <c r="G998" s="242"/>
      <c r="H998" s="242"/>
      <c r="I998" s="242"/>
      <c r="J998" s="242"/>
      <c r="K998" s="242"/>
      <c r="L998" s="242"/>
      <c r="M998" s="242"/>
      <c r="N998" s="242"/>
      <c r="O998" s="242"/>
      <c r="P998" s="242"/>
      <c r="Q998" s="242"/>
      <c r="R998" s="242"/>
      <c r="S998" s="242"/>
      <c r="T998" s="242"/>
      <c r="U998" s="242"/>
      <c r="V998" s="242"/>
      <c r="W998" s="242"/>
      <c r="X998" s="242"/>
      <c r="Y998" s="242"/>
      <c r="Z998" s="242"/>
    </row>
    <row r="999">
      <c r="A999" s="242"/>
      <c r="B999" s="242"/>
      <c r="C999" s="242"/>
      <c r="D999" s="242"/>
      <c r="E999" s="242"/>
      <c r="F999" s="242"/>
      <c r="G999" s="242"/>
      <c r="H999" s="242"/>
      <c r="I999" s="242"/>
      <c r="J999" s="242"/>
      <c r="K999" s="242"/>
      <c r="L999" s="242"/>
      <c r="M999" s="242"/>
      <c r="N999" s="242"/>
      <c r="O999" s="242"/>
      <c r="P999" s="242"/>
      <c r="Q999" s="242"/>
      <c r="R999" s="242"/>
      <c r="S999" s="242"/>
      <c r="T999" s="242"/>
      <c r="U999" s="242"/>
      <c r="V999" s="242"/>
      <c r="W999" s="242"/>
      <c r="X999" s="242"/>
      <c r="Y999" s="242"/>
      <c r="Z999" s="242"/>
    </row>
    <row r="1000">
      <c r="A1000" s="242"/>
      <c r="B1000" s="242"/>
      <c r="C1000" s="242"/>
      <c r="D1000" s="242"/>
      <c r="E1000" s="242"/>
      <c r="F1000" s="242"/>
      <c r="G1000" s="242"/>
      <c r="H1000" s="242"/>
      <c r="I1000" s="242"/>
      <c r="J1000" s="242"/>
      <c r="K1000" s="242"/>
      <c r="L1000" s="242"/>
      <c r="M1000" s="242"/>
      <c r="N1000" s="242"/>
      <c r="O1000" s="242"/>
      <c r="P1000" s="242"/>
      <c r="Q1000" s="242"/>
      <c r="R1000" s="242"/>
      <c r="S1000" s="242"/>
      <c r="T1000" s="242"/>
      <c r="U1000" s="242"/>
      <c r="V1000" s="242"/>
      <c r="W1000" s="242"/>
      <c r="X1000" s="242"/>
      <c r="Y1000" s="242"/>
      <c r="Z1000" s="242"/>
    </row>
  </sheetData>
  <drawing r:id="rId1"/>
</worksheet>
</file>