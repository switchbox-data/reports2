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codeName="ThisWorkbook"/>
  <mc:AlternateContent xmlns:mc="http://schemas.openxmlformats.org/markup-compatibility/2006">
    <mc:Choice Requires="x15">
      <x15ac:absPath xmlns:x15ac="http://schemas.microsoft.com/office/spreadsheetml/2010/11/ac" url="S:\Departments\FinReg\InterDepartment\00 Rate Cases\2023 FGE Rate Cases\05.0 - Discovery\DPU Set 12 Electric\For DPU 12-03\"/>
    </mc:Choice>
  </mc:AlternateContent>
  <xr:revisionPtr revIDLastSave="0" documentId="13_ncr:1_{A7C22839-E291-4145-8B8C-2B6EDF5B10B9}" xr6:coauthVersionLast="36" xr6:coauthVersionMax="47" xr10:uidLastSave="{00000000-0000-0000-0000-000000000000}"/>
  <bookViews>
    <workbookView xWindow="0" yWindow="0" windowWidth="23040" windowHeight="8484" firstSheet="12" activeTab="20" xr2:uid="{AFB0CC24-D96E-47A9-85AB-6B510DFDFA0F}"/>
  </bookViews>
  <sheets>
    <sheet name="Index" sheetId="109" r:id="rId1"/>
    <sheet name="Revenue Apportionment" sheetId="95" r:id="rId2"/>
    <sheet name="Rate Design" sheetId="36" r:id="rId3"/>
    <sheet name="Rate Design Lighting" sheetId="69" r:id="rId4"/>
    <sheet name="Heat Pump Rate Design" sheetId="97" r:id="rId5"/>
    <sheet name="EV-RES Rate" sheetId="104" r:id="rId6"/>
    <sheet name="Annual EV-RES" sheetId="105" r:id="rId7"/>
    <sheet name="Demand Charge Alternative" sheetId="102" r:id="rId8"/>
    <sheet name="Decoupling Target" sheetId="96" r:id="rId9"/>
    <sheet name="CONFIDENTIAL" sheetId="108" r:id="rId10"/>
    <sheet name="Rates" sheetId="60" r:id="rId11"/>
    <sheet name="FGE Bill Impact Tabs ---&gt;" sheetId="77" r:id="rId12"/>
    <sheet name="RD-1" sheetId="110" r:id="rId13"/>
    <sheet name="RD-2" sheetId="119" r:id="rId14"/>
    <sheet name="GD-1" sheetId="120" r:id="rId15"/>
    <sheet name="GD-2" sheetId="121" r:id="rId16"/>
    <sheet name="GD-3" sheetId="122" r:id="rId17"/>
    <sheet name="GD-4" sheetId="123" r:id="rId18"/>
    <sheet name="GD-5" sheetId="124" r:id="rId19"/>
    <sheet name="SD" sheetId="125" r:id="rId20"/>
    <sheet name="SDC" sheetId="126" r:id="rId21"/>
    <sheet name="Support Files ---&gt;" sheetId="98" r:id="rId22"/>
    <sheet name="ProForma Revenue" sheetId="87" r:id="rId23"/>
    <sheet name="Unitil LED Light Summary" sheetId="103" r:id="rId24"/>
    <sheet name="Rev_Billing_Det" sheetId="88" r:id="rId25"/>
    <sheet name="Outdoor Lighting Update" sheetId="106" r:id="rId26"/>
    <sheet name="Atrium + Updated Rates" sheetId="92" r:id="rId27"/>
    <sheet name="Customer Owned Lights" sheetId="93" r:id="rId28"/>
    <sheet name="Rates and Eff Dates" sheetId="72" r:id="rId29"/>
    <sheet name="Total Revenues by Class" sheetId="99" r:id="rId30"/>
    <sheet name="Rider_Revenue" sheetId="100" r:id="rId31"/>
    <sheet name="For Bill Impacts" sheetId="101" r:id="rId32"/>
  </sheets>
  <definedNames>
    <definedName name="_Key1" hidden="1">#REF!</definedName>
    <definedName name="_Order1" hidden="1">255</definedName>
    <definedName name="_Sort" hidden="1">#REF!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6">'Annual EV-RES'!$A$1:$E$55</definedName>
    <definedName name="_xlnm.Print_Area" localSheetId="26">'Atrium + Updated Rates'!$A$1:$N$30</definedName>
    <definedName name="_xlnm.Print_Area" localSheetId="27">'Customer Owned Lights'!$A$1:$F$14</definedName>
    <definedName name="_xlnm.Print_Area" localSheetId="8">'Decoupling Target'!$A$5:$I$42</definedName>
    <definedName name="_xlnm.Print_Area" localSheetId="7">'Demand Charge Alternative'!$A$5:$L$59</definedName>
    <definedName name="_xlnm.Print_Area" localSheetId="5">'EV-RES Rate'!$A$1:$M$30</definedName>
    <definedName name="_xlnm.Print_Area" localSheetId="31">'For Bill Impacts'!$B$1:$J$15</definedName>
    <definedName name="_xlnm.Print_Area" localSheetId="14">'GD-1'!$B$3:$S$72</definedName>
    <definedName name="_xlnm.Print_Area" localSheetId="15">'GD-2'!$B$3:$V$74</definedName>
    <definedName name="_xlnm.Print_Area" localSheetId="16">'GD-3'!$B$3:$T$87</definedName>
    <definedName name="_xlnm.Print_Area" localSheetId="17">'GD-4'!$B$3:$W$64</definedName>
    <definedName name="_xlnm.Print_Area" localSheetId="18">'GD-5'!$B$3:$S$70</definedName>
    <definedName name="_xlnm.Print_Area" localSheetId="4">'Heat Pump Rate Design'!$A$1:$G$39</definedName>
    <definedName name="_xlnm.Print_Area" localSheetId="25">'Outdoor Lighting Update'!$A$1:$N$48</definedName>
    <definedName name="_xlnm.Print_Area" localSheetId="22">'ProForma Revenue'!$A$1:$Q$111</definedName>
    <definedName name="_xlnm.Print_Area" localSheetId="2">'Rate Design'!$A$1:$H$87</definedName>
    <definedName name="_xlnm.Print_Area" localSheetId="3">'Rate Design Lighting'!$A$1:$I$83</definedName>
    <definedName name="_xlnm.Print_Area" localSheetId="10">Rates!$A$1:$N$43</definedName>
    <definedName name="_xlnm.Print_Area" localSheetId="28">'Rates and Eff Dates'!$A$1:$F$104</definedName>
    <definedName name="_xlnm.Print_Area" localSheetId="12">'RD-1'!$B$3:$S$73</definedName>
    <definedName name="_xlnm.Print_Area" localSheetId="13">'RD-2'!$B$3:$S$79</definedName>
    <definedName name="_xlnm.Print_Area" localSheetId="24">Rev_Billing_Det!$A$3:$Q$209</definedName>
    <definedName name="_xlnm.Print_Area" localSheetId="1">'Revenue Apportionment'!$A$1:$P$38</definedName>
    <definedName name="_xlnm.Print_Area" localSheetId="30">Rider_Revenue!$B$1:$O$33</definedName>
    <definedName name="_xlnm.Print_Area" localSheetId="19">SD!$B$3:$N$109</definedName>
    <definedName name="_xlnm.Print_Area" localSheetId="20">SDC!$B$3:$O$69</definedName>
    <definedName name="_xlnm.Print_Area" localSheetId="29">'Total Revenues by Class'!$B$1:$L$81</definedName>
    <definedName name="_xlnm.Print_Area" localSheetId="23">'Unitil LED Light Summary'!$A$1:$O$31</definedName>
    <definedName name="_xlnm.Print_Titles" localSheetId="22">'ProForma Revenue'!$2:$7</definedName>
    <definedName name="_xlnm.Print_Titles" localSheetId="2">'Rate Design'!$1:$6</definedName>
    <definedName name="_xlnm.Print_Titles" localSheetId="3">'Rate Design Lighting'!$1:$6</definedName>
    <definedName name="_xlnm.Print_Titles" localSheetId="10">Rates!$1:$6</definedName>
    <definedName name="_xlnm.Print_Titles" localSheetId="28">'Rates and Eff Dates'!$1:$4</definedName>
    <definedName name="_xlnm.Print_Titles" localSheetId="24">Rev_Billing_Det!$3:$6</definedName>
    <definedName name="_xlnm.Print_Titles" localSheetId="23">'Unitil LED Light Summary'!$4:$6</definedName>
  </definedNames>
  <calcPr calcId="191028" calcOnSave="0"/>
</workbook>
</file>

<file path=xl/calcChain.xml><?xml version="1.0" encoding="utf-8"?>
<calcChain xmlns="http://schemas.openxmlformats.org/spreadsheetml/2006/main">
  <c r="I68" i="119" l="1"/>
  <c r="P68" i="119" l="1"/>
  <c r="P67" i="119" l="1"/>
  <c r="M59" i="125" l="1"/>
  <c r="M56" i="125"/>
  <c r="M49" i="125"/>
  <c r="M48" i="125"/>
  <c r="M47" i="125"/>
  <c r="M46" i="125"/>
  <c r="M45" i="125"/>
  <c r="M44" i="125"/>
  <c r="M43" i="125"/>
  <c r="M42" i="125"/>
  <c r="M41" i="125"/>
  <c r="M26" i="125"/>
  <c r="M25" i="125"/>
  <c r="M24" i="125"/>
  <c r="M23" i="125"/>
  <c r="M22" i="125"/>
  <c r="M21" i="125"/>
  <c r="M18" i="125"/>
  <c r="M17" i="125"/>
  <c r="M16" i="125"/>
  <c r="M15" i="125"/>
  <c r="M14" i="125"/>
  <c r="M13" i="125"/>
  <c r="M12" i="125"/>
  <c r="N19" i="126"/>
  <c r="N18" i="126"/>
  <c r="N17" i="126"/>
  <c r="N16" i="126"/>
  <c r="N15" i="126"/>
  <c r="N14" i="126"/>
  <c r="N13" i="126"/>
  <c r="N12" i="126"/>
  <c r="C13" i="126" l="1"/>
  <c r="C14" i="126" s="1"/>
  <c r="I25" i="126"/>
  <c r="L25" i="126"/>
  <c r="E27" i="126"/>
  <c r="I27" i="126"/>
  <c r="K27" i="126"/>
  <c r="K29" i="126" s="1"/>
  <c r="L29" i="126" s="1"/>
  <c r="I28" i="126"/>
  <c r="L28" i="126"/>
  <c r="E29" i="126"/>
  <c r="L31" i="126"/>
  <c r="L33" i="126"/>
  <c r="L34" i="126"/>
  <c r="L35" i="126"/>
  <c r="L36" i="126"/>
  <c r="L37" i="126"/>
  <c r="L38" i="126"/>
  <c r="L39" i="126"/>
  <c r="L40" i="126"/>
  <c r="L41" i="126"/>
  <c r="K42" i="126"/>
  <c r="L42" i="126" s="1"/>
  <c r="L43" i="126"/>
  <c r="L44" i="126"/>
  <c r="E45" i="126"/>
  <c r="E58" i="126" s="1"/>
  <c r="I12" i="126" s="1"/>
  <c r="L47" i="126"/>
  <c r="L49" i="126"/>
  <c r="L50" i="126"/>
  <c r="E51" i="126"/>
  <c r="K51" i="126"/>
  <c r="L51" i="126" s="1"/>
  <c r="L53" i="126"/>
  <c r="I56" i="126"/>
  <c r="L56" i="126"/>
  <c r="C13" i="125"/>
  <c r="C14" i="125"/>
  <c r="C15" i="125" s="1"/>
  <c r="C16" i="125" s="1"/>
  <c r="C17" i="125" s="1"/>
  <c r="C18" i="125" s="1"/>
  <c r="C21" i="125" s="1"/>
  <c r="C22" i="125" s="1"/>
  <c r="C23" i="125" s="1"/>
  <c r="C24" i="125" s="1"/>
  <c r="C25" i="125" s="1"/>
  <c r="C26" i="125" s="1"/>
  <c r="C29" i="125" s="1"/>
  <c r="C30" i="125" s="1"/>
  <c r="C31" i="125" s="1"/>
  <c r="C32" i="125" s="1"/>
  <c r="C33" i="125" s="1"/>
  <c r="C34" i="125" s="1"/>
  <c r="C35" i="125" s="1"/>
  <c r="C36" i="125" s="1"/>
  <c r="C37" i="125" s="1"/>
  <c r="C38" i="125" s="1"/>
  <c r="C41" i="125" s="1"/>
  <c r="C42" i="125" s="1"/>
  <c r="C43" i="125" s="1"/>
  <c r="C44" i="125" s="1"/>
  <c r="C45" i="125" s="1"/>
  <c r="C46" i="125" s="1"/>
  <c r="C47" i="125" s="1"/>
  <c r="C48" i="125" s="1"/>
  <c r="C49" i="125" s="1"/>
  <c r="C50" i="125" s="1"/>
  <c r="C51" i="125" s="1"/>
  <c r="C52" i="125" s="1"/>
  <c r="C53" i="125" s="1"/>
  <c r="C56" i="125" s="1"/>
  <c r="I65" i="125"/>
  <c r="L65" i="125"/>
  <c r="E67" i="125"/>
  <c r="E69" i="125" s="1"/>
  <c r="L69" i="125" s="1"/>
  <c r="I67" i="125"/>
  <c r="K67" i="125"/>
  <c r="L67" i="125" s="1"/>
  <c r="I68" i="125"/>
  <c r="L68" i="125"/>
  <c r="K69" i="125"/>
  <c r="L71" i="125"/>
  <c r="L73" i="125"/>
  <c r="L74" i="125"/>
  <c r="L75" i="125"/>
  <c r="L76" i="125"/>
  <c r="L77" i="125"/>
  <c r="L78" i="125"/>
  <c r="L79" i="125"/>
  <c r="L80" i="125"/>
  <c r="L81" i="125"/>
  <c r="K82" i="125"/>
  <c r="L82" i="125"/>
  <c r="L83" i="125"/>
  <c r="L84" i="125"/>
  <c r="E85" i="125"/>
  <c r="K85" i="125"/>
  <c r="L85" i="125" s="1"/>
  <c r="L87" i="125"/>
  <c r="L89" i="125"/>
  <c r="L90" i="125"/>
  <c r="E91" i="125"/>
  <c r="K91" i="125"/>
  <c r="L91" i="125" s="1"/>
  <c r="L93" i="125"/>
  <c r="I96" i="125"/>
  <c r="L96" i="125"/>
  <c r="K98" i="125"/>
  <c r="J59" i="125" s="1"/>
  <c r="M113" i="125"/>
  <c r="P113" i="125"/>
  <c r="C114" i="125"/>
  <c r="C115" i="125" s="1"/>
  <c r="C116" i="125" s="1"/>
  <c r="C117" i="125" s="1"/>
  <c r="C118" i="125" s="1"/>
  <c r="C119" i="125" s="1"/>
  <c r="C122" i="125" s="1"/>
  <c r="C123" i="125" s="1"/>
  <c r="C124" i="125" s="1"/>
  <c r="C125" i="125" s="1"/>
  <c r="C126" i="125" s="1"/>
  <c r="C127" i="125" s="1"/>
  <c r="C130" i="125" s="1"/>
  <c r="C131" i="125" s="1"/>
  <c r="C132" i="125" s="1"/>
  <c r="C133" i="125" s="1"/>
  <c r="C134" i="125" s="1"/>
  <c r="C135" i="125" s="1"/>
  <c r="C136" i="125" s="1"/>
  <c r="C137" i="125" s="1"/>
  <c r="C138" i="125" s="1"/>
  <c r="C139" i="125" s="1"/>
  <c r="C142" i="125" s="1"/>
  <c r="C143" i="125" s="1"/>
  <c r="C144" i="125" s="1"/>
  <c r="C145" i="125" s="1"/>
  <c r="C146" i="125" s="1"/>
  <c r="C147" i="125" s="1"/>
  <c r="C148" i="125" s="1"/>
  <c r="C149" i="125" s="1"/>
  <c r="C150" i="125" s="1"/>
  <c r="C151" i="125" s="1"/>
  <c r="C152" i="125" s="1"/>
  <c r="C153" i="125" s="1"/>
  <c r="C154" i="125" s="1"/>
  <c r="C157" i="125" s="1"/>
  <c r="C158" i="125" s="1"/>
  <c r="J114" i="125"/>
  <c r="M114" i="125"/>
  <c r="P114" i="125"/>
  <c r="J115" i="125"/>
  <c r="J116" i="125" s="1"/>
  <c r="J117" i="125" s="1"/>
  <c r="J118" i="125" s="1"/>
  <c r="J119" i="125" s="1"/>
  <c r="J122" i="125" s="1"/>
  <c r="J123" i="125" s="1"/>
  <c r="J124" i="125" s="1"/>
  <c r="J125" i="125" s="1"/>
  <c r="J126" i="125" s="1"/>
  <c r="J127" i="125" s="1"/>
  <c r="J130" i="125" s="1"/>
  <c r="J131" i="125" s="1"/>
  <c r="J132" i="125" s="1"/>
  <c r="J133" i="125" s="1"/>
  <c r="J134" i="125" s="1"/>
  <c r="J135" i="125" s="1"/>
  <c r="J136" i="125" s="1"/>
  <c r="J137" i="125" s="1"/>
  <c r="J138" i="125" s="1"/>
  <c r="J139" i="125" s="1"/>
  <c r="J142" i="125" s="1"/>
  <c r="J143" i="125" s="1"/>
  <c r="J144" i="125" s="1"/>
  <c r="J145" i="125" s="1"/>
  <c r="J146" i="125" s="1"/>
  <c r="J147" i="125" s="1"/>
  <c r="J148" i="125" s="1"/>
  <c r="J149" i="125" s="1"/>
  <c r="J150" i="125" s="1"/>
  <c r="J151" i="125" s="1"/>
  <c r="J152" i="125" s="1"/>
  <c r="J153" i="125" s="1"/>
  <c r="J154" i="125" s="1"/>
  <c r="J157" i="125" s="1"/>
  <c r="J158" i="125" s="1"/>
  <c r="M115" i="125"/>
  <c r="P115" i="125"/>
  <c r="M116" i="125"/>
  <c r="P116" i="125"/>
  <c r="M117" i="125"/>
  <c r="P117" i="125"/>
  <c r="M118" i="125"/>
  <c r="P118" i="125"/>
  <c r="M119" i="125"/>
  <c r="P119" i="125"/>
  <c r="M122" i="125"/>
  <c r="P122" i="125"/>
  <c r="M123" i="125"/>
  <c r="P123" i="125"/>
  <c r="M124" i="125"/>
  <c r="P124" i="125"/>
  <c r="M125" i="125"/>
  <c r="P125" i="125"/>
  <c r="M126" i="125"/>
  <c r="P126" i="125"/>
  <c r="M127" i="125"/>
  <c r="P127" i="125"/>
  <c r="M130" i="125"/>
  <c r="P130" i="125"/>
  <c r="M131" i="125"/>
  <c r="P131" i="125"/>
  <c r="M132" i="125"/>
  <c r="P132" i="125"/>
  <c r="M133" i="125"/>
  <c r="P133" i="125"/>
  <c r="M134" i="125"/>
  <c r="P134" i="125"/>
  <c r="M135" i="125"/>
  <c r="P135" i="125"/>
  <c r="M136" i="125"/>
  <c r="P136" i="125"/>
  <c r="M137" i="125"/>
  <c r="P137" i="125"/>
  <c r="M138" i="125"/>
  <c r="P138" i="125"/>
  <c r="M139" i="125"/>
  <c r="P139" i="125"/>
  <c r="M142" i="125"/>
  <c r="P142" i="125"/>
  <c r="M143" i="125"/>
  <c r="P143" i="125"/>
  <c r="M144" i="125"/>
  <c r="P144" i="125"/>
  <c r="M145" i="125"/>
  <c r="P145" i="125"/>
  <c r="M146" i="125"/>
  <c r="P146" i="125"/>
  <c r="M147" i="125"/>
  <c r="P147" i="125"/>
  <c r="M148" i="125"/>
  <c r="P148" i="125"/>
  <c r="M149" i="125"/>
  <c r="P149" i="125"/>
  <c r="M150" i="125"/>
  <c r="P150" i="125"/>
  <c r="M151" i="125"/>
  <c r="P151" i="125"/>
  <c r="M152" i="125"/>
  <c r="P152" i="125"/>
  <c r="M153" i="125"/>
  <c r="P153" i="125"/>
  <c r="M154" i="125"/>
  <c r="P154" i="125"/>
  <c r="M157" i="125"/>
  <c r="P157" i="125"/>
  <c r="K158" i="125"/>
  <c r="M158" i="125"/>
  <c r="P158" i="125"/>
  <c r="H159" i="125"/>
  <c r="H12" i="125" s="1"/>
  <c r="E23" i="124"/>
  <c r="R30" i="124"/>
  <c r="I32" i="124"/>
  <c r="I34" i="124" s="1"/>
  <c r="R34" i="124" s="1"/>
  <c r="P32" i="124"/>
  <c r="R32" i="124"/>
  <c r="R33" i="124"/>
  <c r="P34" i="124"/>
  <c r="R36" i="124"/>
  <c r="R38" i="124"/>
  <c r="R39" i="124"/>
  <c r="R40" i="124"/>
  <c r="R41" i="124"/>
  <c r="R42" i="124"/>
  <c r="R43" i="124"/>
  <c r="R44" i="124"/>
  <c r="R45" i="124"/>
  <c r="R46" i="124"/>
  <c r="P47" i="124"/>
  <c r="R47" i="124"/>
  <c r="R48" i="124"/>
  <c r="R49" i="124"/>
  <c r="I50" i="124"/>
  <c r="P50" i="124"/>
  <c r="R50" i="124" s="1"/>
  <c r="R52" i="124"/>
  <c r="R54" i="124"/>
  <c r="R55" i="124"/>
  <c r="I56" i="124"/>
  <c r="R56" i="124" s="1"/>
  <c r="P56" i="124"/>
  <c r="R58" i="124"/>
  <c r="R59" i="124"/>
  <c r="R62" i="124"/>
  <c r="C13" i="123"/>
  <c r="K13" i="123"/>
  <c r="V20" i="123"/>
  <c r="K22" i="123"/>
  <c r="S22" i="123"/>
  <c r="V22" i="123" s="1"/>
  <c r="V23" i="123"/>
  <c r="K24" i="123"/>
  <c r="U26" i="123"/>
  <c r="U41" i="123" s="1"/>
  <c r="V26" i="123"/>
  <c r="V27" i="123"/>
  <c r="V29" i="123"/>
  <c r="V30" i="123"/>
  <c r="V31" i="123"/>
  <c r="V32" i="123"/>
  <c r="V33" i="123"/>
  <c r="V34" i="123"/>
  <c r="V35" i="123"/>
  <c r="V36" i="123"/>
  <c r="V37" i="123"/>
  <c r="S38" i="123"/>
  <c r="V38" i="123"/>
  <c r="V39" i="123"/>
  <c r="V40" i="123"/>
  <c r="I41" i="123"/>
  <c r="K41" i="123"/>
  <c r="R41" i="123"/>
  <c r="R56" i="123" s="1"/>
  <c r="S41" i="123"/>
  <c r="V41" i="123"/>
  <c r="K42" i="123"/>
  <c r="V42" i="123" s="1"/>
  <c r="S42" i="123"/>
  <c r="V44" i="123"/>
  <c r="V46" i="123"/>
  <c r="V47" i="123"/>
  <c r="K48" i="123"/>
  <c r="S48" i="123"/>
  <c r="V48" i="123"/>
  <c r="V50" i="123"/>
  <c r="V51" i="123"/>
  <c r="V54" i="123"/>
  <c r="I56" i="123"/>
  <c r="K12" i="123" s="1"/>
  <c r="K56" i="123"/>
  <c r="K57" i="123"/>
  <c r="K73" i="123" s="1"/>
  <c r="K72" i="123"/>
  <c r="B13" i="122"/>
  <c r="B14" i="122" s="1"/>
  <c r="B15" i="122" s="1"/>
  <c r="B16" i="122" s="1"/>
  <c r="B17" i="122" s="1"/>
  <c r="B18" i="122" s="1"/>
  <c r="B19" i="122" s="1"/>
  <c r="B20" i="122" s="1"/>
  <c r="B21" i="122" s="1"/>
  <c r="B22" i="122" s="1"/>
  <c r="B23" i="122" s="1"/>
  <c r="B24" i="122" s="1"/>
  <c r="B25" i="122" s="1"/>
  <c r="B26" i="122" s="1"/>
  <c r="B27" i="122" s="1"/>
  <c r="B28" i="122" s="1"/>
  <c r="B29" i="122" s="1"/>
  <c r="B30" i="122" s="1"/>
  <c r="B31" i="122" s="1"/>
  <c r="B32" i="122" s="1"/>
  <c r="B33" i="122" s="1"/>
  <c r="B34" i="122" s="1"/>
  <c r="B35" i="122" s="1"/>
  <c r="B36" i="122" s="1"/>
  <c r="B37" i="122" s="1"/>
  <c r="B38" i="122" s="1"/>
  <c r="B39" i="122" s="1"/>
  <c r="S46" i="122"/>
  <c r="H48" i="122"/>
  <c r="P48" i="122"/>
  <c r="P50" i="122" s="1"/>
  <c r="S48" i="122"/>
  <c r="S49" i="122"/>
  <c r="H50" i="122"/>
  <c r="R52" i="122"/>
  <c r="S52" i="122"/>
  <c r="S53" i="122"/>
  <c r="S55" i="122"/>
  <c r="S56" i="122"/>
  <c r="S57" i="122"/>
  <c r="S58" i="122"/>
  <c r="S59" i="122"/>
  <c r="S60" i="122"/>
  <c r="S61" i="122"/>
  <c r="S62" i="122"/>
  <c r="S63" i="122"/>
  <c r="P64" i="122"/>
  <c r="S64" i="122" s="1"/>
  <c r="S65" i="122"/>
  <c r="S66" i="122"/>
  <c r="F67" i="122"/>
  <c r="H67" i="122"/>
  <c r="N67" i="122"/>
  <c r="R67" i="122"/>
  <c r="H68" i="122"/>
  <c r="S70" i="122"/>
  <c r="S72" i="122"/>
  <c r="S73" i="122"/>
  <c r="H74" i="122"/>
  <c r="S74" i="122" s="1"/>
  <c r="P74" i="122"/>
  <c r="S76" i="122"/>
  <c r="S79" i="122"/>
  <c r="F81" i="122"/>
  <c r="N81" i="122"/>
  <c r="B5" i="121"/>
  <c r="E23" i="121"/>
  <c r="G23" i="121"/>
  <c r="U31" i="121"/>
  <c r="K33" i="121"/>
  <c r="K35" i="121" s="1"/>
  <c r="R33" i="121"/>
  <c r="U33" i="121" s="1"/>
  <c r="U34" i="121"/>
  <c r="T37" i="121"/>
  <c r="U37" i="121"/>
  <c r="U39" i="121"/>
  <c r="U40" i="121"/>
  <c r="U41" i="121"/>
  <c r="U42" i="121"/>
  <c r="U43" i="121"/>
  <c r="U44" i="121"/>
  <c r="U45" i="121"/>
  <c r="U46" i="121"/>
  <c r="U47" i="121"/>
  <c r="R48" i="121"/>
  <c r="U48" i="121" s="1"/>
  <c r="U49" i="121"/>
  <c r="U50" i="121"/>
  <c r="I51" i="121"/>
  <c r="K51" i="121"/>
  <c r="Q51" i="121"/>
  <c r="T51" i="121" s="1"/>
  <c r="R51" i="121"/>
  <c r="U51" i="121" s="1"/>
  <c r="U53" i="121"/>
  <c r="U55" i="121"/>
  <c r="U56" i="121"/>
  <c r="K57" i="121"/>
  <c r="K66" i="121" s="1"/>
  <c r="R57" i="121"/>
  <c r="U57" i="121"/>
  <c r="U59" i="121"/>
  <c r="U61" i="121"/>
  <c r="U64" i="121"/>
  <c r="I66" i="121"/>
  <c r="E23" i="120"/>
  <c r="R30" i="120"/>
  <c r="I32" i="120"/>
  <c r="I34" i="120" s="1"/>
  <c r="P32" i="120"/>
  <c r="R32" i="120"/>
  <c r="R33" i="120"/>
  <c r="P34" i="120"/>
  <c r="R36" i="120"/>
  <c r="R38" i="120"/>
  <c r="R39" i="120"/>
  <c r="R40" i="120"/>
  <c r="R41" i="120"/>
  <c r="R42" i="120"/>
  <c r="R43" i="120"/>
  <c r="R44" i="120"/>
  <c r="R45" i="120"/>
  <c r="R46" i="120"/>
  <c r="P47" i="120"/>
  <c r="R47" i="120"/>
  <c r="R48" i="120"/>
  <c r="R49" i="120"/>
  <c r="I50" i="120"/>
  <c r="P50" i="120"/>
  <c r="R50" i="120" s="1"/>
  <c r="P52" i="120"/>
  <c r="P65" i="120" s="1"/>
  <c r="P54" i="120"/>
  <c r="R54" i="120"/>
  <c r="R55" i="120"/>
  <c r="I56" i="120"/>
  <c r="P56" i="120"/>
  <c r="R56" i="120" s="1"/>
  <c r="R58" i="120"/>
  <c r="R60" i="120"/>
  <c r="R63" i="120"/>
  <c r="E23" i="119"/>
  <c r="R31" i="119"/>
  <c r="I33" i="119"/>
  <c r="R33" i="119" s="1"/>
  <c r="R34" i="119"/>
  <c r="I35" i="119"/>
  <c r="I70" i="119" s="1"/>
  <c r="P35" i="119"/>
  <c r="R37" i="119"/>
  <c r="R39" i="119"/>
  <c r="R40" i="119"/>
  <c r="R41" i="119"/>
  <c r="R42" i="119"/>
  <c r="R43" i="119"/>
  <c r="R44" i="119"/>
  <c r="R45" i="119"/>
  <c r="R46" i="119"/>
  <c r="R47" i="119"/>
  <c r="P48" i="119"/>
  <c r="R48" i="119" s="1"/>
  <c r="R49" i="119"/>
  <c r="R50" i="119"/>
  <c r="I51" i="119"/>
  <c r="P51" i="119"/>
  <c r="R51" i="119" s="1"/>
  <c r="R53" i="119"/>
  <c r="R55" i="119"/>
  <c r="R56" i="119"/>
  <c r="I57" i="119"/>
  <c r="I65" i="119" s="1"/>
  <c r="P57" i="119"/>
  <c r="P65" i="119" s="1"/>
  <c r="R65" i="119" s="1"/>
  <c r="R59" i="119"/>
  <c r="R61" i="119"/>
  <c r="R63" i="119"/>
  <c r="I67" i="119"/>
  <c r="R67" i="119"/>
  <c r="R68" i="119"/>
  <c r="E23" i="110"/>
  <c r="R31" i="110"/>
  <c r="I33" i="110"/>
  <c r="I35" i="110" s="1"/>
  <c r="P33" i="110"/>
  <c r="P35" i="110" s="1"/>
  <c r="R35" i="110" s="1"/>
  <c r="R34" i="110"/>
  <c r="R37" i="110"/>
  <c r="R39" i="110"/>
  <c r="R40" i="110"/>
  <c r="R41" i="110"/>
  <c r="R42" i="110"/>
  <c r="R43" i="110"/>
  <c r="R44" i="110"/>
  <c r="R45" i="110"/>
  <c r="R46" i="110"/>
  <c r="R47" i="110"/>
  <c r="P48" i="110"/>
  <c r="P51" i="110" s="1"/>
  <c r="R51" i="110" s="1"/>
  <c r="R48" i="110"/>
  <c r="R49" i="110"/>
  <c r="R50" i="110"/>
  <c r="I51" i="110"/>
  <c r="R53" i="110"/>
  <c r="R55" i="110"/>
  <c r="R56" i="110"/>
  <c r="I57" i="110"/>
  <c r="P57" i="110"/>
  <c r="R59" i="110"/>
  <c r="R63" i="110"/>
  <c r="F37" i="109"/>
  <c r="F36" i="109"/>
  <c r="F35" i="109"/>
  <c r="F34" i="109"/>
  <c r="F33" i="109"/>
  <c r="F32" i="109"/>
  <c r="F31" i="109"/>
  <c r="F30" i="109"/>
  <c r="F29" i="109"/>
  <c r="F28" i="109"/>
  <c r="F27" i="109"/>
  <c r="F26" i="109"/>
  <c r="F25" i="109"/>
  <c r="F24" i="109"/>
  <c r="F23" i="109"/>
  <c r="F22" i="109"/>
  <c r="F21" i="109"/>
  <c r="F20" i="109"/>
  <c r="F19" i="109"/>
  <c r="F18" i="109"/>
  <c r="F17" i="109"/>
  <c r="F16" i="109"/>
  <c r="F15" i="109"/>
  <c r="F14" i="109"/>
  <c r="F11" i="109"/>
  <c r="F10" i="109"/>
  <c r="F9" i="109"/>
  <c r="F8" i="109"/>
  <c r="F7" i="109"/>
  <c r="F27" i="96"/>
  <c r="F23" i="96"/>
  <c r="J25" i="96"/>
  <c r="G25" i="96"/>
  <c r="J23" i="96"/>
  <c r="G23" i="96"/>
  <c r="G21" i="96"/>
  <c r="J20" i="96"/>
  <c r="J19" i="96"/>
  <c r="J27" i="96" s="1"/>
  <c r="J18" i="96"/>
  <c r="J16" i="96"/>
  <c r="G14" i="96"/>
  <c r="J13" i="96"/>
  <c r="C27" i="96"/>
  <c r="G12" i="119" l="1"/>
  <c r="L27" i="126"/>
  <c r="I13" i="126"/>
  <c r="K45" i="126"/>
  <c r="I19" i="126"/>
  <c r="I15" i="126"/>
  <c r="I14" i="126"/>
  <c r="E70" i="126"/>
  <c r="I16" i="126"/>
  <c r="I18" i="126"/>
  <c r="I17" i="126"/>
  <c r="E98" i="125"/>
  <c r="H45" i="125"/>
  <c r="K162" i="125"/>
  <c r="H59" i="125"/>
  <c r="J49" i="125"/>
  <c r="J48" i="125"/>
  <c r="J47" i="125"/>
  <c r="J46" i="125"/>
  <c r="J45" i="125"/>
  <c r="J44" i="125"/>
  <c r="J43" i="125"/>
  <c r="J42" i="125"/>
  <c r="J41" i="125"/>
  <c r="H47" i="125"/>
  <c r="H43" i="125"/>
  <c r="H46" i="125"/>
  <c r="H42" i="125"/>
  <c r="J26" i="125"/>
  <c r="J25" i="125"/>
  <c r="J24" i="125"/>
  <c r="J23" i="125"/>
  <c r="J22" i="125"/>
  <c r="J21" i="125"/>
  <c r="J18" i="125"/>
  <c r="J17" i="125"/>
  <c r="J16" i="125"/>
  <c r="J15" i="125"/>
  <c r="J14" i="125"/>
  <c r="J13" i="125"/>
  <c r="J12" i="125"/>
  <c r="H49" i="125"/>
  <c r="H44" i="125"/>
  <c r="J56" i="125"/>
  <c r="H48" i="125"/>
  <c r="H41" i="125"/>
  <c r="H26" i="125"/>
  <c r="H25" i="125"/>
  <c r="H24" i="125"/>
  <c r="H23" i="125"/>
  <c r="H22" i="125"/>
  <c r="H21" i="125"/>
  <c r="H18" i="125"/>
  <c r="H17" i="125"/>
  <c r="H16" i="125"/>
  <c r="H15" i="125"/>
  <c r="H14" i="125"/>
  <c r="H13" i="125"/>
  <c r="I64" i="124"/>
  <c r="P64" i="124"/>
  <c r="R72" i="123"/>
  <c r="U56" i="123"/>
  <c r="S12" i="123"/>
  <c r="S24" i="123"/>
  <c r="I72" i="123"/>
  <c r="S13" i="123" s="1"/>
  <c r="S50" i="122"/>
  <c r="P82" i="122"/>
  <c r="H81" i="122"/>
  <c r="J23" i="122" s="1"/>
  <c r="P67" i="122"/>
  <c r="S67" i="122" s="1"/>
  <c r="H82" i="122"/>
  <c r="H95" i="122" s="1"/>
  <c r="P68" i="122"/>
  <c r="S68" i="122" s="1"/>
  <c r="R81" i="122"/>
  <c r="I23" i="121"/>
  <c r="K77" i="121"/>
  <c r="I17" i="121"/>
  <c r="I21" i="121"/>
  <c r="I13" i="121"/>
  <c r="I12" i="121"/>
  <c r="Q66" i="121"/>
  <c r="R20" i="121"/>
  <c r="I18" i="121"/>
  <c r="R16" i="121"/>
  <c r="I14" i="121"/>
  <c r="R12" i="121"/>
  <c r="R35" i="121"/>
  <c r="U35" i="121" s="1"/>
  <c r="R23" i="121"/>
  <c r="R21" i="121"/>
  <c r="I19" i="121"/>
  <c r="R17" i="121"/>
  <c r="I15" i="121"/>
  <c r="R13" i="121"/>
  <c r="I77" i="121"/>
  <c r="I20" i="121"/>
  <c r="R18" i="121"/>
  <c r="I16" i="121"/>
  <c r="R14" i="121"/>
  <c r="I12" i="120"/>
  <c r="I16" i="120"/>
  <c r="I20" i="120"/>
  <c r="I15" i="120"/>
  <c r="I19" i="120"/>
  <c r="R74" i="120"/>
  <c r="I17" i="120"/>
  <c r="I14" i="120"/>
  <c r="I18" i="120"/>
  <c r="I23" i="120"/>
  <c r="I13" i="120"/>
  <c r="I21" i="120"/>
  <c r="R34" i="120"/>
  <c r="I65" i="120"/>
  <c r="G23" i="120"/>
  <c r="R52" i="120"/>
  <c r="I80" i="119"/>
  <c r="I82" i="119"/>
  <c r="R35" i="119"/>
  <c r="R57" i="119"/>
  <c r="G21" i="119"/>
  <c r="G17" i="119"/>
  <c r="G13" i="119"/>
  <c r="G18" i="119"/>
  <c r="G14" i="119"/>
  <c r="G23" i="119"/>
  <c r="G24" i="119"/>
  <c r="G19" i="119"/>
  <c r="G15" i="119"/>
  <c r="P70" i="119"/>
  <c r="I23" i="119" s="1"/>
  <c r="G20" i="119"/>
  <c r="G16" i="119"/>
  <c r="R57" i="110"/>
  <c r="I65" i="110"/>
  <c r="P65" i="110"/>
  <c r="R33" i="110"/>
  <c r="I23" i="110"/>
  <c r="G27" i="96"/>
  <c r="P24" i="119" l="1"/>
  <c r="P23" i="119"/>
  <c r="P14" i="119"/>
  <c r="P18" i="119"/>
  <c r="P21" i="119"/>
  <c r="P13" i="119"/>
  <c r="P12" i="119"/>
  <c r="P15" i="119"/>
  <c r="P20" i="119"/>
  <c r="P19" i="119"/>
  <c r="P17" i="119"/>
  <c r="P16" i="119"/>
  <c r="I19" i="119"/>
  <c r="I24" i="119"/>
  <c r="M24" i="119" s="1"/>
  <c r="I12" i="119"/>
  <c r="I20" i="119"/>
  <c r="K20" i="119" s="1"/>
  <c r="I15" i="119"/>
  <c r="K15" i="119" s="1"/>
  <c r="K58" i="126"/>
  <c r="L45" i="126"/>
  <c r="L22" i="125"/>
  <c r="K13" i="125"/>
  <c r="N13" i="125" s="1"/>
  <c r="K26" i="125"/>
  <c r="N26" i="125" s="1"/>
  <c r="L12" i="125"/>
  <c r="K12" i="125"/>
  <c r="N12" i="125" s="1"/>
  <c r="K44" i="125"/>
  <c r="N44" i="125" s="1"/>
  <c r="L56" i="125"/>
  <c r="K56" i="125"/>
  <c r="N56" i="125" s="1"/>
  <c r="L18" i="125"/>
  <c r="L46" i="125"/>
  <c r="K46" i="125"/>
  <c r="N46" i="125" s="1"/>
  <c r="K25" i="125"/>
  <c r="N25" i="125" s="1"/>
  <c r="L16" i="125"/>
  <c r="L21" i="125"/>
  <c r="L47" i="125"/>
  <c r="K47" i="125"/>
  <c r="N47" i="125" s="1"/>
  <c r="I29" i="125"/>
  <c r="I33" i="125"/>
  <c r="I37" i="125"/>
  <c r="I56" i="125"/>
  <c r="I12" i="125"/>
  <c r="I13" i="125"/>
  <c r="L13" i="125" s="1"/>
  <c r="I14" i="125"/>
  <c r="K14" i="125" s="1"/>
  <c r="N14" i="125" s="1"/>
  <c r="I15" i="125"/>
  <c r="K15" i="125" s="1"/>
  <c r="N15" i="125" s="1"/>
  <c r="I16" i="125"/>
  <c r="K16" i="125" s="1"/>
  <c r="N16" i="125" s="1"/>
  <c r="I17" i="125"/>
  <c r="K17" i="125" s="1"/>
  <c r="N17" i="125" s="1"/>
  <c r="I18" i="125"/>
  <c r="K18" i="125" s="1"/>
  <c r="N18" i="125" s="1"/>
  <c r="I21" i="125"/>
  <c r="K21" i="125" s="1"/>
  <c r="N21" i="125" s="1"/>
  <c r="I22" i="125"/>
  <c r="K22" i="125" s="1"/>
  <c r="N22" i="125" s="1"/>
  <c r="I23" i="125"/>
  <c r="K23" i="125" s="1"/>
  <c r="N23" i="125" s="1"/>
  <c r="I24" i="125"/>
  <c r="K24" i="125" s="1"/>
  <c r="N24" i="125" s="1"/>
  <c r="I25" i="125"/>
  <c r="L25" i="125" s="1"/>
  <c r="I26" i="125"/>
  <c r="L26" i="125" s="1"/>
  <c r="I31" i="125"/>
  <c r="I30" i="125"/>
  <c r="I34" i="125"/>
  <c r="I38" i="125"/>
  <c r="I41" i="125"/>
  <c r="L41" i="125" s="1"/>
  <c r="I42" i="125"/>
  <c r="L42" i="125" s="1"/>
  <c r="I43" i="125"/>
  <c r="L43" i="125" s="1"/>
  <c r="I44" i="125"/>
  <c r="L44" i="125" s="1"/>
  <c r="I45" i="125"/>
  <c r="L45" i="125" s="1"/>
  <c r="I46" i="125"/>
  <c r="I47" i="125"/>
  <c r="I48" i="125"/>
  <c r="L48" i="125" s="1"/>
  <c r="I49" i="125"/>
  <c r="L49" i="125" s="1"/>
  <c r="E162" i="125"/>
  <c r="I32" i="125"/>
  <c r="I36" i="125"/>
  <c r="I59" i="125"/>
  <c r="I35" i="125"/>
  <c r="L98" i="125"/>
  <c r="I12" i="124"/>
  <c r="I16" i="124"/>
  <c r="I20" i="124"/>
  <c r="P75" i="124"/>
  <c r="I15" i="124"/>
  <c r="I19" i="124"/>
  <c r="I17" i="124"/>
  <c r="R64" i="124"/>
  <c r="I23" i="124"/>
  <c r="I14" i="124"/>
  <c r="I18" i="124"/>
  <c r="I13" i="124"/>
  <c r="I21" i="124"/>
  <c r="G12" i="124"/>
  <c r="G16" i="124"/>
  <c r="G20" i="124"/>
  <c r="I75" i="124"/>
  <c r="G15" i="124"/>
  <c r="G21" i="124"/>
  <c r="G14" i="124"/>
  <c r="G18" i="124"/>
  <c r="G17" i="124"/>
  <c r="G19" i="124"/>
  <c r="G23" i="124"/>
  <c r="G13" i="124"/>
  <c r="S56" i="123"/>
  <c r="V24" i="123"/>
  <c r="S57" i="123"/>
  <c r="J35" i="122"/>
  <c r="J33" i="122"/>
  <c r="J19" i="122"/>
  <c r="J17" i="122"/>
  <c r="J39" i="122"/>
  <c r="J26" i="122"/>
  <c r="J24" i="122"/>
  <c r="J22" i="122"/>
  <c r="J37" i="122"/>
  <c r="J14" i="122"/>
  <c r="J29" i="122"/>
  <c r="J30" i="122"/>
  <c r="J38" i="122"/>
  <c r="J13" i="122"/>
  <c r="J21" i="122"/>
  <c r="H94" i="122"/>
  <c r="J28" i="122"/>
  <c r="J12" i="122"/>
  <c r="J36" i="122"/>
  <c r="J27" i="122"/>
  <c r="J25" i="122"/>
  <c r="J31" i="122"/>
  <c r="P95" i="122"/>
  <c r="S82" i="122"/>
  <c r="J34" i="122"/>
  <c r="J32" i="122"/>
  <c r="P81" i="122"/>
  <c r="J18" i="122"/>
  <c r="J16" i="122"/>
  <c r="J20" i="122"/>
  <c r="J15" i="122"/>
  <c r="K23" i="121"/>
  <c r="T66" i="121"/>
  <c r="K12" i="121"/>
  <c r="K16" i="121"/>
  <c r="Q77" i="121"/>
  <c r="K15" i="121"/>
  <c r="R66" i="121"/>
  <c r="R19" i="121"/>
  <c r="R15" i="121"/>
  <c r="G12" i="120"/>
  <c r="G16" i="120"/>
  <c r="M16" i="120" s="1"/>
  <c r="G20" i="120"/>
  <c r="K20" i="120" s="1"/>
  <c r="G15" i="120"/>
  <c r="G19" i="120"/>
  <c r="K19" i="120" s="1"/>
  <c r="I74" i="120"/>
  <c r="G17" i="120"/>
  <c r="K17" i="120" s="1"/>
  <c r="G21" i="120"/>
  <c r="M21" i="120" s="1"/>
  <c r="G14" i="120"/>
  <c r="G18" i="120"/>
  <c r="M18" i="120" s="1"/>
  <c r="G13" i="120"/>
  <c r="K13" i="120" s="1"/>
  <c r="M17" i="120"/>
  <c r="K15" i="120"/>
  <c r="M15" i="120"/>
  <c r="R65" i="120"/>
  <c r="M23" i="120"/>
  <c r="K23" i="120"/>
  <c r="K18" i="120"/>
  <c r="K16" i="120"/>
  <c r="K14" i="120"/>
  <c r="M14" i="120"/>
  <c r="K12" i="120"/>
  <c r="M12" i="120"/>
  <c r="M23" i="119"/>
  <c r="K23" i="119"/>
  <c r="M19" i="119"/>
  <c r="K19" i="119"/>
  <c r="K12" i="119"/>
  <c r="M12" i="119"/>
  <c r="I16" i="119"/>
  <c r="I14" i="119"/>
  <c r="P82" i="119"/>
  <c r="P80" i="119"/>
  <c r="I18" i="119"/>
  <c r="R70" i="119"/>
  <c r="I13" i="119"/>
  <c r="I17" i="119"/>
  <c r="I21" i="119"/>
  <c r="G13" i="110"/>
  <c r="G17" i="110"/>
  <c r="G21" i="110"/>
  <c r="G12" i="110"/>
  <c r="G16" i="110"/>
  <c r="G20" i="110"/>
  <c r="G15" i="110"/>
  <c r="G19" i="110"/>
  <c r="G14" i="110"/>
  <c r="G18" i="110"/>
  <c r="I77" i="110"/>
  <c r="G24" i="110"/>
  <c r="P77" i="110"/>
  <c r="I13" i="110"/>
  <c r="I17" i="110"/>
  <c r="I21" i="110"/>
  <c r="I12" i="110"/>
  <c r="I16" i="110"/>
  <c r="I20" i="110"/>
  <c r="I14" i="110"/>
  <c r="I15" i="110"/>
  <c r="I18" i="110"/>
  <c r="I19" i="110"/>
  <c r="R65" i="110"/>
  <c r="I24" i="110"/>
  <c r="G23" i="110"/>
  <c r="K23" i="110" s="1"/>
  <c r="K24" i="119" l="1"/>
  <c r="M20" i="119"/>
  <c r="M15" i="119"/>
  <c r="J13" i="126"/>
  <c r="J14" i="126"/>
  <c r="J12" i="126"/>
  <c r="J17" i="126"/>
  <c r="L58" i="126"/>
  <c r="J15" i="126"/>
  <c r="J19" i="126"/>
  <c r="J16" i="126"/>
  <c r="K70" i="126"/>
  <c r="J18" i="126"/>
  <c r="L59" i="125"/>
  <c r="K59" i="125"/>
  <c r="N59" i="125" s="1"/>
  <c r="K45" i="125"/>
  <c r="N45" i="125" s="1"/>
  <c r="K42" i="125"/>
  <c r="N42" i="125" s="1"/>
  <c r="L23" i="125"/>
  <c r="L24" i="125"/>
  <c r="L14" i="125"/>
  <c r="K49" i="125"/>
  <c r="N49" i="125" s="1"/>
  <c r="K43" i="125"/>
  <c r="N43" i="125" s="1"/>
  <c r="K48" i="125"/>
  <c r="N48" i="125" s="1"/>
  <c r="K41" i="125"/>
  <c r="N41" i="125" s="1"/>
  <c r="L15" i="125"/>
  <c r="L17" i="125"/>
  <c r="K17" i="124"/>
  <c r="M17" i="124"/>
  <c r="K19" i="124"/>
  <c r="P19" i="124" s="1"/>
  <c r="M19" i="124"/>
  <c r="K21" i="124"/>
  <c r="M21" i="124"/>
  <c r="K15" i="124"/>
  <c r="P15" i="124" s="1"/>
  <c r="M15" i="124"/>
  <c r="K13" i="124"/>
  <c r="M13" i="124"/>
  <c r="K18" i="124"/>
  <c r="P18" i="124" s="1"/>
  <c r="M18" i="124"/>
  <c r="M20" i="124"/>
  <c r="K20" i="124"/>
  <c r="M14" i="124"/>
  <c r="K14" i="124"/>
  <c r="P14" i="124" s="1"/>
  <c r="K16" i="124"/>
  <c r="M16" i="124"/>
  <c r="O14" i="124"/>
  <c r="O18" i="124"/>
  <c r="O23" i="124"/>
  <c r="O13" i="124"/>
  <c r="O17" i="124"/>
  <c r="O21" i="124"/>
  <c r="O15" i="124"/>
  <c r="O12" i="124"/>
  <c r="O16" i="124"/>
  <c r="O20" i="124"/>
  <c r="O19" i="124"/>
  <c r="M23" i="124"/>
  <c r="K23" i="124"/>
  <c r="P23" i="124" s="1"/>
  <c r="K12" i="124"/>
  <c r="P12" i="124" s="1"/>
  <c r="M12" i="124"/>
  <c r="S73" i="123"/>
  <c r="V57" i="123"/>
  <c r="S72" i="123"/>
  <c r="V56" i="123"/>
  <c r="M13" i="123"/>
  <c r="M12" i="123"/>
  <c r="R18" i="122"/>
  <c r="R34" i="122"/>
  <c r="R33" i="122"/>
  <c r="R17" i="122"/>
  <c r="R25" i="122"/>
  <c r="R26" i="122"/>
  <c r="R35" i="122"/>
  <c r="R29" i="122"/>
  <c r="R31" i="122"/>
  <c r="R36" i="122"/>
  <c r="R38" i="122"/>
  <c r="R16" i="122"/>
  <c r="R21" i="122"/>
  <c r="R23" i="122"/>
  <c r="R22" i="122"/>
  <c r="R12" i="122"/>
  <c r="R14" i="122"/>
  <c r="R27" i="122"/>
  <c r="R32" i="122"/>
  <c r="R28" i="122"/>
  <c r="R30" i="122"/>
  <c r="R39" i="122"/>
  <c r="R19" i="122"/>
  <c r="R24" i="122"/>
  <c r="R20" i="122"/>
  <c r="R37" i="122"/>
  <c r="R13" i="122"/>
  <c r="R15" i="122"/>
  <c r="L14" i="122"/>
  <c r="S81" i="122"/>
  <c r="L22" i="122"/>
  <c r="P94" i="122"/>
  <c r="L38" i="122"/>
  <c r="L30" i="122"/>
  <c r="L13" i="122"/>
  <c r="L17" i="122"/>
  <c r="L19" i="122"/>
  <c r="L32" i="122"/>
  <c r="L26" i="122"/>
  <c r="L28" i="122"/>
  <c r="L37" i="122"/>
  <c r="L39" i="122"/>
  <c r="L33" i="122"/>
  <c r="L35" i="122"/>
  <c r="L12" i="122"/>
  <c r="L24" i="122"/>
  <c r="L31" i="122"/>
  <c r="L18" i="122"/>
  <c r="L23" i="122"/>
  <c r="L20" i="122"/>
  <c r="L29" i="122"/>
  <c r="L34" i="122"/>
  <c r="L36" i="122"/>
  <c r="L15" i="122"/>
  <c r="L25" i="122"/>
  <c r="L27" i="122"/>
  <c r="L16" i="122"/>
  <c r="L21" i="122"/>
  <c r="U66" i="121"/>
  <c r="R77" i="121"/>
  <c r="K18" i="121"/>
  <c r="M12" i="121"/>
  <c r="T12" i="121" s="1"/>
  <c r="O12" i="121"/>
  <c r="K19" i="121"/>
  <c r="M23" i="121"/>
  <c r="T23" i="121" s="1"/>
  <c r="O23" i="121"/>
  <c r="K21" i="121"/>
  <c r="M16" i="121"/>
  <c r="T16" i="121" s="1"/>
  <c r="O16" i="121"/>
  <c r="M15" i="121"/>
  <c r="T15" i="121" s="1"/>
  <c r="O15" i="121"/>
  <c r="K14" i="121"/>
  <c r="K17" i="121"/>
  <c r="K20" i="121"/>
  <c r="K13" i="121"/>
  <c r="R13" i="120"/>
  <c r="R20" i="120"/>
  <c r="M19" i="120"/>
  <c r="K21" i="120"/>
  <c r="P14" i="120"/>
  <c r="R14" i="120" s="1"/>
  <c r="P18" i="120"/>
  <c r="R18" i="120" s="1"/>
  <c r="P23" i="120"/>
  <c r="R23" i="120" s="1"/>
  <c r="P13" i="120"/>
  <c r="P17" i="120"/>
  <c r="R17" i="120" s="1"/>
  <c r="P19" i="120"/>
  <c r="R19" i="120" s="1"/>
  <c r="P12" i="120"/>
  <c r="R12" i="120" s="1"/>
  <c r="P16" i="120"/>
  <c r="P20" i="120"/>
  <c r="P15" i="120"/>
  <c r="P21" i="120"/>
  <c r="R16" i="120"/>
  <c r="M13" i="120"/>
  <c r="M20" i="120"/>
  <c r="R15" i="120"/>
  <c r="K17" i="119"/>
  <c r="M17" i="119"/>
  <c r="K13" i="119"/>
  <c r="M13" i="119"/>
  <c r="K16" i="119"/>
  <c r="M16" i="119"/>
  <c r="K14" i="119"/>
  <c r="M14" i="119"/>
  <c r="K18" i="119"/>
  <c r="M18" i="119"/>
  <c r="R12" i="119"/>
  <c r="R20" i="119"/>
  <c r="R15" i="119"/>
  <c r="R19" i="119"/>
  <c r="R23" i="119"/>
  <c r="K21" i="119"/>
  <c r="R21" i="119" s="1"/>
  <c r="M21" i="119"/>
  <c r="K14" i="110"/>
  <c r="R14" i="110" s="1"/>
  <c r="M14" i="110"/>
  <c r="K16" i="110"/>
  <c r="M16" i="110"/>
  <c r="M23" i="110"/>
  <c r="K15" i="110"/>
  <c r="M15" i="110"/>
  <c r="M24" i="110"/>
  <c r="K24" i="110"/>
  <c r="K12" i="110"/>
  <c r="M12" i="110"/>
  <c r="K20" i="110"/>
  <c r="M20" i="110"/>
  <c r="K21" i="110"/>
  <c r="M21" i="110"/>
  <c r="K19" i="110"/>
  <c r="R19" i="110" s="1"/>
  <c r="M19" i="110"/>
  <c r="K17" i="110"/>
  <c r="M17" i="110"/>
  <c r="P15" i="110"/>
  <c r="P19" i="110"/>
  <c r="P24" i="110"/>
  <c r="P14" i="110"/>
  <c r="P18" i="110"/>
  <c r="P13" i="110"/>
  <c r="P17" i="110"/>
  <c r="P21" i="110"/>
  <c r="P16" i="110"/>
  <c r="P20" i="110"/>
  <c r="P12" i="110"/>
  <c r="P23" i="110"/>
  <c r="R23" i="110" s="1"/>
  <c r="K18" i="110"/>
  <c r="R18" i="110" s="1"/>
  <c r="M18" i="110"/>
  <c r="K13" i="110"/>
  <c r="R13" i="110" s="1"/>
  <c r="M13" i="110"/>
  <c r="R13" i="119" l="1"/>
  <c r="R24" i="119"/>
  <c r="R18" i="119"/>
  <c r="R17" i="119"/>
  <c r="R16" i="119"/>
  <c r="L16" i="126"/>
  <c r="K16" i="126"/>
  <c r="O16" i="126" s="1"/>
  <c r="L19" i="126"/>
  <c r="K19" i="126"/>
  <c r="O19" i="126" s="1"/>
  <c r="K15" i="126"/>
  <c r="O15" i="126" s="1"/>
  <c r="L15" i="126"/>
  <c r="K17" i="126"/>
  <c r="O17" i="126" s="1"/>
  <c r="L17" i="126"/>
  <c r="K12" i="126"/>
  <c r="O12" i="126" s="1"/>
  <c r="L12" i="126"/>
  <c r="K18" i="126"/>
  <c r="O18" i="126" s="1"/>
  <c r="L18" i="126"/>
  <c r="K14" i="126"/>
  <c r="O14" i="126" s="1"/>
  <c r="L14" i="126"/>
  <c r="K13" i="126"/>
  <c r="O13" i="126" s="1"/>
  <c r="L13" i="126"/>
  <c r="P20" i="124"/>
  <c r="P21" i="124"/>
  <c r="P16" i="124"/>
  <c r="P13" i="124"/>
  <c r="P17" i="124"/>
  <c r="O13" i="123"/>
  <c r="U13" i="123" s="1"/>
  <c r="Q13" i="123"/>
  <c r="O12" i="123"/>
  <c r="U12" i="123" s="1"/>
  <c r="Q12" i="123"/>
  <c r="N37" i="122"/>
  <c r="S37" i="122" s="1"/>
  <c r="P37" i="122"/>
  <c r="N28" i="122"/>
  <c r="S28" i="122" s="1"/>
  <c r="P28" i="122"/>
  <c r="P25" i="122"/>
  <c r="N25" i="122"/>
  <c r="S25" i="122" s="1"/>
  <c r="N26" i="122"/>
  <c r="S26" i="122" s="1"/>
  <c r="P26" i="122"/>
  <c r="P15" i="122"/>
  <c r="N15" i="122"/>
  <c r="S15" i="122" s="1"/>
  <c r="P24" i="122"/>
  <c r="N24" i="122"/>
  <c r="S24" i="122" s="1"/>
  <c r="N32" i="122"/>
  <c r="S32" i="122" s="1"/>
  <c r="P32" i="122"/>
  <c r="N38" i="122"/>
  <c r="S38" i="122" s="1"/>
  <c r="P38" i="122"/>
  <c r="N27" i="122"/>
  <c r="S27" i="122" s="1"/>
  <c r="P27" i="122"/>
  <c r="P31" i="122"/>
  <c r="N31" i="122"/>
  <c r="S31" i="122" s="1"/>
  <c r="N22" i="122"/>
  <c r="S22" i="122" s="1"/>
  <c r="P22" i="122"/>
  <c r="N36" i="122"/>
  <c r="S36" i="122" s="1"/>
  <c r="P36" i="122"/>
  <c r="N12" i="122"/>
  <c r="S12" i="122" s="1"/>
  <c r="P12" i="122"/>
  <c r="N19" i="122"/>
  <c r="S19" i="122" s="1"/>
  <c r="P19" i="122"/>
  <c r="N14" i="122"/>
  <c r="S14" i="122" s="1"/>
  <c r="P14" i="122"/>
  <c r="P16" i="122"/>
  <c r="N16" i="122"/>
  <c r="S16" i="122" s="1"/>
  <c r="N18" i="122"/>
  <c r="S18" i="122" s="1"/>
  <c r="P18" i="122"/>
  <c r="N34" i="122"/>
  <c r="S34" i="122" s="1"/>
  <c r="P34" i="122"/>
  <c r="N35" i="122"/>
  <c r="S35" i="122" s="1"/>
  <c r="P35" i="122"/>
  <c r="P17" i="122"/>
  <c r="N17" i="122"/>
  <c r="S17" i="122" s="1"/>
  <c r="P23" i="122"/>
  <c r="N23" i="122"/>
  <c r="S23" i="122" s="1"/>
  <c r="N29" i="122"/>
  <c r="S29" i="122" s="1"/>
  <c r="P29" i="122"/>
  <c r="P33" i="122"/>
  <c r="N33" i="122"/>
  <c r="S33" i="122" s="1"/>
  <c r="N13" i="122"/>
  <c r="S13" i="122" s="1"/>
  <c r="P13" i="122"/>
  <c r="N21" i="122"/>
  <c r="S21" i="122" s="1"/>
  <c r="P21" i="122"/>
  <c r="N20" i="122"/>
  <c r="S20" i="122" s="1"/>
  <c r="P20" i="122"/>
  <c r="P39" i="122"/>
  <c r="N39" i="122"/>
  <c r="S39" i="122" s="1"/>
  <c r="N30" i="122"/>
  <c r="S30" i="122" s="1"/>
  <c r="P30" i="122"/>
  <c r="M13" i="121"/>
  <c r="T13" i="121" s="1"/>
  <c r="O13" i="121"/>
  <c r="M20" i="121"/>
  <c r="T20" i="121" s="1"/>
  <c r="O20" i="121"/>
  <c r="M17" i="121"/>
  <c r="T17" i="121" s="1"/>
  <c r="O17" i="121"/>
  <c r="M21" i="121"/>
  <c r="T21" i="121" s="1"/>
  <c r="O21" i="121"/>
  <c r="O14" i="121"/>
  <c r="M14" i="121"/>
  <c r="T14" i="121" s="1"/>
  <c r="O18" i="121"/>
  <c r="M18" i="121"/>
  <c r="T18" i="121" s="1"/>
  <c r="O19" i="121"/>
  <c r="M19" i="121"/>
  <c r="T19" i="121" s="1"/>
  <c r="R21" i="120"/>
  <c r="R14" i="119"/>
  <c r="R12" i="110"/>
  <c r="R21" i="110"/>
  <c r="R24" i="110"/>
  <c r="R17" i="110"/>
  <c r="R20" i="110"/>
  <c r="R15" i="110"/>
  <c r="R16" i="110"/>
  <c r="K27" i="97" l="1"/>
  <c r="Q25" i="100"/>
  <c r="P25" i="100"/>
  <c r="K81" i="99"/>
  <c r="G7" i="106" l="1"/>
  <c r="H7" i="106"/>
  <c r="I7" i="106"/>
  <c r="G8" i="106"/>
  <c r="H8" i="106"/>
  <c r="I8" i="106"/>
  <c r="H9" i="106"/>
  <c r="I9" i="106"/>
  <c r="G10" i="106"/>
  <c r="H10" i="106"/>
  <c r="I10" i="106"/>
  <c r="G11" i="106"/>
  <c r="H11" i="106"/>
  <c r="I11" i="106"/>
  <c r="G12" i="106"/>
  <c r="H12" i="106"/>
  <c r="I12" i="106"/>
  <c r="G13" i="106"/>
  <c r="H13" i="106"/>
  <c r="I13" i="106"/>
  <c r="O13" i="106"/>
  <c r="G14" i="106"/>
  <c r="H14" i="106"/>
  <c r="I14" i="106"/>
  <c r="O14" i="106"/>
  <c r="G15" i="106"/>
  <c r="H15" i="106"/>
  <c r="I15" i="106"/>
  <c r="G16" i="106"/>
  <c r="H16" i="106"/>
  <c r="I16" i="106"/>
  <c r="H17" i="106"/>
  <c r="G18" i="106"/>
  <c r="H18" i="106"/>
  <c r="I18" i="106"/>
  <c r="G19" i="106"/>
  <c r="H19" i="106"/>
  <c r="I19" i="106"/>
  <c r="G20" i="106"/>
  <c r="H20" i="106"/>
  <c r="I20" i="106"/>
  <c r="G21" i="106"/>
  <c r="H21" i="106"/>
  <c r="G22" i="106"/>
  <c r="H22" i="106"/>
  <c r="G23" i="106"/>
  <c r="H23" i="106"/>
  <c r="I23" i="106"/>
  <c r="O23" i="106"/>
  <c r="H24" i="106"/>
  <c r="I24" i="106"/>
  <c r="K24" i="106"/>
  <c r="G24" i="106" s="1"/>
  <c r="G25" i="106"/>
  <c r="H25" i="106"/>
  <c r="G26" i="106"/>
  <c r="H26" i="106"/>
  <c r="I26" i="106"/>
  <c r="G27" i="106"/>
  <c r="H27" i="106"/>
  <c r="I27" i="106"/>
  <c r="O27" i="106"/>
  <c r="G28" i="106"/>
  <c r="H28" i="106"/>
  <c r="E102" i="87" s="1"/>
  <c r="I28" i="106"/>
  <c r="K31" i="106"/>
  <c r="G38" i="106"/>
  <c r="I38" i="106"/>
  <c r="G39" i="106"/>
  <c r="G45" i="106" s="1"/>
  <c r="I39" i="106"/>
  <c r="G40" i="106"/>
  <c r="G42" i="106"/>
  <c r="G17" i="106" s="1"/>
  <c r="I42" i="106"/>
  <c r="H45" i="106"/>
  <c r="U17" i="92"/>
  <c r="U12" i="92"/>
  <c r="I32" i="106" l="1"/>
  <c r="H32" i="106"/>
  <c r="H47" i="106" s="1"/>
  <c r="I45" i="106"/>
  <c r="I47" i="106" s="1"/>
  <c r="G9" i="106"/>
  <c r="G32" i="106" s="1"/>
  <c r="G47" i="106" s="1"/>
  <c r="C109" i="87"/>
  <c r="C108" i="87"/>
  <c r="E53" i="105" l="1"/>
  <c r="C22" i="105" s="1"/>
  <c r="D24" i="105" s="1"/>
  <c r="E24" i="105" s="1"/>
  <c r="E52" i="105"/>
  <c r="E51" i="105"/>
  <c r="E50" i="105"/>
  <c r="D53" i="105"/>
  <c r="C16" i="105" s="1"/>
  <c r="D52" i="105"/>
  <c r="D51" i="105"/>
  <c r="D50" i="105"/>
  <c r="C18" i="105" s="1"/>
  <c r="C53" i="105"/>
  <c r="C52" i="105"/>
  <c r="C51" i="105"/>
  <c r="C50" i="105"/>
  <c r="A9" i="105"/>
  <c r="A10" i="105" s="1"/>
  <c r="A11" i="105" s="1"/>
  <c r="A12" i="105" s="1"/>
  <c r="A13" i="105" s="1"/>
  <c r="A14" i="105" s="1"/>
  <c r="A15" i="105" s="1"/>
  <c r="A16" i="105" s="1"/>
  <c r="A17" i="105" s="1"/>
  <c r="A18" i="105" s="1"/>
  <c r="A19" i="105" s="1"/>
  <c r="A20" i="105" s="1"/>
  <c r="A21" i="105" s="1"/>
  <c r="A22" i="105" s="1"/>
  <c r="A23" i="105" s="1"/>
  <c r="A24" i="105" s="1"/>
  <c r="A25" i="105" s="1"/>
  <c r="A26" i="105" s="1"/>
  <c r="A27" i="105" s="1"/>
  <c r="A28" i="105" s="1"/>
  <c r="A29" i="105" s="1"/>
  <c r="A30" i="105" s="1"/>
  <c r="A31" i="105" s="1"/>
  <c r="A32" i="105" s="1"/>
  <c r="A33" i="105" s="1"/>
  <c r="A34" i="105" s="1"/>
  <c r="A35" i="105" s="1"/>
  <c r="A36" i="105" s="1"/>
  <c r="A37" i="105" s="1"/>
  <c r="A38" i="105" s="1"/>
  <c r="A39" i="105" s="1"/>
  <c r="A40" i="105" s="1"/>
  <c r="A41" i="105" s="1"/>
  <c r="A42" i="105" s="1"/>
  <c r="A43" i="105" s="1"/>
  <c r="A44" i="105" s="1"/>
  <c r="A45" i="105" s="1"/>
  <c r="A46" i="105" s="1"/>
  <c r="A47" i="105" s="1"/>
  <c r="A48" i="105" s="1"/>
  <c r="A49" i="105" s="1"/>
  <c r="A50" i="105" s="1"/>
  <c r="A51" i="105" s="1"/>
  <c r="A52" i="105" s="1"/>
  <c r="A53" i="105" s="1"/>
  <c r="A54" i="105" s="1"/>
  <c r="A55" i="105" s="1"/>
  <c r="C10" i="105"/>
  <c r="C12" i="105"/>
  <c r="D12" i="105" s="1"/>
  <c r="C13" i="105"/>
  <c r="C14" i="105"/>
  <c r="C19" i="105"/>
  <c r="C20" i="105"/>
  <c r="C24" i="105"/>
  <c r="C25" i="105"/>
  <c r="C26" i="105"/>
  <c r="E31" i="105"/>
  <c r="E40" i="105" s="1"/>
  <c r="A9" i="104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7" i="104" s="1"/>
  <c r="A28" i="104" s="1"/>
  <c r="A29" i="104" s="1"/>
  <c r="A30" i="104" s="1"/>
  <c r="E9" i="104"/>
  <c r="E27" i="104" s="1"/>
  <c r="C27" i="104" s="1"/>
  <c r="I9" i="104"/>
  <c r="M9" i="104"/>
  <c r="E10" i="104"/>
  <c r="I10" i="104"/>
  <c r="M10" i="104"/>
  <c r="M28" i="104" s="1"/>
  <c r="K28" i="104" s="1"/>
  <c r="E11" i="104"/>
  <c r="I11" i="104"/>
  <c r="M11" i="104"/>
  <c r="D12" i="104"/>
  <c r="D19" i="104" s="1"/>
  <c r="H12" i="104"/>
  <c r="I12" i="104" s="1"/>
  <c r="L12" i="104"/>
  <c r="M12" i="104"/>
  <c r="E14" i="104"/>
  <c r="I14" i="104"/>
  <c r="I27" i="104" s="1"/>
  <c r="M14" i="104"/>
  <c r="E15" i="104"/>
  <c r="I15" i="104"/>
  <c r="M15" i="104"/>
  <c r="E16" i="104"/>
  <c r="I16" i="104"/>
  <c r="M16" i="104"/>
  <c r="D17" i="104"/>
  <c r="E17" i="104"/>
  <c r="H17" i="104"/>
  <c r="I17" i="104" s="1"/>
  <c r="L17" i="104"/>
  <c r="L19" i="104" s="1"/>
  <c r="D27" i="104"/>
  <c r="H27" i="104"/>
  <c r="L27" i="104"/>
  <c r="D28" i="104"/>
  <c r="D30" i="104" s="1"/>
  <c r="E28" i="104"/>
  <c r="H28" i="104"/>
  <c r="L28" i="104"/>
  <c r="D29" i="104"/>
  <c r="E29" i="104"/>
  <c r="C29" i="104" s="1"/>
  <c r="H29" i="104"/>
  <c r="L29" i="104"/>
  <c r="L30" i="104" s="1"/>
  <c r="M29" i="104"/>
  <c r="K29" i="104" s="1"/>
  <c r="A71" i="69"/>
  <c r="A73" i="69"/>
  <c r="A9" i="103"/>
  <c r="A10" i="103" s="1"/>
  <c r="A11" i="103" s="1"/>
  <c r="A12" i="103" s="1"/>
  <c r="A13" i="103" s="1"/>
  <c r="A14" i="103" s="1"/>
  <c r="A15" i="103" s="1"/>
  <c r="A16" i="103" s="1"/>
  <c r="A17" i="103" s="1"/>
  <c r="A18" i="103" s="1"/>
  <c r="A19" i="103" s="1"/>
  <c r="A20" i="103" s="1"/>
  <c r="A21" i="103" s="1"/>
  <c r="A22" i="103" s="1"/>
  <c r="A23" i="103" s="1"/>
  <c r="A26" i="103" s="1"/>
  <c r="A27" i="103" s="1"/>
  <c r="A28" i="103" s="1"/>
  <c r="A29" i="103" s="1"/>
  <c r="A30" i="103" s="1"/>
  <c r="A31" i="103" s="1"/>
  <c r="G9" i="103"/>
  <c r="G10" i="103" s="1"/>
  <c r="G11" i="103" s="1"/>
  <c r="G12" i="103" s="1"/>
  <c r="N6" i="103"/>
  <c r="M6" i="103"/>
  <c r="L6" i="103"/>
  <c r="K6" i="103"/>
  <c r="I6" i="103"/>
  <c r="H6" i="103"/>
  <c r="D25" i="105" l="1"/>
  <c r="E25" i="105" s="1"/>
  <c r="D26" i="105"/>
  <c r="E26" i="105" s="1"/>
  <c r="D19" i="105"/>
  <c r="E19" i="105" s="1"/>
  <c r="D18" i="105"/>
  <c r="E18" i="105" s="1"/>
  <c r="D14" i="105"/>
  <c r="D13" i="105"/>
  <c r="D20" i="105"/>
  <c r="E20" i="105" s="1"/>
  <c r="I28" i="104"/>
  <c r="G28" i="104" s="1"/>
  <c r="M27" i="104"/>
  <c r="K27" i="104" s="1"/>
  <c r="H30" i="104"/>
  <c r="I29" i="104"/>
  <c r="G29" i="104" s="1"/>
  <c r="M17" i="104"/>
  <c r="M19" i="104" s="1"/>
  <c r="K19" i="104" s="1"/>
  <c r="I19" i="104"/>
  <c r="E12" i="104"/>
  <c r="E19" i="104" s="1"/>
  <c r="C19" i="104" s="1"/>
  <c r="E30" i="104"/>
  <c r="C30" i="104" s="1"/>
  <c r="M30" i="104"/>
  <c r="K30" i="104" s="1"/>
  <c r="G27" i="104"/>
  <c r="I30" i="104"/>
  <c r="G30" i="104" s="1"/>
  <c r="C28" i="104"/>
  <c r="H19" i="104"/>
  <c r="G19" i="104" s="1"/>
  <c r="H10" i="103"/>
  <c r="H11" i="103"/>
  <c r="G13" i="103"/>
  <c r="H12" i="103"/>
  <c r="H8" i="103"/>
  <c r="H9" i="103"/>
  <c r="H13" i="103" l="1"/>
  <c r="G14" i="103"/>
  <c r="G15" i="103" l="1"/>
  <c r="H14" i="103"/>
  <c r="G16" i="103" l="1"/>
  <c r="H15" i="103"/>
  <c r="G17" i="103" l="1"/>
  <c r="H16" i="103"/>
  <c r="G18" i="103" l="1"/>
  <c r="H18" i="103" s="1"/>
  <c r="H17" i="103"/>
  <c r="E28" i="103" l="1"/>
  <c r="E30" i="103" s="1"/>
  <c r="J18" i="103" l="1"/>
  <c r="J11" i="103"/>
  <c r="J15" i="103"/>
  <c r="J16" i="103"/>
  <c r="J8" i="103"/>
  <c r="J10" i="103"/>
  <c r="J12" i="103"/>
  <c r="J14" i="103"/>
  <c r="J17" i="103"/>
  <c r="J9" i="103"/>
  <c r="J13" i="103"/>
  <c r="E25" i="103" l="1"/>
  <c r="I9" i="103" l="1"/>
  <c r="K9" i="103" s="1"/>
  <c r="M9" i="103" s="1"/>
  <c r="N9" i="103" s="1"/>
  <c r="I11" i="103"/>
  <c r="K11" i="103" s="1"/>
  <c r="M11" i="103" s="1"/>
  <c r="N11" i="103" s="1"/>
  <c r="I13" i="103"/>
  <c r="K13" i="103" s="1"/>
  <c r="M13" i="103" s="1"/>
  <c r="N13" i="103" s="1"/>
  <c r="I15" i="103"/>
  <c r="K15" i="103" s="1"/>
  <c r="M15" i="103" s="1"/>
  <c r="N15" i="103" s="1"/>
  <c r="I16" i="103"/>
  <c r="K16" i="103" s="1"/>
  <c r="M16" i="103" s="1"/>
  <c r="N16" i="103" s="1"/>
  <c r="I10" i="103"/>
  <c r="K10" i="103" s="1"/>
  <c r="M10" i="103" s="1"/>
  <c r="N10" i="103" s="1"/>
  <c r="I17" i="103"/>
  <c r="K17" i="103" s="1"/>
  <c r="M17" i="103" s="1"/>
  <c r="N17" i="103" s="1"/>
  <c r="I8" i="103"/>
  <c r="K8" i="103" s="1"/>
  <c r="M8" i="103" s="1"/>
  <c r="N8" i="103" s="1"/>
  <c r="I14" i="103"/>
  <c r="K14" i="103" s="1"/>
  <c r="M14" i="103" s="1"/>
  <c r="N14" i="103" s="1"/>
  <c r="I12" i="103"/>
  <c r="K12" i="103" s="1"/>
  <c r="M12" i="103" s="1"/>
  <c r="N12" i="103" s="1"/>
  <c r="I18" i="103"/>
  <c r="K18" i="103" s="1"/>
  <c r="M18" i="103" s="1"/>
  <c r="N18" i="103" s="1"/>
  <c r="A29" i="95" l="1"/>
  <c r="A69" i="69"/>
  <c r="A8" i="69"/>
  <c r="A10" i="69"/>
  <c r="A20" i="69"/>
  <c r="A28" i="69"/>
  <c r="A37" i="69"/>
  <c r="A46" i="69"/>
  <c r="A52" i="69"/>
  <c r="A60" i="69"/>
  <c r="A62" i="69"/>
  <c r="A65" i="69"/>
  <c r="A67" i="69"/>
  <c r="A80" i="69"/>
  <c r="A81" i="69"/>
  <c r="B82" i="69"/>
  <c r="A18" i="102"/>
  <c r="A20" i="102" s="1"/>
  <c r="A22" i="102" s="1"/>
  <c r="A24" i="102" s="1"/>
  <c r="A26" i="102" s="1"/>
  <c r="A28" i="102" s="1"/>
  <c r="A31" i="102" s="1"/>
  <c r="A32" i="102" s="1"/>
  <c r="A33" i="102" s="1"/>
  <c r="A37" i="102" s="1"/>
  <c r="A39" i="102" s="1"/>
  <c r="A41" i="102" s="1"/>
  <c r="A42" i="102" s="1"/>
  <c r="A43" i="102" s="1"/>
  <c r="A45" i="102" s="1"/>
  <c r="A47" i="102" s="1"/>
  <c r="A48" i="102" s="1"/>
  <c r="A49" i="102" s="1"/>
  <c r="A51" i="102" s="1"/>
  <c r="A53" i="102" s="1"/>
  <c r="A56" i="102" s="1"/>
  <c r="A57" i="102" s="1"/>
  <c r="A58" i="102" s="1"/>
  <c r="A59" i="102" s="1"/>
  <c r="E59" i="102"/>
  <c r="E33" i="102"/>
  <c r="A7" i="69" l="1"/>
  <c r="B74" i="69"/>
  <c r="A9" i="69"/>
  <c r="A11" i="69" l="1"/>
  <c r="A12" i="69" l="1"/>
  <c r="A13" i="69" l="1"/>
  <c r="A14" i="69" s="1"/>
  <c r="A22" i="36"/>
  <c r="A30" i="36"/>
  <c r="A40" i="36"/>
  <c r="A53" i="36"/>
  <c r="A67" i="36"/>
  <c r="A75" i="36"/>
  <c r="A85" i="36"/>
  <c r="H20" i="36"/>
  <c r="A15" i="69" l="1"/>
  <c r="A30" i="95"/>
  <c r="A31" i="95" s="1"/>
  <c r="A32" i="95" s="1"/>
  <c r="A16" i="69" l="1"/>
  <c r="A17" i="69" s="1"/>
  <c r="A33" i="95"/>
  <c r="A34" i="95" s="1"/>
  <c r="A35" i="95" s="1"/>
  <c r="A36" i="95" s="1"/>
  <c r="A37" i="95" s="1"/>
  <c r="A38" i="95" s="1"/>
  <c r="A18" i="69" l="1"/>
  <c r="A19" i="69" s="1"/>
  <c r="A21" i="69" l="1"/>
  <c r="A22" i="69" s="1"/>
  <c r="A23" i="69" s="1"/>
  <c r="A24" i="69" s="1"/>
  <c r="A25" i="69" s="1"/>
  <c r="A26" i="69" s="1"/>
  <c r="A27" i="69" s="1"/>
  <c r="A29" i="69" s="1"/>
  <c r="A30" i="69" s="1"/>
  <c r="A31" i="69" s="1"/>
  <c r="A32" i="69" s="1"/>
  <c r="A33" i="69" s="1"/>
  <c r="A34" i="69" s="1"/>
  <c r="A35" i="69" s="1"/>
  <c r="A36" i="69" s="1"/>
  <c r="A38" i="69" s="1"/>
  <c r="A39" i="69" s="1"/>
  <c r="A40" i="69" s="1"/>
  <c r="A41" i="69" s="1"/>
  <c r="A42" i="69" s="1"/>
  <c r="A43" i="69" s="1"/>
  <c r="A44" i="69" s="1"/>
  <c r="A45" i="69" s="1"/>
  <c r="A47" i="69" s="1"/>
  <c r="A48" i="69" s="1"/>
  <c r="A49" i="69" s="1"/>
  <c r="A50" i="69" s="1"/>
  <c r="A51" i="69" s="1"/>
  <c r="A53" i="69" s="1"/>
  <c r="A54" i="69" s="1"/>
  <c r="A55" i="69" s="1"/>
  <c r="A56" i="69" s="1"/>
  <c r="A57" i="69" s="1"/>
  <c r="A58" i="69" s="1"/>
  <c r="A59" i="69" s="1"/>
  <c r="A61" i="69" s="1"/>
  <c r="A63" i="69" s="1"/>
  <c r="A64" i="69" s="1"/>
  <c r="A66" i="69" s="1"/>
  <c r="A68" i="69" s="1"/>
  <c r="A70" i="69" l="1"/>
  <c r="A72" i="69" s="1"/>
  <c r="F6" i="93"/>
  <c r="F7" i="93"/>
  <c r="F8" i="93"/>
  <c r="F9" i="93"/>
  <c r="F10" i="93"/>
  <c r="F11" i="93"/>
  <c r="F12" i="93"/>
  <c r="F13" i="93"/>
  <c r="F14" i="93"/>
  <c r="F5" i="93"/>
  <c r="P22" i="92"/>
  <c r="A74" i="69" l="1"/>
  <c r="A75" i="69" s="1"/>
  <c r="A76" i="69" s="1"/>
  <c r="A26" i="97"/>
  <c r="A27" i="97"/>
  <c r="A31" i="97"/>
  <c r="A34" i="97"/>
  <c r="A40" i="97"/>
  <c r="A41" i="97"/>
  <c r="A12" i="97"/>
  <c r="A8" i="97"/>
  <c r="A9" i="97" s="1"/>
  <c r="A10" i="97" s="1"/>
  <c r="K7" i="101"/>
  <c r="J15" i="101"/>
  <c r="I15" i="101"/>
  <c r="H15" i="101"/>
  <c r="G15" i="101"/>
  <c r="F15" i="101"/>
  <c r="E15" i="101"/>
  <c r="K15" i="101" s="1"/>
  <c r="D15" i="101"/>
  <c r="F14" i="101"/>
  <c r="E14" i="101"/>
  <c r="K14" i="101" s="1"/>
  <c r="I13" i="101"/>
  <c r="H13" i="101"/>
  <c r="G13" i="101"/>
  <c r="F13" i="101"/>
  <c r="E13" i="101"/>
  <c r="K13" i="101" s="1"/>
  <c r="D13" i="101"/>
  <c r="C13" i="101"/>
  <c r="I12" i="101"/>
  <c r="H12" i="101"/>
  <c r="G12" i="101"/>
  <c r="F12" i="101"/>
  <c r="K12" i="101" s="1"/>
  <c r="E12" i="101"/>
  <c r="D12" i="101"/>
  <c r="C12" i="101"/>
  <c r="F11" i="101"/>
  <c r="K11" i="101" s="1"/>
  <c r="E11" i="101"/>
  <c r="I10" i="101"/>
  <c r="H10" i="101"/>
  <c r="G10" i="101"/>
  <c r="F10" i="101"/>
  <c r="E10" i="101"/>
  <c r="K10" i="101" s="1"/>
  <c r="D10" i="101"/>
  <c r="F9" i="101"/>
  <c r="J9" i="101" s="1"/>
  <c r="E9" i="101"/>
  <c r="I8" i="101"/>
  <c r="H8" i="101"/>
  <c r="G8" i="101"/>
  <c r="F8" i="101"/>
  <c r="K8" i="101" s="1"/>
  <c r="E8" i="101"/>
  <c r="D8" i="101"/>
  <c r="C8" i="101"/>
  <c r="J7" i="101"/>
  <c r="J8" i="101" l="1"/>
  <c r="J10" i="101"/>
  <c r="J11" i="101"/>
  <c r="J12" i="101"/>
  <c r="K9" i="101"/>
  <c r="J14" i="101"/>
  <c r="J13" i="101"/>
  <c r="A11" i="97"/>
  <c r="A13" i="97" l="1"/>
  <c r="A14" i="97" l="1"/>
  <c r="A15" i="97"/>
  <c r="O11" i="100"/>
  <c r="E30" i="95" s="1"/>
  <c r="J25" i="100"/>
  <c r="I33" i="100"/>
  <c r="I17" i="100" s="1"/>
  <c r="H33" i="100"/>
  <c r="H17" i="100" s="1"/>
  <c r="G33" i="100"/>
  <c r="G17" i="100" s="1"/>
  <c r="F33" i="100"/>
  <c r="F17" i="100" s="1"/>
  <c r="O17" i="100" s="1"/>
  <c r="E36" i="95" s="1"/>
  <c r="E33" i="100"/>
  <c r="E17" i="100" s="1"/>
  <c r="D33" i="100"/>
  <c r="D17" i="100" s="1"/>
  <c r="F32" i="100"/>
  <c r="F16" i="100" s="1"/>
  <c r="O16" i="100" s="1"/>
  <c r="E35" i="95" s="1"/>
  <c r="E32" i="100"/>
  <c r="E16" i="100" s="1"/>
  <c r="I31" i="100"/>
  <c r="I15" i="100" s="1"/>
  <c r="H31" i="100"/>
  <c r="H15" i="100" s="1"/>
  <c r="G31" i="100"/>
  <c r="G15" i="100" s="1"/>
  <c r="F31" i="100"/>
  <c r="F15" i="100" s="1"/>
  <c r="O15" i="100" s="1"/>
  <c r="E34" i="95" s="1"/>
  <c r="E31" i="100"/>
  <c r="E15" i="100" s="1"/>
  <c r="D31" i="100"/>
  <c r="D15" i="100" s="1"/>
  <c r="C31" i="100"/>
  <c r="I30" i="100"/>
  <c r="H30" i="100"/>
  <c r="G30" i="100"/>
  <c r="F30" i="100"/>
  <c r="E30" i="100"/>
  <c r="D30" i="100"/>
  <c r="C30" i="100"/>
  <c r="F29" i="100"/>
  <c r="E29" i="100"/>
  <c r="I28" i="100"/>
  <c r="I12" i="100" s="1"/>
  <c r="H28" i="100"/>
  <c r="H12" i="100" s="1"/>
  <c r="G28" i="100"/>
  <c r="G12" i="100" s="1"/>
  <c r="N12" i="100" s="1"/>
  <c r="E38" i="36" s="1"/>
  <c r="F28" i="100"/>
  <c r="F12" i="100" s="1"/>
  <c r="O12" i="100" s="1"/>
  <c r="E31" i="95" s="1"/>
  <c r="E28" i="100"/>
  <c r="E12" i="100" s="1"/>
  <c r="D28" i="100"/>
  <c r="D12" i="100" s="1"/>
  <c r="F27" i="100"/>
  <c r="F11" i="100" s="1"/>
  <c r="E27" i="100"/>
  <c r="I26" i="100"/>
  <c r="I10" i="100" s="1"/>
  <c r="H26" i="100"/>
  <c r="H10" i="100" s="1"/>
  <c r="G26" i="100"/>
  <c r="G10" i="100" s="1"/>
  <c r="F26" i="100"/>
  <c r="F10" i="100" s="1"/>
  <c r="O10" i="100" s="1"/>
  <c r="E42" i="95" s="1"/>
  <c r="E26" i="100"/>
  <c r="E10" i="100" s="1"/>
  <c r="D26" i="100"/>
  <c r="D10" i="100" s="1"/>
  <c r="C26" i="100"/>
  <c r="C10" i="100" s="1"/>
  <c r="N10" i="100" s="1"/>
  <c r="C17" i="100"/>
  <c r="N17" i="100" s="1"/>
  <c r="I16" i="100"/>
  <c r="H16" i="100"/>
  <c r="G16" i="100"/>
  <c r="D16" i="100"/>
  <c r="N16" i="100" s="1"/>
  <c r="C16" i="100"/>
  <c r="L14" i="100"/>
  <c r="L13" i="100"/>
  <c r="G13" i="100" s="1"/>
  <c r="C12" i="100"/>
  <c r="I11" i="100"/>
  <c r="H11" i="100"/>
  <c r="G11" i="100"/>
  <c r="D11" i="100"/>
  <c r="C11" i="100"/>
  <c r="I9" i="100"/>
  <c r="H9" i="100"/>
  <c r="G9" i="100"/>
  <c r="F9" i="100"/>
  <c r="O9" i="100" s="1"/>
  <c r="E41" i="95" s="1"/>
  <c r="E9" i="100"/>
  <c r="D9" i="100"/>
  <c r="N9" i="100" s="1"/>
  <c r="C9" i="100"/>
  <c r="E15" i="36" l="1"/>
  <c r="J15" i="36" s="1"/>
  <c r="P16" i="100"/>
  <c r="F70" i="69"/>
  <c r="E10" i="36"/>
  <c r="E29" i="95"/>
  <c r="F79" i="69"/>
  <c r="A16" i="97"/>
  <c r="A17" i="97" s="1"/>
  <c r="J29" i="100"/>
  <c r="P29" i="100" s="1"/>
  <c r="I14" i="100"/>
  <c r="C14" i="100"/>
  <c r="J30" i="100"/>
  <c r="P30" i="100" s="1"/>
  <c r="H14" i="100"/>
  <c r="J9" i="100"/>
  <c r="P9" i="100" s="1"/>
  <c r="J27" i="100"/>
  <c r="P27" i="100" s="1"/>
  <c r="J17" i="100"/>
  <c r="P17" i="100" s="1"/>
  <c r="J31" i="100"/>
  <c r="P31" i="100" s="1"/>
  <c r="J12" i="100"/>
  <c r="P12" i="100" s="1"/>
  <c r="J10" i="100"/>
  <c r="P10" i="100" s="1"/>
  <c r="J28" i="100"/>
  <c r="P28" i="100" s="1"/>
  <c r="F14" i="100"/>
  <c r="O14" i="100" s="1"/>
  <c r="E33" i="95" s="1"/>
  <c r="G14" i="100"/>
  <c r="G19" i="100" s="1"/>
  <c r="J16" i="100"/>
  <c r="H13" i="100"/>
  <c r="J26" i="100"/>
  <c r="P26" i="100" s="1"/>
  <c r="I13" i="100"/>
  <c r="I19" i="100" s="1"/>
  <c r="D13" i="100"/>
  <c r="J32" i="100"/>
  <c r="P32" i="100" s="1"/>
  <c r="E11" i="100"/>
  <c r="J11" i="100" s="1"/>
  <c r="E13" i="100"/>
  <c r="D14" i="100"/>
  <c r="C15" i="100"/>
  <c r="L19" i="100"/>
  <c r="J33" i="100"/>
  <c r="P33" i="100" s="1"/>
  <c r="C13" i="100"/>
  <c r="N13" i="100" s="1"/>
  <c r="F13" i="100"/>
  <c r="O13" i="100" s="1"/>
  <c r="E32" i="95" s="1"/>
  <c r="E14" i="100"/>
  <c r="H54" i="69"/>
  <c r="I54" i="69" s="1"/>
  <c r="H55" i="69"/>
  <c r="I55" i="69" s="1"/>
  <c r="H56" i="69"/>
  <c r="I56" i="69" s="1"/>
  <c r="H57" i="69"/>
  <c r="I57" i="69" s="1"/>
  <c r="H58" i="69"/>
  <c r="I58" i="69" s="1"/>
  <c r="H59" i="69"/>
  <c r="I59" i="69" s="1"/>
  <c r="H53" i="69"/>
  <c r="I53" i="69" s="1"/>
  <c r="C61" i="69"/>
  <c r="I50" i="69"/>
  <c r="I51" i="69"/>
  <c r="I48" i="69"/>
  <c r="I47" i="69"/>
  <c r="I45" i="69"/>
  <c r="I40" i="69"/>
  <c r="E20" i="36" l="1"/>
  <c r="J20" i="36" s="1"/>
  <c r="J10" i="36"/>
  <c r="E47" i="36"/>
  <c r="N14" i="100"/>
  <c r="H19" i="100"/>
  <c r="J15" i="100"/>
  <c r="Q31" i="100" s="1"/>
  <c r="N15" i="100"/>
  <c r="N11" i="100"/>
  <c r="A18" i="97"/>
  <c r="A19" i="97" s="1"/>
  <c r="F19" i="100"/>
  <c r="Q28" i="100"/>
  <c r="Q26" i="100"/>
  <c r="Q27" i="100"/>
  <c r="Q32" i="100"/>
  <c r="J13" i="100"/>
  <c r="P13" i="100" s="1"/>
  <c r="D19" i="100"/>
  <c r="Q33" i="100"/>
  <c r="E19" i="100"/>
  <c r="J14" i="100"/>
  <c r="C19" i="100"/>
  <c r="R32" i="92"/>
  <c r="R28" i="92"/>
  <c r="R26" i="92"/>
  <c r="R25" i="92"/>
  <c r="R24" i="92"/>
  <c r="R23" i="92"/>
  <c r="R22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P14" i="100" l="1"/>
  <c r="E61" i="36"/>
  <c r="P15" i="100"/>
  <c r="E73" i="36"/>
  <c r="P11" i="100"/>
  <c r="E28" i="36"/>
  <c r="E83" i="36" s="1"/>
  <c r="A20" i="97"/>
  <c r="A21" i="97" s="1"/>
  <c r="A22" i="97" s="1"/>
  <c r="A23" i="97" s="1"/>
  <c r="Q29" i="100"/>
  <c r="Q30" i="100"/>
  <c r="J19" i="100"/>
  <c r="A25" i="97" l="1"/>
  <c r="A28" i="97" s="1"/>
  <c r="A24" i="97"/>
  <c r="A29" i="97" l="1"/>
  <c r="A30" i="97" s="1"/>
  <c r="D36" i="95"/>
  <c r="D35" i="95"/>
  <c r="D34" i="95"/>
  <c r="D33" i="95"/>
  <c r="D32" i="95"/>
  <c r="D31" i="95"/>
  <c r="D30" i="95"/>
  <c r="F30" i="95" s="1"/>
  <c r="I11" i="95" s="1"/>
  <c r="D29" i="95"/>
  <c r="F29" i="95" s="1"/>
  <c r="A33" i="97" l="1"/>
  <c r="A35" i="97" s="1"/>
  <c r="A36" i="97" s="1"/>
  <c r="A37" i="97" s="1"/>
  <c r="A38" i="97" s="1"/>
  <c r="A39" i="97" s="1"/>
  <c r="A32" i="97"/>
  <c r="F11" i="99"/>
  <c r="I11" i="99"/>
  <c r="J11" i="99"/>
  <c r="F12" i="99"/>
  <c r="P13" i="99"/>
  <c r="P14" i="99"/>
  <c r="I15" i="99"/>
  <c r="J15" i="99"/>
  <c r="P15" i="99"/>
  <c r="P16" i="99" s="1"/>
  <c r="P17" i="99" s="1"/>
  <c r="P18" i="99" s="1"/>
  <c r="P19" i="99" s="1"/>
  <c r="P20" i="99" s="1"/>
  <c r="P21" i="99" s="1"/>
  <c r="P22" i="99" s="1"/>
  <c r="P23" i="99" s="1"/>
  <c r="P24" i="99" s="1"/>
  <c r="P25" i="99" s="1"/>
  <c r="P26" i="99" s="1"/>
  <c r="P27" i="99" s="1"/>
  <c r="P28" i="99" s="1"/>
  <c r="P29" i="99" s="1"/>
  <c r="P30" i="99" s="1"/>
  <c r="P31" i="99" s="1"/>
  <c r="P32" i="99" s="1"/>
  <c r="P33" i="99" s="1"/>
  <c r="P34" i="99" s="1"/>
  <c r="P35" i="99" s="1"/>
  <c r="I19" i="99"/>
  <c r="J19" i="99"/>
  <c r="H20" i="99"/>
  <c r="H44" i="99" s="1"/>
  <c r="I44" i="99" s="1"/>
  <c r="J44" i="99" s="1"/>
  <c r="I20" i="99"/>
  <c r="J20" i="99" s="1"/>
  <c r="I21" i="99"/>
  <c r="J21" i="99" s="1"/>
  <c r="I22" i="99"/>
  <c r="J22" i="99"/>
  <c r="I25" i="99"/>
  <c r="J25" i="99" s="1"/>
  <c r="H26" i="99"/>
  <c r="H27" i="99" s="1"/>
  <c r="I27" i="99" s="1"/>
  <c r="J27" i="99" s="1"/>
  <c r="I28" i="99"/>
  <c r="J28" i="99" s="1"/>
  <c r="I31" i="99"/>
  <c r="J31" i="99"/>
  <c r="I34" i="99"/>
  <c r="J34" i="99"/>
  <c r="I35" i="99"/>
  <c r="J35" i="99"/>
  <c r="Q37" i="99"/>
  <c r="H12" i="99" s="1"/>
  <c r="R37" i="99"/>
  <c r="S37" i="99"/>
  <c r="I38" i="99"/>
  <c r="J38" i="99" s="1"/>
  <c r="Q38" i="99"/>
  <c r="R38" i="99"/>
  <c r="S38" i="99"/>
  <c r="I50" i="99"/>
  <c r="J50" i="99"/>
  <c r="I51" i="99"/>
  <c r="J51" i="99"/>
  <c r="I52" i="99"/>
  <c r="J52" i="99" s="1"/>
  <c r="I53" i="99"/>
  <c r="J53" i="99"/>
  <c r="I54" i="99"/>
  <c r="J54" i="99"/>
  <c r="I55" i="99"/>
  <c r="J55" i="99"/>
  <c r="I56" i="99"/>
  <c r="J56" i="99" s="1"/>
  <c r="I59" i="99"/>
  <c r="J59" i="99"/>
  <c r="I60" i="99"/>
  <c r="J60" i="99"/>
  <c r="I61" i="99"/>
  <c r="J61" i="99"/>
  <c r="I62" i="99"/>
  <c r="J62" i="99" s="1"/>
  <c r="I63" i="99"/>
  <c r="J63" i="99"/>
  <c r="I64" i="99"/>
  <c r="J64" i="99"/>
  <c r="I67" i="99"/>
  <c r="J67" i="99"/>
  <c r="I69" i="99"/>
  <c r="J69" i="99" s="1"/>
  <c r="I70" i="99"/>
  <c r="J70" i="99"/>
  <c r="I71" i="99"/>
  <c r="J71" i="99"/>
  <c r="I72" i="99"/>
  <c r="J72" i="99"/>
  <c r="I73" i="99"/>
  <c r="J73" i="99" s="1"/>
  <c r="I74" i="99"/>
  <c r="J74" i="99"/>
  <c r="I75" i="99"/>
  <c r="J75" i="99"/>
  <c r="I77" i="99"/>
  <c r="J77" i="99"/>
  <c r="F92" i="99"/>
  <c r="F93" i="99"/>
  <c r="K44" i="99" l="1"/>
  <c r="L44" i="99" s="1"/>
  <c r="K19" i="99"/>
  <c r="L19" i="99" s="1"/>
  <c r="H16" i="99"/>
  <c r="I16" i="99" s="1"/>
  <c r="J16" i="99" s="1"/>
  <c r="K15" i="99" s="1"/>
  <c r="L15" i="99" s="1"/>
  <c r="I12" i="99"/>
  <c r="J12" i="99" s="1"/>
  <c r="K11" i="99" s="1"/>
  <c r="K38" i="99"/>
  <c r="L38" i="99" s="1"/>
  <c r="K25" i="99"/>
  <c r="L25" i="99" s="1"/>
  <c r="H45" i="99"/>
  <c r="I45" i="99" s="1"/>
  <c r="J45" i="99" s="1"/>
  <c r="K45" i="99" s="1"/>
  <c r="L45" i="99" s="1"/>
  <c r="H39" i="99"/>
  <c r="I39" i="99" s="1"/>
  <c r="J39" i="99" s="1"/>
  <c r="H32" i="99"/>
  <c r="I26" i="99"/>
  <c r="J26" i="99" s="1"/>
  <c r="L11" i="99" l="1"/>
  <c r="H33" i="99"/>
  <c r="I33" i="99" s="1"/>
  <c r="J33" i="99" s="1"/>
  <c r="I32" i="99"/>
  <c r="J32" i="99" s="1"/>
  <c r="K31" i="99" s="1"/>
  <c r="L31" i="99" s="1"/>
  <c r="L81" i="99" l="1"/>
  <c r="M22" i="92" l="1"/>
  <c r="K24" i="97" l="1"/>
  <c r="N24" i="97" s="1"/>
  <c r="O24" i="97" s="1"/>
  <c r="K25" i="97" l="1"/>
  <c r="N25" i="97" s="1"/>
  <c r="O25" i="97" s="1"/>
  <c r="K17" i="97"/>
  <c r="N17" i="97" s="1"/>
  <c r="O17" i="97" s="1"/>
  <c r="K15" i="97"/>
  <c r="N15" i="97" s="1"/>
  <c r="O15" i="97" s="1"/>
  <c r="K14" i="97"/>
  <c r="N14" i="97" s="1"/>
  <c r="K16" i="97"/>
  <c r="N16" i="97" s="1"/>
  <c r="O16" i="97" s="1"/>
  <c r="O14" i="97"/>
  <c r="O26" i="97" l="1"/>
  <c r="G58" i="36"/>
  <c r="G57" i="36"/>
  <c r="G45" i="36"/>
  <c r="K45" i="102" s="1"/>
  <c r="G44" i="36"/>
  <c r="K39" i="102" s="1"/>
  <c r="G35" i="36"/>
  <c r="K22" i="102" s="1"/>
  <c r="G34" i="36"/>
  <c r="K18" i="102" s="1"/>
  <c r="G26" i="36"/>
  <c r="G18" i="36"/>
  <c r="E39" i="102" l="1"/>
  <c r="K56" i="102"/>
  <c r="K59" i="102"/>
  <c r="G45" i="102"/>
  <c r="G59" i="102" s="1"/>
  <c r="I45" i="102"/>
  <c r="E18" i="102"/>
  <c r="K31" i="102"/>
  <c r="A14" i="96"/>
  <c r="E31" i="102" l="1"/>
  <c r="G18" i="102"/>
  <c r="I59" i="102"/>
  <c r="E56" i="102"/>
  <c r="G39" i="102"/>
  <c r="A15" i="96"/>
  <c r="A16" i="96" s="1"/>
  <c r="A104" i="87"/>
  <c r="A106" i="87"/>
  <c r="A111" i="87"/>
  <c r="F36" i="95"/>
  <c r="I17" i="95" s="1"/>
  <c r="F35" i="95"/>
  <c r="I16" i="95" s="1"/>
  <c r="F34" i="95"/>
  <c r="I15" i="95" s="1"/>
  <c r="F33" i="95"/>
  <c r="I14" i="95" s="1"/>
  <c r="F32" i="95"/>
  <c r="I13" i="95" s="1"/>
  <c r="F31" i="95"/>
  <c r="I12" i="95" s="1"/>
  <c r="E38" i="95"/>
  <c r="A23" i="87"/>
  <c r="A30" i="87"/>
  <c r="A37" i="87"/>
  <c r="A45" i="87"/>
  <c r="A50" i="87"/>
  <c r="A101" i="87"/>
  <c r="G109" i="87"/>
  <c r="G108" i="87"/>
  <c r="N102" i="87"/>
  <c r="K102" i="87"/>
  <c r="N8" i="87"/>
  <c r="K8" i="87"/>
  <c r="P8" i="87"/>
  <c r="H8" i="87"/>
  <c r="O27" i="92"/>
  <c r="B53" i="87"/>
  <c r="B54" i="87"/>
  <c r="D54" i="87" s="1"/>
  <c r="B55" i="87"/>
  <c r="B56" i="87"/>
  <c r="B58" i="87"/>
  <c r="B57" i="87"/>
  <c r="B61" i="87"/>
  <c r="D61" i="87" s="1"/>
  <c r="B66" i="87"/>
  <c r="B62" i="87"/>
  <c r="B64" i="87"/>
  <c r="B65" i="87"/>
  <c r="B59" i="87"/>
  <c r="E14" i="93"/>
  <c r="E13" i="93"/>
  <c r="E12" i="93"/>
  <c r="E11" i="93"/>
  <c r="E10" i="93"/>
  <c r="E9" i="93"/>
  <c r="E8" i="93"/>
  <c r="E7" i="93"/>
  <c r="E6" i="93"/>
  <c r="E5" i="93"/>
  <c r="N30" i="92"/>
  <c r="L30" i="92"/>
  <c r="K30" i="92"/>
  <c r="J30" i="92"/>
  <c r="I30" i="92"/>
  <c r="D30" i="92"/>
  <c r="M28" i="92"/>
  <c r="E28" i="92"/>
  <c r="C28" i="92"/>
  <c r="M27" i="92"/>
  <c r="P27" i="92" s="1"/>
  <c r="E27" i="92"/>
  <c r="C27" i="92"/>
  <c r="M26" i="92"/>
  <c r="P26" i="92" s="1"/>
  <c r="Q26" i="92" s="1"/>
  <c r="H26" i="92"/>
  <c r="E26" i="92"/>
  <c r="C26" i="92"/>
  <c r="M25" i="92"/>
  <c r="E25" i="92"/>
  <c r="C25" i="92"/>
  <c r="M24" i="92"/>
  <c r="H24" i="92"/>
  <c r="E24" i="92"/>
  <c r="C24" i="92"/>
  <c r="M23" i="92"/>
  <c r="E23" i="92"/>
  <c r="C23" i="92"/>
  <c r="H22" i="92"/>
  <c r="E22" i="92"/>
  <c r="Q22" i="92" s="1"/>
  <c r="C22" i="92"/>
  <c r="M21" i="92"/>
  <c r="U20" i="92"/>
  <c r="T20" i="92"/>
  <c r="M20" i="92"/>
  <c r="E20" i="92"/>
  <c r="C20" i="92"/>
  <c r="U19" i="92"/>
  <c r="T19" i="92"/>
  <c r="M19" i="92"/>
  <c r="E19" i="92"/>
  <c r="C19" i="92"/>
  <c r="U18" i="92"/>
  <c r="T18" i="92"/>
  <c r="M18" i="92"/>
  <c r="E18" i="92"/>
  <c r="C18" i="92"/>
  <c r="T17" i="92"/>
  <c r="M17" i="92"/>
  <c r="E17" i="92"/>
  <c r="C17" i="92"/>
  <c r="M16" i="92"/>
  <c r="E16" i="92"/>
  <c r="C16" i="92"/>
  <c r="U15" i="92"/>
  <c r="T15" i="92"/>
  <c r="M15" i="92"/>
  <c r="E15" i="92"/>
  <c r="C15" i="92"/>
  <c r="U14" i="92"/>
  <c r="T14" i="92"/>
  <c r="M14" i="92"/>
  <c r="P14" i="92" s="1"/>
  <c r="Q14" i="92" s="1"/>
  <c r="E14" i="92"/>
  <c r="C14" i="92"/>
  <c r="U13" i="92"/>
  <c r="T13" i="92"/>
  <c r="M13" i="92"/>
  <c r="E13" i="92"/>
  <c r="C13" i="92"/>
  <c r="T12" i="92"/>
  <c r="M12" i="92"/>
  <c r="E12" i="92"/>
  <c r="C12" i="92"/>
  <c r="U11" i="92"/>
  <c r="T11" i="92"/>
  <c r="M11" i="92"/>
  <c r="E11" i="92"/>
  <c r="C11" i="92"/>
  <c r="U10" i="92"/>
  <c r="T10" i="92"/>
  <c r="M10" i="92"/>
  <c r="E10" i="92"/>
  <c r="C10" i="92"/>
  <c r="U9" i="92"/>
  <c r="T9" i="92"/>
  <c r="M9" i="92"/>
  <c r="E9" i="92"/>
  <c r="C9" i="92"/>
  <c r="U8" i="92"/>
  <c r="T8" i="92"/>
  <c r="M8" i="92"/>
  <c r="E8" i="92"/>
  <c r="C8" i="92"/>
  <c r="U7" i="92"/>
  <c r="T7" i="92"/>
  <c r="M7" i="92"/>
  <c r="E7" i="92"/>
  <c r="C7" i="92"/>
  <c r="U6" i="92"/>
  <c r="T6" i="92"/>
  <c r="M6" i="92"/>
  <c r="E6" i="92"/>
  <c r="C6" i="92"/>
  <c r="D78" i="69"/>
  <c r="D37" i="36"/>
  <c r="G37" i="36" s="1"/>
  <c r="D23" i="60" s="1"/>
  <c r="D60" i="36"/>
  <c r="G60" i="36" s="1"/>
  <c r="D39" i="60" s="1"/>
  <c r="J43" i="87"/>
  <c r="J28" i="87"/>
  <c r="M43" i="87"/>
  <c r="M28" i="87"/>
  <c r="D34" i="60"/>
  <c r="D26" i="60"/>
  <c r="D20" i="60"/>
  <c r="D16" i="60"/>
  <c r="E43" i="87"/>
  <c r="B92" i="87"/>
  <c r="B94" i="87"/>
  <c r="B78" i="87"/>
  <c r="B67" i="87"/>
  <c r="B60" i="87"/>
  <c r="B52" i="87"/>
  <c r="B98" i="72"/>
  <c r="H77" i="72"/>
  <c r="B83" i="72"/>
  <c r="B84" i="72"/>
  <c r="B85" i="72"/>
  <c r="B86" i="72"/>
  <c r="B87" i="72"/>
  <c r="B88" i="72"/>
  <c r="B89" i="72"/>
  <c r="B90" i="72"/>
  <c r="B91" i="72"/>
  <c r="B92" i="72"/>
  <c r="B93" i="72"/>
  <c r="B94" i="72"/>
  <c r="B82" i="72"/>
  <c r="G104" i="72"/>
  <c r="G103" i="72"/>
  <c r="G102" i="72"/>
  <c r="G101" i="72"/>
  <c r="G98" i="72"/>
  <c r="G94" i="72"/>
  <c r="G93" i="72"/>
  <c r="G92" i="72"/>
  <c r="G91" i="72"/>
  <c r="G90" i="72"/>
  <c r="G89" i="72"/>
  <c r="G88" i="72"/>
  <c r="G87" i="72"/>
  <c r="G86" i="72"/>
  <c r="G85" i="72"/>
  <c r="G84" i="72"/>
  <c r="G83" i="72"/>
  <c r="G82" i="72"/>
  <c r="G79" i="72"/>
  <c r="G78" i="72"/>
  <c r="G77" i="72"/>
  <c r="G76" i="72"/>
  <c r="G75" i="72"/>
  <c r="G74" i="72"/>
  <c r="G73" i="72"/>
  <c r="G72" i="72"/>
  <c r="G71" i="72"/>
  <c r="G70" i="72"/>
  <c r="G67" i="72"/>
  <c r="G66" i="72"/>
  <c r="G65" i="72"/>
  <c r="G64" i="72"/>
  <c r="G63" i="72"/>
  <c r="G62" i="72"/>
  <c r="B71" i="72"/>
  <c r="B72" i="72"/>
  <c r="B73" i="72"/>
  <c r="B74" i="72"/>
  <c r="B75" i="72"/>
  <c r="B76" i="72"/>
  <c r="B77" i="72"/>
  <c r="B78" i="72"/>
  <c r="B79" i="72"/>
  <c r="B70" i="72"/>
  <c r="H96" i="72"/>
  <c r="B63" i="72"/>
  <c r="B64" i="72"/>
  <c r="B65" i="72"/>
  <c r="B66" i="72"/>
  <c r="B67" i="72"/>
  <c r="B62" i="72"/>
  <c r="B54" i="72"/>
  <c r="B55" i="72"/>
  <c r="H100" i="72"/>
  <c r="B56" i="72"/>
  <c r="B57" i="72"/>
  <c r="B58" i="72"/>
  <c r="B59" i="72"/>
  <c r="G54" i="72"/>
  <c r="G55" i="72"/>
  <c r="G56" i="72"/>
  <c r="G57" i="72"/>
  <c r="G58" i="72"/>
  <c r="G59" i="72"/>
  <c r="G53" i="72"/>
  <c r="B53" i="72"/>
  <c r="H95" i="72"/>
  <c r="H67" i="72"/>
  <c r="H61" i="72"/>
  <c r="H60" i="72"/>
  <c r="H71" i="72"/>
  <c r="H55" i="72"/>
  <c r="H79" i="72"/>
  <c r="H59" i="72"/>
  <c r="H93" i="72"/>
  <c r="H78" i="72"/>
  <c r="H76" i="72"/>
  <c r="H69" i="72"/>
  <c r="H94" i="72"/>
  <c r="H70" i="72"/>
  <c r="H81" i="72"/>
  <c r="H102" i="72"/>
  <c r="H83" i="72"/>
  <c r="H84" i="72"/>
  <c r="H63" i="72"/>
  <c r="H75" i="72"/>
  <c r="H86" i="72"/>
  <c r="H66" i="72"/>
  <c r="H104" i="72"/>
  <c r="H62" i="72"/>
  <c r="H73" i="72"/>
  <c r="H53" i="72"/>
  <c r="H54" i="72"/>
  <c r="H65" i="72"/>
  <c r="H92" i="72"/>
  <c r="H57" i="72"/>
  <c r="H68" i="72"/>
  <c r="H87" i="72"/>
  <c r="H85" i="72"/>
  <c r="H101" i="72"/>
  <c r="H58" i="72"/>
  <c r="H103" i="72"/>
  <c r="H56" i="72"/>
  <c r="H64" i="72"/>
  <c r="H72" i="72"/>
  <c r="H80" i="72"/>
  <c r="H88" i="72"/>
  <c r="H97" i="72"/>
  <c r="H99" i="72"/>
  <c r="H89" i="72"/>
  <c r="H74" i="72"/>
  <c r="H82" i="72"/>
  <c r="H91" i="72"/>
  <c r="H90" i="72"/>
  <c r="H98" i="72"/>
  <c r="B63" i="87"/>
  <c r="B68" i="87"/>
  <c r="B69" i="87"/>
  <c r="J69" i="87" s="1"/>
  <c r="B70" i="87"/>
  <c r="B71" i="87"/>
  <c r="B72" i="87"/>
  <c r="B73" i="87"/>
  <c r="B74" i="87"/>
  <c r="B75" i="87"/>
  <c r="B76" i="87"/>
  <c r="D76" i="87" s="1"/>
  <c r="B77" i="87"/>
  <c r="M77" i="87" s="1"/>
  <c r="B79" i="87"/>
  <c r="B80" i="87"/>
  <c r="B81" i="87"/>
  <c r="B82" i="87"/>
  <c r="B83" i="87"/>
  <c r="D83" i="87" s="1"/>
  <c r="B84" i="87"/>
  <c r="B85" i="87"/>
  <c r="B86" i="87"/>
  <c r="D86" i="87" s="1"/>
  <c r="B87" i="87"/>
  <c r="B88" i="87"/>
  <c r="B89" i="87"/>
  <c r="B90" i="87"/>
  <c r="D90" i="87" s="1"/>
  <c r="B91" i="87"/>
  <c r="D91" i="87" s="1"/>
  <c r="B93" i="87"/>
  <c r="J108" i="87"/>
  <c r="Q8" i="87"/>
  <c r="E8" i="87"/>
  <c r="D62" i="87"/>
  <c r="D65" i="87"/>
  <c r="D68" i="87"/>
  <c r="D72" i="87"/>
  <c r="E72" i="87" s="1"/>
  <c r="D73" i="87"/>
  <c r="D74" i="87"/>
  <c r="D81" i="87"/>
  <c r="D82" i="87"/>
  <c r="D85" i="87"/>
  <c r="E85" i="87" s="1"/>
  <c r="D87" i="87"/>
  <c r="D89" i="87"/>
  <c r="H89" i="87" s="1"/>
  <c r="D93" i="87"/>
  <c r="D55" i="87"/>
  <c r="D57" i="87"/>
  <c r="D59" i="87"/>
  <c r="D71" i="87"/>
  <c r="H71" i="87" s="1"/>
  <c r="S13" i="88"/>
  <c r="S14" i="88" s="1"/>
  <c r="S15" i="88" s="1"/>
  <c r="S16" i="88" s="1"/>
  <c r="S17" i="88" s="1"/>
  <c r="S18" i="88" s="1"/>
  <c r="S19" i="88" s="1"/>
  <c r="S20" i="88" s="1"/>
  <c r="S27" i="88"/>
  <c r="S28" i="88" s="1"/>
  <c r="S29" i="88" s="1"/>
  <c r="S30" i="88" s="1"/>
  <c r="S31" i="88" s="1"/>
  <c r="S32" i="88" s="1"/>
  <c r="S33" i="88" s="1"/>
  <c r="S34" i="88" s="1"/>
  <c r="S41" i="88"/>
  <c r="S42" i="88" s="1"/>
  <c r="S43" i="88" s="1"/>
  <c r="S44" i="88" s="1"/>
  <c r="S45" i="88" s="1"/>
  <c r="S46" i="88" s="1"/>
  <c r="S47" i="88" s="1"/>
  <c r="S48" i="88" s="1"/>
  <c r="S55" i="88"/>
  <c r="S56" i="88" s="1"/>
  <c r="S57" i="88" s="1"/>
  <c r="S58" i="88" s="1"/>
  <c r="S59" i="88" s="1"/>
  <c r="S60" i="88" s="1"/>
  <c r="S61" i="88" s="1"/>
  <c r="S62" i="88" s="1"/>
  <c r="S69" i="88"/>
  <c r="S70" i="88" s="1"/>
  <c r="S71" i="88" s="1"/>
  <c r="S72" i="88" s="1"/>
  <c r="S73" i="88" s="1"/>
  <c r="S74" i="88" s="1"/>
  <c r="S75" i="88" s="1"/>
  <c r="S76" i="88" s="1"/>
  <c r="S83" i="88"/>
  <c r="S84" i="88" s="1"/>
  <c r="S85" i="88" s="1"/>
  <c r="S86" i="88" s="1"/>
  <c r="S87" i="88" s="1"/>
  <c r="S88" i="88" s="1"/>
  <c r="S89" i="88" s="1"/>
  <c r="S90" i="88" s="1"/>
  <c r="S97" i="88"/>
  <c r="S98" i="88"/>
  <c r="S99" i="88" s="1"/>
  <c r="S100" i="88" s="1"/>
  <c r="S101" i="88" s="1"/>
  <c r="S102" i="88" s="1"/>
  <c r="S103" i="88" s="1"/>
  <c r="S104" i="88" s="1"/>
  <c r="S111" i="88"/>
  <c r="S112" i="88"/>
  <c r="S113" i="88" s="1"/>
  <c r="S114" i="88" s="1"/>
  <c r="S115" i="88" s="1"/>
  <c r="S116" i="88" s="1"/>
  <c r="S117" i="88" s="1"/>
  <c r="S118" i="88" s="1"/>
  <c r="S125" i="88"/>
  <c r="S126" i="88" s="1"/>
  <c r="S127" i="88" s="1"/>
  <c r="S128" i="88" s="1"/>
  <c r="S129" i="88" s="1"/>
  <c r="S130" i="88" s="1"/>
  <c r="S131" i="88" s="1"/>
  <c r="S132" i="88" s="1"/>
  <c r="S139" i="88"/>
  <c r="S140" i="88" s="1"/>
  <c r="S141" i="88" s="1"/>
  <c r="S142" i="88" s="1"/>
  <c r="S143" i="88" s="1"/>
  <c r="S144" i="88" s="1"/>
  <c r="S145" i="88" s="1"/>
  <c r="S146" i="88" s="1"/>
  <c r="S153" i="88"/>
  <c r="S154" i="88" s="1"/>
  <c r="S155" i="88" s="1"/>
  <c r="S156" i="88" s="1"/>
  <c r="S157" i="88" s="1"/>
  <c r="S158" i="88" s="1"/>
  <c r="S159" i="88" s="1"/>
  <c r="S160" i="88" s="1"/>
  <c r="S167" i="88"/>
  <c r="S168" i="88" s="1"/>
  <c r="S169" i="88" s="1"/>
  <c r="S170" i="88" s="1"/>
  <c r="S171" i="88" s="1"/>
  <c r="S172" i="88" s="1"/>
  <c r="S173" i="88" s="1"/>
  <c r="S174" i="88" s="1"/>
  <c r="M90" i="87"/>
  <c r="M84" i="87"/>
  <c r="M81" i="87"/>
  <c r="M79" i="87"/>
  <c r="M74" i="87"/>
  <c r="M68" i="87"/>
  <c r="E27" i="69"/>
  <c r="E24" i="69"/>
  <c r="M62" i="87"/>
  <c r="E22" i="69"/>
  <c r="E18" i="69"/>
  <c r="M57" i="87"/>
  <c r="M56" i="87"/>
  <c r="M55" i="87"/>
  <c r="E14" i="69"/>
  <c r="J55" i="87"/>
  <c r="J62" i="87"/>
  <c r="J72" i="87"/>
  <c r="J77" i="87"/>
  <c r="J79" i="87"/>
  <c r="J80" i="87"/>
  <c r="J82" i="87"/>
  <c r="J85" i="87"/>
  <c r="J93" i="87"/>
  <c r="M109" i="87"/>
  <c r="E9" i="69"/>
  <c r="V214" i="88"/>
  <c r="V209" i="88"/>
  <c r="V208" i="88"/>
  <c r="D208" i="88"/>
  <c r="E28" i="87" s="1"/>
  <c r="C28" i="87" s="1"/>
  <c r="C208" i="88"/>
  <c r="V207" i="88"/>
  <c r="V206" i="88"/>
  <c r="V205" i="88"/>
  <c r="V204" i="88"/>
  <c r="V203" i="88"/>
  <c r="C201" i="88"/>
  <c r="C200" i="88"/>
  <c r="C199" i="88"/>
  <c r="C198" i="88"/>
  <c r="C197" i="88"/>
  <c r="C196" i="88"/>
  <c r="C195" i="88"/>
  <c r="V194" i="88"/>
  <c r="V193" i="88"/>
  <c r="V192" i="88"/>
  <c r="V191" i="88"/>
  <c r="G186" i="88"/>
  <c r="F186" i="88"/>
  <c r="E186" i="88"/>
  <c r="D186" i="88"/>
  <c r="C186" i="88"/>
  <c r="N185" i="88"/>
  <c r="M185" i="88"/>
  <c r="G185" i="88"/>
  <c r="F185" i="88"/>
  <c r="C41" i="87" s="1"/>
  <c r="E185" i="88"/>
  <c r="C40" i="87" s="1"/>
  <c r="D185" i="88"/>
  <c r="N184" i="88"/>
  <c r="O184" i="88" s="1"/>
  <c r="M184" i="88"/>
  <c r="G184" i="88"/>
  <c r="F184" i="88"/>
  <c r="E184" i="88"/>
  <c r="D184" i="88"/>
  <c r="D188" i="88" s="1"/>
  <c r="N183" i="88"/>
  <c r="N188" i="88" s="1"/>
  <c r="M183" i="88"/>
  <c r="M188" i="88" s="1"/>
  <c r="G183" i="88"/>
  <c r="F183" i="88"/>
  <c r="E183" i="88"/>
  <c r="D183" i="88"/>
  <c r="G182" i="88"/>
  <c r="F182" i="88"/>
  <c r="E182" i="88"/>
  <c r="C21" i="87" s="1"/>
  <c r="D182" i="88"/>
  <c r="G181" i="88"/>
  <c r="G188" i="88" s="1"/>
  <c r="F181" i="88"/>
  <c r="E181" i="88"/>
  <c r="D181" i="88"/>
  <c r="G180" i="88"/>
  <c r="F180" i="88"/>
  <c r="F188" i="88" s="1"/>
  <c r="E180" i="88"/>
  <c r="D180" i="88"/>
  <c r="V175" i="88"/>
  <c r="V174" i="88"/>
  <c r="N174" i="88"/>
  <c r="M174" i="88"/>
  <c r="G174" i="88"/>
  <c r="F174" i="88"/>
  <c r="E174" i="88"/>
  <c r="D174" i="88"/>
  <c r="V173" i="88"/>
  <c r="T173" i="88"/>
  <c r="V172" i="88"/>
  <c r="T172" i="88"/>
  <c r="V171" i="88"/>
  <c r="T171" i="88"/>
  <c r="C171" i="88"/>
  <c r="V170" i="88"/>
  <c r="T170" i="88"/>
  <c r="C170" i="88"/>
  <c r="V169" i="88"/>
  <c r="T169" i="88"/>
  <c r="C169" i="88"/>
  <c r="C174" i="88" s="1"/>
  <c r="V168" i="88"/>
  <c r="T168" i="88"/>
  <c r="C168" i="88"/>
  <c r="V167" i="88"/>
  <c r="T167" i="88"/>
  <c r="C167" i="88"/>
  <c r="V166" i="88"/>
  <c r="T166" i="88"/>
  <c r="C166" i="88"/>
  <c r="V165" i="88"/>
  <c r="T165" i="88"/>
  <c r="V164" i="88"/>
  <c r="T164" i="88"/>
  <c r="V163" i="88"/>
  <c r="T163" i="88"/>
  <c r="V162" i="88"/>
  <c r="T162" i="88"/>
  <c r="V161" i="88"/>
  <c r="T161" i="88"/>
  <c r="V160" i="88"/>
  <c r="N160" i="88"/>
  <c r="M160" i="88"/>
  <c r="G160" i="88"/>
  <c r="F160" i="88"/>
  <c r="E160" i="88"/>
  <c r="D160" i="88"/>
  <c r="T160" i="88" s="1"/>
  <c r="V159" i="88"/>
  <c r="T159" i="88"/>
  <c r="V158" i="88"/>
  <c r="T158" i="88"/>
  <c r="V157" i="88"/>
  <c r="T157" i="88"/>
  <c r="C157" i="88"/>
  <c r="V156" i="88"/>
  <c r="T156" i="88"/>
  <c r="C156" i="88"/>
  <c r="V155" i="88"/>
  <c r="T155" i="88"/>
  <c r="C155" i="88"/>
  <c r="V154" i="88"/>
  <c r="T154" i="88"/>
  <c r="C154" i="88"/>
  <c r="V153" i="88"/>
  <c r="T153" i="88"/>
  <c r="C153" i="88"/>
  <c r="V152" i="88"/>
  <c r="T152" i="88"/>
  <c r="C152" i="88"/>
  <c r="C160" i="88" s="1"/>
  <c r="V151" i="88"/>
  <c r="T151" i="88"/>
  <c r="V150" i="88"/>
  <c r="T150" i="88"/>
  <c r="V149" i="88"/>
  <c r="T149" i="88"/>
  <c r="V148" i="88"/>
  <c r="T148" i="88"/>
  <c r="V147" i="88"/>
  <c r="T147" i="88"/>
  <c r="V146" i="88"/>
  <c r="N146" i="88"/>
  <c r="M146" i="88"/>
  <c r="G146" i="88"/>
  <c r="F146" i="88"/>
  <c r="E146" i="88"/>
  <c r="D146" i="88"/>
  <c r="T146" i="88" s="1"/>
  <c r="V145" i="88"/>
  <c r="T145" i="88"/>
  <c r="V144" i="88"/>
  <c r="T144" i="88"/>
  <c r="V143" i="88"/>
  <c r="T143" i="88"/>
  <c r="C143" i="88"/>
  <c r="V142" i="88"/>
  <c r="T142" i="88"/>
  <c r="C142" i="88"/>
  <c r="V141" i="88"/>
  <c r="T141" i="88"/>
  <c r="C141" i="88"/>
  <c r="V140" i="88"/>
  <c r="T140" i="88"/>
  <c r="C140" i="88"/>
  <c r="V139" i="88"/>
  <c r="T139" i="88"/>
  <c r="C139" i="88"/>
  <c r="V138" i="88"/>
  <c r="T138" i="88"/>
  <c r="C138" i="88"/>
  <c r="V137" i="88"/>
  <c r="T137" i="88"/>
  <c r="V136" i="88"/>
  <c r="T136" i="88"/>
  <c r="V135" i="88"/>
  <c r="T135" i="88"/>
  <c r="V134" i="88"/>
  <c r="T134" i="88"/>
  <c r="V133" i="88"/>
  <c r="T133" i="88"/>
  <c r="V132" i="88"/>
  <c r="N132" i="88"/>
  <c r="M132" i="88"/>
  <c r="G132" i="88"/>
  <c r="F132" i="88"/>
  <c r="E132" i="88"/>
  <c r="D132" i="88"/>
  <c r="V131" i="88"/>
  <c r="T131" i="88"/>
  <c r="V130" i="88"/>
  <c r="T130" i="88"/>
  <c r="V129" i="88"/>
  <c r="T129" i="88"/>
  <c r="C129" i="88"/>
  <c r="V128" i="88"/>
  <c r="T128" i="88"/>
  <c r="C128" i="88"/>
  <c r="V127" i="88"/>
  <c r="T127" i="88"/>
  <c r="C127" i="88"/>
  <c r="V126" i="88"/>
  <c r="T126" i="88"/>
  <c r="C126" i="88"/>
  <c r="V125" i="88"/>
  <c r="T125" i="88"/>
  <c r="C125" i="88"/>
  <c r="V124" i="88"/>
  <c r="T124" i="88"/>
  <c r="C124" i="88"/>
  <c r="V123" i="88"/>
  <c r="T123" i="88"/>
  <c r="V122" i="88"/>
  <c r="T122" i="88"/>
  <c r="V121" i="88"/>
  <c r="T121" i="88"/>
  <c r="V120" i="88"/>
  <c r="T120" i="88"/>
  <c r="V119" i="88"/>
  <c r="T119" i="88"/>
  <c r="V118" i="88"/>
  <c r="N118" i="88"/>
  <c r="M118" i="88"/>
  <c r="G118" i="88"/>
  <c r="F118" i="88"/>
  <c r="E118" i="88"/>
  <c r="D118" i="88"/>
  <c r="V117" i="88"/>
  <c r="T117" i="88"/>
  <c r="V116" i="88"/>
  <c r="T116" i="88"/>
  <c r="V115" i="88"/>
  <c r="T115" i="88"/>
  <c r="C115" i="88"/>
  <c r="V114" i="88"/>
  <c r="T114" i="88"/>
  <c r="C114" i="88"/>
  <c r="V113" i="88"/>
  <c r="T113" i="88"/>
  <c r="C113" i="88"/>
  <c r="V112" i="88"/>
  <c r="T112" i="88"/>
  <c r="C112" i="88"/>
  <c r="V111" i="88"/>
  <c r="T111" i="88"/>
  <c r="C111" i="88"/>
  <c r="V110" i="88"/>
  <c r="T110" i="88"/>
  <c r="C110" i="88"/>
  <c r="V109" i="88"/>
  <c r="T109" i="88"/>
  <c r="V108" i="88"/>
  <c r="T108" i="88"/>
  <c r="V107" i="88"/>
  <c r="T107" i="88"/>
  <c r="V106" i="88"/>
  <c r="T106" i="88"/>
  <c r="V105" i="88"/>
  <c r="T105" i="88"/>
  <c r="V104" i="88"/>
  <c r="N104" i="88"/>
  <c r="M104" i="88"/>
  <c r="G104" i="88"/>
  <c r="F104" i="88"/>
  <c r="E104" i="88"/>
  <c r="D104" i="88"/>
  <c r="V103" i="88"/>
  <c r="T103" i="88"/>
  <c r="V102" i="88"/>
  <c r="T102" i="88"/>
  <c r="V101" i="88"/>
  <c r="T101" i="88"/>
  <c r="C101" i="88"/>
  <c r="V100" i="88"/>
  <c r="T100" i="88"/>
  <c r="C100" i="88"/>
  <c r="V99" i="88"/>
  <c r="T99" i="88"/>
  <c r="C99" i="88"/>
  <c r="V98" i="88"/>
  <c r="T98" i="88"/>
  <c r="C98" i="88"/>
  <c r="V97" i="88"/>
  <c r="T97" i="88"/>
  <c r="C97" i="88"/>
  <c r="V96" i="88"/>
  <c r="T96" i="88"/>
  <c r="C96" i="88"/>
  <c r="V95" i="88"/>
  <c r="T95" i="88"/>
  <c r="V94" i="88"/>
  <c r="T94" i="88"/>
  <c r="V93" i="88"/>
  <c r="T93" i="88"/>
  <c r="V92" i="88"/>
  <c r="T92" i="88"/>
  <c r="V91" i="88"/>
  <c r="T91" i="88"/>
  <c r="V90" i="88"/>
  <c r="N90" i="88"/>
  <c r="M90" i="88"/>
  <c r="G90" i="88"/>
  <c r="F90" i="88"/>
  <c r="E90" i="88"/>
  <c r="D90" i="88"/>
  <c r="V89" i="88"/>
  <c r="T89" i="88"/>
  <c r="V88" i="88"/>
  <c r="T88" i="88"/>
  <c r="V87" i="88"/>
  <c r="T87" i="88"/>
  <c r="C87" i="88"/>
  <c r="V86" i="88"/>
  <c r="T86" i="88"/>
  <c r="C86" i="88"/>
  <c r="V85" i="88"/>
  <c r="T85" i="88"/>
  <c r="C85" i="88"/>
  <c r="V84" i="88"/>
  <c r="T84" i="88"/>
  <c r="C84" i="88"/>
  <c r="V83" i="88"/>
  <c r="T83" i="88"/>
  <c r="C83" i="88"/>
  <c r="V82" i="88"/>
  <c r="T82" i="88"/>
  <c r="C82" i="88"/>
  <c r="V81" i="88"/>
  <c r="T81" i="88"/>
  <c r="V80" i="88"/>
  <c r="T80" i="88"/>
  <c r="V79" i="88"/>
  <c r="T79" i="88"/>
  <c r="V78" i="88"/>
  <c r="T78" i="88"/>
  <c r="V77" i="88"/>
  <c r="T77" i="88"/>
  <c r="V76" i="88"/>
  <c r="N76" i="88"/>
  <c r="M76" i="88"/>
  <c r="G76" i="88"/>
  <c r="T76" i="88" s="1"/>
  <c r="F76" i="88"/>
  <c r="E76" i="88"/>
  <c r="D76" i="88"/>
  <c r="V75" i="88"/>
  <c r="T75" i="88"/>
  <c r="V74" i="88"/>
  <c r="T74" i="88"/>
  <c r="V73" i="88"/>
  <c r="T73" i="88"/>
  <c r="C73" i="88"/>
  <c r="V72" i="88"/>
  <c r="T72" i="88"/>
  <c r="C72" i="88"/>
  <c r="V71" i="88"/>
  <c r="T71" i="88"/>
  <c r="C71" i="88"/>
  <c r="V70" i="88"/>
  <c r="T70" i="88"/>
  <c r="C70" i="88"/>
  <c r="V69" i="88"/>
  <c r="T69" i="88"/>
  <c r="C69" i="88"/>
  <c r="V68" i="88"/>
  <c r="T68" i="88"/>
  <c r="C68" i="88"/>
  <c r="V67" i="88"/>
  <c r="T67" i="88"/>
  <c r="V66" i="88"/>
  <c r="T66" i="88"/>
  <c r="V65" i="88"/>
  <c r="T65" i="88"/>
  <c r="V64" i="88"/>
  <c r="T64" i="88"/>
  <c r="V63" i="88"/>
  <c r="T63" i="88"/>
  <c r="V62" i="88"/>
  <c r="N62" i="88"/>
  <c r="M62" i="88"/>
  <c r="G62" i="88"/>
  <c r="F62" i="88"/>
  <c r="E62" i="88"/>
  <c r="D62" i="88"/>
  <c r="V61" i="88"/>
  <c r="T61" i="88"/>
  <c r="V60" i="88"/>
  <c r="T60" i="88"/>
  <c r="V59" i="88"/>
  <c r="T59" i="88"/>
  <c r="C59" i="88"/>
  <c r="V58" i="88"/>
  <c r="T58" i="88"/>
  <c r="C58" i="88"/>
  <c r="V57" i="88"/>
  <c r="T57" i="88"/>
  <c r="C57" i="88"/>
  <c r="V56" i="88"/>
  <c r="T56" i="88"/>
  <c r="C56" i="88"/>
  <c r="V55" i="88"/>
  <c r="T55" i="88"/>
  <c r="C55" i="88"/>
  <c r="V54" i="88"/>
  <c r="T54" i="88"/>
  <c r="C54" i="88"/>
  <c r="C62" i="88" s="1"/>
  <c r="V53" i="88"/>
  <c r="T53" i="88"/>
  <c r="V52" i="88"/>
  <c r="T52" i="88"/>
  <c r="V51" i="88"/>
  <c r="T51" i="88"/>
  <c r="V50" i="88"/>
  <c r="T50" i="88"/>
  <c r="V49" i="88"/>
  <c r="T49" i="88"/>
  <c r="V48" i="88"/>
  <c r="N48" i="88"/>
  <c r="M48" i="88"/>
  <c r="G48" i="88"/>
  <c r="F48" i="88"/>
  <c r="E48" i="88"/>
  <c r="D48" i="88"/>
  <c r="V47" i="88"/>
  <c r="T47" i="88"/>
  <c r="V46" i="88"/>
  <c r="T46" i="88"/>
  <c r="V45" i="88"/>
  <c r="T45" i="88"/>
  <c r="C45" i="88"/>
  <c r="V44" i="88"/>
  <c r="T44" i="88"/>
  <c r="C44" i="88"/>
  <c r="V43" i="88"/>
  <c r="T43" i="88"/>
  <c r="C43" i="88"/>
  <c r="V42" i="88"/>
  <c r="T42" i="88"/>
  <c r="C42" i="88"/>
  <c r="V41" i="88"/>
  <c r="T41" i="88"/>
  <c r="C41" i="88"/>
  <c r="V40" i="88"/>
  <c r="T40" i="88"/>
  <c r="C40" i="88"/>
  <c r="C48" i="88" s="1"/>
  <c r="V39" i="88"/>
  <c r="T39" i="88"/>
  <c r="V38" i="88"/>
  <c r="T38" i="88"/>
  <c r="V37" i="88"/>
  <c r="T37" i="88"/>
  <c r="V36" i="88"/>
  <c r="T36" i="88"/>
  <c r="V35" i="88"/>
  <c r="T35" i="88"/>
  <c r="V34" i="88"/>
  <c r="N34" i="88"/>
  <c r="M34" i="88"/>
  <c r="G34" i="88"/>
  <c r="T34" i="88" s="1"/>
  <c r="F34" i="88"/>
  <c r="E34" i="88"/>
  <c r="D34" i="88"/>
  <c r="V33" i="88"/>
  <c r="T33" i="88"/>
  <c r="V32" i="88"/>
  <c r="T32" i="88"/>
  <c r="V31" i="88"/>
  <c r="T31" i="88"/>
  <c r="C31" i="88"/>
  <c r="V30" i="88"/>
  <c r="T30" i="88"/>
  <c r="C30" i="88"/>
  <c r="V29" i="88"/>
  <c r="T29" i="88"/>
  <c r="C29" i="88"/>
  <c r="V28" i="88"/>
  <c r="T28" i="88"/>
  <c r="C28" i="88"/>
  <c r="V27" i="88"/>
  <c r="T27" i="88"/>
  <c r="C27" i="88"/>
  <c r="V26" i="88"/>
  <c r="T26" i="88"/>
  <c r="C26" i="88"/>
  <c r="C34" i="88" s="1"/>
  <c r="V25" i="88"/>
  <c r="T25" i="88"/>
  <c r="V24" i="88"/>
  <c r="T24" i="88"/>
  <c r="V23" i="88"/>
  <c r="T23" i="88"/>
  <c r="V22" i="88"/>
  <c r="T22" i="88"/>
  <c r="V21" i="88"/>
  <c r="T21" i="88"/>
  <c r="V20" i="88"/>
  <c r="N20" i="88"/>
  <c r="M20" i="88"/>
  <c r="G20" i="88"/>
  <c r="F20" i="88"/>
  <c r="E20" i="88"/>
  <c r="D20" i="88"/>
  <c r="V19" i="88"/>
  <c r="T19" i="88"/>
  <c r="T18" i="88"/>
  <c r="J18" i="88"/>
  <c r="K18" i="88" s="1"/>
  <c r="T17" i="88"/>
  <c r="O31" i="88"/>
  <c r="O45" i="88" s="1"/>
  <c r="I31" i="88"/>
  <c r="I45" i="88" s="1"/>
  <c r="I59" i="88" s="1"/>
  <c r="I73" i="88" s="1"/>
  <c r="I87" i="88" s="1"/>
  <c r="I101" i="88" s="1"/>
  <c r="I115" i="88" s="1"/>
  <c r="I129" i="88" s="1"/>
  <c r="I143" i="88" s="1"/>
  <c r="I157" i="88" s="1"/>
  <c r="I171" i="88" s="1"/>
  <c r="H31" i="88"/>
  <c r="H45" i="88" s="1"/>
  <c r="H59" i="88" s="1"/>
  <c r="H73" i="88" s="1"/>
  <c r="H87" i="88" s="1"/>
  <c r="H101" i="88" s="1"/>
  <c r="C17" i="88"/>
  <c r="T16" i="88"/>
  <c r="O30" i="88"/>
  <c r="I30" i="88"/>
  <c r="I44" i="88" s="1"/>
  <c r="I58" i="88" s="1"/>
  <c r="I72" i="88" s="1"/>
  <c r="I86" i="88" s="1"/>
  <c r="I100" i="88" s="1"/>
  <c r="I114" i="88" s="1"/>
  <c r="I128" i="88" s="1"/>
  <c r="I142" i="88" s="1"/>
  <c r="I156" i="88" s="1"/>
  <c r="I170" i="88" s="1"/>
  <c r="H30" i="88"/>
  <c r="H44" i="88" s="1"/>
  <c r="C16" i="88"/>
  <c r="C184" i="88"/>
  <c r="T15" i="88"/>
  <c r="P15" i="88"/>
  <c r="H29" i="88"/>
  <c r="C15" i="88"/>
  <c r="T14" i="88"/>
  <c r="H28" i="88"/>
  <c r="C14" i="88"/>
  <c r="T13" i="88"/>
  <c r="H27" i="88"/>
  <c r="C13" i="88"/>
  <c r="T12" i="88"/>
  <c r="H26" i="88"/>
  <c r="C12" i="88"/>
  <c r="C20" i="88" s="1"/>
  <c r="T90" i="88"/>
  <c r="O183" i="88"/>
  <c r="A18" i="87"/>
  <c r="A13" i="87"/>
  <c r="C47" i="87"/>
  <c r="C27" i="87"/>
  <c r="F68" i="69"/>
  <c r="I68" i="69" s="1"/>
  <c r="C48" i="87"/>
  <c r="C16" i="87"/>
  <c r="C26" i="87"/>
  <c r="C33" i="87"/>
  <c r="G33" i="87" s="1"/>
  <c r="C34" i="87"/>
  <c r="G34" i="87" s="1"/>
  <c r="C32" i="87"/>
  <c r="C35" i="87"/>
  <c r="D15" i="87"/>
  <c r="D16" i="87"/>
  <c r="M15" i="87"/>
  <c r="M47" i="87"/>
  <c r="M25" i="87"/>
  <c r="M39" i="87"/>
  <c r="D40" i="87"/>
  <c r="D39" i="87"/>
  <c r="D41" i="87"/>
  <c r="D42" i="87"/>
  <c r="D21" i="87"/>
  <c r="M20" i="87"/>
  <c r="D20" i="87"/>
  <c r="D11" i="87"/>
  <c r="M32" i="87"/>
  <c r="D32" i="87"/>
  <c r="D35" i="87"/>
  <c r="J15" i="87"/>
  <c r="A9" i="87"/>
  <c r="J10" i="87"/>
  <c r="J39" i="87"/>
  <c r="J20" i="87"/>
  <c r="J32" i="87"/>
  <c r="D34" i="87"/>
  <c r="D33" i="87"/>
  <c r="G16" i="87"/>
  <c r="C51" i="36"/>
  <c r="D42" i="102" s="1"/>
  <c r="D48" i="102" s="1"/>
  <c r="B7" i="60"/>
  <c r="C8" i="60" s="1"/>
  <c r="A16" i="60"/>
  <c r="A17" i="60"/>
  <c r="A18" i="60"/>
  <c r="A19" i="60"/>
  <c r="A20" i="60"/>
  <c r="A21" i="60"/>
  <c r="A22" i="60"/>
  <c r="A23" i="60"/>
  <c r="A24" i="60"/>
  <c r="A25" i="60"/>
  <c r="A26" i="60"/>
  <c r="A27" i="60"/>
  <c r="A28" i="60"/>
  <c r="A29" i="60"/>
  <c r="A30" i="60"/>
  <c r="A31" i="60"/>
  <c r="A32" i="60"/>
  <c r="A33" i="60"/>
  <c r="A34" i="60"/>
  <c r="A35" i="60"/>
  <c r="A36" i="60"/>
  <c r="A37" i="60"/>
  <c r="A38" i="60"/>
  <c r="A39" i="60"/>
  <c r="A40" i="60"/>
  <c r="A41" i="60"/>
  <c r="A42" i="60"/>
  <c r="A43" i="60"/>
  <c r="B68" i="36"/>
  <c r="B41" i="36"/>
  <c r="C27" i="36"/>
  <c r="C72" i="36"/>
  <c r="D35" i="60"/>
  <c r="D21" i="60"/>
  <c r="G13" i="36"/>
  <c r="D12" i="60" s="1"/>
  <c r="D27" i="60"/>
  <c r="G8" i="36"/>
  <c r="A8" i="60"/>
  <c r="A9" i="60"/>
  <c r="A10" i="60"/>
  <c r="A11" i="60"/>
  <c r="A12" i="60"/>
  <c r="A13" i="60"/>
  <c r="A14" i="60"/>
  <c r="A15" i="60"/>
  <c r="B33" i="60"/>
  <c r="C34" i="60" s="1"/>
  <c r="C132" i="88" l="1"/>
  <c r="E188" i="88"/>
  <c r="C11" i="87"/>
  <c r="T118" i="88"/>
  <c r="C146" i="88"/>
  <c r="C181" i="88"/>
  <c r="C15" i="87" s="1"/>
  <c r="E15" i="87" s="1"/>
  <c r="C183" i="88"/>
  <c r="C104" i="88"/>
  <c r="T104" i="88"/>
  <c r="C182" i="88"/>
  <c r="C20" i="87" s="1"/>
  <c r="C90" i="88"/>
  <c r="C118" i="88"/>
  <c r="T48" i="88"/>
  <c r="T62" i="88"/>
  <c r="O185" i="88"/>
  <c r="T20" i="88"/>
  <c r="C185" i="88"/>
  <c r="C39" i="87" s="1"/>
  <c r="C76" i="88"/>
  <c r="T132" i="88"/>
  <c r="T174" i="88"/>
  <c r="J61" i="87"/>
  <c r="M83" i="87"/>
  <c r="C203" i="88"/>
  <c r="G41" i="87"/>
  <c r="H41" i="87" s="1"/>
  <c r="G28" i="87"/>
  <c r="C43" i="87"/>
  <c r="G35" i="87"/>
  <c r="H35" i="87" s="1"/>
  <c r="E60" i="36"/>
  <c r="C60" i="36" s="1"/>
  <c r="H60" i="36" s="1"/>
  <c r="J60" i="36" s="1"/>
  <c r="K60" i="36" s="1"/>
  <c r="G21" i="87"/>
  <c r="E37" i="36"/>
  <c r="C37" i="36" s="1"/>
  <c r="H37" i="36" s="1"/>
  <c r="J47" i="87"/>
  <c r="E41" i="87"/>
  <c r="D47" i="87"/>
  <c r="M48" i="87"/>
  <c r="S49" i="87" s="1"/>
  <c r="G48" i="87"/>
  <c r="D48" i="87"/>
  <c r="C13" i="36"/>
  <c r="H13" i="36" s="1"/>
  <c r="E34" i="87"/>
  <c r="D10" i="87"/>
  <c r="M11" i="87"/>
  <c r="M10" i="87"/>
  <c r="E35" i="87"/>
  <c r="H34" i="87"/>
  <c r="J34" i="87"/>
  <c r="K34" i="87" s="1"/>
  <c r="D108" i="87"/>
  <c r="G11" i="87"/>
  <c r="H11" i="87" s="1"/>
  <c r="G27" i="87"/>
  <c r="G40" i="87"/>
  <c r="D27" i="87"/>
  <c r="G39" i="87"/>
  <c r="N39" i="87" s="1"/>
  <c r="G47" i="87"/>
  <c r="M41" i="87"/>
  <c r="E16" i="87"/>
  <c r="G26" i="87"/>
  <c r="M26" i="87"/>
  <c r="M21" i="87"/>
  <c r="I39" i="102"/>
  <c r="I56" i="102" s="1"/>
  <c r="G56" i="102"/>
  <c r="G32" i="87"/>
  <c r="H32" i="87" s="1"/>
  <c r="C42" i="87"/>
  <c r="J40" i="87"/>
  <c r="J21" i="87"/>
  <c r="J41" i="87"/>
  <c r="M108" i="87"/>
  <c r="E21" i="87"/>
  <c r="J25" i="87"/>
  <c r="E48" i="87"/>
  <c r="G20" i="87"/>
  <c r="N20" i="87" s="1"/>
  <c r="J26" i="87"/>
  <c r="H33" i="87"/>
  <c r="D25" i="87"/>
  <c r="C25" i="87"/>
  <c r="G31" i="102"/>
  <c r="I18" i="102"/>
  <c r="I31" i="102" s="1"/>
  <c r="D26" i="87"/>
  <c r="E26" i="87" s="1"/>
  <c r="J33" i="87"/>
  <c r="C105" i="87"/>
  <c r="B15" i="60"/>
  <c r="C16" i="60" s="1"/>
  <c r="I9" i="60" s="1"/>
  <c r="N9" i="60" s="1"/>
  <c r="B19" i="60"/>
  <c r="F10" i="60" s="1"/>
  <c r="F11" i="60" s="1"/>
  <c r="B31" i="36"/>
  <c r="B41" i="60"/>
  <c r="C42" i="60" s="1"/>
  <c r="D71" i="36" s="1"/>
  <c r="G71" i="36" s="1"/>
  <c r="E78" i="69"/>
  <c r="F78" i="69" s="1"/>
  <c r="J48" i="87"/>
  <c r="C14" i="36"/>
  <c r="C57" i="36"/>
  <c r="H57" i="36" s="1"/>
  <c r="C35" i="36"/>
  <c r="D22" i="102" s="1"/>
  <c r="F22" i="102" s="1"/>
  <c r="C26" i="36"/>
  <c r="H26" i="36" s="1"/>
  <c r="C58" i="36"/>
  <c r="H58" i="36" s="1"/>
  <c r="C36" i="36"/>
  <c r="D20" i="102" s="1"/>
  <c r="D24" i="102" s="1"/>
  <c r="C64" i="36"/>
  <c r="B76" i="36"/>
  <c r="C34" i="36"/>
  <c r="D18" i="102" s="1"/>
  <c r="C65" i="36"/>
  <c r="B54" i="36"/>
  <c r="C44" i="36"/>
  <c r="C71" i="36"/>
  <c r="B25" i="60"/>
  <c r="C29" i="60" s="1"/>
  <c r="C45" i="36"/>
  <c r="B11" i="60"/>
  <c r="C12" i="60" s="1"/>
  <c r="C9" i="36"/>
  <c r="C50" i="36"/>
  <c r="D84" i="87"/>
  <c r="H84" i="87" s="1"/>
  <c r="J109" i="87"/>
  <c r="D75" i="87"/>
  <c r="E75" i="87" s="1"/>
  <c r="J76" i="87"/>
  <c r="K76" i="87" s="1"/>
  <c r="D66" i="87"/>
  <c r="O29" i="88"/>
  <c r="O43" i="88" s="1"/>
  <c r="P43" i="88" s="1"/>
  <c r="C180" i="88"/>
  <c r="C10" i="87" s="1"/>
  <c r="E39" i="87"/>
  <c r="J35" i="87"/>
  <c r="E32" i="87"/>
  <c r="P10" i="92"/>
  <c r="Q10" i="92" s="1"/>
  <c r="P20" i="92"/>
  <c r="Q20" i="92" s="1"/>
  <c r="P7" i="92"/>
  <c r="Q7" i="92" s="1"/>
  <c r="F33" i="92"/>
  <c r="E30" i="92"/>
  <c r="P11" i="92"/>
  <c r="Q11" i="92" s="1"/>
  <c r="D57" i="36"/>
  <c r="I14" i="60"/>
  <c r="N14" i="60" s="1"/>
  <c r="I8" i="60"/>
  <c r="N8" i="60" s="1"/>
  <c r="D8" i="36"/>
  <c r="F14" i="60"/>
  <c r="F15" i="60" s="1"/>
  <c r="C20" i="60"/>
  <c r="J86" i="87"/>
  <c r="K86" i="87" s="1"/>
  <c r="D63" i="87"/>
  <c r="M16" i="87"/>
  <c r="J59" i="87"/>
  <c r="J42" i="87"/>
  <c r="J11" i="87"/>
  <c r="M42" i="87"/>
  <c r="J73" i="87"/>
  <c r="K73" i="87" s="1"/>
  <c r="J54" i="87"/>
  <c r="M35" i="87"/>
  <c r="M34" i="87"/>
  <c r="K47" i="87"/>
  <c r="G15" i="87"/>
  <c r="H15" i="87" s="1"/>
  <c r="M93" i="87"/>
  <c r="E64" i="69" s="1"/>
  <c r="M76" i="87"/>
  <c r="D64" i="87"/>
  <c r="M33" i="87"/>
  <c r="M85" i="87"/>
  <c r="N85" i="87" s="1"/>
  <c r="N26" i="87"/>
  <c r="M58" i="87"/>
  <c r="M66" i="87"/>
  <c r="H76" i="87"/>
  <c r="E76" i="87"/>
  <c r="H68" i="87"/>
  <c r="E68" i="87"/>
  <c r="J14" i="88"/>
  <c r="K14" i="88" s="1"/>
  <c r="K72" i="87"/>
  <c r="D58" i="87"/>
  <c r="C17" i="60"/>
  <c r="C38" i="60"/>
  <c r="D88" i="87"/>
  <c r="H88" i="87" s="1"/>
  <c r="K85" i="87"/>
  <c r="D80" i="87"/>
  <c r="H80" i="87" s="1"/>
  <c r="J64" i="87"/>
  <c r="P16" i="88"/>
  <c r="Q16" i="88" s="1"/>
  <c r="C9" i="60"/>
  <c r="O44" i="88"/>
  <c r="P44" i="88" s="1"/>
  <c r="Q44" i="88" s="1"/>
  <c r="P30" i="88"/>
  <c r="Q30" i="88" s="1"/>
  <c r="H41" i="88"/>
  <c r="H55" i="88" s="1"/>
  <c r="H69" i="88" s="1"/>
  <c r="J27" i="88"/>
  <c r="K27" i="88" s="1"/>
  <c r="J13" i="88"/>
  <c r="K13" i="88" s="1"/>
  <c r="D109" i="87"/>
  <c r="J58" i="87"/>
  <c r="M63" i="87"/>
  <c r="M54" i="87"/>
  <c r="J68" i="87"/>
  <c r="K68" i="87" s="1"/>
  <c r="H21" i="87"/>
  <c r="P8" i="92"/>
  <c r="Q8" i="92" s="1"/>
  <c r="P18" i="92"/>
  <c r="Q18" i="92" s="1"/>
  <c r="P24" i="92"/>
  <c r="Q24" i="92" s="1"/>
  <c r="C30" i="92"/>
  <c r="P13" i="92"/>
  <c r="Q13" i="92" s="1"/>
  <c r="P15" i="92"/>
  <c r="Q15" i="92" s="1"/>
  <c r="P17" i="92"/>
  <c r="Q17" i="92" s="1"/>
  <c r="P25" i="92"/>
  <c r="Q25" i="92" s="1"/>
  <c r="M30" i="92"/>
  <c r="G105" i="87" s="1"/>
  <c r="D9" i="69" s="1"/>
  <c r="F9" i="69" s="1"/>
  <c r="P12" i="92"/>
  <c r="Q12" i="92" s="1"/>
  <c r="P23" i="92"/>
  <c r="Q23" i="92" s="1"/>
  <c r="P6" i="92"/>
  <c r="Q6" i="92" s="1"/>
  <c r="P9" i="92"/>
  <c r="Q9" i="92" s="1"/>
  <c r="P28" i="92"/>
  <c r="Q28" i="92" s="1"/>
  <c r="M70" i="87"/>
  <c r="J87" i="88"/>
  <c r="K87" i="88" s="1"/>
  <c r="E40" i="87"/>
  <c r="J53" i="87"/>
  <c r="J89" i="87"/>
  <c r="K89" i="87" s="1"/>
  <c r="J84" i="87"/>
  <c r="D70" i="87"/>
  <c r="H70" i="87" s="1"/>
  <c r="J90" i="87"/>
  <c r="N90" i="87" s="1"/>
  <c r="J81" i="87"/>
  <c r="M75" i="87"/>
  <c r="J63" i="87"/>
  <c r="J59" i="88"/>
  <c r="K59" i="88" s="1"/>
  <c r="H32" i="88"/>
  <c r="H46" i="88" s="1"/>
  <c r="J46" i="88" s="1"/>
  <c r="K46" i="88" s="1"/>
  <c r="M69" i="87"/>
  <c r="N69" i="87" s="1"/>
  <c r="M88" i="87"/>
  <c r="E89" i="87"/>
  <c r="E11" i="87"/>
  <c r="P31" i="88"/>
  <c r="Q31" i="88" s="1"/>
  <c r="J31" i="88"/>
  <c r="K31" i="88" s="1"/>
  <c r="M61" i="87"/>
  <c r="P17" i="88"/>
  <c r="Q17" i="88" s="1"/>
  <c r="M53" i="87"/>
  <c r="N77" i="87"/>
  <c r="D79" i="87"/>
  <c r="K79" i="87" s="1"/>
  <c r="J41" i="88"/>
  <c r="K41" i="88" s="1"/>
  <c r="M40" i="87"/>
  <c r="M27" i="87"/>
  <c r="C35" i="60"/>
  <c r="E13" i="69"/>
  <c r="E26" i="69"/>
  <c r="M82" i="87"/>
  <c r="N82" i="87" s="1"/>
  <c r="M89" i="87"/>
  <c r="J70" i="87"/>
  <c r="H72" i="87"/>
  <c r="Q15" i="88"/>
  <c r="M86" i="87"/>
  <c r="M73" i="87"/>
  <c r="J88" i="87"/>
  <c r="C37" i="60"/>
  <c r="E16" i="69"/>
  <c r="E23" i="69"/>
  <c r="H85" i="87"/>
  <c r="M65" i="87"/>
  <c r="J87" i="87"/>
  <c r="K87" i="87" s="1"/>
  <c r="S22" i="87"/>
  <c r="J17" i="88"/>
  <c r="K17" i="88" s="1"/>
  <c r="J91" i="87"/>
  <c r="K91" i="87" s="1"/>
  <c r="M72" i="87"/>
  <c r="N72" i="87" s="1"/>
  <c r="E17" i="69"/>
  <c r="N79" i="87"/>
  <c r="D69" i="87"/>
  <c r="E69" i="87" s="1"/>
  <c r="J15" i="88"/>
  <c r="K15" i="88" s="1"/>
  <c r="J16" i="87"/>
  <c r="J16" i="88"/>
  <c r="K16" i="88" s="1"/>
  <c r="D77" i="87"/>
  <c r="O9" i="92"/>
  <c r="O10" i="106" s="1"/>
  <c r="D8" i="60"/>
  <c r="C10" i="97"/>
  <c r="C29" i="97" s="1"/>
  <c r="J29" i="88"/>
  <c r="K29" i="88" s="1"/>
  <c r="H43" i="88"/>
  <c r="J27" i="87"/>
  <c r="E86" i="87"/>
  <c r="H86" i="87"/>
  <c r="H115" i="88"/>
  <c r="J101" i="88"/>
  <c r="K101" i="88" s="1"/>
  <c r="E33" i="87"/>
  <c r="J44" i="88"/>
  <c r="K44" i="88" s="1"/>
  <c r="H58" i="88"/>
  <c r="O59" i="88"/>
  <c r="P45" i="88"/>
  <c r="Q45" i="88" s="1"/>
  <c r="J45" i="88"/>
  <c r="K45" i="88" s="1"/>
  <c r="H16" i="87"/>
  <c r="H42" i="88"/>
  <c r="J28" i="88"/>
  <c r="K28" i="88" s="1"/>
  <c r="J26" i="88"/>
  <c r="H40" i="88"/>
  <c r="J73" i="88"/>
  <c r="K73" i="88" s="1"/>
  <c r="J30" i="88"/>
  <c r="K30" i="88" s="1"/>
  <c r="J12" i="88"/>
  <c r="E30" i="69"/>
  <c r="E91" i="87"/>
  <c r="H91" i="87"/>
  <c r="H83" i="87"/>
  <c r="E83" i="87"/>
  <c r="H74" i="87"/>
  <c r="E74" i="87"/>
  <c r="E90" i="87"/>
  <c r="K90" i="87"/>
  <c r="H90" i="87"/>
  <c r="K82" i="87"/>
  <c r="H82" i="87"/>
  <c r="E82" i="87"/>
  <c r="H73" i="87"/>
  <c r="E73" i="87"/>
  <c r="J83" i="87"/>
  <c r="J74" i="87"/>
  <c r="K74" i="87" s="1"/>
  <c r="H87" i="87"/>
  <c r="E87" i="87"/>
  <c r="E15" i="69"/>
  <c r="E19" i="69"/>
  <c r="E25" i="69"/>
  <c r="O13" i="92"/>
  <c r="O16" i="106" s="1"/>
  <c r="O7" i="92"/>
  <c r="O8" i="106" s="1"/>
  <c r="O23" i="92"/>
  <c r="O18" i="106" s="1"/>
  <c r="O10" i="92"/>
  <c r="O11" i="106" s="1"/>
  <c r="J57" i="87"/>
  <c r="M64" i="87"/>
  <c r="J66" i="87"/>
  <c r="M80" i="87"/>
  <c r="N80" i="87" s="1"/>
  <c r="E71" i="87"/>
  <c r="D56" i="87"/>
  <c r="J56" i="87"/>
  <c r="O16" i="92"/>
  <c r="O20" i="106" s="1"/>
  <c r="O14" i="92"/>
  <c r="O17" i="106" s="1"/>
  <c r="O19" i="92"/>
  <c r="O24" i="106" s="1"/>
  <c r="O25" i="92"/>
  <c r="O26" i="106" s="1"/>
  <c r="O6" i="92"/>
  <c r="O7" i="106" s="1"/>
  <c r="M71" i="87"/>
  <c r="M59" i="87"/>
  <c r="M91" i="87"/>
  <c r="J71" i="87"/>
  <c r="K71" i="87" s="1"/>
  <c r="J75" i="87"/>
  <c r="O8" i="92"/>
  <c r="O9" i="106" s="1"/>
  <c r="O20" i="92"/>
  <c r="O25" i="106" s="1"/>
  <c r="O11" i="92"/>
  <c r="O12" i="106" s="1"/>
  <c r="O17" i="92"/>
  <c r="O21" i="106" s="1"/>
  <c r="J65" i="87"/>
  <c r="M87" i="87"/>
  <c r="D53" i="87"/>
  <c r="O15" i="92"/>
  <c r="O19" i="106" s="1"/>
  <c r="O12" i="92"/>
  <c r="O15" i="106" s="1"/>
  <c r="O18" i="92"/>
  <c r="O22" i="106" s="1"/>
  <c r="A17" i="96"/>
  <c r="E20" i="87"/>
  <c r="D38" i="95"/>
  <c r="A1" i="60"/>
  <c r="A1" i="72" s="1"/>
  <c r="A7" i="36"/>
  <c r="N41" i="87" l="1"/>
  <c r="E17" i="87"/>
  <c r="H47" i="87"/>
  <c r="K48" i="87"/>
  <c r="C21" i="60"/>
  <c r="D35" i="36" s="1"/>
  <c r="E84" i="87"/>
  <c r="N21" i="87"/>
  <c r="N22" i="87" s="1"/>
  <c r="K32" i="87"/>
  <c r="H39" i="87"/>
  <c r="H17" i="87"/>
  <c r="K39" i="87"/>
  <c r="P39" i="87" s="1"/>
  <c r="Q39" i="87" s="1"/>
  <c r="N47" i="87"/>
  <c r="N32" i="87"/>
  <c r="E82" i="36"/>
  <c r="K21" i="87"/>
  <c r="H48" i="87"/>
  <c r="G43" i="87"/>
  <c r="K15" i="87"/>
  <c r="N48" i="87"/>
  <c r="N49" i="87" s="1"/>
  <c r="K28" i="87"/>
  <c r="N28" i="87"/>
  <c r="H28" i="87"/>
  <c r="K26" i="87"/>
  <c r="E47" i="87"/>
  <c r="E49" i="87" s="1"/>
  <c r="K40" i="87"/>
  <c r="H36" i="87"/>
  <c r="H40" i="87"/>
  <c r="E108" i="87"/>
  <c r="K108" i="87"/>
  <c r="H108" i="87"/>
  <c r="N33" i="87"/>
  <c r="E25" i="87"/>
  <c r="K33" i="87"/>
  <c r="H45" i="36"/>
  <c r="D45" i="102"/>
  <c r="H26" i="87"/>
  <c r="G25" i="87"/>
  <c r="K25" i="87" s="1"/>
  <c r="K27" i="87"/>
  <c r="E109" i="87"/>
  <c r="K11" i="87"/>
  <c r="E27" i="87"/>
  <c r="S12" i="87"/>
  <c r="G42" i="87"/>
  <c r="H42" i="87" s="1"/>
  <c r="E42" i="87"/>
  <c r="E44" i="87" s="1"/>
  <c r="H27" i="87"/>
  <c r="N15" i="87"/>
  <c r="P15" i="87" s="1"/>
  <c r="E36" i="87"/>
  <c r="N34" i="87"/>
  <c r="P34" i="87" s="1"/>
  <c r="Q34" i="87" s="1"/>
  <c r="C22" i="60"/>
  <c r="K35" i="87"/>
  <c r="K49" i="87"/>
  <c r="C52" i="36"/>
  <c r="C46" i="36" s="1"/>
  <c r="D41" i="102"/>
  <c r="N108" i="87"/>
  <c r="N16" i="87"/>
  <c r="N109" i="87"/>
  <c r="K41" i="87"/>
  <c r="P41" i="87" s="1"/>
  <c r="Q41" i="87" s="1"/>
  <c r="H20" i="87"/>
  <c r="S17" i="87"/>
  <c r="K20" i="87"/>
  <c r="D26" i="36"/>
  <c r="E26" i="36" s="1"/>
  <c r="K84" i="87"/>
  <c r="N76" i="87"/>
  <c r="L18" i="102"/>
  <c r="F18" i="102"/>
  <c r="H18" i="102"/>
  <c r="J18" i="102"/>
  <c r="H44" i="36"/>
  <c r="D39" i="102"/>
  <c r="E80" i="87"/>
  <c r="N11" i="87"/>
  <c r="F80" i="69"/>
  <c r="F9" i="60"/>
  <c r="H82" i="36"/>
  <c r="J82" i="36" s="1"/>
  <c r="K82" i="36" s="1"/>
  <c r="C19" i="36"/>
  <c r="C43" i="60"/>
  <c r="C79" i="36"/>
  <c r="J37" i="36"/>
  <c r="K37" i="36" s="1"/>
  <c r="E57" i="36"/>
  <c r="J57" i="36" s="1"/>
  <c r="K57" i="36" s="1"/>
  <c r="I11" i="60"/>
  <c r="N11" i="60" s="1"/>
  <c r="C13" i="60"/>
  <c r="D14" i="36" s="1"/>
  <c r="E14" i="36" s="1"/>
  <c r="C27" i="60"/>
  <c r="C30" i="60"/>
  <c r="C30" i="97"/>
  <c r="C37" i="97"/>
  <c r="H75" i="87"/>
  <c r="N68" i="87"/>
  <c r="P68" i="87" s="1"/>
  <c r="Q68" i="87" s="1"/>
  <c r="H109" i="87"/>
  <c r="E44" i="69"/>
  <c r="N35" i="87"/>
  <c r="D13" i="36"/>
  <c r="E13" i="36" s="1"/>
  <c r="C66" i="36"/>
  <c r="C59" i="36" s="1"/>
  <c r="C81" i="36" s="1"/>
  <c r="H34" i="36"/>
  <c r="D50" i="36"/>
  <c r="E50" i="36" s="1"/>
  <c r="H35" i="36"/>
  <c r="C80" i="36"/>
  <c r="D9" i="36"/>
  <c r="E9" i="36" s="1"/>
  <c r="E35" i="36"/>
  <c r="C26" i="60"/>
  <c r="F12" i="60"/>
  <c r="F13" i="60" s="1"/>
  <c r="P29" i="88"/>
  <c r="P34" i="88" s="1"/>
  <c r="Q34" i="88" s="1"/>
  <c r="O57" i="88"/>
  <c r="P57" i="88" s="1"/>
  <c r="S36" i="87"/>
  <c r="N86" i="87"/>
  <c r="P86" i="87" s="1"/>
  <c r="Q86" i="87" s="1"/>
  <c r="K88" i="87"/>
  <c r="D27" i="36"/>
  <c r="E27" i="36" s="1"/>
  <c r="E88" i="87"/>
  <c r="O58" i="88"/>
  <c r="P58" i="88" s="1"/>
  <c r="Q58" i="88" s="1"/>
  <c r="P85" i="87"/>
  <c r="Q85" i="87" s="1"/>
  <c r="P47" i="87"/>
  <c r="N91" i="87"/>
  <c r="P91" i="87" s="1"/>
  <c r="Q91" i="87" s="1"/>
  <c r="H60" i="88"/>
  <c r="H74" i="88" s="1"/>
  <c r="F38" i="95"/>
  <c r="I10" i="95"/>
  <c r="N89" i="87"/>
  <c r="P89" i="87" s="1"/>
  <c r="Q89" i="87" s="1"/>
  <c r="N42" i="87"/>
  <c r="C188" i="88"/>
  <c r="C8" i="36"/>
  <c r="E8" i="36" s="1"/>
  <c r="D34" i="36"/>
  <c r="E34" i="36" s="1"/>
  <c r="I10" i="60"/>
  <c r="N10" i="60" s="1"/>
  <c r="H71" i="36"/>
  <c r="D42" i="60"/>
  <c r="E71" i="36"/>
  <c r="H69" i="87"/>
  <c r="J32" i="88"/>
  <c r="K32" i="88" s="1"/>
  <c r="K16" i="87"/>
  <c r="K17" i="87" s="1"/>
  <c r="N73" i="87"/>
  <c r="P73" i="87" s="1"/>
  <c r="Q73" i="87" s="1"/>
  <c r="J55" i="88"/>
  <c r="K55" i="88" s="1"/>
  <c r="K109" i="87"/>
  <c r="K110" i="87" s="1"/>
  <c r="E10" i="87"/>
  <c r="A10" i="87" s="1"/>
  <c r="G10" i="87"/>
  <c r="P76" i="87"/>
  <c r="Q76" i="87" s="1"/>
  <c r="N87" i="87"/>
  <c r="P87" i="87" s="1"/>
  <c r="Q87" i="87" s="1"/>
  <c r="K80" i="87"/>
  <c r="P80" i="87" s="1"/>
  <c r="Q80" i="87" s="1"/>
  <c r="D65" i="36"/>
  <c r="E65" i="36" s="1"/>
  <c r="N88" i="87"/>
  <c r="E70" i="87"/>
  <c r="N27" i="87"/>
  <c r="N40" i="87"/>
  <c r="N84" i="87"/>
  <c r="P84" i="87" s="1"/>
  <c r="Q84" i="87" s="1"/>
  <c r="H79" i="87"/>
  <c r="P79" i="87" s="1"/>
  <c r="E79" i="87"/>
  <c r="P20" i="88"/>
  <c r="Q20" i="88" s="1"/>
  <c r="P72" i="87"/>
  <c r="Q72" i="87" s="1"/>
  <c r="K69" i="87"/>
  <c r="P90" i="87"/>
  <c r="Q90" i="87" s="1"/>
  <c r="K70" i="87"/>
  <c r="N70" i="87"/>
  <c r="H77" i="87"/>
  <c r="E77" i="87"/>
  <c r="D64" i="36"/>
  <c r="E64" i="36" s="1"/>
  <c r="D58" i="36"/>
  <c r="E58" i="36" s="1"/>
  <c r="I15" i="60"/>
  <c r="N15" i="60" s="1"/>
  <c r="K77" i="87"/>
  <c r="F19" i="97"/>
  <c r="F23" i="97"/>
  <c r="F16" i="97"/>
  <c r="F18" i="97"/>
  <c r="F20" i="97"/>
  <c r="F22" i="97"/>
  <c r="F24" i="97"/>
  <c r="F14" i="97"/>
  <c r="F21" i="97"/>
  <c r="F15" i="97"/>
  <c r="F17" i="97"/>
  <c r="F25" i="97"/>
  <c r="J20" i="88"/>
  <c r="K20" i="88" s="1"/>
  <c r="K12" i="88"/>
  <c r="J115" i="88"/>
  <c r="K115" i="88" s="1"/>
  <c r="H129" i="88"/>
  <c r="N74" i="87"/>
  <c r="P74" i="87" s="1"/>
  <c r="Q74" i="87" s="1"/>
  <c r="P48" i="88"/>
  <c r="Q48" i="88" s="1"/>
  <c r="Q43" i="88"/>
  <c r="N75" i="87"/>
  <c r="K75" i="87"/>
  <c r="N71" i="87"/>
  <c r="P71" i="87" s="1"/>
  <c r="Q71" i="87" s="1"/>
  <c r="K83" i="87"/>
  <c r="N83" i="87"/>
  <c r="J43" i="88"/>
  <c r="K43" i="88" s="1"/>
  <c r="H57" i="88"/>
  <c r="D100" i="87"/>
  <c r="J99" i="87"/>
  <c r="G97" i="87"/>
  <c r="G93" i="87"/>
  <c r="J97" i="87"/>
  <c r="D96" i="87"/>
  <c r="D95" i="87"/>
  <c r="G63" i="87"/>
  <c r="G54" i="87"/>
  <c r="D99" i="87"/>
  <c r="G95" i="87"/>
  <c r="G98" i="87"/>
  <c r="G59" i="87"/>
  <c r="G53" i="87"/>
  <c r="K53" i="87" s="1"/>
  <c r="G100" i="87"/>
  <c r="D97" i="87"/>
  <c r="G64" i="87"/>
  <c r="N64" i="87" s="1"/>
  <c r="M99" i="87"/>
  <c r="J96" i="87"/>
  <c r="G66" i="87"/>
  <c r="N66" i="87" s="1"/>
  <c r="G99" i="87"/>
  <c r="G58" i="87"/>
  <c r="J95" i="87"/>
  <c r="D98" i="87"/>
  <c r="G56" i="87"/>
  <c r="K56" i="87" s="1"/>
  <c r="G65" i="87"/>
  <c r="K65" i="87" s="1"/>
  <c r="M98" i="87"/>
  <c r="G62" i="87"/>
  <c r="G61" i="87"/>
  <c r="M96" i="87"/>
  <c r="G57" i="87"/>
  <c r="K57" i="87" s="1"/>
  <c r="J100" i="87"/>
  <c r="M100" i="87"/>
  <c r="G81" i="87"/>
  <c r="J98" i="87"/>
  <c r="M97" i="87"/>
  <c r="G96" i="87"/>
  <c r="M95" i="87"/>
  <c r="G55" i="87"/>
  <c r="H54" i="88"/>
  <c r="J40" i="88"/>
  <c r="P82" i="87"/>
  <c r="Q82" i="87" s="1"/>
  <c r="K26" i="88"/>
  <c r="P59" i="88"/>
  <c r="Q59" i="88" s="1"/>
  <c r="O73" i="88"/>
  <c r="H83" i="88"/>
  <c r="J69" i="88"/>
  <c r="K69" i="88" s="1"/>
  <c r="H56" i="88"/>
  <c r="J42" i="88"/>
  <c r="K42" i="88" s="1"/>
  <c r="H72" i="88"/>
  <c r="J58" i="88"/>
  <c r="K58" i="88" s="1"/>
  <c r="A18" i="96"/>
  <c r="H22" i="87"/>
  <c r="E29" i="87"/>
  <c r="E22" i="87"/>
  <c r="E110" i="87"/>
  <c r="P21" i="87" l="1"/>
  <c r="Q21" i="87" s="1"/>
  <c r="O71" i="88"/>
  <c r="H49" i="87"/>
  <c r="K36" i="87"/>
  <c r="H110" i="87"/>
  <c r="P26" i="87"/>
  <c r="Q26" i="87" s="1"/>
  <c r="N17" i="87"/>
  <c r="E92" i="36"/>
  <c r="D17" i="95" s="1"/>
  <c r="A11" i="87"/>
  <c r="P32" i="87"/>
  <c r="Q32" i="87" s="1"/>
  <c r="P108" i="87"/>
  <c r="Q108" i="87" s="1"/>
  <c r="P48" i="87"/>
  <c r="P35" i="87"/>
  <c r="Q35" i="87" s="1"/>
  <c r="J34" i="88"/>
  <c r="K34" i="88" s="1"/>
  <c r="P33" i="87"/>
  <c r="H43" i="87"/>
  <c r="H44" i="87" s="1"/>
  <c r="N43" i="87"/>
  <c r="K43" i="87"/>
  <c r="K29" i="87"/>
  <c r="P28" i="87"/>
  <c r="Q28" i="87" s="1"/>
  <c r="S29" i="87" s="1"/>
  <c r="Q47" i="87"/>
  <c r="P40" i="87"/>
  <c r="Q40" i="87" s="1"/>
  <c r="A8" i="36"/>
  <c r="A9" i="36" s="1"/>
  <c r="A10" i="36" s="1"/>
  <c r="J13" i="36"/>
  <c r="K13" i="36" s="1"/>
  <c r="P20" i="87"/>
  <c r="P11" i="87"/>
  <c r="Q11" i="87" s="1"/>
  <c r="D51" i="36"/>
  <c r="E51" i="36" s="1"/>
  <c r="E52" i="36" s="1"/>
  <c r="E46" i="36" s="1"/>
  <c r="N110" i="87"/>
  <c r="K22" i="87"/>
  <c r="H79" i="36"/>
  <c r="D36" i="36"/>
  <c r="E36" i="36" s="1"/>
  <c r="E39" i="36" s="1"/>
  <c r="D12" i="95" s="1"/>
  <c r="D47" i="102"/>
  <c r="D43" i="102"/>
  <c r="F45" i="102"/>
  <c r="H45" i="102"/>
  <c r="L45" i="102"/>
  <c r="J45" i="102"/>
  <c r="K42" i="87"/>
  <c r="N25" i="87"/>
  <c r="N29" i="87" s="1"/>
  <c r="H25" i="87"/>
  <c r="C62" i="87"/>
  <c r="E62" i="87" s="1"/>
  <c r="C53" i="87"/>
  <c r="E53" i="87" s="1"/>
  <c r="C63" i="87"/>
  <c r="C54" i="87"/>
  <c r="C64" i="87"/>
  <c r="C59" i="87"/>
  <c r="C55" i="87"/>
  <c r="C65" i="87"/>
  <c r="C58" i="87"/>
  <c r="E58" i="87" s="1"/>
  <c r="C56" i="87"/>
  <c r="E56" i="87" s="1"/>
  <c r="C66" i="87"/>
  <c r="C57" i="87"/>
  <c r="C61" i="87"/>
  <c r="E61" i="87" s="1"/>
  <c r="E11" i="36"/>
  <c r="E29" i="36"/>
  <c r="D11" i="95" s="1"/>
  <c r="F39" i="102"/>
  <c r="L39" i="102"/>
  <c r="H39" i="102"/>
  <c r="J39" i="102"/>
  <c r="E16" i="36"/>
  <c r="J60" i="88"/>
  <c r="K60" i="88" s="1"/>
  <c r="P109" i="87"/>
  <c r="Q109" i="87" s="1"/>
  <c r="Q110" i="87" s="1"/>
  <c r="N36" i="87"/>
  <c r="D45" i="36"/>
  <c r="E45" i="36" s="1"/>
  <c r="E79" i="36"/>
  <c r="D72" i="36"/>
  <c r="E72" i="36" s="1"/>
  <c r="J34" i="36"/>
  <c r="K34" i="36" s="1"/>
  <c r="I13" i="60"/>
  <c r="N13" i="60" s="1"/>
  <c r="E18" i="36"/>
  <c r="E19" i="36"/>
  <c r="Q29" i="88"/>
  <c r="J35" i="36"/>
  <c r="K35" i="36" s="1"/>
  <c r="H80" i="36"/>
  <c r="D44" i="36"/>
  <c r="I12" i="60"/>
  <c r="N12" i="60" s="1"/>
  <c r="P16" i="87"/>
  <c r="Q16" i="87" s="1"/>
  <c r="O72" i="88"/>
  <c r="O86" i="88" s="1"/>
  <c r="P22" i="87"/>
  <c r="P88" i="87"/>
  <c r="Q88" i="87" s="1"/>
  <c r="P69" i="87"/>
  <c r="Q69" i="87" s="1"/>
  <c r="P27" i="87"/>
  <c r="Q27" i="87" s="1"/>
  <c r="C18" i="36"/>
  <c r="H8" i="36"/>
  <c r="E12" i="87"/>
  <c r="A12" i="87" s="1"/>
  <c r="J71" i="36"/>
  <c r="K71" i="36" s="1"/>
  <c r="E66" i="36"/>
  <c r="E59" i="36" s="1"/>
  <c r="H10" i="87"/>
  <c r="N10" i="87"/>
  <c r="N12" i="87" s="1"/>
  <c r="K10" i="87"/>
  <c r="K12" i="87" s="1"/>
  <c r="P83" i="87"/>
  <c r="Q83" i="87" s="1"/>
  <c r="N44" i="87"/>
  <c r="K98" i="87"/>
  <c r="P75" i="87"/>
  <c r="Q75" i="87" s="1"/>
  <c r="K100" i="87"/>
  <c r="Q79" i="87"/>
  <c r="P70" i="87"/>
  <c r="Q70" i="87" s="1"/>
  <c r="N56" i="87"/>
  <c r="J58" i="36"/>
  <c r="K58" i="36" s="1"/>
  <c r="E80" i="36"/>
  <c r="P77" i="87"/>
  <c r="Q77" i="87" s="1"/>
  <c r="K97" i="87"/>
  <c r="F26" i="97"/>
  <c r="Q33" i="87"/>
  <c r="D32" i="69"/>
  <c r="D22" i="69"/>
  <c r="N61" i="87"/>
  <c r="K61" i="87"/>
  <c r="D18" i="69"/>
  <c r="K58" i="87"/>
  <c r="N58" i="87"/>
  <c r="D13" i="69"/>
  <c r="N53" i="87"/>
  <c r="N57" i="87"/>
  <c r="J129" i="88"/>
  <c r="K129" i="88" s="1"/>
  <c r="H143" i="88"/>
  <c r="N65" i="87"/>
  <c r="J48" i="88"/>
  <c r="K48" i="88" s="1"/>
  <c r="K40" i="88"/>
  <c r="N97" i="87"/>
  <c r="E33" i="69"/>
  <c r="D23" i="69"/>
  <c r="K62" i="87"/>
  <c r="N62" i="87"/>
  <c r="D35" i="69"/>
  <c r="D19" i="69"/>
  <c r="K59" i="87"/>
  <c r="J54" i="88"/>
  <c r="H68" i="88"/>
  <c r="E34" i="69"/>
  <c r="N98" i="87"/>
  <c r="D27" i="69"/>
  <c r="D34" i="69"/>
  <c r="D64" i="69"/>
  <c r="F64" i="69" s="1"/>
  <c r="K93" i="87"/>
  <c r="N93" i="87"/>
  <c r="H71" i="88"/>
  <c r="J57" i="88"/>
  <c r="K57" i="88" s="1"/>
  <c r="H88" i="88"/>
  <c r="J74" i="88"/>
  <c r="K74" i="88" s="1"/>
  <c r="J83" i="88"/>
  <c r="K83" i="88" s="1"/>
  <c r="H97" i="88"/>
  <c r="D30" i="69"/>
  <c r="K81" i="87"/>
  <c r="N81" i="87"/>
  <c r="D26" i="69"/>
  <c r="K96" i="87"/>
  <c r="D31" i="69"/>
  <c r="D33" i="69"/>
  <c r="E36" i="69"/>
  <c r="N100" i="87"/>
  <c r="D16" i="69"/>
  <c r="E35" i="69"/>
  <c r="N99" i="87"/>
  <c r="K99" i="87"/>
  <c r="P49" i="87"/>
  <c r="Q48" i="87"/>
  <c r="Q49" i="87" s="1"/>
  <c r="T49" i="87" s="1"/>
  <c r="P62" i="88"/>
  <c r="Q62" i="88" s="1"/>
  <c r="Q57" i="88"/>
  <c r="J72" i="88"/>
  <c r="K72" i="88" s="1"/>
  <c r="H86" i="88"/>
  <c r="P73" i="88"/>
  <c r="Q73" i="88" s="1"/>
  <c r="O87" i="88"/>
  <c r="E63" i="87"/>
  <c r="E66" i="87"/>
  <c r="C99" i="87"/>
  <c r="C93" i="87"/>
  <c r="C96" i="87"/>
  <c r="C95" i="87"/>
  <c r="E64" i="87"/>
  <c r="E57" i="87"/>
  <c r="C97" i="87"/>
  <c r="E59" i="87"/>
  <c r="C98" i="87"/>
  <c r="E54" i="87"/>
  <c r="C100" i="87"/>
  <c r="C81" i="87"/>
  <c r="D25" i="69"/>
  <c r="K64" i="87"/>
  <c r="D14" i="69"/>
  <c r="K54" i="87"/>
  <c r="N54" i="87"/>
  <c r="P71" i="88"/>
  <c r="O85" i="88"/>
  <c r="D15" i="69"/>
  <c r="N55" i="87"/>
  <c r="K55" i="87"/>
  <c r="D17" i="69"/>
  <c r="K63" i="87"/>
  <c r="D24" i="69"/>
  <c r="N63" i="87"/>
  <c r="N59" i="87"/>
  <c r="K66" i="87"/>
  <c r="H70" i="88"/>
  <c r="J56" i="88"/>
  <c r="K56" i="88" s="1"/>
  <c r="E31" i="69"/>
  <c r="N95" i="87"/>
  <c r="E32" i="69"/>
  <c r="N96" i="87"/>
  <c r="K95" i="87"/>
  <c r="D36" i="69"/>
  <c r="A19" i="96"/>
  <c r="Q20" i="87"/>
  <c r="Q22" i="87" s="1"/>
  <c r="T22" i="87" s="1"/>
  <c r="Q15" i="87"/>
  <c r="K44" i="87" l="1"/>
  <c r="Q36" i="87"/>
  <c r="T36" i="87" s="1"/>
  <c r="P36" i="87"/>
  <c r="J79" i="36"/>
  <c r="K79" i="36" s="1"/>
  <c r="P43" i="87"/>
  <c r="Q43" i="87" s="1"/>
  <c r="S44" i="87" s="1"/>
  <c r="E62" i="36"/>
  <c r="D14" i="95" s="1"/>
  <c r="H18" i="36"/>
  <c r="E21" i="36"/>
  <c r="H29" i="87"/>
  <c r="P25" i="87"/>
  <c r="Q25" i="87" s="1"/>
  <c r="Q29" i="87" s="1"/>
  <c r="T29" i="87" s="1"/>
  <c r="P42" i="87"/>
  <c r="D49" i="102"/>
  <c r="E47" i="102" s="1"/>
  <c r="E65" i="87"/>
  <c r="E95" i="87"/>
  <c r="E96" i="87"/>
  <c r="E93" i="87"/>
  <c r="E98" i="87"/>
  <c r="E99" i="87"/>
  <c r="E55" i="87"/>
  <c r="E81" i="87"/>
  <c r="E100" i="87"/>
  <c r="E97" i="87"/>
  <c r="P110" i="87"/>
  <c r="E74" i="36"/>
  <c r="D15" i="95" s="1"/>
  <c r="A11" i="36"/>
  <c r="A12" i="36" s="1"/>
  <c r="J45" i="36"/>
  <c r="K45" i="36" s="1"/>
  <c r="E81" i="36"/>
  <c r="E84" i="36" s="1"/>
  <c r="Q17" i="87"/>
  <c r="T17" i="87" s="1"/>
  <c r="P17" i="87"/>
  <c r="P72" i="88"/>
  <c r="Q72" i="88" s="1"/>
  <c r="F25" i="69"/>
  <c r="F15" i="69"/>
  <c r="F26" i="69"/>
  <c r="E43" i="69"/>
  <c r="F23" i="69"/>
  <c r="F18" i="69"/>
  <c r="E49" i="69"/>
  <c r="E42" i="69"/>
  <c r="F16" i="69"/>
  <c r="F27" i="69"/>
  <c r="F24" i="69"/>
  <c r="F19" i="69"/>
  <c r="E41" i="69"/>
  <c r="F22" i="69"/>
  <c r="E39" i="69"/>
  <c r="F17" i="69"/>
  <c r="F14" i="69"/>
  <c r="F13" i="69"/>
  <c r="E44" i="36"/>
  <c r="J80" i="36"/>
  <c r="K80" i="36" s="1"/>
  <c r="D44" i="69"/>
  <c r="E61" i="69"/>
  <c r="H61" i="69" s="1"/>
  <c r="D61" i="69"/>
  <c r="D43" i="69"/>
  <c r="D49" i="69"/>
  <c r="D39" i="69"/>
  <c r="D41" i="69"/>
  <c r="D42" i="69"/>
  <c r="F30" i="69"/>
  <c r="J18" i="36"/>
  <c r="K18" i="36" s="1"/>
  <c r="J8" i="36"/>
  <c r="K8" i="36" s="1"/>
  <c r="P10" i="87"/>
  <c r="H12" i="87"/>
  <c r="F36" i="69"/>
  <c r="F33" i="69"/>
  <c r="A14" i="87"/>
  <c r="H95" i="87"/>
  <c r="P95" i="87" s="1"/>
  <c r="H100" i="87"/>
  <c r="P100" i="87" s="1"/>
  <c r="H54" i="87"/>
  <c r="P54" i="87" s="1"/>
  <c r="Q54" i="87" s="1"/>
  <c r="O100" i="88"/>
  <c r="P86" i="88"/>
  <c r="Q86" i="88" s="1"/>
  <c r="H99" i="87"/>
  <c r="P99" i="87" s="1"/>
  <c r="H56" i="87"/>
  <c r="P56" i="87" s="1"/>
  <c r="Q56" i="87" s="1"/>
  <c r="H55" i="87"/>
  <c r="P55" i="87" s="1"/>
  <c r="F31" i="69"/>
  <c r="H111" i="88"/>
  <c r="J97" i="88"/>
  <c r="K97" i="88" s="1"/>
  <c r="H53" i="87"/>
  <c r="P53" i="87" s="1"/>
  <c r="Q53" i="87" s="1"/>
  <c r="H61" i="87"/>
  <c r="P61" i="87" s="1"/>
  <c r="Q61" i="87" s="1"/>
  <c r="J68" i="88"/>
  <c r="H82" i="88"/>
  <c r="H157" i="88"/>
  <c r="J143" i="88"/>
  <c r="K143" i="88" s="1"/>
  <c r="H81" i="87"/>
  <c r="P81" i="87" s="1"/>
  <c r="H93" i="87"/>
  <c r="P93" i="87" s="1"/>
  <c r="J62" i="88"/>
  <c r="K62" i="88" s="1"/>
  <c r="K54" i="88"/>
  <c r="H62" i="87"/>
  <c r="P62" i="87" s="1"/>
  <c r="Q62" i="87" s="1"/>
  <c r="H96" i="87"/>
  <c r="P96" i="87" s="1"/>
  <c r="H63" i="87"/>
  <c r="P63" i="87" s="1"/>
  <c r="Q63" i="87" s="1"/>
  <c r="O99" i="88"/>
  <c r="P85" i="88"/>
  <c r="P87" i="88"/>
  <c r="Q87" i="88" s="1"/>
  <c r="O101" i="88"/>
  <c r="H65" i="87"/>
  <c r="P65" i="87" s="1"/>
  <c r="Q65" i="87" s="1"/>
  <c r="H102" i="88"/>
  <c r="J88" i="88"/>
  <c r="K88" i="88" s="1"/>
  <c r="H98" i="87"/>
  <c r="P98" i="87" s="1"/>
  <c r="F32" i="69"/>
  <c r="Q71" i="88"/>
  <c r="F34" i="69"/>
  <c r="H58" i="87"/>
  <c r="P58" i="87" s="1"/>
  <c r="Q58" i="87" s="1"/>
  <c r="N103" i="87"/>
  <c r="H84" i="88"/>
  <c r="J70" i="88"/>
  <c r="K70" i="88" s="1"/>
  <c r="H57" i="87"/>
  <c r="P57" i="87" s="1"/>
  <c r="Q57" i="87" s="1"/>
  <c r="H64" i="87"/>
  <c r="P64" i="87" s="1"/>
  <c r="Q64" i="87" s="1"/>
  <c r="J86" i="88"/>
  <c r="K86" i="88" s="1"/>
  <c r="H100" i="88"/>
  <c r="H97" i="87"/>
  <c r="P97" i="87" s="1"/>
  <c r="H66" i="87"/>
  <c r="P66" i="87" s="1"/>
  <c r="Q66" i="87" s="1"/>
  <c r="H59" i="87"/>
  <c r="P59" i="87" s="1"/>
  <c r="Q59" i="87" s="1"/>
  <c r="K103" i="87"/>
  <c r="H85" i="88"/>
  <c r="J71" i="88"/>
  <c r="K71" i="88" s="1"/>
  <c r="F35" i="69"/>
  <c r="A20" i="96"/>
  <c r="J26" i="36"/>
  <c r="K26" i="36" s="1"/>
  <c r="Q96" i="87" l="1"/>
  <c r="Q100" i="87"/>
  <c r="D21" i="95"/>
  <c r="D10" i="95"/>
  <c r="Q81" i="87"/>
  <c r="E48" i="36"/>
  <c r="D13" i="95" s="1"/>
  <c r="P29" i="87"/>
  <c r="G47" i="102"/>
  <c r="E48" i="102"/>
  <c r="F48" i="102" s="1"/>
  <c r="F47" i="102"/>
  <c r="I47" i="102"/>
  <c r="Q42" i="87"/>
  <c r="Q44" i="87" s="1"/>
  <c r="T44" i="87" s="1"/>
  <c r="P44" i="87"/>
  <c r="Q97" i="87"/>
  <c r="E103" i="87"/>
  <c r="Q95" i="87"/>
  <c r="Q93" i="87"/>
  <c r="Q55" i="87"/>
  <c r="Q98" i="87"/>
  <c r="Q99" i="87"/>
  <c r="F66" i="69"/>
  <c r="F72" i="69" s="1"/>
  <c r="E91" i="36" s="1"/>
  <c r="F49" i="69"/>
  <c r="A13" i="36"/>
  <c r="P76" i="88"/>
  <c r="Q76" i="88" s="1"/>
  <c r="J44" i="36"/>
  <c r="K44" i="36" s="1"/>
  <c r="I39" i="69"/>
  <c r="F39" i="69"/>
  <c r="I49" i="69"/>
  <c r="I42" i="69"/>
  <c r="F42" i="69"/>
  <c r="I43" i="69"/>
  <c r="F43" i="69"/>
  <c r="I41" i="69"/>
  <c r="F41" i="69"/>
  <c r="F61" i="69"/>
  <c r="I44" i="69"/>
  <c r="F44" i="69"/>
  <c r="Q10" i="87"/>
  <c r="Q12" i="87" s="1"/>
  <c r="P12" i="87"/>
  <c r="A15" i="87"/>
  <c r="O114" i="88"/>
  <c r="P100" i="88"/>
  <c r="Q100" i="88" s="1"/>
  <c r="J102" i="88"/>
  <c r="K102" i="88" s="1"/>
  <c r="H116" i="88"/>
  <c r="K68" i="88"/>
  <c r="J76" i="88"/>
  <c r="K76" i="88" s="1"/>
  <c r="J111" i="88"/>
  <c r="K111" i="88" s="1"/>
  <c r="H125" i="88"/>
  <c r="J82" i="88"/>
  <c r="H96" i="88"/>
  <c r="J85" i="88"/>
  <c r="K85" i="88" s="1"/>
  <c r="H99" i="88"/>
  <c r="O115" i="88"/>
  <c r="P101" i="88"/>
  <c r="Q101" i="88" s="1"/>
  <c r="H98" i="88"/>
  <c r="J84" i="88"/>
  <c r="K84" i="88" s="1"/>
  <c r="J100" i="88"/>
  <c r="K100" i="88" s="1"/>
  <c r="H114" i="88"/>
  <c r="P99" i="88"/>
  <c r="O113" i="88"/>
  <c r="P90" i="88"/>
  <c r="Q90" i="88" s="1"/>
  <c r="Q85" i="88"/>
  <c r="H171" i="88"/>
  <c r="J171" i="88" s="1"/>
  <c r="K171" i="88" s="1"/>
  <c r="J157" i="88"/>
  <c r="K157" i="88" s="1"/>
  <c r="A21" i="96"/>
  <c r="G48" i="102" l="1"/>
  <c r="H48" i="102" s="1"/>
  <c r="H47" i="102"/>
  <c r="J47" i="102"/>
  <c r="I48" i="102"/>
  <c r="J48" i="102" s="1"/>
  <c r="T12" i="87"/>
  <c r="D16" i="95"/>
  <c r="A14" i="36"/>
  <c r="A16" i="87"/>
  <c r="O128" i="88"/>
  <c r="P114" i="88"/>
  <c r="Q114" i="88" s="1"/>
  <c r="P113" i="88"/>
  <c r="O127" i="88"/>
  <c r="H130" i="88"/>
  <c r="J116" i="88"/>
  <c r="K116" i="88" s="1"/>
  <c r="O129" i="88"/>
  <c r="P115" i="88"/>
  <c r="Q115" i="88" s="1"/>
  <c r="P104" i="88"/>
  <c r="Q104" i="88" s="1"/>
  <c r="Q99" i="88"/>
  <c r="H112" i="88"/>
  <c r="J98" i="88"/>
  <c r="K98" i="88" s="1"/>
  <c r="J99" i="88"/>
  <c r="K99" i="88" s="1"/>
  <c r="H113" i="88"/>
  <c r="J114" i="88"/>
  <c r="K114" i="88" s="1"/>
  <c r="H128" i="88"/>
  <c r="H110" i="88"/>
  <c r="J96" i="88"/>
  <c r="J90" i="88"/>
  <c r="K90" i="88" s="1"/>
  <c r="K82" i="88"/>
  <c r="H139" i="88"/>
  <c r="J125" i="88"/>
  <c r="K125" i="88" s="1"/>
  <c r="A22" i="96"/>
  <c r="A23" i="96" s="1"/>
  <c r="A24" i="96" s="1"/>
  <c r="A15" i="36" l="1"/>
  <c r="A17" i="87"/>
  <c r="P128" i="88"/>
  <c r="Q128" i="88" s="1"/>
  <c r="O142" i="88"/>
  <c r="H127" i="88"/>
  <c r="J113" i="88"/>
  <c r="K113" i="88" s="1"/>
  <c r="H144" i="88"/>
  <c r="J130" i="88"/>
  <c r="K130" i="88" s="1"/>
  <c r="H142" i="88"/>
  <c r="J128" i="88"/>
  <c r="K128" i="88" s="1"/>
  <c r="H153" i="88"/>
  <c r="J139" i="88"/>
  <c r="K139" i="88" s="1"/>
  <c r="O141" i="88"/>
  <c r="P127" i="88"/>
  <c r="K96" i="88"/>
  <c r="J104" i="88"/>
  <c r="K104" i="88" s="1"/>
  <c r="H126" i="88"/>
  <c r="J112" i="88"/>
  <c r="K112" i="88" s="1"/>
  <c r="P118" i="88"/>
  <c r="Q118" i="88" s="1"/>
  <c r="Q113" i="88"/>
  <c r="O143" i="88"/>
  <c r="P129" i="88"/>
  <c r="Q129" i="88" s="1"/>
  <c r="H124" i="88"/>
  <c r="J110" i="88"/>
  <c r="A25" i="96"/>
  <c r="A26" i="96" s="1"/>
  <c r="A27" i="96" s="1"/>
  <c r="A28" i="96" s="1"/>
  <c r="A29" i="96" s="1"/>
  <c r="A30" i="96" s="1"/>
  <c r="A31" i="96" s="1"/>
  <c r="A32" i="96" s="1"/>
  <c r="A33" i="96" s="1"/>
  <c r="A16" i="36" l="1"/>
  <c r="A17" i="36" s="1"/>
  <c r="A18" i="36" s="1"/>
  <c r="A19" i="36" s="1"/>
  <c r="A20" i="36" s="1"/>
  <c r="A21" i="36" s="1"/>
  <c r="A23" i="36" s="1"/>
  <c r="A24" i="36" s="1"/>
  <c r="A25" i="36" s="1"/>
  <c r="A26" i="36" s="1"/>
  <c r="A27" i="36" s="1"/>
  <c r="A28" i="36" s="1"/>
  <c r="A29" i="36" s="1"/>
  <c r="A31" i="36" s="1"/>
  <c r="A32" i="36" s="1"/>
  <c r="A33" i="36" s="1"/>
  <c r="A34" i="36" s="1"/>
  <c r="A35" i="36" s="1"/>
  <c r="A36" i="36" s="1"/>
  <c r="A37" i="36" s="1"/>
  <c r="A34" i="96"/>
  <c r="A19" i="87"/>
  <c r="P142" i="88"/>
  <c r="Q142" i="88" s="1"/>
  <c r="O156" i="88"/>
  <c r="H140" i="88"/>
  <c r="J126" i="88"/>
  <c r="K126" i="88" s="1"/>
  <c r="H156" i="88"/>
  <c r="J142" i="88"/>
  <c r="K142" i="88" s="1"/>
  <c r="P143" i="88"/>
  <c r="Q143" i="88" s="1"/>
  <c r="O157" i="88"/>
  <c r="H158" i="88"/>
  <c r="J144" i="88"/>
  <c r="K144" i="88" s="1"/>
  <c r="J124" i="88"/>
  <c r="H138" i="88"/>
  <c r="Q127" i="88"/>
  <c r="P132" i="88"/>
  <c r="Q132" i="88" s="1"/>
  <c r="J153" i="88"/>
  <c r="K153" i="88" s="1"/>
  <c r="H167" i="88"/>
  <c r="J167" i="88" s="1"/>
  <c r="K167" i="88" s="1"/>
  <c r="P141" i="88"/>
  <c r="O155" i="88"/>
  <c r="H141" i="88"/>
  <c r="J127" i="88"/>
  <c r="K127" i="88" s="1"/>
  <c r="K110" i="88"/>
  <c r="J118" i="88"/>
  <c r="K118" i="88" s="1"/>
  <c r="A38" i="36" l="1"/>
  <c r="A39" i="36" s="1"/>
  <c r="A41" i="36" s="1"/>
  <c r="A42" i="36" s="1"/>
  <c r="A43" i="36" s="1"/>
  <c r="A44" i="36" s="1"/>
  <c r="A45" i="36" s="1"/>
  <c r="A46" i="36" s="1"/>
  <c r="A35" i="96"/>
  <c r="A36" i="96" s="1"/>
  <c r="A37" i="96" s="1"/>
  <c r="A38" i="96" s="1"/>
  <c r="A39" i="96" s="1"/>
  <c r="A40" i="96" s="1"/>
  <c r="A41" i="96" s="1"/>
  <c r="A42" i="96" s="1"/>
  <c r="A20" i="87"/>
  <c r="A21" i="87" s="1"/>
  <c r="O170" i="88"/>
  <c r="P170" i="88" s="1"/>
  <c r="Q170" i="88" s="1"/>
  <c r="P156" i="88"/>
  <c r="Q156" i="88" s="1"/>
  <c r="J141" i="88"/>
  <c r="K141" i="88" s="1"/>
  <c r="H155" i="88"/>
  <c r="P155" i="88"/>
  <c r="O169" i="88"/>
  <c r="P169" i="88" s="1"/>
  <c r="Q141" i="88"/>
  <c r="P146" i="88"/>
  <c r="Q146" i="88" s="1"/>
  <c r="K124" i="88"/>
  <c r="J132" i="88"/>
  <c r="K132" i="88" s="1"/>
  <c r="H154" i="88"/>
  <c r="J140" i="88"/>
  <c r="K140" i="88" s="1"/>
  <c r="J156" i="88"/>
  <c r="K156" i="88" s="1"/>
  <c r="H170" i="88"/>
  <c r="J170" i="88" s="1"/>
  <c r="K170" i="88" s="1"/>
  <c r="J158" i="88"/>
  <c r="K158" i="88" s="1"/>
  <c r="H172" i="88"/>
  <c r="J172" i="88" s="1"/>
  <c r="K172" i="88" s="1"/>
  <c r="H152" i="88"/>
  <c r="J138" i="88"/>
  <c r="O171" i="88"/>
  <c r="P171" i="88" s="1"/>
  <c r="Q171" i="88" s="1"/>
  <c r="P157" i="88"/>
  <c r="Q157" i="88" s="1"/>
  <c r="A47" i="36" l="1"/>
  <c r="A48" i="36" s="1"/>
  <c r="A49" i="36" s="1"/>
  <c r="A50" i="36" s="1"/>
  <c r="A51" i="36" s="1"/>
  <c r="A52" i="36" s="1"/>
  <c r="A54" i="36" s="1"/>
  <c r="A55" i="36" s="1"/>
  <c r="A56" i="36" s="1"/>
  <c r="A57" i="36" s="1"/>
  <c r="A58" i="36" s="1"/>
  <c r="A59" i="36" s="1"/>
  <c r="A60" i="36" s="1"/>
  <c r="A22" i="87"/>
  <c r="Q155" i="88"/>
  <c r="P160" i="88"/>
  <c r="Q160" i="88" s="1"/>
  <c r="J155" i="88"/>
  <c r="K155" i="88" s="1"/>
  <c r="H169" i="88"/>
  <c r="J169" i="88" s="1"/>
  <c r="K169" i="88" s="1"/>
  <c r="K138" i="88"/>
  <c r="J146" i="88"/>
  <c r="K146" i="88" s="1"/>
  <c r="P174" i="88"/>
  <c r="Q174" i="88" s="1"/>
  <c r="Q169" i="88"/>
  <c r="H168" i="88"/>
  <c r="J168" i="88" s="1"/>
  <c r="K168" i="88" s="1"/>
  <c r="J154" i="88"/>
  <c r="K154" i="88" s="1"/>
  <c r="J152" i="88"/>
  <c r="H166" i="88"/>
  <c r="J166" i="88" s="1"/>
  <c r="A61" i="36" l="1"/>
  <c r="A62" i="36" s="1"/>
  <c r="A63" i="36" s="1"/>
  <c r="A64" i="36" s="1"/>
  <c r="A65" i="36" s="1"/>
  <c r="A66" i="36" s="1"/>
  <c r="A68" i="36" s="1"/>
  <c r="A69" i="36" s="1"/>
  <c r="A70" i="36" s="1"/>
  <c r="A71" i="36" s="1"/>
  <c r="A72" i="36" s="1"/>
  <c r="A24" i="87"/>
  <c r="J174" i="88"/>
  <c r="K174" i="88" s="1"/>
  <c r="K166" i="88"/>
  <c r="K152" i="88"/>
  <c r="J160" i="88"/>
  <c r="K160" i="88" s="1"/>
  <c r="A73" i="36" l="1"/>
  <c r="A74" i="36" s="1"/>
  <c r="A76" i="36" s="1"/>
  <c r="A77" i="36" s="1"/>
  <c r="A78" i="36" s="1"/>
  <c r="A79" i="36" s="1"/>
  <c r="A80" i="36" s="1"/>
  <c r="A81" i="36" s="1"/>
  <c r="A82" i="36" s="1"/>
  <c r="A25" i="87"/>
  <c r="A26" i="87" s="1"/>
  <c r="A27" i="87" s="1"/>
  <c r="A83" i="36" l="1"/>
  <c r="A84" i="36" s="1"/>
  <c r="A86" i="36" s="1"/>
  <c r="A87" i="36" s="1"/>
  <c r="A28" i="87"/>
  <c r="A29" i="87" s="1"/>
  <c r="A31" i="87" s="1"/>
  <c r="A32" i="87" s="1"/>
  <c r="A33" i="87" s="1"/>
  <c r="A34" i="87" s="1"/>
  <c r="A35" i="87" s="1"/>
  <c r="A36" i="87" s="1"/>
  <c r="A38" i="87" s="1"/>
  <c r="A39" i="87" s="1"/>
  <c r="A40" i="87" s="1"/>
  <c r="A41" i="87" s="1"/>
  <c r="A42" i="87" s="1"/>
  <c r="A43" i="87" s="1"/>
  <c r="A44" i="87" s="1"/>
  <c r="A46" i="87" s="1"/>
  <c r="A47" i="87" s="1"/>
  <c r="A48" i="87" s="1"/>
  <c r="A49" i="87" s="1"/>
  <c r="A51" i="87" s="1"/>
  <c r="A52" i="87" s="1"/>
  <c r="A53" i="87" s="1"/>
  <c r="A54" i="87" s="1"/>
  <c r="A55" i="87" s="1"/>
  <c r="A56" i="87" s="1"/>
  <c r="A57" i="87" s="1"/>
  <c r="A58" i="87" s="1"/>
  <c r="A59" i="87" s="1"/>
  <c r="A60" i="87" s="1"/>
  <c r="A61" i="87" s="1"/>
  <c r="A62" i="87" s="1"/>
  <c r="A63" i="87" s="1"/>
  <c r="A64" i="87" s="1"/>
  <c r="A65" i="87" s="1"/>
  <c r="A66" i="87" s="1"/>
  <c r="A67" i="87" s="1"/>
  <c r="A68" i="87" s="1"/>
  <c r="A69" i="87" s="1"/>
  <c r="A70" i="87" s="1"/>
  <c r="A71" i="87" s="1"/>
  <c r="A72" i="87" s="1"/>
  <c r="A73" i="87" s="1"/>
  <c r="A74" i="87" s="1"/>
  <c r="A75" i="87" s="1"/>
  <c r="A76" i="87" s="1"/>
  <c r="A77" i="87" s="1"/>
  <c r="A78" i="87" s="1"/>
  <c r="A79" i="87" s="1"/>
  <c r="A80" i="87" s="1"/>
  <c r="A81" i="87" s="1"/>
  <c r="A82" i="87" s="1"/>
  <c r="A83" i="87" s="1"/>
  <c r="A84" i="87" s="1"/>
  <c r="A85" i="87" s="1"/>
  <c r="A86" i="87" s="1"/>
  <c r="A87" i="87" s="1"/>
  <c r="A88" i="87" s="1"/>
  <c r="A89" i="87" s="1"/>
  <c r="A90" i="87" s="1"/>
  <c r="A91" i="87" s="1"/>
  <c r="A92" i="87" s="1"/>
  <c r="A93" i="87" s="1"/>
  <c r="A94" i="87" s="1"/>
  <c r="A95" i="87" s="1"/>
  <c r="A96" i="87" s="1"/>
  <c r="A97" i="87" s="1"/>
  <c r="A98" i="87" s="1"/>
  <c r="A99" i="87" s="1"/>
  <c r="A100" i="87" s="1"/>
  <c r="A102" i="87" s="1"/>
  <c r="H102" i="87" s="1"/>
  <c r="A88" i="36" l="1"/>
  <c r="A103" i="87"/>
  <c r="A105" i="87" s="1"/>
  <c r="A107" i="87" s="1"/>
  <c r="A108" i="87" s="1"/>
  <c r="A109" i="87" s="1"/>
  <c r="A110" i="87" s="1"/>
  <c r="P102" i="87"/>
  <c r="H103" i="87"/>
  <c r="P103" i="87" l="1"/>
  <c r="Q102" i="87"/>
  <c r="Q103" i="87" l="1"/>
  <c r="I61" i="69" l="1"/>
  <c r="E18" i="95" l="1"/>
  <c r="D19" i="95"/>
  <c r="H14" i="60" l="1"/>
  <c r="H15" i="60" l="1"/>
  <c r="E35" i="96" l="1"/>
  <c r="F35" i="96" s="1"/>
  <c r="F34" i="96"/>
  <c r="C48" i="97" l="1"/>
  <c r="F17" i="95" l="1"/>
  <c r="F13" i="95"/>
  <c r="F11" i="95"/>
  <c r="F16" i="95"/>
  <c r="E14" i="95" l="1"/>
  <c r="F14" i="95" s="1"/>
  <c r="E15" i="95"/>
  <c r="F15" i="95" s="1"/>
  <c r="E12" i="95"/>
  <c r="F12" i="95" s="1"/>
  <c r="E19" i="95" l="1"/>
  <c r="F10" i="95"/>
  <c r="F19" i="95" s="1"/>
  <c r="H20" i="95" l="1"/>
  <c r="H21" i="95" l="1"/>
  <c r="J8" i="60" l="1"/>
  <c r="K8" i="60" s="1"/>
  <c r="L8" i="60" s="1"/>
  <c r="J9" i="60"/>
  <c r="K9" i="60" s="1"/>
  <c r="L9" i="60" s="1"/>
  <c r="J10" i="60"/>
  <c r="J11" i="60"/>
  <c r="K11" i="60" s="1"/>
  <c r="L11" i="60" s="1"/>
  <c r="J12" i="60"/>
  <c r="K12" i="60" s="1"/>
  <c r="L12" i="60" s="1"/>
  <c r="J13" i="60"/>
  <c r="K13" i="60" s="1"/>
  <c r="L13" i="60" s="1"/>
  <c r="J14" i="60"/>
  <c r="K14" i="60" s="1"/>
  <c r="L14" i="60" s="1"/>
  <c r="J15" i="60"/>
  <c r="K15" i="60" s="1"/>
  <c r="L15" i="60" s="1"/>
  <c r="G17" i="95"/>
  <c r="H17" i="95" s="1"/>
  <c r="G13" i="95"/>
  <c r="H13" i="95" s="1"/>
  <c r="G14" i="95"/>
  <c r="H14" i="95" s="1"/>
  <c r="G11" i="95"/>
  <c r="H11" i="95" s="1"/>
  <c r="G10" i="95"/>
  <c r="H10" i="95" s="1"/>
  <c r="G12" i="95"/>
  <c r="H12" i="95" s="1"/>
  <c r="G16" i="95"/>
  <c r="H16" i="95" s="1"/>
  <c r="G15" i="95"/>
  <c r="H15" i="95" s="1"/>
  <c r="K10" i="60" l="1"/>
  <c r="L10" i="60" s="1"/>
  <c r="J12" i="95"/>
  <c r="K12" i="95" s="1"/>
  <c r="L17" i="95"/>
  <c r="J17" i="95"/>
  <c r="K17" i="95" s="1"/>
  <c r="J16" i="95"/>
  <c r="K16" i="95" s="1"/>
  <c r="L10" i="95"/>
  <c r="J10" i="95"/>
  <c r="K10" i="95" s="1"/>
  <c r="J15" i="95"/>
  <c r="K15" i="95" s="1"/>
  <c r="J11" i="95"/>
  <c r="K11" i="95" s="1"/>
  <c r="J14" i="95"/>
  <c r="K14" i="95" s="1"/>
  <c r="J13" i="95"/>
  <c r="K13" i="95" s="1"/>
  <c r="M17" i="95" l="1"/>
  <c r="O17" i="95" s="1"/>
  <c r="K19" i="95"/>
  <c r="L20" i="95" s="1"/>
  <c r="M10" i="95"/>
  <c r="P17" i="95" l="1"/>
  <c r="G36" i="95"/>
  <c r="H36" i="95" s="1"/>
  <c r="N17" i="95"/>
  <c r="O10" i="95"/>
  <c r="P10" i="95"/>
  <c r="G29" i="95"/>
  <c r="H29" i="95" s="1"/>
  <c r="N10" i="95"/>
  <c r="L11" i="95" l="1"/>
  <c r="M11" i="95" s="1"/>
  <c r="L16" i="95"/>
  <c r="M16" i="95" s="1"/>
  <c r="F40" i="96"/>
  <c r="I82" i="69"/>
  <c r="C13" i="96"/>
  <c r="H23" i="36"/>
  <c r="G19" i="36" s="1"/>
  <c r="H19" i="36" s="1"/>
  <c r="H21" i="36" s="1"/>
  <c r="H78" i="69" l="1"/>
  <c r="I78" i="69" s="1"/>
  <c r="H92" i="36" s="1"/>
  <c r="P16" i="95"/>
  <c r="N16" i="95"/>
  <c r="O16" i="95"/>
  <c r="G35" i="95"/>
  <c r="H35" i="95" s="1"/>
  <c r="N11" i="95"/>
  <c r="O11" i="95"/>
  <c r="P11" i="95"/>
  <c r="G30" i="95"/>
  <c r="H30" i="95" s="1"/>
  <c r="C14" i="96"/>
  <c r="F14" i="96" s="1"/>
  <c r="I80" i="69" l="1"/>
  <c r="I83" i="69" s="1"/>
  <c r="H31" i="36"/>
  <c r="G27" i="36" s="1"/>
  <c r="C16" i="96"/>
  <c r="I74" i="69"/>
  <c r="I76" i="69" s="1"/>
  <c r="N25" i="95"/>
  <c r="C25" i="96"/>
  <c r="F32" i="96"/>
  <c r="F38" i="96" s="1"/>
  <c r="F42" i="96" s="1"/>
  <c r="F25" i="96" s="1"/>
  <c r="G14" i="36"/>
  <c r="G9" i="36"/>
  <c r="E10" i="105" s="1"/>
  <c r="E13" i="105" l="1"/>
  <c r="E38" i="105" s="1"/>
  <c r="E44" i="105" s="1"/>
  <c r="E12" i="105"/>
  <c r="E37" i="105" s="1"/>
  <c r="E43" i="105" s="1"/>
  <c r="E14" i="105"/>
  <c r="E39" i="105" s="1"/>
  <c r="E45" i="105" s="1"/>
  <c r="H27" i="36"/>
  <c r="D17" i="60"/>
  <c r="J19" i="36"/>
  <c r="K19" i="36" s="1"/>
  <c r="H14" i="36"/>
  <c r="D13" i="60"/>
  <c r="D9" i="60"/>
  <c r="H9" i="36"/>
  <c r="C11" i="97"/>
  <c r="C39" i="97" s="1"/>
  <c r="H29" i="36" l="1"/>
  <c r="H11" i="36"/>
  <c r="J11" i="36" s="1"/>
  <c r="K11" i="36" s="1"/>
  <c r="H16" i="36"/>
  <c r="J16" i="36" s="1"/>
  <c r="K16" i="36" s="1"/>
  <c r="J27" i="36"/>
  <c r="H23" i="69"/>
  <c r="H13" i="69"/>
  <c r="H15" i="69"/>
  <c r="H14" i="69"/>
  <c r="H22" i="69"/>
  <c r="H25" i="69"/>
  <c r="H26" i="69"/>
  <c r="H17" i="69"/>
  <c r="H19" i="69"/>
  <c r="H16" i="69"/>
  <c r="H64" i="69"/>
  <c r="I64" i="69" s="1"/>
  <c r="H27" i="69"/>
  <c r="H18" i="69"/>
  <c r="H24" i="69"/>
  <c r="H9" i="69"/>
  <c r="I9" i="69" s="1"/>
  <c r="J9" i="36"/>
  <c r="K9" i="36" s="1"/>
  <c r="J14" i="36"/>
  <c r="K14" i="36" s="1"/>
  <c r="J21" i="36"/>
  <c r="K21" i="36" s="1"/>
  <c r="H24" i="36"/>
  <c r="H32" i="36" l="1"/>
  <c r="I27" i="69"/>
  <c r="I14" i="69"/>
  <c r="I15" i="69"/>
  <c r="I16" i="69"/>
  <c r="I13" i="69"/>
  <c r="I19" i="69"/>
  <c r="I23" i="69"/>
  <c r="I17" i="69"/>
  <c r="I26" i="69"/>
  <c r="K27" i="36"/>
  <c r="J29" i="36"/>
  <c r="K29" i="36" s="1"/>
  <c r="I24" i="69"/>
  <c r="I25" i="69"/>
  <c r="I18" i="69"/>
  <c r="I22" i="69"/>
  <c r="I66" i="69" l="1"/>
  <c r="I72" i="69" l="1"/>
  <c r="H91" i="36" s="1"/>
  <c r="I75" i="69" l="1"/>
  <c r="G22" i="102" l="1"/>
  <c r="H22" i="102" s="1"/>
  <c r="I22" i="102"/>
  <c r="I33" i="102" s="1"/>
  <c r="L22" i="102"/>
  <c r="E24" i="102" s="1"/>
  <c r="K33" i="102"/>
  <c r="G33" i="102" l="1"/>
  <c r="J22" i="102"/>
  <c r="I24" i="102" s="1"/>
  <c r="F24" i="102"/>
  <c r="G24" i="102"/>
  <c r="H24" i="102" l="1"/>
  <c r="J24" i="102"/>
  <c r="A77" i="69" l="1"/>
  <c r="A78" i="69" s="1"/>
  <c r="A79" i="69" l="1"/>
  <c r="A82" i="69" l="1"/>
  <c r="A83" i="69" s="1"/>
  <c r="M18" i="95" l="1"/>
  <c r="L22" i="95"/>
  <c r="N18" i="95"/>
  <c r="L12" i="95" l="1"/>
  <c r="L14" i="95"/>
  <c r="M14" i="95" s="1"/>
  <c r="L13" i="95"/>
  <c r="M13" i="95" s="1"/>
  <c r="L15" i="95"/>
  <c r="M15" i="95" s="1"/>
  <c r="O18" i="95"/>
  <c r="G37" i="95"/>
  <c r="O15" i="95" l="1"/>
  <c r="G34" i="95"/>
  <c r="H34" i="95" s="1"/>
  <c r="N15" i="95"/>
  <c r="P15" i="95"/>
  <c r="O13" i="95"/>
  <c r="N13" i="95"/>
  <c r="G32" i="95"/>
  <c r="H32" i="95" s="1"/>
  <c r="P13" i="95"/>
  <c r="O14" i="95"/>
  <c r="P14" i="95"/>
  <c r="G33" i="95"/>
  <c r="H33" i="95" s="1"/>
  <c r="N14" i="95"/>
  <c r="L19" i="95"/>
  <c r="M12" i="95"/>
  <c r="H54" i="36" l="1"/>
  <c r="N12" i="95"/>
  <c r="O12" i="95"/>
  <c r="M19" i="95"/>
  <c r="G38" i="95" s="1"/>
  <c r="G31" i="95"/>
  <c r="H31" i="95" s="1"/>
  <c r="P12" i="95"/>
  <c r="H68" i="36"/>
  <c r="C19" i="96"/>
  <c r="H76" i="36"/>
  <c r="C20" i="96"/>
  <c r="H41" i="36" l="1"/>
  <c r="N24" i="95"/>
  <c r="H86" i="36" s="1"/>
  <c r="C18" i="96"/>
  <c r="N19" i="95"/>
  <c r="G72" i="36"/>
  <c r="G64" i="36"/>
  <c r="G50" i="36"/>
  <c r="H50" i="36" l="1"/>
  <c r="D29" i="60"/>
  <c r="K41" i="102"/>
  <c r="D43" i="60"/>
  <c r="H72" i="36"/>
  <c r="D37" i="60"/>
  <c r="H64" i="36"/>
  <c r="C21" i="96"/>
  <c r="G36" i="36"/>
  <c r="O10" i="103" l="1"/>
  <c r="O14" i="103"/>
  <c r="O8" i="103"/>
  <c r="O6" i="103"/>
  <c r="O12" i="103"/>
  <c r="O18" i="103"/>
  <c r="O16" i="103"/>
  <c r="O13" i="103"/>
  <c r="O15" i="103"/>
  <c r="O17" i="103"/>
  <c r="O9" i="103"/>
  <c r="O11" i="103"/>
  <c r="H74" i="36"/>
  <c r="J72" i="36"/>
  <c r="K72" i="36" s="1"/>
  <c r="K20" i="102"/>
  <c r="H36" i="36"/>
  <c r="D22" i="60"/>
  <c r="K57" i="102"/>
  <c r="E41" i="102"/>
  <c r="L41" i="102"/>
  <c r="J64" i="36"/>
  <c r="K64" i="36" s="1"/>
  <c r="G65" i="36"/>
  <c r="F21" i="96"/>
  <c r="J50" i="36"/>
  <c r="K50" i="36" s="1"/>
  <c r="G51" i="36"/>
  <c r="K42" i="102" l="1"/>
  <c r="H51" i="36"/>
  <c r="D30" i="60"/>
  <c r="F41" i="102"/>
  <c r="E57" i="102"/>
  <c r="G41" i="102"/>
  <c r="J74" i="36"/>
  <c r="K74" i="36" s="1"/>
  <c r="H77" i="36"/>
  <c r="L20" i="102"/>
  <c r="E20" i="102"/>
  <c r="K32" i="102"/>
  <c r="D38" i="60"/>
  <c r="H65" i="36"/>
  <c r="J36" i="36"/>
  <c r="K36" i="36" s="1"/>
  <c r="H39" i="36"/>
  <c r="E32" i="102" l="1"/>
  <c r="G20" i="102"/>
  <c r="F20" i="102"/>
  <c r="F26" i="102" s="1"/>
  <c r="J65" i="36"/>
  <c r="K65" i="36" s="1"/>
  <c r="H66" i="36"/>
  <c r="H59" i="36" s="1"/>
  <c r="L42" i="102"/>
  <c r="L43" i="102" s="1"/>
  <c r="K58" i="102"/>
  <c r="E42" i="102"/>
  <c r="J51" i="36"/>
  <c r="K51" i="36" s="1"/>
  <c r="H52" i="36"/>
  <c r="H46" i="36" s="1"/>
  <c r="L26" i="102"/>
  <c r="L16" i="102"/>
  <c r="F16" i="102" s="1"/>
  <c r="H16" i="102" s="1"/>
  <c r="J16" i="102" s="1"/>
  <c r="J39" i="36"/>
  <c r="K39" i="36" s="1"/>
  <c r="H42" i="36"/>
  <c r="G57" i="102"/>
  <c r="I41" i="102"/>
  <c r="H41" i="102"/>
  <c r="L28" i="102" l="1"/>
  <c r="J41" i="102"/>
  <c r="I57" i="102"/>
  <c r="L51" i="102"/>
  <c r="L37" i="102"/>
  <c r="F37" i="102" s="1"/>
  <c r="H37" i="102" s="1"/>
  <c r="J37" i="102" s="1"/>
  <c r="H62" i="36"/>
  <c r="J59" i="36"/>
  <c r="K59" i="36" s="1"/>
  <c r="H81" i="36"/>
  <c r="F42" i="102"/>
  <c r="F43" i="102" s="1"/>
  <c r="F51" i="102" s="1"/>
  <c r="E58" i="102"/>
  <c r="G42" i="102"/>
  <c r="H48" i="36"/>
  <c r="J46" i="36"/>
  <c r="K46" i="36" s="1"/>
  <c r="F28" i="102"/>
  <c r="G32" i="102"/>
  <c r="H20" i="102"/>
  <c r="H26" i="102" s="1"/>
  <c r="H28" i="102" s="1"/>
  <c r="I20" i="102"/>
  <c r="F53" i="102" l="1"/>
  <c r="L53" i="102"/>
  <c r="J48" i="36"/>
  <c r="K48" i="36" s="1"/>
  <c r="H55" i="36"/>
  <c r="J62" i="36"/>
  <c r="K62" i="36" s="1"/>
  <c r="H69" i="36"/>
  <c r="H42" i="102"/>
  <c r="H43" i="102" s="1"/>
  <c r="H51" i="102" s="1"/>
  <c r="H53" i="102" s="1"/>
  <c r="I42" i="102"/>
  <c r="G58" i="102"/>
  <c r="I32" i="102"/>
  <c r="J20" i="102"/>
  <c r="J26" i="102" s="1"/>
  <c r="J28" i="102" s="1"/>
  <c r="J81" i="36"/>
  <c r="K81" i="36" s="1"/>
  <c r="H84" i="36"/>
  <c r="J42" i="102" l="1"/>
  <c r="J43" i="102" s="1"/>
  <c r="J51" i="102" s="1"/>
  <c r="J53" i="102" s="1"/>
  <c r="I58" i="102"/>
  <c r="J84" i="36"/>
  <c r="K84" i="36" s="1"/>
  <c r="H87" i="36"/>
  <c r="C16" i="97" l="1"/>
  <c r="G16" i="97" s="1"/>
  <c r="C23" i="97"/>
  <c r="G23" i="97" s="1"/>
  <c r="F53" i="97" s="1"/>
  <c r="C17" i="97"/>
  <c r="G17" i="97" s="1"/>
  <c r="C24" i="97"/>
  <c r="G24" i="97" s="1"/>
  <c r="C18" i="97"/>
  <c r="E48" i="97" s="1"/>
  <c r="C14" i="97"/>
  <c r="E14" i="97" s="1"/>
  <c r="C19" i="97"/>
  <c r="E19" i="97" s="1"/>
  <c r="C15" i="97"/>
  <c r="C21" i="97"/>
  <c r="G21" i="97" s="1"/>
  <c r="F51" i="97" s="1"/>
  <c r="C22" i="97"/>
  <c r="E52" i="97" s="1"/>
  <c r="C25" i="97"/>
  <c r="E55" i="97" s="1"/>
  <c r="C20" i="97"/>
  <c r="G20" i="97" s="1"/>
  <c r="F50" i="97" s="1"/>
  <c r="G18" i="97" l="1"/>
  <c r="F48" i="97" s="1"/>
  <c r="G48" i="97" s="1"/>
  <c r="E18" i="97"/>
  <c r="D18" i="97"/>
  <c r="E54" i="97"/>
  <c r="D24" i="97"/>
  <c r="E24" i="97"/>
  <c r="E23" i="97"/>
  <c r="D23" i="97"/>
  <c r="E53" i="97"/>
  <c r="G53" i="97" s="1"/>
  <c r="E17" i="97"/>
  <c r="E47" i="97"/>
  <c r="D17" i="97"/>
  <c r="D19" i="97"/>
  <c r="E49" i="97"/>
  <c r="G19" i="97"/>
  <c r="F49" i="97" s="1"/>
  <c r="D14" i="97"/>
  <c r="E44" i="97"/>
  <c r="G14" i="97"/>
  <c r="D16" i="97"/>
  <c r="E46" i="97"/>
  <c r="E16" i="97"/>
  <c r="C26" i="97"/>
  <c r="E22" i="97"/>
  <c r="D22" i="97"/>
  <c r="G22" i="97"/>
  <c r="F52" i="97" s="1"/>
  <c r="G52" i="97" s="1"/>
  <c r="E50" i="97"/>
  <c r="G50" i="97" s="1"/>
  <c r="E15" i="97"/>
  <c r="E20" i="97"/>
  <c r="E25" i="97"/>
  <c r="E45" i="97"/>
  <c r="D21" i="97"/>
  <c r="D20" i="97"/>
  <c r="D15" i="97"/>
  <c r="E21" i="97"/>
  <c r="D25" i="97"/>
  <c r="G25" i="97"/>
  <c r="G15" i="97"/>
  <c r="E51" i="97"/>
  <c r="G51" i="97" s="1"/>
  <c r="C32" i="97" l="1"/>
  <c r="C33" i="97" s="1"/>
  <c r="C38" i="97" s="1"/>
  <c r="F44" i="97" s="1"/>
  <c r="G49" i="97"/>
  <c r="G26" i="97"/>
  <c r="D26" i="97"/>
  <c r="E56" i="97"/>
  <c r="E26" i="97"/>
  <c r="F54" i="97" l="1"/>
  <c r="G54" i="97" s="1"/>
  <c r="F46" i="97"/>
  <c r="G46" i="97" s="1"/>
  <c r="F55" i="97"/>
  <c r="G55" i="97" s="1"/>
  <c r="F47" i="97"/>
  <c r="G47" i="97" s="1"/>
  <c r="F45" i="97"/>
  <c r="G45" i="97" s="1"/>
  <c r="G44" i="97"/>
  <c r="F56" i="97" l="1"/>
  <c r="G56" i="97"/>
</calcChain>
</file>

<file path=xl/sharedStrings.xml><?xml version="1.0" encoding="utf-8"?>
<sst xmlns="http://schemas.openxmlformats.org/spreadsheetml/2006/main" count="3339" uniqueCount="814">
  <si>
    <t>Fitchburg Gas and Electric Light Company</t>
  </si>
  <si>
    <t>Electric Revenue Apportionment and Rate Design</t>
  </si>
  <si>
    <t>Table of Contents</t>
  </si>
  <si>
    <t>Line No.</t>
  </si>
  <si>
    <t>Worksheet</t>
  </si>
  <si>
    <t>Exhibit No.</t>
  </si>
  <si>
    <t>Schedule No.</t>
  </si>
  <si>
    <t>Schedule Description</t>
  </si>
  <si>
    <t>Schedule Full Description</t>
  </si>
  <si>
    <t>Index</t>
  </si>
  <si>
    <t>Revenue Apportionment</t>
  </si>
  <si>
    <t>Exhibit Unitil-JDT-4</t>
  </si>
  <si>
    <t>Schedule 1</t>
  </si>
  <si>
    <t>Rate Design</t>
  </si>
  <si>
    <t>Schedule 2</t>
  </si>
  <si>
    <t>Revenue Proof and Rate Design</t>
  </si>
  <si>
    <t>Heat Pump Rate Design</t>
  </si>
  <si>
    <t>Exhibit Unitil-JDT-6</t>
  </si>
  <si>
    <t>Residential Heat Pump Rate Design</t>
  </si>
  <si>
    <t>Rate Design Lighting</t>
  </si>
  <si>
    <t>Rates</t>
  </si>
  <si>
    <t>Workpaper to Exhibit Unitil-JDT-4, Schedule 2</t>
  </si>
  <si>
    <t>WP</t>
  </si>
  <si>
    <t>Current and Proposed Rates</t>
  </si>
  <si>
    <t>EV-RES Rate</t>
  </si>
  <si>
    <t>Exhibit Unitil-JDT-7</t>
  </si>
  <si>
    <t>Residential Electric Vehicle Annualized Rate</t>
  </si>
  <si>
    <t>Annual EV-RES</t>
  </si>
  <si>
    <t>Demand Charge Alternative</t>
  </si>
  <si>
    <t>Exhibit Unitil-JDT-8</t>
  </si>
  <si>
    <t>General Service EV Demand Charge Alternative Rates</t>
  </si>
  <si>
    <t>Decoupling Target</t>
  </si>
  <si>
    <t>Exhibit Unitil-JDT-9</t>
  </si>
  <si>
    <t>Revenue Decoupling Annual Target Revenue</t>
  </si>
  <si>
    <t>REDACTED</t>
  </si>
  <si>
    <t>CONFIDENTIAL</t>
  </si>
  <si>
    <t>CONFIDENTIAL Workpaper to Exhibit Unitil-JDT-4</t>
  </si>
  <si>
    <t>Special Contract Data and Rate Change</t>
  </si>
  <si>
    <t>FGE Bill Impact Tabs ---&gt;</t>
  </si>
  <si>
    <t>RD-1</t>
  </si>
  <si>
    <t>Exhibit Unitil-JDT-5</t>
  </si>
  <si>
    <t>Bill Impact</t>
  </si>
  <si>
    <t>RD-2</t>
  </si>
  <si>
    <t>GD-1</t>
  </si>
  <si>
    <t>GD-2</t>
  </si>
  <si>
    <t>GD-3</t>
  </si>
  <si>
    <t>GD-4</t>
  </si>
  <si>
    <t>GD-5</t>
  </si>
  <si>
    <t>SD</t>
  </si>
  <si>
    <t>SDC</t>
  </si>
  <si>
    <t>Support Files ---&gt;</t>
  </si>
  <si>
    <t>ProForma Revenue</t>
  </si>
  <si>
    <t>INCLUDED IN WORKPAPERS TO EXHIBIT UNITIL-JDT-3</t>
  </si>
  <si>
    <t>Unitil LED Light Summary</t>
  </si>
  <si>
    <t>Cost Based Analysis of LED Lighting Fixtures</t>
  </si>
  <si>
    <t>Rev_Billing_Det</t>
  </si>
  <si>
    <t>Per Books Accuracy Report</t>
  </si>
  <si>
    <t>Outdoor Lighting Update</t>
  </si>
  <si>
    <t>2022 Annual Outdoor Lighting Summary</t>
  </si>
  <si>
    <t>Atrium + Updated Rates</t>
  </si>
  <si>
    <t>June 2023 Annualized Outdoor Lighting Fixtures</t>
  </si>
  <si>
    <t>Customer Owned Lights</t>
  </si>
  <si>
    <t>Fitchburg/Lunenburg Customer Owned Lights</t>
  </si>
  <si>
    <t>Rates and Eff Dates</t>
  </si>
  <si>
    <t>Tariff Rates and Effective Dates</t>
  </si>
  <si>
    <t>Total Revenues by Class</t>
  </si>
  <si>
    <t>Workpaper to Exhibit Unitil-JDT-4, Schedule 1</t>
  </si>
  <si>
    <t>Computation of Total Current Revenues by Rate Class using test year average Basic Service</t>
  </si>
  <si>
    <t>Rider_Revenue</t>
  </si>
  <si>
    <t>Rider Revenue Rolled into Base Rates</t>
  </si>
  <si>
    <t>For Bill Impacts</t>
  </si>
  <si>
    <t>Workpaper to Exhibit Unitil-JDT-5</t>
  </si>
  <si>
    <t>Change to Reconciliation Mechanisms for Bill Impacts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</si>
  <si>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</si>
  <si>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</si>
  <si>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</si>
  <si>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</si>
  <si>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</si>
  <si>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</si>
  <si>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</si>
  <si>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</si>
  <si>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</si>
  <si>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</si>
  <si>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</si>
  <si>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</si>
  <si>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</si>
  <si>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</si>
  <si>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(O)</t>
  </si>
  <si>
    <t>(P)</t>
  </si>
  <si>
    <t>Line</t>
  </si>
  <si>
    <t>Class</t>
  </si>
  <si>
    <t>Pro Forma Distribution Revenue</t>
  </si>
  <si>
    <t>Cost to Serve at Equal Rates of Return</t>
  </si>
  <si>
    <t>Increase (Decrease) @ 8.03% ROR</t>
  </si>
  <si>
    <t>150% Overall System Increase</t>
  </si>
  <si>
    <t>Above 150% Overall Increase</t>
  </si>
  <si>
    <t>10% Cap on Total Revenue</t>
  </si>
  <si>
    <t>Above 10% Cap on Total Revenue</t>
  </si>
  <si>
    <t>Increase Limited by Caps / No Decrease</t>
  </si>
  <si>
    <t>Reallocation of Excess</t>
  </si>
  <si>
    <t>Proposed Increase (Decrease)</t>
  </si>
  <si>
    <t>Proposed Margin</t>
  </si>
  <si>
    <t>Percentage Change</t>
  </si>
  <si>
    <t>Still within 150% Cap</t>
  </si>
  <si>
    <t>Residential, Low Income</t>
  </si>
  <si>
    <t>RD-1/RD-2</t>
  </si>
  <si>
    <t>Small General</t>
  </si>
  <si>
    <t>Regular General</t>
  </si>
  <si>
    <t>Large General</t>
  </si>
  <si>
    <t>Regular General Optional TOU</t>
  </si>
  <si>
    <t>Water and/or Space Heating Rider</t>
  </si>
  <si>
    <t>Lighting Company Owned</t>
  </si>
  <si>
    <t>Lighting Customer Owned</t>
  </si>
  <si>
    <t>Miscellaneous Revenues</t>
  </si>
  <si>
    <t>System Total</t>
  </si>
  <si>
    <t>GD-2, GD-4, GD-5: Regular General</t>
  </si>
  <si>
    <t>Overall System Increase</t>
  </si>
  <si>
    <t>Required Additional Increase</t>
  </si>
  <si>
    <t>150% Overall System System</t>
  </si>
  <si>
    <t>Change in Misc. Revenues</t>
  </si>
  <si>
    <t>Revenue @ Equal ROR</t>
  </si>
  <si>
    <t>OL Combined</t>
  </si>
  <si>
    <t>Changes to Reconciliation Mechanisms</t>
  </si>
  <si>
    <t>Revised Cap w/ Changes to Reconciliation Mechanism</t>
  </si>
  <si>
    <t>Under 10% Cap on Total Revenue</t>
  </si>
  <si>
    <t>Description</t>
  </si>
  <si>
    <t>TY Billing Determinants</t>
  </si>
  <si>
    <t>Current Rate</t>
  </si>
  <si>
    <t>Current Total Distribution Revenue</t>
  </si>
  <si>
    <t>Proposed Rate</t>
  </si>
  <si>
    <t>Proposed Total Distribution Revenue</t>
  </si>
  <si>
    <t>Difference ($)</t>
  </si>
  <si>
    <t>Difference (%)</t>
  </si>
  <si>
    <t>RD-1: Residential</t>
  </si>
  <si>
    <t>Customer Charge</t>
  </si>
  <si>
    <t>Distribution Charge</t>
  </si>
  <si>
    <t>Riders</t>
  </si>
  <si>
    <t>RD-2: Residential, Low Income</t>
  </si>
  <si>
    <t>Total_R-1, R-2: Residential</t>
  </si>
  <si>
    <t>Total Customer Charge</t>
  </si>
  <si>
    <t>Total Distribution Charge</t>
  </si>
  <si>
    <t>Revenue Target_R-1, R-2: Residential</t>
  </si>
  <si>
    <t>Difference</t>
  </si>
  <si>
    <t>GD-1: Small General</t>
  </si>
  <si>
    <t>GD-2: Regular General</t>
  </si>
  <si>
    <t>Demand Charge</t>
  </si>
  <si>
    <t>Transformer Credit</t>
  </si>
  <si>
    <t>GD-3: Large General</t>
  </si>
  <si>
    <t>On Peak Billed kWh</t>
  </si>
  <si>
    <t>Off Peak Billed kWh</t>
  </si>
  <si>
    <t>GD-4: Regular General Optional TOU</t>
  </si>
  <si>
    <t>GD-5: Water and/or Space Heating Rider</t>
  </si>
  <si>
    <t>Total_GD-2, GD-4, GD-5 Regular General</t>
  </si>
  <si>
    <t>Revenue Target_2,4,5</t>
  </si>
  <si>
    <t>Lighting Company Owned - SD</t>
  </si>
  <si>
    <t>Lighting Customer Owned - SDC</t>
  </si>
  <si>
    <t xml:space="preserve"> </t>
  </si>
  <si>
    <t>TY Billing</t>
  </si>
  <si>
    <t>Current</t>
  </si>
  <si>
    <t>Proposed</t>
  </si>
  <si>
    <t xml:space="preserve">Outdoor Lighting </t>
  </si>
  <si>
    <t>Determinants</t>
  </si>
  <si>
    <t>Revenue</t>
  </si>
  <si>
    <t>SD: Outdoor Lighting - Company Owned</t>
  </si>
  <si>
    <t>Energy</t>
  </si>
  <si>
    <t>Company Owned - All kWh</t>
  </si>
  <si>
    <t>Lumens</t>
  </si>
  <si>
    <t>Luminaire</t>
  </si>
  <si>
    <t/>
  </si>
  <si>
    <t>Mercury Vapor:</t>
  </si>
  <si>
    <t>Street and Highway Type</t>
  </si>
  <si>
    <t>Flood Light Type</t>
  </si>
  <si>
    <t>Power Bracket Included</t>
  </si>
  <si>
    <t>High Pressure Sodium:</t>
  </si>
  <si>
    <t>Light Emitting Diode (LED):</t>
  </si>
  <si>
    <t>Cobra Head Type</t>
  </si>
  <si>
    <t>28 Watt LED Street</t>
  </si>
  <si>
    <t>47 Watt LED Street</t>
  </si>
  <si>
    <t>54 Watt LED Street</t>
  </si>
  <si>
    <t>70 Watt LED Street</t>
  </si>
  <si>
    <t>110 Watt LED Flood</t>
  </si>
  <si>
    <t>110 Watt LED Flood - CREE</t>
  </si>
  <si>
    <t>New LED Offering</t>
  </si>
  <si>
    <t>Cobra</t>
  </si>
  <si>
    <t>20-30 Cobra Head</t>
  </si>
  <si>
    <t>31-40 Cobra Head</t>
  </si>
  <si>
    <t>41-50 Cobra Head</t>
  </si>
  <si>
    <t>51-60 Cobra Head</t>
  </si>
  <si>
    <t xml:space="preserve">  </t>
  </si>
  <si>
    <t>61-80 Cobra Head</t>
  </si>
  <si>
    <t>81-110 Cobra Head</t>
  </si>
  <si>
    <t>111-150 Cobra Head</t>
  </si>
  <si>
    <t>Flood</t>
  </si>
  <si>
    <t>40-60 Flood</t>
  </si>
  <si>
    <t>61-80 Flood</t>
  </si>
  <si>
    <t>81-110 Flood</t>
  </si>
  <si>
    <t>111-150 Flood</t>
  </si>
  <si>
    <t>350-390 Flood</t>
  </si>
  <si>
    <t>Yard</t>
  </si>
  <si>
    <t>20-30 Yard</t>
  </si>
  <si>
    <t>31-40 Yard</t>
  </si>
  <si>
    <t>41-50 Yard</t>
  </si>
  <si>
    <t>51-60 Yard</t>
  </si>
  <si>
    <t>61-80 Yard</t>
  </si>
  <si>
    <t>81-110 Yard</t>
  </si>
  <si>
    <t>111-150 Yard</t>
  </si>
  <si>
    <t>Remian SC</t>
  </si>
  <si>
    <t>Ornamental Lighting:</t>
  </si>
  <si>
    <t>Subtotal Revenue</t>
  </si>
  <si>
    <t>Flat rate agreement lights and pole charges (pole charge)</t>
  </si>
  <si>
    <t>Total Revenue</t>
  </si>
  <si>
    <t>Non-LED Ratio</t>
  </si>
  <si>
    <t>SDC: Outdoor Lighting - Customer Owned</t>
  </si>
  <si>
    <t>Customer Owned - All kWh</t>
  </si>
  <si>
    <t>Assumptions:</t>
  </si>
  <si>
    <t>Average Monthly UPC</t>
  </si>
  <si>
    <t>RD-1 Average Monthly Use</t>
  </si>
  <si>
    <t>Cost Recovery per Month</t>
  </si>
  <si>
    <t>Fixed Cost Recovery in Volumetric Rate</t>
  </si>
  <si>
    <t>Fixed Cost Recovery in Fixed Charge</t>
  </si>
  <si>
    <t>Avg. Monthly Use with Heat Pump (kWh)</t>
  </si>
  <si>
    <t xml:space="preserve">Normal Therm UPC </t>
  </si>
  <si>
    <t>Therms (Heating Load)</t>
  </si>
  <si>
    <t>Avg. Temp.</t>
  </si>
  <si>
    <t>Avg. Temp COP</t>
  </si>
  <si>
    <t xml:space="preserve">kWh Conversion </t>
  </si>
  <si>
    <t>kWh Usage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</si>
  <si>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</si>
  <si>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</si>
  <si>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</si>
  <si>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</si>
  <si>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</si>
  <si>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</si>
  <si>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</si>
  <si>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</si>
  <si>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</si>
  <si>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</si>
  <si>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</si>
  <si>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</si>
  <si>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Summer Base Load</t>
  </si>
  <si>
    <t>Derrivation of Heat Pump Rate</t>
  </si>
  <si>
    <t>Therm to kWH Factor</t>
  </si>
  <si>
    <t xml:space="preserve">Customer Charge Revenue </t>
  </si>
  <si>
    <t>Winter Volumetric Charge Revenue</t>
  </si>
  <si>
    <t>per customer, November through April</t>
  </si>
  <si>
    <t>Volumetric Fixed Cost Recovery Charge</t>
  </si>
  <si>
    <t>Line 21 divided by Heat Pump kWh for Nov. through Apr.</t>
  </si>
  <si>
    <t>Results</t>
  </si>
  <si>
    <t>HP-RES: Residential Heat Pump Service</t>
  </si>
  <si>
    <t>Distribution Charge - Winter</t>
  </si>
  <si>
    <t>Distribution Charge - Summer</t>
  </si>
  <si>
    <t>Unit Cost of Service</t>
  </si>
  <si>
    <t>Heat Pump</t>
  </si>
  <si>
    <t>Customer (per cust month)</t>
  </si>
  <si>
    <t>Onsite and Customer Services</t>
  </si>
  <si>
    <t>Demand &amp; Customer (per cust month)</t>
  </si>
  <si>
    <t>Fixed costs per customer</t>
  </si>
  <si>
    <t>d/b/a Unitil</t>
  </si>
  <si>
    <t>Residential Electric Vehicle Time of Use - Proposed Rate Annualization</t>
  </si>
  <si>
    <t>As  Approved in D.P.U. 21-92, Exhibit JDT-4 Page 2 of 2 - Option 2:</t>
  </si>
  <si>
    <t>Basic Service</t>
  </si>
  <si>
    <t>Transmission</t>
  </si>
  <si>
    <t>Distribution</t>
  </si>
  <si>
    <t>Period</t>
  </si>
  <si>
    <t>Residential TOU Basic Service Rates (w/o REC &amp; BSCA) (after losses) ($/kWh)</t>
  </si>
  <si>
    <t>Projected Residential Basic Service Purchases (kWh)</t>
  </si>
  <si>
    <t>Projected Basic Service Revenue ($)</t>
  </si>
  <si>
    <t>Residential TOU Transmission Rate ($/kWh)</t>
  </si>
  <si>
    <t>Est Residential Transmission Deliveries (kWh)</t>
  </si>
  <si>
    <t>Residential Transmission Cost ($)</t>
  </si>
  <si>
    <t>Residential TOU Base Distribution Rates ($/kWh)</t>
  </si>
  <si>
    <t>Total Residential Customers Energy (kWh)</t>
  </si>
  <si>
    <t>Residential TOU Base Distribution Revenues ($)</t>
  </si>
  <si>
    <t>Summer Peak</t>
  </si>
  <si>
    <t>Summer Off-Peak</t>
  </si>
  <si>
    <t>Summer Mid-Peak</t>
  </si>
  <si>
    <t>Winter Peak</t>
  </si>
  <si>
    <t>Winter Off-Peak</t>
  </si>
  <si>
    <t>Winter Mid-Peak</t>
  </si>
  <si>
    <t>Total</t>
  </si>
  <si>
    <t>Option 2: Two Seasons (Jun-Nov Summer, Dec-May Winter); On-Peak (non-holiday weekdays, 3pm-8pm); Mid-Peak (non-holiday weekdays, 6am-3pm); Off-Peak (all other times)</t>
  </si>
  <si>
    <t>Proposed Change to Annual Rates:</t>
  </si>
  <si>
    <t>Annual Peak</t>
  </si>
  <si>
    <t>Annul Off-Peak</t>
  </si>
  <si>
    <t>Annual Mid-Peak</t>
  </si>
  <si>
    <t>Fitchburg Gas and Electric Light Company d/b/a Unitil</t>
  </si>
  <si>
    <t>Schedule EV-RES Rate Development</t>
  </si>
  <si>
    <t>Proposed Rates Effective September 1, 2023</t>
  </si>
  <si>
    <t>Annual</t>
  </si>
  <si>
    <t xml:space="preserve">Ratios Applied to </t>
  </si>
  <si>
    <t>Volumetric</t>
  </si>
  <si>
    <t xml:space="preserve">Ratios to </t>
  </si>
  <si>
    <t>Proposed 9/1/2023</t>
  </si>
  <si>
    <t>Rates (1)</t>
  </si>
  <si>
    <t>Customer Charge:</t>
  </si>
  <si>
    <t>1/1/21 Dist. Rate</t>
  </si>
  <si>
    <t>9/1/23 Proposed Dist. Rate</t>
  </si>
  <si>
    <t>Distribution Rate:</t>
  </si>
  <si>
    <t>Off Peak kWH (M-F 8 pm - 6 am, all day weekends and weekday holidays)</t>
  </si>
  <si>
    <t>Mid Peak kWh (M-F 6 am -3 pm excluding weekday holidays)</t>
  </si>
  <si>
    <t>On Peak kWh (M-F 3 pm - 8 pm excluding weekday holidays)</t>
  </si>
  <si>
    <t>1/1/21 External Trans. Rate</t>
  </si>
  <si>
    <t>1/1/23 External Trans. Rate</t>
  </si>
  <si>
    <t>External Transmission Rate:</t>
  </si>
  <si>
    <t>6/1/21 and 12/1/20 BS Rate without REC or Basic Service Cost Adder</t>
  </si>
  <si>
    <t>8/1/23 BS Rate (2)</t>
  </si>
  <si>
    <t>Basic Service Rate:</t>
  </si>
  <si>
    <t>All Hours REC Rate</t>
  </si>
  <si>
    <t>All Hours Basic Service Cost Adder Rate</t>
  </si>
  <si>
    <t>Other Distribution</t>
  </si>
  <si>
    <t>Internal Transmission + Internal Transmission Service Cost Adjustment ($/kWh)</t>
  </si>
  <si>
    <t>Renewable Resource ($/kWh)</t>
  </si>
  <si>
    <t>Energy Efficiency ($/kWh)</t>
  </si>
  <si>
    <t>Solar Massachusetts Renewable Target Factor ($/kWh)</t>
  </si>
  <si>
    <t>Total kWh Charges:</t>
  </si>
  <si>
    <t>Off Peak kWH (8 pm - 6 am, and weekends/holidays)</t>
  </si>
  <si>
    <t>Mid Peak kWh (6 am -3 pm, M-F)</t>
  </si>
  <si>
    <t>On Peak kWh (3 pm - 8 pm, M-F)</t>
  </si>
  <si>
    <t xml:space="preserve">All hours kWh </t>
  </si>
  <si>
    <t>Grand Total kWh Charges (including All hours kWh rate):</t>
  </si>
  <si>
    <t>(1) Annualized Rates for Residential EV TOU Ratios - See Exhibit Unitil-JDT-7 Page 1 of 2</t>
  </si>
  <si>
    <t>TOU Period</t>
  </si>
  <si>
    <t>Distribution TOU Rates</t>
  </si>
  <si>
    <t>Transmission TOU Rates</t>
  </si>
  <si>
    <t>Basic Service TOU Retail Rates</t>
  </si>
  <si>
    <t>Annual Off-Peak</t>
  </si>
  <si>
    <t xml:space="preserve">Total </t>
  </si>
  <si>
    <t>(2) Excluding REC and Basic Service Cost Adder</t>
  </si>
  <si>
    <t>D.P.U. 23-80</t>
  </si>
  <si>
    <t>Unitil - Electric Division</t>
  </si>
  <si>
    <t>Page 1 of 1</t>
  </si>
  <si>
    <t>100% reduction in demand charge</t>
  </si>
  <si>
    <t>75% reduction in demand charge</t>
  </si>
  <si>
    <t>50% reduction in demand charge</t>
  </si>
  <si>
    <t xml:space="preserve">Using Proposed Rates </t>
  </si>
  <si>
    <t>Load Factor</t>
  </si>
  <si>
    <t>0%-5%</t>
  </si>
  <si>
    <t>5%-10%</t>
  </si>
  <si>
    <t>10%-15%</t>
  </si>
  <si>
    <t>&gt; 15%</t>
  </si>
  <si>
    <t>Base</t>
  </si>
  <si>
    <t>Test Year</t>
  </si>
  <si>
    <t>Billing Units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</si>
  <si>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</si>
  <si>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</si>
  <si>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</si>
  <si>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</si>
  <si>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</si>
  <si>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</si>
  <si>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</si>
  <si>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</si>
  <si>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</si>
  <si>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Revenue Allocation Target</t>
  </si>
  <si>
    <t>No. of bills</t>
  </si>
  <si>
    <t>Energy-Based Rate</t>
  </si>
  <si>
    <t>All kWh</t>
  </si>
  <si>
    <t>Demand-Based Rate</t>
  </si>
  <si>
    <t>kW</t>
  </si>
  <si>
    <t>Converted Demand-to-Energy Rate</t>
  </si>
  <si>
    <t>Difference to Target (Due to Truncation of Energy Charge)</t>
  </si>
  <si>
    <t>GD-2: Regular General - Distribution Charges</t>
  </si>
  <si>
    <t>Peak Energy-Based Rate</t>
  </si>
  <si>
    <t>On Peak kWh</t>
  </si>
  <si>
    <t>Off Peak Energy-Based Rate</t>
  </si>
  <si>
    <t>Off Peak kWh</t>
  </si>
  <si>
    <t>Energy-Based Revenue</t>
  </si>
  <si>
    <t>Demand kW</t>
  </si>
  <si>
    <t>On Peak kW</t>
  </si>
  <si>
    <t>GD-3: Large General - Distribution Charges</t>
  </si>
  <si>
    <t>This sheet partially redacted.</t>
  </si>
  <si>
    <t xml:space="preserve">Annual Target Revenue </t>
  </si>
  <si>
    <t>Revenue Decoupling Adjustment Clause</t>
  </si>
  <si>
    <t>Target Revenue</t>
  </si>
  <si>
    <t>Class Grouping</t>
  </si>
  <si>
    <t xml:space="preserve">Distribution Revenue </t>
  </si>
  <si>
    <t>Allocator</t>
  </si>
  <si>
    <t>RD-1 &amp; RD-2</t>
  </si>
  <si>
    <t>Total Residential</t>
  </si>
  <si>
    <t>Regular General Service</t>
  </si>
  <si>
    <t>GD-1/GD-2/GD-4/GD-5</t>
  </si>
  <si>
    <t>GD-3/Special Contract</t>
  </si>
  <si>
    <t>Outdoor Lighting</t>
  </si>
  <si>
    <t>Outdoor Lighting*</t>
  </si>
  <si>
    <t>TOTAL</t>
  </si>
  <si>
    <r>
      <t>Note: Target Revenues are from Exhibit Unitil-JDT-3, Schedule 1</t>
    </r>
    <r>
      <rPr>
        <sz val="12"/>
        <rFont val="Times New Roman"/>
        <family val="1"/>
      </rPr>
      <t>.</t>
    </r>
  </si>
  <si>
    <t xml:space="preserve">* Outdoor Lighting plant removed - see calculation below. </t>
  </si>
  <si>
    <t>Calculation for Removal of Outdoor Lighting Plant:</t>
  </si>
  <si>
    <t>SD Target Revenue</t>
  </si>
  <si>
    <t>SD Lighting Plant Rev Req</t>
  </si>
  <si>
    <t>Exhibit Unitil-JDT-3, Schedule 2</t>
  </si>
  <si>
    <t>SD Remaining Rev Req</t>
  </si>
  <si>
    <t>SD Total Rev Req Req</t>
  </si>
  <si>
    <t>SD Rev Req excl Outdoor Lighting Plant</t>
  </si>
  <si>
    <t>Line 20 * Line 23</t>
  </si>
  <si>
    <t>SDC Target Revenue</t>
  </si>
  <si>
    <t>Outdoor Lighting Rev Req excluding Outdoor Lighting Plant</t>
  </si>
  <si>
    <t>Line 26 + Line 28</t>
  </si>
  <si>
    <t>Intentionally blank. This sheet was redacted in its entirety.</t>
  </si>
  <si>
    <t>COSA Unit Cost</t>
  </si>
  <si>
    <t>20.34% Increase</t>
  </si>
  <si>
    <t>% of COSA Unit Cost</t>
  </si>
  <si>
    <t>If &lt;25% then use 25% of Unit Cost</t>
  </si>
  <si>
    <t>Proposed Charge</t>
  </si>
  <si>
    <t>Resulting Change</t>
  </si>
  <si>
    <t>Rate</t>
  </si>
  <si>
    <t>Component</t>
  </si>
  <si>
    <t>RD-1 / RD-2 Residential</t>
  </si>
  <si>
    <t>Customer</t>
  </si>
  <si>
    <t>Demand</t>
  </si>
  <si>
    <t>Sheet intentionally blank.</t>
  </si>
  <si>
    <t>Basic Service Customer Typical Bill Impacts - 2023 Distribution Rate Proposal</t>
  </si>
  <si>
    <t>Impact on RD-1 Rate Customers</t>
  </si>
  <si>
    <t>Res</t>
  </si>
  <si>
    <t>Average</t>
  </si>
  <si>
    <t>Current Rates</t>
  </si>
  <si>
    <t>Proposed Rates</t>
  </si>
  <si>
    <t>%</t>
  </si>
  <si>
    <t>Present Rates</t>
  </si>
  <si>
    <t>Monthly</t>
  </si>
  <si>
    <t xml:space="preserve">Delivery </t>
  </si>
  <si>
    <t>Decile</t>
  </si>
  <si>
    <t>kWh</t>
  </si>
  <si>
    <t>600 kWh</t>
  </si>
  <si>
    <t>Current Rates:</t>
  </si>
  <si>
    <t>Proposed Rates:</t>
  </si>
  <si>
    <t>Difference **</t>
  </si>
  <si>
    <t>Delivery Charges:</t>
  </si>
  <si>
    <t>Internal Transmission</t>
  </si>
  <si>
    <t>External Transmission</t>
  </si>
  <si>
    <t xml:space="preserve">Transmission Subtotal  </t>
  </si>
  <si>
    <t>Distribution - Nov. 1, 2023</t>
  </si>
  <si>
    <t>Pension/PBOP Adjustment Factor</t>
  </si>
  <si>
    <t>Residential Assistance Adjustment Factor</t>
  </si>
  <si>
    <t>Net Metering Recovery Surcharge</t>
  </si>
  <si>
    <t>Revenue Decoupling Adjustment Factor</t>
  </si>
  <si>
    <t>Attorney General Consultant Expense Factor</t>
  </si>
  <si>
    <t>L-T Renewable Contract Adjustment Factor</t>
  </si>
  <si>
    <t>Capital Cost Adjustment Factor</t>
  </si>
  <si>
    <t xml:space="preserve">Solar Cost Adjustment </t>
  </si>
  <si>
    <t>Grid Modernization Factor</t>
  </si>
  <si>
    <t>Basic Service Adjustment</t>
  </si>
  <si>
    <t>Storm Reserve Adjustment Factor</t>
  </si>
  <si>
    <t>Exogenous Cost Adjustment Factor</t>
  </si>
  <si>
    <t>Distribution Subtotal</t>
  </si>
  <si>
    <t>Renewable Resources Charge</t>
  </si>
  <si>
    <t>Energy Efficiency Charge</t>
  </si>
  <si>
    <t xml:space="preserve">Energy Efficiency Reconciliation Factor </t>
  </si>
  <si>
    <t>Energy Efficiency Reconciliation Factor ***</t>
  </si>
  <si>
    <t xml:space="preserve">                  Total Energy Efficiency Charge Subtotal</t>
  </si>
  <si>
    <t>SMART Factor</t>
  </si>
  <si>
    <t>Supplier Charges:</t>
  </si>
  <si>
    <t>Generation Charge*</t>
  </si>
  <si>
    <t>* August 1, 2023 Basic Service, Fixed including Basic Service Costs Adder of $0.00493/kWh at current and $0.00292/kWh at proposed.
** Includes changes in reconciliation mechanisms related to this distribution rate case proposal.</t>
  </si>
  <si>
    <t>*** Exhibit Unitil-CGDN-6</t>
  </si>
  <si>
    <t>delivery only</t>
  </si>
  <si>
    <t>Plug RD-1</t>
  </si>
  <si>
    <t>Total Rates</t>
  </si>
  <si>
    <t>Impact on RD-2 Rate Customers</t>
  </si>
  <si>
    <t>34.5% Low Income Discount</t>
  </si>
  <si>
    <t>40.0% Low Income Discount</t>
  </si>
  <si>
    <t>Fixed Charges</t>
  </si>
  <si>
    <t>Volumetric Charges - All kWh</t>
  </si>
  <si>
    <t>Impact on GD-1 Rate Customers</t>
  </si>
  <si>
    <t>Total Energy Efficiency Charge Subtotal</t>
  </si>
  <si>
    <t>Transition Charge Surcharge</t>
  </si>
  <si>
    <t xml:space="preserve">      </t>
  </si>
  <si>
    <t xml:space="preserve">Distribution Subtotal  </t>
  </si>
  <si>
    <t xml:space="preserve">Totals  </t>
  </si>
  <si>
    <t>Impact on GD-3 Rate Customers</t>
  </si>
  <si>
    <t>On Peak</t>
  </si>
  <si>
    <t>Off Peak</t>
  </si>
  <si>
    <t>Sequence</t>
  </si>
  <si>
    <t>kVA</t>
  </si>
  <si>
    <t>All kVA</t>
  </si>
  <si>
    <t>All</t>
  </si>
  <si>
    <t xml:space="preserve">Transmission Subtotals  </t>
  </si>
  <si>
    <t xml:space="preserve">Distribution Subtotals  </t>
  </si>
  <si>
    <t>* Market Variable Basic Service rate for July 2023 including Basic Service Costs Adder of $0.00493/kWh at current and $0.00292/kWh at proposed.</t>
  </si>
  <si>
    <t>**Includes changes in reconciliation mechanisms related to this distribution rate case proposal</t>
  </si>
  <si>
    <t>Impact on GD-4 Rate Customers</t>
  </si>
  <si>
    <t>All kW</t>
  </si>
  <si>
    <t>External Transmission Charge</t>
  </si>
  <si>
    <t>On Peak %</t>
  </si>
  <si>
    <t>Impact on GD-5 Rate Customers</t>
  </si>
  <si>
    <t>Impact on Company Owned Outdoor Lighting SD Rate Customers</t>
  </si>
  <si>
    <t>% of</t>
  </si>
  <si>
    <t>Monthly kWh</t>
  </si>
  <si>
    <t>Lights</t>
  </si>
  <si>
    <t>Metal Halide:</t>
  </si>
  <si>
    <t>Other</t>
  </si>
  <si>
    <t>various</t>
  </si>
  <si>
    <t>Miscellaneous Special Agreement</t>
  </si>
  <si>
    <t xml:space="preserve">              Total Energy Efficiency Charge Subtotal</t>
  </si>
  <si>
    <t xml:space="preserve">Total  </t>
  </si>
  <si>
    <t>Luminaire:</t>
  </si>
  <si>
    <t>sum counts</t>
  </si>
  <si>
    <t>Impact on SDC Rate Customers</t>
  </si>
  <si>
    <t>LED XSPR BXSPRA 03FC</t>
  </si>
  <si>
    <t>LED XSP2L BXSPA 03HL</t>
  </si>
  <si>
    <t>MV 100 Watt Street and Highway</t>
  </si>
  <si>
    <t>HP 50 Watt Street and Highway</t>
  </si>
  <si>
    <t>HP 100 Watt Street and Highway</t>
  </si>
  <si>
    <t>ORNAMENTAL LIGHTING</t>
  </si>
  <si>
    <t>HP 400 Watt Street and Highway</t>
  </si>
  <si>
    <t>HP 200 Watt Street and Highway</t>
  </si>
  <si>
    <t>[A]</t>
  </si>
  <si>
    <t>[B]</t>
  </si>
  <si>
    <t>[C]</t>
  </si>
  <si>
    <t>[D]</t>
  </si>
  <si>
    <t>[E]</t>
  </si>
  <si>
    <t>[F]</t>
  </si>
  <si>
    <t>[G]</t>
  </si>
  <si>
    <t>[H]</t>
  </si>
  <si>
    <t>[I]</t>
  </si>
  <si>
    <t>[J]</t>
  </si>
  <si>
    <t>[K]</t>
  </si>
  <si>
    <t>[L]</t>
  </si>
  <si>
    <t>[M]</t>
  </si>
  <si>
    <t>2022 Billing Determinants</t>
  </si>
  <si>
    <t>2022 Rates</t>
  </si>
  <si>
    <t>Revenue  at 2022 Rates</t>
  </si>
  <si>
    <t>TY Lighting Revenue Adjustment</t>
  </si>
  <si>
    <t>Rates Effective Jan. 1, 2023</t>
  </si>
  <si>
    <t>Jan. 1, 2023 Annualization Adjustment</t>
  </si>
  <si>
    <t>Rates Effective Nov. 1, 2023</t>
  </si>
  <si>
    <t>Nov. 1, 2023 Annualization Adjustment</t>
  </si>
  <si>
    <t>Test Year Revenue Adjustment</t>
  </si>
  <si>
    <t xml:space="preserve">Test Year Revenue </t>
  </si>
  <si>
    <t>Fixture Count</t>
  </si>
  <si>
    <t>Pole Attachments and Ashby OFL</t>
  </si>
  <si>
    <t>Company Owned Lighting kWh</t>
  </si>
  <si>
    <t>Fixtures</t>
  </si>
  <si>
    <t>Distribution Charge ($/kWh)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</si>
  <si>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</si>
  <si>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</si>
  <si>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</si>
  <si>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</si>
  <si>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</si>
  <si>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</si>
  <si>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</si>
  <si>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</si>
  <si>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</si>
  <si>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</si>
  <si>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</si>
  <si>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</si>
  <si>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</si>
  <si>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Desciption</t>
  </si>
  <si>
    <t>Watts</t>
  </si>
  <si>
    <t>Fixture Cost</t>
  </si>
  <si>
    <t>Bracket/Photo Cell/Wiring Cost</t>
  </si>
  <si>
    <t>Labor</t>
  </si>
  <si>
    <t>Total Installed Cost $2023</t>
  </si>
  <si>
    <t>Demand Costs</t>
  </si>
  <si>
    <t>Customer Costs</t>
  </si>
  <si>
    <t>Annual Distribution Revenue Requirement</t>
  </si>
  <si>
    <t>Annual Fixture Carrying Charge</t>
  </si>
  <si>
    <t>Total Annual Cost for LED Light Fixtures</t>
  </si>
  <si>
    <t>Monthly Cost for LED Light Fixtures</t>
  </si>
  <si>
    <t>Scaled to Proposed Revenue to Cost Ratio</t>
  </si>
  <si>
    <t>Customer Component*12</t>
  </si>
  <si>
    <t>Cobra Head</t>
  </si>
  <si>
    <t>3300 Lumen</t>
  </si>
  <si>
    <t>30</t>
  </si>
  <si>
    <t>4300 Lumen</t>
  </si>
  <si>
    <t>50</t>
  </si>
  <si>
    <t>10000 Lumen</t>
  </si>
  <si>
    <t>100</t>
  </si>
  <si>
    <t>17000 Lumen</t>
  </si>
  <si>
    <t>140</t>
  </si>
  <si>
    <t>Flood Light</t>
  </si>
  <si>
    <t>6000 Lumen</t>
  </si>
  <si>
    <t>70</t>
  </si>
  <si>
    <t>15000 Lumen</t>
  </si>
  <si>
    <t>110</t>
  </si>
  <si>
    <t>46000 Lumen</t>
  </si>
  <si>
    <t>370</t>
  </si>
  <si>
    <t>Yard Light</t>
  </si>
  <si>
    <t>3000 Lumen</t>
  </si>
  <si>
    <t>35</t>
  </si>
  <si>
    <t>4000 Lumen</t>
  </si>
  <si>
    <t>47</t>
  </si>
  <si>
    <t>9500 Lumen</t>
  </si>
  <si>
    <t>Amount</t>
  </si>
  <si>
    <t>Source</t>
  </si>
  <si>
    <t>Demand Component Cost</t>
  </si>
  <si>
    <t>ACOSS</t>
  </si>
  <si>
    <t>Total Fixtures Demand</t>
  </si>
  <si>
    <t>load research</t>
  </si>
  <si>
    <t>Demand Unit Cost</t>
  </si>
  <si>
    <t>Customer-Related Revenue Requirement</t>
  </si>
  <si>
    <t>Revenue Requirement Associated with Fixtures</t>
  </si>
  <si>
    <t>Total Customer Component w/o Fixtures</t>
  </si>
  <si>
    <t>Number of Fixtures</t>
  </si>
  <si>
    <t>Customer Component Cost ($/fixture)</t>
  </si>
  <si>
    <t>Proposed Revenue to Cost Ratio of Existing Lighting</t>
  </si>
  <si>
    <t>January 2022</t>
  </si>
  <si>
    <t>Calculated</t>
  </si>
  <si>
    <t>All kWh or</t>
  </si>
  <si>
    <t>Percent</t>
  </si>
  <si>
    <t>Customer Chg</t>
  </si>
  <si>
    <t>On Peak Billed</t>
  </si>
  <si>
    <t>Off Peak Billed</t>
  </si>
  <si>
    <t>kWh/(On)</t>
  </si>
  <si>
    <t>kWh/(Off)</t>
  </si>
  <si>
    <t>COSS</t>
  </si>
  <si>
    <t>Customers</t>
  </si>
  <si>
    <t>Variance</t>
  </si>
  <si>
    <t>kW/kVA</t>
  </si>
  <si>
    <t>Revenues</t>
  </si>
  <si>
    <t>Classes</t>
  </si>
  <si>
    <t>Residential</t>
  </si>
  <si>
    <t>February 2022</t>
  </si>
  <si>
    <t>First</t>
  </si>
  <si>
    <t>Excess</t>
  </si>
  <si>
    <t>First Block/</t>
  </si>
  <si>
    <t>Excess Block/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</si>
  <si>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</si>
  <si>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</si>
  <si>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</si>
  <si>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</si>
  <si>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</si>
  <si>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</si>
  <si>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</si>
  <si>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</si>
  <si>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</si>
  <si>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</si>
  <si>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Annual 2022</t>
  </si>
  <si>
    <t>This does not include special contract customer data, separate file.</t>
  </si>
  <si>
    <t>Co Owned Outdoor Lighting Luminaire/kWh Rev</t>
  </si>
  <si>
    <t>Customer Owned OL kWh revenue</t>
  </si>
  <si>
    <t>Transformer Ownership Credits</t>
  </si>
  <si>
    <t>Total Co. owned and customer owned, w/o COF</t>
  </si>
  <si>
    <t>Company Owned</t>
  </si>
  <si>
    <t>Light Counts</t>
  </si>
  <si>
    <t>Lookup Reference</t>
  </si>
  <si>
    <t>100 Watt 3,500 Mercury Vapor Street &amp; HWY</t>
  </si>
  <si>
    <t>100 Watt 3,500 Power Bracket Included</t>
  </si>
  <si>
    <t>100 Watt 9,500 Sodium Vapor Street &amp; HWY</t>
  </si>
  <si>
    <t>1000 Watt 140,000 Sodium Vapor Street &amp; HWY</t>
  </si>
  <si>
    <t>1000 Watt 60,000 Mercury Vapor Street &amp; HWY</t>
  </si>
  <si>
    <t>101 Watt 10,680 Light Emitting Diode Cobra Head</t>
  </si>
  <si>
    <t>110 Watt 14,737 Light Emitting Diode Flood Light CREE</t>
  </si>
  <si>
    <t>110 Watt 15,000 Light Emitting Diode Flood Light COOPER</t>
  </si>
  <si>
    <t>175 Watt 7,000 Mercury Vapor Street &amp; HWY</t>
  </si>
  <si>
    <t>175 Watt 7,000 Power Bracket Included</t>
  </si>
  <si>
    <t>200 Watt 20,000 Sodium Vapor Street &amp; HWY</t>
  </si>
  <si>
    <t>28 Watt 3,300 Light Emitting Diode Cobra Head</t>
  </si>
  <si>
    <t>400 Watt 20,000 Mercury Vapor Flood Light Type</t>
  </si>
  <si>
    <t>400 Watt 20,000 Mercury Vapor Street &amp; HWY</t>
  </si>
  <si>
    <t>400 Watt 50,000 Sodium Vapor Flood Light Type</t>
  </si>
  <si>
    <t>400 Watt 50,000 Sodium Vapor Street &amp; HWY</t>
  </si>
  <si>
    <t>47 Watt 3,300 Light Emitting Diode Cobra Head</t>
  </si>
  <si>
    <t>50 Watt 3,300 Ornamental</t>
  </si>
  <si>
    <t>50 Watt 3,300 Sodium Vapor Street &amp; HWY</t>
  </si>
  <si>
    <t>54 Watt 4,270 Light Emitting Diode Cobra Head</t>
  </si>
  <si>
    <t>70 Watt 10,000 Light Emitting Diode Flood Light</t>
  </si>
  <si>
    <t>Ashby OFL</t>
  </si>
  <si>
    <t>kWh Revenue</t>
  </si>
  <si>
    <t>Pole charges</t>
  </si>
  <si>
    <t>Subtotal</t>
  </si>
  <si>
    <t>Customer Owned</t>
  </si>
  <si>
    <t>168 Watt 14,408 COF XSP2L BXSPA03HL STREET</t>
  </si>
  <si>
    <t>42 Watt 3,819 COF XSPR BXSPRA03FC STREET</t>
  </si>
  <si>
    <t>Grand Total</t>
  </si>
  <si>
    <t>Accuracy Report Count</t>
  </si>
  <si>
    <t>June 2023 Count</t>
  </si>
  <si>
    <t>Annualized June 2023 Count</t>
  </si>
  <si>
    <t>2022 Rate</t>
  </si>
  <si>
    <t>Jan 1, 2023 Rate</t>
  </si>
  <si>
    <t>Nov 1, 2023 Rate</t>
  </si>
  <si>
    <t>Q1 kWh per light per month</t>
  </si>
  <si>
    <t>Q2 kWh per light per month</t>
  </si>
  <si>
    <t>Q3 kWh per light per month</t>
  </si>
  <si>
    <t>Q4 kWh per light per month</t>
  </si>
  <si>
    <t>Total Calculated Annual kWH Based on June Count</t>
  </si>
  <si>
    <t>2023 kWh YTD (actual through Jun)</t>
  </si>
  <si>
    <t>Fixture Watt</t>
  </si>
  <si>
    <t>Rate Mapping to Target Rev</t>
  </si>
  <si>
    <t>Rev.Count</t>
  </si>
  <si>
    <t>2022 kWh</t>
  </si>
  <si>
    <t>SPECIAL AGREEMENTS</t>
  </si>
  <si>
    <t>Ashby Outdoor Floodlight</t>
  </si>
  <si>
    <t>-</t>
  </si>
  <si>
    <t>Demand (kW)</t>
  </si>
  <si>
    <t>FGE Annual Target Revenue November 1 2023 (Revised 01.25.23).xlsx</t>
  </si>
  <si>
    <t>Bill Units</t>
  </si>
  <si>
    <t>Mercury Vapor Luminaires</t>
  </si>
  <si>
    <t>3500 Street and Highway Type</t>
  </si>
  <si>
    <t>7000 Street and Highway Type</t>
  </si>
  <si>
    <t>20000 Street and Highway Type</t>
  </si>
  <si>
    <t>60000 Street and Highway Type</t>
  </si>
  <si>
    <t>20000 Flood Light Type</t>
  </si>
  <si>
    <t>3500 Power Bracket Included</t>
  </si>
  <si>
    <t>7000 Power Bracket Included</t>
  </si>
  <si>
    <t>High Pressure Sodium Luminaires</t>
  </si>
  <si>
    <t>3300 Street and Highway Type</t>
  </si>
  <si>
    <t>9500 Street and Highway Type</t>
  </si>
  <si>
    <t>50000 Street and Highway Type</t>
  </si>
  <si>
    <t>140000 Street and Highway Type</t>
  </si>
  <si>
    <t>50000 Flood Light Type</t>
  </si>
  <si>
    <t>Metal Halide Luminaires</t>
  </si>
  <si>
    <t>3700 Cobra Head Type</t>
  </si>
  <si>
    <t>5000 Cobra Head Type</t>
  </si>
  <si>
    <t>10000 Cobra Head Type</t>
  </si>
  <si>
    <t>3700 Flood Light Type</t>
  </si>
  <si>
    <t>5000 Flood Light Type</t>
  </si>
  <si>
    <t>10000 Flood Light Type</t>
  </si>
  <si>
    <t>47000 Flood Light Type</t>
  </si>
  <si>
    <t>3700 Power Bracket Included</t>
  </si>
  <si>
    <t>5000 Power Bracket Included</t>
  </si>
  <si>
    <t>10000 Power Bracket Included</t>
  </si>
  <si>
    <t>Light Emitting Diode Luminaires</t>
  </si>
  <si>
    <t>3850 Cobra Head Type</t>
  </si>
  <si>
    <t>6100 Cobra Head Type</t>
  </si>
  <si>
    <t>10680 Cobra Head Type</t>
  </si>
  <si>
    <t>20000 Cobra Head Type</t>
  </si>
  <si>
    <t>4572 Flood Light Type</t>
  </si>
  <si>
    <t>6810 Flood Light Type</t>
  </si>
  <si>
    <t>11253 Flood Light Type</t>
  </si>
  <si>
    <t>15300 Flood Light Type</t>
  </si>
  <si>
    <t>50403 Flood Light Type</t>
  </si>
  <si>
    <t>2887 Power Bracket Included</t>
  </si>
  <si>
    <t>6100 Power Bracket Included</t>
  </si>
  <si>
    <t>12290 Power Bracket Included</t>
  </si>
  <si>
    <t>17200 Power Bracket Included</t>
  </si>
  <si>
    <t>Ornamental Lighting Luminaires</t>
  </si>
  <si>
    <t>Special Agreement Luminaires</t>
  </si>
  <si>
    <t>99 Watt LED Street</t>
  </si>
  <si>
    <t>160 Watt LED Street</t>
  </si>
  <si>
    <t>Total OL</t>
  </si>
  <si>
    <t>Light</t>
  </si>
  <si>
    <t>Average Monthly kWh</t>
  </si>
  <si>
    <t>HP 20000 200 WP S/H - COL</t>
  </si>
  <si>
    <t>HP 3300 50 WP S/H - COL</t>
  </si>
  <si>
    <t>HP 50000 400 WP S/H - COL</t>
  </si>
  <si>
    <t>HP 9500 100 WP S/H - COF</t>
  </si>
  <si>
    <t>HP 9500 100 WP S/H - COL</t>
  </si>
  <si>
    <t>LD14 - COF</t>
  </si>
  <si>
    <t>LD15 - COF</t>
  </si>
  <si>
    <t>MV 3500 100 WP S/H - COL</t>
  </si>
  <si>
    <t>ORN - COF</t>
  </si>
  <si>
    <t>ORN - COL</t>
  </si>
  <si>
    <t>Effective prior to January 1, 2022</t>
  </si>
  <si>
    <t>Charge</t>
  </si>
  <si>
    <t>Outdoor Lighting - Company Owned</t>
  </si>
  <si>
    <t>Outdoor Lighting - Customer Owned</t>
  </si>
  <si>
    <t>Effective January 1, 2023</t>
  </si>
  <si>
    <t>Effective November 1, 2023</t>
  </si>
  <si>
    <t>Outdoor Lighting Luminare Charges</t>
  </si>
  <si>
    <t>Jan.1 2022</t>
  </si>
  <si>
    <t>Jan. 1, 2023</t>
  </si>
  <si>
    <t>Nov. 1, 2023</t>
  </si>
  <si>
    <t>3300 Street and Highway</t>
  </si>
  <si>
    <t>Electric Division</t>
  </si>
  <si>
    <t>August 1, 2023</t>
  </si>
  <si>
    <t>2022 Average</t>
  </si>
  <si>
    <t>10%</t>
  </si>
  <si>
    <t>Basic Svc Rates</t>
  </si>
  <si>
    <t>Delivery Rates</t>
  </si>
  <si>
    <t>Total Rate</t>
  </si>
  <si>
    <t>of Revenue</t>
  </si>
  <si>
    <t>RD-1/2 /GD-1</t>
  </si>
  <si>
    <t>GD-2/4/5/OL</t>
  </si>
  <si>
    <t>Customer Units</t>
  </si>
  <si>
    <t>(fixed)</t>
  </si>
  <si>
    <t>(variable)</t>
  </si>
  <si>
    <t>(market)</t>
  </si>
  <si>
    <t>GD-1 Small General Service</t>
  </si>
  <si>
    <t>GD-2 Regular General Service</t>
  </si>
  <si>
    <t>kW-TOC</t>
  </si>
  <si>
    <t>GD-3 Large General Service</t>
  </si>
  <si>
    <t>GD-4 Regular General Optional Time of Use</t>
  </si>
  <si>
    <t>GD-5 Regular General Water and/or Space Heating Rider</t>
  </si>
  <si>
    <t>Average 22</t>
  </si>
  <si>
    <t>Average 23</t>
  </si>
  <si>
    <t>SD / SDC</t>
  </si>
  <si>
    <t>Energy Charges</t>
  </si>
  <si>
    <t>Light Type/Lumens</t>
  </si>
  <si>
    <t>Units</t>
  </si>
  <si>
    <t>Light Emitting Diode</t>
  </si>
  <si>
    <t>110 Watt LED Flood CREE</t>
  </si>
  <si>
    <t>Outdoor Flood</t>
  </si>
  <si>
    <t>Total excluding Special Contracts</t>
  </si>
  <si>
    <t>FG&amp;E Electric Division</t>
  </si>
  <si>
    <t>$ Impacts By Class Associated with Reconciling Mechanisms for 10% Rule</t>
  </si>
  <si>
    <t>Capital Cost Adjustment (CCA)</t>
  </si>
  <si>
    <t>Basic Service Costs Adder (BSCA)-Admin</t>
  </si>
  <si>
    <t>Basic Service Costs Adder (BSCA)-Working Capital</t>
  </si>
  <si>
    <t>Solar Cost Adjustment (SCA)</t>
  </si>
  <si>
    <t>Residential Assistance Adjustment Factor (RAAF)</t>
  </si>
  <si>
    <t>External Transmission Charge (ETC)</t>
  </si>
  <si>
    <t>2022 Test Year kWh Sales</t>
  </si>
  <si>
    <t>Rider Revenue</t>
  </si>
  <si>
    <t>remaining reconcillations</t>
  </si>
  <si>
    <t>CCA</t>
  </si>
  <si>
    <t>BSCA- Admin</t>
  </si>
  <si>
    <t>BSCA - Working Capital</t>
  </si>
  <si>
    <t>SCA</t>
  </si>
  <si>
    <t>RAAF</t>
  </si>
  <si>
    <t>ETC</t>
  </si>
  <si>
    <t>check</t>
  </si>
  <si>
    <t>BSCA total</t>
  </si>
  <si>
    <t>Schedule 1 - Revenue Apportionment</t>
  </si>
  <si>
    <t>Schedule 2 - Revenue Proof and Rate Design</t>
  </si>
  <si>
    <t>WP - Current and Proposed Rates</t>
  </si>
  <si>
    <t>WP - Cost Based Analysis of LED Lighting Fixtures</t>
  </si>
  <si>
    <t>WP - Per Books Accuracy Report</t>
  </si>
  <si>
    <t>WP - 2022 Annual Outdoor Lighting Summary</t>
  </si>
  <si>
    <t>WP - June 2023 Annualized Outdoor Lighting Fixtures</t>
  </si>
  <si>
    <t>WP - Fitchburg/Lunenburg Customer Owned Lights</t>
  </si>
  <si>
    <t>WP - Tariff Rates and Effective Dates</t>
  </si>
  <si>
    <t>WP - Computation of Total Current Revenues by Rate Class using test year average Basic Service</t>
  </si>
  <si>
    <t>WP - Rider Revenue Rolled into Base Rates</t>
  </si>
  <si>
    <t>WP - Change to Reconciliation Mechanisms for Bill Impacts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</si>
</sst>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00_);_(&quot;$&quot;* \(#,##0.0000\);_(&quot;$&quot;* &quot;-&quot;??_);_(@_)"/>
    <numFmt numFmtId="166" formatCode="_(&quot;$&quot;* #,##0_);_(&quot;$&quot;* \(#,##0\);_(&quot;$&quot;* &quot;-&quot;??_);_(@_)"/>
    <numFmt numFmtId="167" formatCode="#."/>
    <numFmt numFmtId="168" formatCode="mmmm\ d\,\ yyyy"/>
    <numFmt numFmtId="169" formatCode="_(&quot;$&quot;* #,##0.0000_);_(&quot;$&quot;* \(#,##0.0000\);_(&quot;$&quot;* &quot;-&quot;????_);_(@_)"/>
    <numFmt numFmtId="170" formatCode="&quot;$&quot;#,##0.00"/>
    <numFmt numFmtId="171" formatCode="_(&quot;$&quot;* #,##0.00000_);_(&quot;$&quot;* \(#,##0.00000\);_(&quot;$&quot;* &quot;-&quot;??_);_(@_)"/>
    <numFmt numFmtId="172" formatCode="0.00000"/>
    <numFmt numFmtId="173" formatCode="[$-409]mmmm\-yy;@"/>
    <numFmt numFmtId="174" formatCode="_(&quot;$&quot;* #,##0.00000_);_(&quot;$&quot;* \(#,##0.00000\);_(&quot;$&quot;* &quot;-&quot;?????_);_(@_)"/>
    <numFmt numFmtId="175" formatCode="_(&quot;$&quot;* #,##0.000000_);_(&quot;$&quot;* \(#,##0.000000\);_(&quot;$&quot;* &quot;-&quot;??_);_(@_)"/>
    <numFmt numFmtId="176" formatCode="0.0%"/>
    <numFmt numFmtId="177" formatCode="&quot;$&quot;#,##0.00000"/>
    <numFmt numFmtId="178" formatCode="&quot;$&quot;#,##0"/>
    <numFmt numFmtId="179" formatCode="&quot;$&quot;#,##0.00000_);\(&quot;$&quot;#,##0.00000\)"/>
    <numFmt numFmtId="180" formatCode="#,##0.0"/>
    <numFmt numFmtId="181" formatCode="0.000%"/>
    <numFmt numFmtId="182" formatCode="_(* #,##0.000_);_(* \(#,##0.000\);_(* &quot;-&quot;??_);_(@_)"/>
    <numFmt numFmtId="183" formatCode="0.000000"/>
    <numFmt numFmtId="184" formatCode="#,##0.0_);\(#,##0.0\)"/>
    <numFmt numFmtId="185" formatCode="_(* #,##0.00000_);_(* \(#,##0.00000\);_(* &quot;-&quot;??_);_(@_)"/>
    <numFmt numFmtId="186" formatCode="0.0000%"/>
    <numFmt numFmtId="187" formatCode="&quot;$&quot;#,##0.0000_);\(&quot;$&quot;#,##0.0000\)"/>
    <numFmt numFmtId="188" formatCode="[$-409]mmm\-yy;@"/>
    <numFmt numFmtId="189" formatCode="0.000"/>
    <numFmt numFmtId="190" formatCode=";;;"/>
    <numFmt numFmtId="191" formatCode="_(* #,##0.0_);_(* \(#,##0.0\);_(* &quot;-&quot;??_);_(@_)"/>
    <numFmt numFmtId="192" formatCode="&quot;$&quot;#,##0.00000_);[Red]\(&quot;$&quot;#,##0.00000\)"/>
    <numFmt numFmtId="193" formatCode="0.0%_);\(0.0%\)"/>
    <numFmt numFmtId="194" formatCode="0_);\(0\)"/>
    <numFmt numFmtId="195" formatCode="0.0000"/>
    <numFmt numFmtId="196" formatCode="[$$-409]#,##0.00000"/>
    <numFmt numFmtId="197" formatCode="&quot;(&quot;0&quot;)&quot;"/>
    <numFmt numFmtId="198" formatCode="#,##0.00000"/>
  </numFmts>
  <fonts count="129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Helv"/>
    </font>
    <font>
      <sz val="12"/>
      <name val="Times"/>
      <family val="1"/>
    </font>
    <font>
      <sz val="1"/>
      <color indexed="16"/>
      <name val="Courier"/>
      <family val="3"/>
    </font>
    <font>
      <sz val="10"/>
      <color indexed="12"/>
      <name val="Arial"/>
      <family val="2"/>
    </font>
    <font>
      <sz val="10"/>
      <color indexed="60"/>
      <name val="Arial"/>
      <family val="2"/>
    </font>
    <font>
      <b/>
      <sz val="12"/>
      <color indexed="20"/>
      <name val="Arial"/>
      <family val="2"/>
    </font>
    <font>
      <sz val="12"/>
      <color indexed="10"/>
      <name val="Arial"/>
      <family val="2"/>
    </font>
    <font>
      <sz val="12"/>
      <color indexed="10"/>
      <name val="Times"/>
      <family val="1"/>
    </font>
    <font>
      <b/>
      <i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color indexed="56"/>
      <name val="Arial"/>
      <family val="2"/>
    </font>
    <font>
      <b/>
      <sz val="14"/>
      <color indexed="56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name val="Times New Roman"/>
      <family val="1"/>
    </font>
    <font>
      <sz val="10"/>
      <name val="Arial Unicode MS"/>
      <family val="2"/>
    </font>
    <font>
      <sz val="10"/>
      <color theme="1"/>
      <name val="Tahoma"/>
      <family val="2"/>
    </font>
    <font>
      <sz val="12"/>
      <name val="Arial MT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2"/>
    </font>
    <font>
      <sz val="10"/>
      <name val="Times New Roman"/>
      <family val="1"/>
    </font>
    <font>
      <b/>
      <sz val="12"/>
      <name val="Tech"/>
    </font>
    <font>
      <u/>
      <sz val="8.6999999999999993"/>
      <color indexed="12"/>
      <name val="Arial"/>
      <family val="2"/>
    </font>
    <font>
      <sz val="12"/>
      <name val="SWISS"/>
    </font>
    <font>
      <sz val="10"/>
      <color indexed="8"/>
      <name val="Calibri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u/>
      <sz val="10"/>
      <color indexed="48"/>
      <name val="Calibri"/>
      <family val="2"/>
      <scheme val="minor"/>
    </font>
    <font>
      <u val="singleAccounting"/>
      <sz val="1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rgb="FF3333FF"/>
      <name val="Arial"/>
      <family val="2"/>
    </font>
    <font>
      <sz val="11"/>
      <color rgb="FFFF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12"/>
      <name val="Arial"/>
      <family val="2"/>
    </font>
    <font>
      <b/>
      <sz val="9"/>
      <color indexed="10"/>
      <name val="Arial"/>
      <family val="2"/>
    </font>
    <font>
      <b/>
      <u/>
      <sz val="9"/>
      <name val="Arial"/>
      <family val="2"/>
    </font>
    <font>
      <b/>
      <i/>
      <sz val="9"/>
      <color indexed="10"/>
      <name val="Arial"/>
      <family val="2"/>
    </font>
    <font>
      <b/>
      <sz val="9"/>
      <color rgb="FF0000FF"/>
      <name val="Arial"/>
      <family val="2"/>
    </font>
    <font>
      <u/>
      <sz val="9"/>
      <name val="Arial"/>
      <family val="2"/>
    </font>
    <font>
      <u/>
      <sz val="9"/>
      <color indexed="12"/>
      <name val="Arial"/>
      <family val="2"/>
    </font>
    <font>
      <sz val="9"/>
      <color indexed="12"/>
      <name val="Arial"/>
      <family val="2"/>
    </font>
    <font>
      <sz val="9"/>
      <color rgb="FF0000FF"/>
      <name val="Arial"/>
      <family val="2"/>
    </font>
    <font>
      <sz val="9"/>
      <color theme="4"/>
      <name val="Arial"/>
      <family val="2"/>
    </font>
    <font>
      <u/>
      <sz val="10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indexed="12"/>
      <name val="Arial"/>
      <family val="2"/>
    </font>
    <font>
      <u/>
      <sz val="10"/>
      <color rgb="FF3333FF"/>
      <name val="Arial"/>
      <family val="2"/>
    </font>
    <font>
      <sz val="10"/>
      <color rgb="FF0000FF"/>
      <name val="Arial"/>
      <family val="2"/>
    </font>
    <font>
      <i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i/>
      <sz val="10"/>
      <color theme="0" tint="-0.499984740745262"/>
      <name val="Arial"/>
      <family val="2"/>
    </font>
    <font>
      <b/>
      <u val="singleAccounting"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33CC"/>
      <name val="Calibri"/>
      <family val="2"/>
      <scheme val="minor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7"/>
      <name val="Arial"/>
      <family val="2"/>
    </font>
    <font>
      <sz val="12"/>
      <color rgb="FF006666"/>
      <name val="Century Gothic"/>
      <family val="2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1"/>
      <color theme="8"/>
      <name val="Calibri"/>
      <family val="2"/>
      <scheme val="minor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2"/>
    </font>
    <font>
      <u val="double"/>
      <sz val="11"/>
      <name val="Times New Roman"/>
      <family val="1"/>
    </font>
    <font>
      <b/>
      <sz val="11"/>
      <name val="Times New Roman"/>
      <family val="1"/>
    </font>
    <font>
      <u/>
      <sz val="1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 val="singleAccounting"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name val="Arial"/>
      <family val="2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sz val="14"/>
      <name val="Arial"/>
      <family val="2"/>
    </font>
    <font>
      <sz val="14"/>
      <color theme="1"/>
      <name val="Arial"/>
      <family val="2"/>
    </font>
    <font>
      <sz val="11"/>
      <color theme="4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rgb="FFFF0000"/>
      <name val="Arial"/>
      <family val="2"/>
    </font>
    <font>
      <i/>
      <sz val="11"/>
      <name val="Arial"/>
      <family val="2"/>
    </font>
    <font>
      <sz val="12"/>
      <color theme="1"/>
      <name val="Calibri"/>
      <family val="2"/>
      <scheme val="minor"/>
    </font>
    <font>
      <u/>
      <sz val="12"/>
      <color theme="1"/>
      <name val="Arial"/>
      <family val="2"/>
    </font>
    <font>
      <i/>
      <sz val="11"/>
      <color theme="3"/>
      <name val="Arial"/>
      <family val="2"/>
    </font>
    <font>
      <sz val="11"/>
      <color theme="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tted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</borders>
  <cellStyleXfs count="184">
    <xf numFmtId="0" fontId="0" fillId="0" borderId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1" fontId="21" fillId="2" borderId="0"/>
    <xf numFmtId="41" fontId="21" fillId="3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3" fontId="22" fillId="0" borderId="0" applyFill="0" applyBorder="0" applyAlignment="0" applyProtection="0"/>
    <xf numFmtId="0" fontId="23" fillId="0" borderId="0"/>
    <xf numFmtId="0" fontId="24" fillId="0" borderId="0"/>
    <xf numFmtId="167" fontId="25" fillId="0" borderId="0">
      <protection locked="0"/>
    </xf>
    <xf numFmtId="0" fontId="24" fillId="0" borderId="0"/>
    <xf numFmtId="0" fontId="24" fillId="0" borderId="0"/>
    <xf numFmtId="0" fontId="24" fillId="0" borderId="0"/>
    <xf numFmtId="44" fontId="21" fillId="0" borderId="0" applyFont="0" applyFill="0" applyBorder="0" applyAlignment="0" applyProtection="0"/>
    <xf numFmtId="5" fontId="22" fillId="0" borderId="0" applyFill="0" applyBorder="0" applyAlignment="0" applyProtection="0"/>
    <xf numFmtId="168" fontId="22" fillId="0" borderId="0" applyFill="0" applyBorder="0" applyAlignment="0" applyProtection="0"/>
    <xf numFmtId="2" fontId="22" fillId="0" borderId="0" applyFill="0" applyBorder="0" applyAlignment="0" applyProtection="0"/>
    <xf numFmtId="41" fontId="26" fillId="4" borderId="3">
      <alignment horizontal="left"/>
      <protection locked="0"/>
    </xf>
    <xf numFmtId="10" fontId="26" fillId="4" borderId="3">
      <alignment horizontal="right"/>
      <protection locked="0"/>
    </xf>
    <xf numFmtId="41" fontId="27" fillId="5" borderId="3">
      <alignment horizontal="left"/>
      <protection locked="0"/>
    </xf>
    <xf numFmtId="3" fontId="28" fillId="0" borderId="0" applyFill="0" applyBorder="0" applyAlignment="0" applyProtection="0"/>
    <xf numFmtId="0" fontId="21" fillId="0" borderId="0"/>
    <xf numFmtId="0" fontId="21" fillId="2" borderId="0"/>
    <xf numFmtId="0" fontId="23" fillId="0" borderId="0"/>
    <xf numFmtId="0" fontId="24" fillId="0" borderId="0"/>
    <xf numFmtId="9" fontId="21" fillId="0" borderId="0" applyFont="0" applyFill="0" applyBorder="0" applyAlignment="0" applyProtection="0"/>
    <xf numFmtId="10" fontId="21" fillId="0" borderId="3"/>
    <xf numFmtId="41" fontId="21" fillId="6" borderId="3"/>
    <xf numFmtId="0" fontId="24" fillId="0" borderId="0"/>
    <xf numFmtId="3" fontId="29" fillId="0" borderId="0" applyFill="0" applyBorder="0" applyAlignment="0" applyProtection="0"/>
    <xf numFmtId="0" fontId="30" fillId="0" borderId="0"/>
    <xf numFmtId="42" fontId="21" fillId="2" borderId="0"/>
    <xf numFmtId="42" fontId="31" fillId="5" borderId="4">
      <alignment vertical="center"/>
    </xf>
    <xf numFmtId="0" fontId="32" fillId="2" borderId="2" applyNumberFormat="0">
      <alignment horizontal="center" vertical="center" wrapText="1"/>
    </xf>
    <xf numFmtId="10" fontId="21" fillId="2" borderId="0"/>
    <xf numFmtId="169" fontId="21" fillId="2" borderId="0"/>
    <xf numFmtId="42" fontId="33" fillId="2" borderId="1">
      <alignment horizontal="left"/>
    </xf>
    <xf numFmtId="169" fontId="33" fillId="2" borderId="1">
      <alignment horizontal="left"/>
    </xf>
    <xf numFmtId="41" fontId="31" fillId="2" borderId="0">
      <alignment horizontal="left"/>
    </xf>
    <xf numFmtId="170" fontId="34" fillId="2" borderId="0">
      <alignment horizontal="left" vertical="center"/>
    </xf>
    <xf numFmtId="0" fontId="32" fillId="2" borderId="0">
      <alignment horizontal="left" wrapText="1"/>
    </xf>
    <xf numFmtId="0" fontId="35" fillId="0" borderId="0">
      <alignment horizontal="left" vertical="center"/>
    </xf>
    <xf numFmtId="0" fontId="24" fillId="0" borderId="5"/>
    <xf numFmtId="0" fontId="36" fillId="2" borderId="0"/>
    <xf numFmtId="44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0" fontId="36" fillId="0" borderId="3"/>
    <xf numFmtId="41" fontId="36" fillId="2" borderId="0"/>
    <xf numFmtId="169" fontId="36" fillId="2" borderId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9" fillId="0" borderId="0"/>
    <xf numFmtId="0" fontId="19" fillId="0" borderId="0"/>
    <xf numFmtId="9" fontId="19" fillId="0" borderId="0" applyFont="0" applyFill="0" applyBorder="0" applyAlignment="0" applyProtection="0"/>
    <xf numFmtId="0" fontId="40" fillId="0" borderId="0"/>
    <xf numFmtId="173" fontId="41" fillId="0" borderId="2"/>
    <xf numFmtId="0" fontId="22" fillId="0" borderId="0"/>
    <xf numFmtId="173" fontId="41" fillId="0" borderId="2"/>
    <xf numFmtId="173" fontId="41" fillId="0" borderId="7"/>
    <xf numFmtId="0" fontId="42" fillId="0" borderId="0"/>
    <xf numFmtId="0" fontId="21" fillId="0" borderId="0"/>
    <xf numFmtId="43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44" fillId="0" borderId="0"/>
    <xf numFmtId="43" fontId="43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5" fillId="0" borderId="0"/>
    <xf numFmtId="43" fontId="21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3" fontId="41" fillId="0" borderId="8"/>
    <xf numFmtId="173" fontId="41" fillId="0" borderId="6"/>
    <xf numFmtId="173" fontId="41" fillId="0" borderId="6"/>
    <xf numFmtId="173" fontId="41" fillId="0" borderId="7"/>
    <xf numFmtId="173" fontId="41" fillId="0" borderId="8"/>
    <xf numFmtId="173" fontId="41" fillId="0" borderId="9"/>
    <xf numFmtId="173" fontId="41" fillId="0" borderId="9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21" fillId="3" borderId="0"/>
    <xf numFmtId="43" fontId="2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4" fillId="0" borderId="0"/>
    <xf numFmtId="3" fontId="22" fillId="0" borderId="0" applyFill="0" applyBorder="0" applyAlignment="0" applyProtection="0"/>
    <xf numFmtId="0" fontId="24" fillId="0" borderId="0"/>
    <xf numFmtId="0" fontId="46" fillId="0" borderId="0">
      <alignment horizontal="centerContinuous"/>
    </xf>
    <xf numFmtId="0" fontId="24" fillId="0" borderId="0"/>
    <xf numFmtId="0" fontId="24" fillId="0" borderId="0"/>
    <xf numFmtId="44" fontId="21" fillId="0" borderId="0" applyFont="0" applyFill="0" applyBorder="0" applyAlignment="0" applyProtection="0"/>
    <xf numFmtId="5" fontId="22" fillId="0" borderId="0" applyFill="0" applyBorder="0" applyAlignment="0" applyProtection="0"/>
    <xf numFmtId="168" fontId="22" fillId="0" borderId="0" applyFill="0" applyBorder="0" applyAlignment="0" applyProtection="0"/>
    <xf numFmtId="2" fontId="22" fillId="0" borderId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41" fontId="26" fillId="4" borderId="3">
      <alignment horizontal="left"/>
      <protection locked="0"/>
    </xf>
    <xf numFmtId="10" fontId="26" fillId="4" borderId="3">
      <alignment horizontal="right"/>
      <protection locked="0"/>
    </xf>
    <xf numFmtId="0" fontId="21" fillId="0" borderId="0"/>
    <xf numFmtId="0" fontId="21" fillId="0" borderId="0"/>
    <xf numFmtId="0" fontId="17" fillId="0" borderId="0"/>
    <xf numFmtId="0" fontId="21" fillId="2" borderId="0"/>
    <xf numFmtId="0" fontId="21" fillId="2" borderId="0"/>
    <xf numFmtId="0" fontId="21" fillId="0" borderId="0"/>
    <xf numFmtId="0" fontId="21" fillId="0" borderId="0"/>
    <xf numFmtId="0" fontId="22" fillId="0" borderId="0"/>
    <xf numFmtId="4" fontId="48" fillId="0" borderId="0"/>
    <xf numFmtId="0" fontId="17" fillId="0" borderId="0"/>
    <xf numFmtId="0" fontId="17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24" fillId="0" borderId="0"/>
    <xf numFmtId="9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7" fillId="0" borderId="0" applyFont="0" applyFill="0" applyBorder="0" applyAlignment="0" applyProtection="0"/>
    <xf numFmtId="41" fontId="21" fillId="6" borderId="3"/>
    <xf numFmtId="0" fontId="24" fillId="0" borderId="0"/>
    <xf numFmtId="0" fontId="30" fillId="0" borderId="0"/>
    <xf numFmtId="42" fontId="21" fillId="2" borderId="0"/>
    <xf numFmtId="42" fontId="31" fillId="5" borderId="4">
      <alignment vertical="center"/>
    </xf>
    <xf numFmtId="42" fontId="33" fillId="2" borderId="1">
      <alignment horizontal="left"/>
    </xf>
    <xf numFmtId="0" fontId="21" fillId="0" borderId="0" applyNumberFormat="0" applyBorder="0" applyAlignment="0"/>
    <xf numFmtId="0" fontId="21" fillId="0" borderId="0" applyNumberFormat="0" applyBorder="0" applyAlignment="0"/>
    <xf numFmtId="41" fontId="32" fillId="2" borderId="0">
      <alignment horizontal="left"/>
    </xf>
    <xf numFmtId="0" fontId="24" fillId="0" borderId="5"/>
    <xf numFmtId="0" fontId="16" fillId="0" borderId="0"/>
    <xf numFmtId="0" fontId="49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4" fillId="0" borderId="0"/>
    <xf numFmtId="43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43" fillId="0" borderId="0"/>
    <xf numFmtId="0" fontId="51" fillId="0" borderId="0"/>
    <xf numFmtId="43" fontId="51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13" fillId="0" borderId="0"/>
    <xf numFmtId="0" fontId="20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" fillId="0" borderId="0"/>
    <xf numFmtId="9" fontId="43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6" fillId="0" borderId="0"/>
    <xf numFmtId="0" fontId="105" fillId="0" borderId="0"/>
    <xf numFmtId="9" fontId="105" fillId="0" borderId="0" applyFont="0" applyFill="0" applyBorder="0" applyAlignment="0" applyProtection="0"/>
    <xf numFmtId="0" fontId="5" fillId="0" borderId="0"/>
    <xf numFmtId="0" fontId="109" fillId="0" borderId="0"/>
    <xf numFmtId="0" fontId="4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5" fillId="0" borderId="0" applyFont="0" applyFill="0" applyBorder="0" applyAlignment="0" applyProtection="0"/>
    <xf numFmtId="44" fontId="105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</cellStyleXfs>
  <cellXfs count="1067">
    <xf numFmtId="0" fontId="0" fillId="0" borderId="0" xfId="0"/>
    <xf numFmtId="0" fontId="53" fillId="0" borderId="0" xfId="140" applyFont="1"/>
    <xf numFmtId="0" fontId="54" fillId="0" borderId="0" xfId="140" applyFont="1"/>
    <xf numFmtId="0" fontId="37" fillId="0" borderId="0" xfId="0" applyFont="1"/>
    <xf numFmtId="0" fontId="54" fillId="0" borderId="0" xfId="23" applyFont="1"/>
    <xf numFmtId="0" fontId="53" fillId="0" borderId="0" xfId="23" applyFont="1"/>
    <xf numFmtId="37" fontId="54" fillId="0" borderId="0" xfId="23" applyNumberFormat="1" applyFont="1"/>
    <xf numFmtId="0" fontId="54" fillId="0" borderId="0" xfId="23" applyFont="1" applyAlignment="1">
      <alignment horizontal="center"/>
    </xf>
    <xf numFmtId="0" fontId="54" fillId="0" borderId="0" xfId="13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53" fillId="0" borderId="0" xfId="23" applyFont="1" applyAlignment="1">
      <alignment horizontal="center"/>
    </xf>
    <xf numFmtId="0" fontId="53" fillId="0" borderId="0" xfId="130" applyFont="1" applyBorder="1" applyAlignment="1">
      <alignment horizontal="center"/>
    </xf>
    <xf numFmtId="0" fontId="53" fillId="0" borderId="0" xfId="103" applyFont="1"/>
    <xf numFmtId="170" fontId="53" fillId="0" borderId="0" xfId="103" applyNumberFormat="1" applyFont="1"/>
    <xf numFmtId="177" fontId="53" fillId="0" borderId="0" xfId="103" applyNumberFormat="1" applyFont="1"/>
    <xf numFmtId="0" fontId="57" fillId="0" borderId="0" xfId="103" quotePrefix="1" applyFont="1" applyAlignment="1">
      <alignment horizontal="left"/>
    </xf>
    <xf numFmtId="170" fontId="53" fillId="0" borderId="0" xfId="103" applyNumberFormat="1" applyFont="1" applyAlignment="1">
      <alignment horizontal="center"/>
    </xf>
    <xf numFmtId="0" fontId="53" fillId="0" borderId="0" xfId="103" applyFont="1" applyAlignment="1">
      <alignment horizontal="center"/>
    </xf>
    <xf numFmtId="0" fontId="53" fillId="0" borderId="0" xfId="103" quotePrefix="1" applyFont="1" applyAlignment="1">
      <alignment horizontal="left"/>
    </xf>
    <xf numFmtId="0" fontId="53" fillId="0" borderId="0" xfId="103" applyFont="1" applyAlignment="1">
      <alignment horizontal="left"/>
    </xf>
    <xf numFmtId="0" fontId="55" fillId="0" borderId="0" xfId="0" applyFont="1" applyAlignment="1">
      <alignment horizontal="center"/>
    </xf>
    <xf numFmtId="0" fontId="54" fillId="0" borderId="0" xfId="140" applyFont="1" applyAlignment="1">
      <alignment horizontal="center"/>
    </xf>
    <xf numFmtId="37" fontId="53" fillId="0" borderId="0" xfId="141" applyNumberFormat="1" applyFont="1" applyFill="1" applyBorder="1" applyAlignment="1"/>
    <xf numFmtId="3" fontId="53" fillId="0" borderId="0" xfId="141" applyNumberFormat="1" applyFont="1" applyBorder="1" applyAlignment="1">
      <alignment horizontal="right" vertical="center"/>
    </xf>
    <xf numFmtId="3" fontId="53" fillId="0" borderId="0" xfId="141" applyNumberFormat="1" applyFont="1" applyBorder="1" applyAlignment="1">
      <alignment horizontal="center" vertical="center"/>
    </xf>
    <xf numFmtId="178" fontId="53" fillId="0" borderId="0" xfId="140" applyNumberFormat="1" applyFont="1"/>
    <xf numFmtId="177" fontId="53" fillId="0" borderId="0" xfId="140" applyNumberFormat="1" applyFont="1"/>
    <xf numFmtId="0" fontId="55" fillId="0" borderId="0" xfId="0" applyFont="1"/>
    <xf numFmtId="164" fontId="53" fillId="0" borderId="0" xfId="1" applyNumberFormat="1" applyFont="1" applyFill="1" applyBorder="1"/>
    <xf numFmtId="165" fontId="53" fillId="0" borderId="0" xfId="2" applyNumberFormat="1" applyFont="1" applyFill="1" applyBorder="1"/>
    <xf numFmtId="37" fontId="54" fillId="2" borderId="0" xfId="23" applyNumberFormat="1" applyFont="1" applyFill="1"/>
    <xf numFmtId="0" fontId="60" fillId="0" borderId="0" xfId="147" applyFont="1" applyAlignment="1">
      <alignment horizontal="left"/>
    </xf>
    <xf numFmtId="49" fontId="0" fillId="0" borderId="0" xfId="0" applyNumberFormat="1"/>
    <xf numFmtId="37" fontId="37" fillId="0" borderId="0" xfId="0" applyNumberFormat="1" applyFont="1"/>
    <xf numFmtId="37" fontId="56" fillId="8" borderId="3" xfId="0" applyNumberFormat="1" applyFont="1" applyFill="1" applyBorder="1" applyAlignment="1" applyProtection="1">
      <alignment horizontal="center" vertical="center" wrapText="1"/>
      <protection locked="0"/>
    </xf>
    <xf numFmtId="37" fontId="56" fillId="8" borderId="3" xfId="0" applyNumberFormat="1" applyFont="1" applyFill="1" applyBorder="1" applyAlignment="1" applyProtection="1">
      <alignment horizontal="center" vertical="center"/>
      <protection locked="0"/>
    </xf>
    <xf numFmtId="0" fontId="55" fillId="0" borderId="0" xfId="0" applyFont="1" applyAlignment="1">
      <alignment horizontal="left"/>
    </xf>
    <xf numFmtId="37" fontId="54" fillId="0" borderId="0" xfId="103" applyNumberFormat="1" applyFont="1"/>
    <xf numFmtId="0" fontId="13" fillId="0" borderId="0" xfId="149" applyFont="1"/>
    <xf numFmtId="166" fontId="53" fillId="0" borderId="0" xfId="150" applyNumberFormat="1" applyFont="1" applyFill="1" applyBorder="1"/>
    <xf numFmtId="164" fontId="53" fillId="0" borderId="0" xfId="152" applyNumberFormat="1" applyFont="1" applyBorder="1"/>
    <xf numFmtId="164" fontId="53" fillId="0" borderId="0" xfId="76" applyNumberFormat="1" applyFont="1" applyFill="1" applyBorder="1" applyAlignment="1"/>
    <xf numFmtId="0" fontId="53" fillId="0" borderId="0" xfId="149" applyFont="1"/>
    <xf numFmtId="164" fontId="62" fillId="0" borderId="0" xfId="152" applyNumberFormat="1" applyFont="1" applyBorder="1"/>
    <xf numFmtId="0" fontId="13" fillId="0" borderId="0" xfId="0" applyFont="1"/>
    <xf numFmtId="0" fontId="63" fillId="0" borderId="0" xfId="23" applyFont="1"/>
    <xf numFmtId="164" fontId="62" fillId="0" borderId="0" xfId="1" applyNumberFormat="1" applyFont="1" applyFill="1" applyBorder="1"/>
    <xf numFmtId="171" fontId="53" fillId="0" borderId="0" xfId="2" applyNumberFormat="1" applyFont="1" applyFill="1" applyBorder="1"/>
    <xf numFmtId="44" fontId="53" fillId="0" borderId="0" xfId="2" applyFont="1" applyFill="1" applyBorder="1"/>
    <xf numFmtId="0" fontId="21" fillId="0" borderId="0" xfId="23"/>
    <xf numFmtId="0" fontId="12" fillId="0" borderId="0" xfId="0" applyFont="1"/>
    <xf numFmtId="0" fontId="65" fillId="0" borderId="0" xfId="103" applyFont="1"/>
    <xf numFmtId="0" fontId="66" fillId="0" borderId="0" xfId="103" applyFont="1"/>
    <xf numFmtId="0" fontId="66" fillId="0" borderId="0" xfId="103" applyFont="1" applyAlignment="1">
      <alignment horizontal="center"/>
    </xf>
    <xf numFmtId="0" fontId="21" fillId="0" borderId="0" xfId="103"/>
    <xf numFmtId="0" fontId="66" fillId="0" borderId="24" xfId="103" applyFont="1" applyBorder="1" applyAlignment="1">
      <alignment horizontal="centerContinuous"/>
    </xf>
    <xf numFmtId="0" fontId="66" fillId="0" borderId="1" xfId="103" applyFont="1" applyBorder="1" applyAlignment="1">
      <alignment horizontal="centerContinuous"/>
    </xf>
    <xf numFmtId="0" fontId="65" fillId="0" borderId="1" xfId="103" applyFont="1" applyBorder="1" applyAlignment="1">
      <alignment horizontal="centerContinuous"/>
    </xf>
    <xf numFmtId="0" fontId="65" fillId="0" borderId="25" xfId="103" applyFont="1" applyBorder="1" applyAlignment="1">
      <alignment horizontal="centerContinuous"/>
    </xf>
    <xf numFmtId="0" fontId="65" fillId="0" borderId="0" xfId="103" applyFont="1" applyAlignment="1">
      <alignment horizontal="left"/>
    </xf>
    <xf numFmtId="0" fontId="67" fillId="0" borderId="26" xfId="103" applyFont="1" applyBorder="1" applyAlignment="1">
      <alignment horizontal="centerContinuous"/>
    </xf>
    <xf numFmtId="0" fontId="66" fillId="0" borderId="0" xfId="103" applyFont="1" applyAlignment="1">
      <alignment horizontal="centerContinuous"/>
    </xf>
    <xf numFmtId="0" fontId="65" fillId="0" borderId="0" xfId="103" applyFont="1" applyAlignment="1">
      <alignment horizontal="centerContinuous"/>
    </xf>
    <xf numFmtId="0" fontId="65" fillId="0" borderId="27" xfId="103" applyFont="1" applyBorder="1" applyAlignment="1">
      <alignment horizontal="centerContinuous"/>
    </xf>
    <xf numFmtId="0" fontId="66" fillId="0" borderId="28" xfId="103" applyFont="1" applyBorder="1" applyAlignment="1">
      <alignment horizontal="centerContinuous"/>
    </xf>
    <xf numFmtId="0" fontId="66" fillId="0" borderId="21" xfId="103" applyFont="1" applyBorder="1" applyAlignment="1">
      <alignment horizontal="centerContinuous"/>
    </xf>
    <xf numFmtId="0" fontId="65" fillId="0" borderId="21" xfId="103" applyFont="1" applyBorder="1" applyAlignment="1">
      <alignment horizontal="centerContinuous"/>
    </xf>
    <xf numFmtId="0" fontId="65" fillId="0" borderId="29" xfId="103" applyFont="1" applyBorder="1" applyAlignment="1">
      <alignment horizontal="centerContinuous"/>
    </xf>
    <xf numFmtId="0" fontId="65" fillId="0" borderId="26" xfId="103" applyFont="1" applyBorder="1"/>
    <xf numFmtId="0" fontId="65" fillId="0" borderId="24" xfId="103" applyFont="1" applyBorder="1"/>
    <xf numFmtId="0" fontId="65" fillId="0" borderId="1" xfId="103" applyFont="1" applyBorder="1"/>
    <xf numFmtId="0" fontId="66" fillId="0" borderId="30" xfId="103" quotePrefix="1" applyFont="1" applyBorder="1" applyAlignment="1">
      <alignment horizontal="center"/>
    </xf>
    <xf numFmtId="0" fontId="65" fillId="0" borderId="31" xfId="103" applyFont="1" applyBorder="1"/>
    <xf numFmtId="0" fontId="65" fillId="0" borderId="30" xfId="103" applyFont="1" applyBorder="1"/>
    <xf numFmtId="0" fontId="65" fillId="0" borderId="32" xfId="103" applyFont="1" applyBorder="1"/>
    <xf numFmtId="0" fontId="65" fillId="0" borderId="25" xfId="103" applyFont="1" applyBorder="1"/>
    <xf numFmtId="0" fontId="66" fillId="0" borderId="33" xfId="103" applyFont="1" applyBorder="1" applyAlignment="1">
      <alignment horizontal="center"/>
    </xf>
    <xf numFmtId="0" fontId="65" fillId="0" borderId="33" xfId="103" applyFont="1" applyBorder="1" applyAlignment="1">
      <alignment horizontal="center"/>
    </xf>
    <xf numFmtId="0" fontId="66" fillId="0" borderId="34" xfId="103" applyFont="1" applyBorder="1" applyAlignment="1">
      <alignment horizontal="center"/>
    </xf>
    <xf numFmtId="0" fontId="66" fillId="0" borderId="35" xfId="103" applyFont="1" applyBorder="1" applyAlignment="1">
      <alignment horizontal="center"/>
    </xf>
    <xf numFmtId="0" fontId="66" fillId="0" borderId="27" xfId="103" applyFont="1" applyBorder="1" applyAlignment="1">
      <alignment horizontal="center"/>
    </xf>
    <xf numFmtId="0" fontId="65" fillId="0" borderId="0" xfId="103" quotePrefix="1" applyFont="1" applyAlignment="1">
      <alignment horizontal="right"/>
    </xf>
    <xf numFmtId="0" fontId="68" fillId="0" borderId="0" xfId="103" applyFont="1"/>
    <xf numFmtId="0" fontId="66" fillId="0" borderId="0" xfId="103" quotePrefix="1" applyFont="1" applyAlignment="1">
      <alignment horizontal="center"/>
    </xf>
    <xf numFmtId="0" fontId="65" fillId="0" borderId="34" xfId="103" applyFont="1" applyBorder="1" applyAlignment="1">
      <alignment horizontal="center"/>
    </xf>
    <xf numFmtId="0" fontId="65" fillId="0" borderId="35" xfId="103" applyFont="1" applyBorder="1" applyAlignment="1">
      <alignment horizontal="center"/>
    </xf>
    <xf numFmtId="0" fontId="69" fillId="0" borderId="0" xfId="103" applyFont="1"/>
    <xf numFmtId="0" fontId="69" fillId="0" borderId="0" xfId="103" applyFont="1" applyAlignment="1">
      <alignment horizontal="center"/>
    </xf>
    <xf numFmtId="0" fontId="69" fillId="0" borderId="33" xfId="103" applyFont="1" applyBorder="1" applyAlignment="1">
      <alignment horizontal="center"/>
    </xf>
    <xf numFmtId="0" fontId="69" fillId="0" borderId="27" xfId="103" applyFont="1" applyBorder="1" applyAlignment="1">
      <alignment horizontal="center"/>
    </xf>
    <xf numFmtId="164" fontId="65" fillId="0" borderId="0" xfId="76" applyNumberFormat="1" applyFont="1" applyFill="1"/>
    <xf numFmtId="0" fontId="70" fillId="0" borderId="33" xfId="103" quotePrefix="1" applyFont="1" applyBorder="1" applyAlignment="1">
      <alignment horizontal="center"/>
    </xf>
    <xf numFmtId="0" fontId="65" fillId="0" borderId="27" xfId="103" applyFont="1" applyBorder="1"/>
    <xf numFmtId="9" fontId="65" fillId="0" borderId="0" xfId="103" quotePrefix="1" applyNumberFormat="1" applyFont="1" applyAlignment="1">
      <alignment horizontal="center"/>
    </xf>
    <xf numFmtId="180" fontId="65" fillId="0" borderId="33" xfId="103" applyNumberFormat="1" applyFont="1" applyBorder="1" applyAlignment="1">
      <alignment horizontal="center"/>
    </xf>
    <xf numFmtId="7" fontId="65" fillId="0" borderId="33" xfId="103" applyNumberFormat="1" applyFont="1" applyBorder="1" applyAlignment="1">
      <alignment horizontal="center"/>
    </xf>
    <xf numFmtId="176" fontId="65" fillId="0" borderId="33" xfId="103" applyNumberFormat="1" applyFont="1" applyBorder="1" applyAlignment="1">
      <alignment horizontal="center"/>
    </xf>
    <xf numFmtId="182" fontId="65" fillId="0" borderId="0" xfId="76" applyNumberFormat="1" applyFont="1" applyFill="1"/>
    <xf numFmtId="0" fontId="65" fillId="0" borderId="0" xfId="103" quotePrefix="1" applyFont="1" applyAlignment="1">
      <alignment horizontal="left"/>
    </xf>
    <xf numFmtId="0" fontId="65" fillId="0" borderId="0" xfId="103" quotePrefix="1" applyFont="1" applyAlignment="1">
      <alignment horizontal="center"/>
    </xf>
    <xf numFmtId="0" fontId="65" fillId="0" borderId="36" xfId="103" applyFont="1" applyBorder="1" applyAlignment="1">
      <alignment horizontal="center"/>
    </xf>
    <xf numFmtId="0" fontId="65" fillId="0" borderId="28" xfId="103" applyFont="1" applyBorder="1"/>
    <xf numFmtId="0" fontId="68" fillId="0" borderId="21" xfId="103" quotePrefix="1" applyFont="1" applyBorder="1" applyAlignment="1">
      <alignment horizontal="left"/>
    </xf>
    <xf numFmtId="0" fontId="68" fillId="0" borderId="21" xfId="103" applyFont="1" applyBorder="1"/>
    <xf numFmtId="0" fontId="68" fillId="0" borderId="37" xfId="103" applyFont="1" applyBorder="1"/>
    <xf numFmtId="0" fontId="68" fillId="0" borderId="38" xfId="103" applyFont="1" applyBorder="1"/>
    <xf numFmtId="3" fontId="68" fillId="0" borderId="37" xfId="103" applyNumberFormat="1" applyFont="1" applyBorder="1" applyAlignment="1">
      <alignment horizontal="center"/>
    </xf>
    <xf numFmtId="170" fontId="68" fillId="0" borderId="37" xfId="103" applyNumberFormat="1" applyFont="1" applyBorder="1" applyAlignment="1">
      <alignment horizontal="center"/>
    </xf>
    <xf numFmtId="0" fontId="68" fillId="0" borderId="39" xfId="103" applyFont="1" applyBorder="1"/>
    <xf numFmtId="0" fontId="65" fillId="0" borderId="29" xfId="103" applyFont="1" applyBorder="1"/>
    <xf numFmtId="0" fontId="66" fillId="0" borderId="1" xfId="103" applyFont="1" applyBorder="1" applyAlignment="1">
      <alignment horizontal="center"/>
    </xf>
    <xf numFmtId="0" fontId="66" fillId="0" borderId="25" xfId="103" applyFont="1" applyBorder="1" applyAlignment="1">
      <alignment horizontal="center"/>
    </xf>
    <xf numFmtId="0" fontId="66" fillId="0" borderId="0" xfId="103" applyFont="1" applyAlignment="1">
      <alignment horizontal="left"/>
    </xf>
    <xf numFmtId="0" fontId="65" fillId="0" borderId="26" xfId="103" applyFont="1" applyBorder="1" applyAlignment="1">
      <alignment horizontal="center"/>
    </xf>
    <xf numFmtId="0" fontId="65" fillId="0" borderId="0" xfId="103" applyFont="1" applyAlignment="1">
      <alignment horizontal="center"/>
    </xf>
    <xf numFmtId="0" fontId="72" fillId="0" borderId="0" xfId="103" applyFont="1" applyAlignment="1">
      <alignment horizontal="center"/>
    </xf>
    <xf numFmtId="0" fontId="69" fillId="0" borderId="26" xfId="103" applyFont="1" applyBorder="1" applyAlignment="1">
      <alignment horizontal="left"/>
    </xf>
    <xf numFmtId="7" fontId="65" fillId="0" borderId="0" xfId="103" applyNumberFormat="1" applyFont="1"/>
    <xf numFmtId="7" fontId="65" fillId="0" borderId="0" xfId="103" applyNumberFormat="1" applyFont="1" applyAlignment="1">
      <alignment horizontal="center"/>
    </xf>
    <xf numFmtId="0" fontId="69" fillId="0" borderId="0" xfId="103" applyFont="1" applyAlignment="1">
      <alignment horizontal="left"/>
    </xf>
    <xf numFmtId="7" fontId="65" fillId="0" borderId="27" xfId="103" applyNumberFormat="1" applyFont="1" applyBorder="1" applyAlignment="1">
      <alignment horizontal="center"/>
    </xf>
    <xf numFmtId="0" fontId="65" fillId="0" borderId="26" xfId="103" applyFont="1" applyBorder="1" applyAlignment="1">
      <alignment horizontal="left"/>
    </xf>
    <xf numFmtId="7" fontId="69" fillId="0" borderId="0" xfId="103" applyNumberFormat="1" applyFont="1" applyAlignment="1">
      <alignment horizontal="center"/>
    </xf>
    <xf numFmtId="7" fontId="69" fillId="0" borderId="27" xfId="103" applyNumberFormat="1" applyFont="1" applyBorder="1" applyAlignment="1">
      <alignment horizontal="center"/>
    </xf>
    <xf numFmtId="179" fontId="65" fillId="0" borderId="0" xfId="103" applyNumberFormat="1" applyFont="1" applyAlignment="1">
      <alignment horizontal="right"/>
    </xf>
    <xf numFmtId="179" fontId="65" fillId="0" borderId="0" xfId="103" applyNumberFormat="1" applyFont="1" applyAlignment="1">
      <alignment horizontal="center"/>
    </xf>
    <xf numFmtId="179" fontId="65" fillId="0" borderId="27" xfId="103" applyNumberFormat="1" applyFont="1" applyBorder="1" applyAlignment="1">
      <alignment horizontal="center"/>
    </xf>
    <xf numFmtId="179" fontId="72" fillId="0" borderId="0" xfId="103" applyNumberFormat="1" applyFont="1" applyAlignment="1">
      <alignment horizontal="center"/>
    </xf>
    <xf numFmtId="179" fontId="72" fillId="0" borderId="27" xfId="103" applyNumberFormat="1" applyFont="1" applyBorder="1" applyAlignment="1">
      <alignment horizontal="center"/>
    </xf>
    <xf numFmtId="0" fontId="65" fillId="0" borderId="26" xfId="103" quotePrefix="1" applyFont="1" applyBorder="1" applyAlignment="1">
      <alignment horizontal="left"/>
    </xf>
    <xf numFmtId="179" fontId="65" fillId="0" borderId="0" xfId="103" applyNumberFormat="1" applyFont="1"/>
    <xf numFmtId="179" fontId="65" fillId="0" borderId="0" xfId="103" quotePrefix="1" applyNumberFormat="1" applyFont="1" applyAlignment="1">
      <alignment horizontal="right"/>
    </xf>
    <xf numFmtId="0" fontId="69" fillId="0" borderId="26" xfId="103" applyFont="1" applyBorder="1"/>
    <xf numFmtId="179" fontId="73" fillId="0" borderId="0" xfId="103" applyNumberFormat="1" applyFont="1" applyAlignment="1">
      <alignment horizontal="center"/>
    </xf>
    <xf numFmtId="179" fontId="74" fillId="0" borderId="0" xfId="103" applyNumberFormat="1" applyFont="1" applyAlignment="1">
      <alignment horizontal="center"/>
    </xf>
    <xf numFmtId="0" fontId="66" fillId="0" borderId="26" xfId="103" applyFont="1" applyBorder="1"/>
    <xf numFmtId="7" fontId="65" fillId="0" borderId="0" xfId="103" applyNumberFormat="1" applyFont="1" applyAlignment="1">
      <alignment horizontal="right"/>
    </xf>
    <xf numFmtId="7" fontId="65" fillId="0" borderId="0" xfId="103" quotePrefix="1" applyNumberFormat="1" applyFont="1" applyAlignment="1">
      <alignment horizontal="right"/>
    </xf>
    <xf numFmtId="0" fontId="21" fillId="0" borderId="27" xfId="103" applyBorder="1"/>
    <xf numFmtId="0" fontId="66" fillId="0" borderId="28" xfId="103" applyFont="1" applyBorder="1"/>
    <xf numFmtId="0" fontId="65" fillId="0" borderId="21" xfId="103" applyFont="1" applyBorder="1"/>
    <xf numFmtId="7" fontId="65" fillId="0" borderId="21" xfId="103" applyNumberFormat="1" applyFont="1" applyBorder="1" applyAlignment="1">
      <alignment horizontal="right"/>
    </xf>
    <xf numFmtId="179" fontId="65" fillId="0" borderId="21" xfId="103" applyNumberFormat="1" applyFont="1" applyBorder="1" applyAlignment="1">
      <alignment horizontal="center"/>
    </xf>
    <xf numFmtId="0" fontId="66" fillId="0" borderId="21" xfId="103" applyFont="1" applyBorder="1"/>
    <xf numFmtId="179" fontId="65" fillId="0" borderId="29" xfId="103" applyNumberFormat="1" applyFont="1" applyBorder="1" applyAlignment="1">
      <alignment horizontal="center"/>
    </xf>
    <xf numFmtId="0" fontId="65" fillId="0" borderId="0" xfId="103" quotePrefix="1" applyFont="1" applyAlignment="1">
      <alignment horizontal="left" vertical="center"/>
    </xf>
    <xf numFmtId="0" fontId="21" fillId="0" borderId="0" xfId="103" applyAlignment="1">
      <alignment vertical="top"/>
    </xf>
    <xf numFmtId="0" fontId="74" fillId="0" borderId="0" xfId="103" quotePrefix="1" applyFont="1" applyAlignment="1">
      <alignment horizontal="left"/>
    </xf>
    <xf numFmtId="179" fontId="74" fillId="0" borderId="0" xfId="103" applyNumberFormat="1" applyFont="1"/>
    <xf numFmtId="0" fontId="66" fillId="0" borderId="26" xfId="103" applyFont="1" applyBorder="1" applyAlignment="1">
      <alignment horizontal="center"/>
    </xf>
    <xf numFmtId="0" fontId="66" fillId="0" borderId="21" xfId="103" applyFont="1" applyBorder="1" applyAlignment="1">
      <alignment horizontal="center"/>
    </xf>
    <xf numFmtId="0" fontId="65" fillId="0" borderId="21" xfId="103" applyFont="1" applyBorder="1" applyAlignment="1">
      <alignment horizontal="center"/>
    </xf>
    <xf numFmtId="0" fontId="72" fillId="0" borderId="0" xfId="103" applyFont="1"/>
    <xf numFmtId="170" fontId="65" fillId="0" borderId="0" xfId="103" applyNumberFormat="1" applyFont="1"/>
    <xf numFmtId="177" fontId="65" fillId="0" borderId="0" xfId="103" applyNumberFormat="1" applyFont="1"/>
    <xf numFmtId="0" fontId="69" fillId="0" borderId="33" xfId="103" quotePrefix="1" applyFont="1" applyBorder="1" applyAlignment="1">
      <alignment horizontal="center"/>
    </xf>
    <xf numFmtId="176" fontId="65" fillId="0" borderId="0" xfId="27" applyNumberFormat="1" applyFont="1" applyFill="1"/>
    <xf numFmtId="0" fontId="65" fillId="0" borderId="37" xfId="103" applyFont="1" applyBorder="1"/>
    <xf numFmtId="0" fontId="65" fillId="0" borderId="39" xfId="103" applyFont="1" applyBorder="1"/>
    <xf numFmtId="0" fontId="66" fillId="0" borderId="26" xfId="103" quotePrefix="1" applyFont="1" applyBorder="1" applyAlignment="1">
      <alignment horizontal="left"/>
    </xf>
    <xf numFmtId="0" fontId="66" fillId="0" borderId="0" xfId="103" quotePrefix="1" applyFont="1" applyAlignment="1">
      <alignment horizontal="left"/>
    </xf>
    <xf numFmtId="0" fontId="66" fillId="0" borderId="26" xfId="103" applyFont="1" applyBorder="1" applyAlignment="1">
      <alignment horizontal="left"/>
    </xf>
    <xf numFmtId="0" fontId="21" fillId="0" borderId="0" xfId="103" quotePrefix="1" applyAlignment="1">
      <alignment horizontal="center"/>
    </xf>
    <xf numFmtId="0" fontId="69" fillId="0" borderId="26" xfId="103" quotePrefix="1" applyFont="1" applyBorder="1" applyAlignment="1">
      <alignment horizontal="left"/>
    </xf>
    <xf numFmtId="0" fontId="69" fillId="0" borderId="0" xfId="103" quotePrefix="1" applyFont="1" applyAlignment="1">
      <alignment horizontal="left"/>
    </xf>
    <xf numFmtId="0" fontId="77" fillId="0" borderId="0" xfId="103" applyFont="1" applyAlignment="1">
      <alignment horizontal="center"/>
    </xf>
    <xf numFmtId="176" fontId="65" fillId="0" borderId="0" xfId="103" applyNumberFormat="1" applyFont="1"/>
    <xf numFmtId="176" fontId="77" fillId="0" borderId="0" xfId="103" applyNumberFormat="1" applyFont="1" applyAlignment="1">
      <alignment horizontal="center"/>
    </xf>
    <xf numFmtId="0" fontId="65" fillId="0" borderId="21" xfId="103" applyFont="1" applyBorder="1" applyAlignment="1">
      <alignment horizontal="right"/>
    </xf>
    <xf numFmtId="0" fontId="65" fillId="0" borderId="0" xfId="103" quotePrefix="1" applyFont="1" applyAlignment="1">
      <alignment vertical="center"/>
    </xf>
    <xf numFmtId="0" fontId="21" fillId="0" borderId="0" xfId="103" applyAlignment="1">
      <alignment wrapText="1"/>
    </xf>
    <xf numFmtId="0" fontId="66" fillId="0" borderId="26" xfId="103" applyFont="1" applyBorder="1" applyAlignment="1">
      <alignment horizontal="centerContinuous"/>
    </xf>
    <xf numFmtId="0" fontId="65" fillId="0" borderId="33" xfId="103" applyFont="1" applyBorder="1"/>
    <xf numFmtId="0" fontId="69" fillId="0" borderId="26" xfId="103" applyFont="1" applyBorder="1" applyAlignment="1">
      <alignment horizontal="center"/>
    </xf>
    <xf numFmtId="0" fontId="65" fillId="0" borderId="28" xfId="103" applyFont="1" applyBorder="1" applyAlignment="1">
      <alignment horizontal="center"/>
    </xf>
    <xf numFmtId="0" fontId="65" fillId="0" borderId="38" xfId="103" applyFont="1" applyBorder="1" applyAlignment="1">
      <alignment horizontal="center"/>
    </xf>
    <xf numFmtId="0" fontId="65" fillId="0" borderId="37" xfId="103" applyFont="1" applyBorder="1" applyAlignment="1">
      <alignment horizontal="center"/>
    </xf>
    <xf numFmtId="7" fontId="65" fillId="0" borderId="37" xfId="103" applyNumberFormat="1" applyFont="1" applyBorder="1"/>
    <xf numFmtId="0" fontId="65" fillId="0" borderId="1" xfId="103" applyFont="1" applyBorder="1" applyAlignment="1">
      <alignment horizontal="left"/>
    </xf>
    <xf numFmtId="0" fontId="65" fillId="0" borderId="0" xfId="103" applyFont="1" applyAlignment="1">
      <alignment horizontal="right"/>
    </xf>
    <xf numFmtId="179" fontId="74" fillId="0" borderId="27" xfId="103" applyNumberFormat="1" applyFont="1" applyBorder="1" applyAlignment="1">
      <alignment horizontal="center"/>
    </xf>
    <xf numFmtId="0" fontId="21" fillId="0" borderId="28" xfId="103" applyBorder="1"/>
    <xf numFmtId="0" fontId="21" fillId="0" borderId="21" xfId="103" applyBorder="1"/>
    <xf numFmtId="0" fontId="21" fillId="0" borderId="29" xfId="103" applyBorder="1"/>
    <xf numFmtId="172" fontId="65" fillId="0" borderId="0" xfId="103" applyNumberFormat="1" applyFont="1"/>
    <xf numFmtId="164" fontId="65" fillId="0" borderId="0" xfId="76" quotePrefix="1" applyNumberFormat="1" applyFont="1" applyFill="1" applyAlignment="1">
      <alignment horizontal="left"/>
    </xf>
    <xf numFmtId="180" fontId="65" fillId="0" borderId="33" xfId="76" applyNumberFormat="1" applyFont="1" applyFill="1" applyBorder="1" applyAlignment="1">
      <alignment horizontal="center"/>
    </xf>
    <xf numFmtId="7" fontId="65" fillId="0" borderId="33" xfId="103" applyNumberFormat="1" applyFont="1" applyBorder="1"/>
    <xf numFmtId="176" fontId="65" fillId="0" borderId="0" xfId="103" applyNumberFormat="1" applyFont="1" applyAlignment="1">
      <alignment horizontal="center"/>
    </xf>
    <xf numFmtId="180" fontId="65" fillId="0" borderId="33" xfId="103" applyNumberFormat="1" applyFont="1" applyBorder="1"/>
    <xf numFmtId="10" fontId="65" fillId="0" borderId="21" xfId="103" applyNumberFormat="1" applyFont="1" applyBorder="1" applyAlignment="1">
      <alignment horizontal="center"/>
    </xf>
    <xf numFmtId="7" fontId="72" fillId="0" borderId="0" xfId="103" applyNumberFormat="1" applyFont="1" applyAlignment="1">
      <alignment horizontal="center"/>
    </xf>
    <xf numFmtId="179" fontId="72" fillId="0" borderId="0" xfId="103" quotePrefix="1" applyNumberFormat="1" applyFont="1" applyAlignment="1">
      <alignment horizontal="center"/>
    </xf>
    <xf numFmtId="7" fontId="65" fillId="0" borderId="0" xfId="103" quotePrefix="1" applyNumberFormat="1" applyFont="1" applyAlignment="1">
      <alignment horizontal="center"/>
    </xf>
    <xf numFmtId="7" fontId="72" fillId="0" borderId="0" xfId="103" quotePrefix="1" applyNumberFormat="1" applyFont="1" applyAlignment="1">
      <alignment horizontal="center"/>
    </xf>
    <xf numFmtId="179" fontId="66" fillId="0" borderId="0" xfId="103" applyNumberFormat="1" applyFont="1" applyAlignment="1">
      <alignment horizontal="center"/>
    </xf>
    <xf numFmtId="179" fontId="66" fillId="0" borderId="27" xfId="103" applyNumberFormat="1" applyFont="1" applyBorder="1" applyAlignment="1">
      <alignment horizontal="center"/>
    </xf>
    <xf numFmtId="0" fontId="66" fillId="0" borderId="26" xfId="103" quotePrefix="1" applyFont="1" applyBorder="1"/>
    <xf numFmtId="0" fontId="66" fillId="0" borderId="0" xfId="103" quotePrefix="1" applyFont="1"/>
    <xf numFmtId="0" fontId="66" fillId="0" borderId="28" xfId="103" quotePrefix="1" applyFont="1" applyBorder="1"/>
    <xf numFmtId="0" fontId="66" fillId="0" borderId="21" xfId="103" quotePrefix="1" applyFont="1" applyBorder="1"/>
    <xf numFmtId="0" fontId="65" fillId="0" borderId="21" xfId="103" quotePrefix="1" applyFont="1" applyBorder="1" applyAlignment="1">
      <alignment horizontal="right"/>
    </xf>
    <xf numFmtId="7" fontId="65" fillId="0" borderId="21" xfId="103" applyNumberFormat="1" applyFont="1" applyBorder="1" applyAlignment="1">
      <alignment horizontal="center"/>
    </xf>
    <xf numFmtId="0" fontId="65" fillId="0" borderId="4" xfId="103" applyFont="1" applyBorder="1"/>
    <xf numFmtId="0" fontId="66" fillId="0" borderId="30" xfId="103" applyFont="1" applyBorder="1" applyAlignment="1">
      <alignment horizontal="center"/>
    </xf>
    <xf numFmtId="0" fontId="66" fillId="0" borderId="40" xfId="103" applyFont="1" applyBorder="1"/>
    <xf numFmtId="0" fontId="66" fillId="0" borderId="33" xfId="103" quotePrefix="1" applyFont="1" applyBorder="1" applyAlignment="1">
      <alignment horizontal="center"/>
    </xf>
    <xf numFmtId="0" fontId="69" fillId="0" borderId="40" xfId="103" applyFont="1" applyBorder="1"/>
    <xf numFmtId="183" fontId="65" fillId="0" borderId="0" xfId="103" applyNumberFormat="1" applyFont="1"/>
    <xf numFmtId="3" fontId="65" fillId="0" borderId="0" xfId="103" applyNumberFormat="1" applyFont="1"/>
    <xf numFmtId="164" fontId="65" fillId="0" borderId="33" xfId="76" applyNumberFormat="1" applyFont="1" applyFill="1" applyBorder="1" applyAlignment="1">
      <alignment horizontal="center"/>
    </xf>
    <xf numFmtId="164" fontId="65" fillId="0" borderId="33" xfId="76" applyNumberFormat="1" applyFont="1" applyFill="1" applyBorder="1"/>
    <xf numFmtId="3" fontId="65" fillId="0" borderId="33" xfId="76" applyNumberFormat="1" applyFont="1" applyFill="1" applyBorder="1" applyAlignment="1">
      <alignment horizontal="center"/>
    </xf>
    <xf numFmtId="3" fontId="65" fillId="0" borderId="36" xfId="76" applyNumberFormat="1" applyFont="1" applyFill="1" applyBorder="1" applyAlignment="1">
      <alignment horizontal="center"/>
    </xf>
    <xf numFmtId="10" fontId="65" fillId="0" borderId="0" xfId="103" applyNumberFormat="1" applyFont="1" applyAlignment="1">
      <alignment horizontal="center"/>
    </xf>
    <xf numFmtId="164" fontId="65" fillId="0" borderId="0" xfId="103" applyNumberFormat="1" applyFont="1"/>
    <xf numFmtId="164" fontId="65" fillId="0" borderId="0" xfId="103" applyNumberFormat="1" applyFont="1" applyAlignment="1">
      <alignment horizontal="right"/>
    </xf>
    <xf numFmtId="10" fontId="65" fillId="0" borderId="37" xfId="103" applyNumberFormat="1" applyFont="1" applyBorder="1" applyAlignment="1">
      <alignment horizontal="center"/>
    </xf>
    <xf numFmtId="7" fontId="69" fillId="0" borderId="0" xfId="103" quotePrefix="1" applyNumberFormat="1" applyFont="1" applyAlignment="1">
      <alignment horizontal="center"/>
    </xf>
    <xf numFmtId="0" fontId="21" fillId="0" borderId="26" xfId="103" applyBorder="1"/>
    <xf numFmtId="0" fontId="65" fillId="0" borderId="27" xfId="103" quotePrefix="1" applyFont="1" applyBorder="1" applyAlignment="1">
      <alignment horizontal="left"/>
    </xf>
    <xf numFmtId="179" fontId="66" fillId="0" borderId="21" xfId="103" applyNumberFormat="1" applyFont="1" applyBorder="1" applyAlignment="1">
      <alignment horizontal="center"/>
    </xf>
    <xf numFmtId="0" fontId="75" fillId="0" borderId="0" xfId="103" quotePrefix="1" applyFont="1" applyAlignment="1">
      <alignment horizontal="left" vertical="top"/>
    </xf>
    <xf numFmtId="0" fontId="65" fillId="0" borderId="0" xfId="103" quotePrefix="1" applyFont="1" applyAlignment="1">
      <alignment horizontal="left" vertical="top"/>
    </xf>
    <xf numFmtId="0" fontId="72" fillId="0" borderId="33" xfId="103" applyFont="1" applyBorder="1" applyAlignment="1">
      <alignment horizontal="center"/>
    </xf>
    <xf numFmtId="3" fontId="65" fillId="0" borderId="33" xfId="103" applyNumberFormat="1" applyFont="1" applyBorder="1" applyAlignment="1">
      <alignment horizontal="center"/>
    </xf>
    <xf numFmtId="0" fontId="72" fillId="0" borderId="0" xfId="103" quotePrefix="1" applyFont="1" applyAlignment="1">
      <alignment horizontal="center"/>
    </xf>
    <xf numFmtId="0" fontId="21" fillId="0" borderId="0" xfId="103" quotePrefix="1" applyAlignment="1">
      <alignment horizontal="right"/>
    </xf>
    <xf numFmtId="172" fontId="65" fillId="0" borderId="0" xfId="103" applyNumberFormat="1" applyFont="1" applyAlignment="1">
      <alignment horizontal="center"/>
    </xf>
    <xf numFmtId="0" fontId="66" fillId="0" borderId="1" xfId="103" applyFont="1" applyBorder="1"/>
    <xf numFmtId="0" fontId="66" fillId="0" borderId="36" xfId="103" applyFont="1" applyBorder="1" applyAlignment="1">
      <alignment horizontal="center"/>
    </xf>
    <xf numFmtId="3" fontId="68" fillId="0" borderId="0" xfId="103" applyNumberFormat="1" applyFont="1"/>
    <xf numFmtId="0" fontId="69" fillId="0" borderId="0" xfId="103" quotePrefix="1" applyFont="1" applyAlignment="1">
      <alignment horizontal="center"/>
    </xf>
    <xf numFmtId="0" fontId="69" fillId="0" borderId="36" xfId="103" applyFont="1" applyBorder="1" applyAlignment="1">
      <alignment horizontal="center"/>
    </xf>
    <xf numFmtId="0" fontId="65" fillId="0" borderId="36" xfId="103" applyFont="1" applyBorder="1"/>
    <xf numFmtId="0" fontId="65" fillId="0" borderId="38" xfId="103" applyFont="1" applyBorder="1"/>
    <xf numFmtId="0" fontId="72" fillId="0" borderId="0" xfId="103" applyFont="1" applyAlignment="1">
      <alignment horizontal="left" vertical="center"/>
    </xf>
    <xf numFmtId="10" fontId="65" fillId="0" borderId="0" xfId="103" applyNumberFormat="1" applyFont="1"/>
    <xf numFmtId="3" fontId="65" fillId="0" borderId="0" xfId="76" applyNumberFormat="1" applyFont="1" applyBorder="1" applyAlignment="1">
      <alignment horizontal="right" vertical="center"/>
    </xf>
    <xf numFmtId="179" fontId="65" fillId="0" borderId="0" xfId="103" applyNumberFormat="1" applyFont="1" applyAlignment="1">
      <alignment vertical="center"/>
    </xf>
    <xf numFmtId="176" fontId="65" fillId="0" borderId="0" xfId="27" applyNumberFormat="1" applyFont="1" applyFill="1" applyBorder="1"/>
    <xf numFmtId="176" fontId="65" fillId="0" borderId="27" xfId="103" applyNumberFormat="1" applyFont="1" applyBorder="1"/>
    <xf numFmtId="184" fontId="65" fillId="0" borderId="0" xfId="76" applyNumberFormat="1" applyFont="1" applyFill="1"/>
    <xf numFmtId="0" fontId="65" fillId="0" borderId="0" xfId="103" applyFont="1" applyAlignment="1">
      <alignment vertical="center"/>
    </xf>
    <xf numFmtId="0" fontId="65" fillId="0" borderId="0" xfId="103" applyFont="1" applyAlignment="1">
      <alignment horizontal="center" vertical="center"/>
    </xf>
    <xf numFmtId="176" fontId="66" fillId="0" borderId="0" xfId="103" applyNumberFormat="1" applyFont="1" applyAlignment="1">
      <alignment horizontal="center"/>
    </xf>
    <xf numFmtId="176" fontId="69" fillId="0" borderId="0" xfId="103" applyNumberFormat="1" applyFont="1" applyAlignment="1">
      <alignment horizontal="center"/>
    </xf>
    <xf numFmtId="164" fontId="72" fillId="0" borderId="0" xfId="76" applyNumberFormat="1" applyFont="1" applyFill="1"/>
    <xf numFmtId="0" fontId="72" fillId="0" borderId="0" xfId="103" quotePrefix="1" applyFont="1" applyAlignment="1">
      <alignment horizontal="left" vertical="center"/>
    </xf>
    <xf numFmtId="2" fontId="65" fillId="0" borderId="0" xfId="103" applyNumberFormat="1" applyFont="1"/>
    <xf numFmtId="176" fontId="65" fillId="0" borderId="0" xfId="103" applyNumberFormat="1" applyFont="1" applyAlignment="1">
      <alignment horizontal="right"/>
    </xf>
    <xf numFmtId="3" fontId="72" fillId="0" borderId="0" xfId="76" applyNumberFormat="1" applyFont="1" applyBorder="1" applyAlignment="1">
      <alignment horizontal="left" vertical="center"/>
    </xf>
    <xf numFmtId="3" fontId="65" fillId="0" borderId="21" xfId="76" quotePrefix="1" applyNumberFormat="1" applyFont="1" applyBorder="1" applyAlignment="1">
      <alignment horizontal="right" vertical="center"/>
    </xf>
    <xf numFmtId="179" fontId="65" fillId="0" borderId="21" xfId="103" applyNumberFormat="1" applyFont="1" applyBorder="1" applyAlignment="1">
      <alignment vertical="center"/>
    </xf>
    <xf numFmtId="176" fontId="65" fillId="0" borderId="21" xfId="103" applyNumberFormat="1" applyFont="1" applyBorder="1"/>
    <xf numFmtId="7" fontId="65" fillId="0" borderId="21" xfId="103" applyNumberFormat="1" applyFont="1" applyBorder="1"/>
    <xf numFmtId="176" fontId="65" fillId="0" borderId="29" xfId="103" applyNumberFormat="1" applyFont="1" applyBorder="1"/>
    <xf numFmtId="0" fontId="66" fillId="0" borderId="24" xfId="103" applyFont="1" applyBorder="1" applyAlignment="1">
      <alignment horizontal="left"/>
    </xf>
    <xf numFmtId="0" fontId="66" fillId="0" borderId="1" xfId="103" applyFont="1" applyBorder="1" applyAlignment="1">
      <alignment horizontal="left"/>
    </xf>
    <xf numFmtId="0" fontId="66" fillId="0" borderId="1" xfId="103" quotePrefix="1" applyFont="1" applyBorder="1" applyAlignment="1">
      <alignment horizontal="left"/>
    </xf>
    <xf numFmtId="179" fontId="72" fillId="0" borderId="0" xfId="103" applyNumberFormat="1" applyFont="1"/>
    <xf numFmtId="0" fontId="65" fillId="0" borderId="26" xfId="103" applyFont="1" applyBorder="1" applyAlignment="1">
      <alignment horizontal="right"/>
    </xf>
    <xf numFmtId="0" fontId="78" fillId="0" borderId="1" xfId="103" quotePrefix="1" applyFont="1" applyBorder="1" applyAlignment="1">
      <alignment horizontal="right"/>
    </xf>
    <xf numFmtId="0" fontId="78" fillId="0" borderId="1" xfId="103" applyFont="1" applyBorder="1"/>
    <xf numFmtId="0" fontId="78" fillId="0" borderId="1" xfId="103" quotePrefix="1" applyFont="1" applyBorder="1" applyAlignment="1">
      <alignment horizontal="center"/>
    </xf>
    <xf numFmtId="0" fontId="79" fillId="0" borderId="1" xfId="103" applyFont="1" applyBorder="1"/>
    <xf numFmtId="0" fontId="78" fillId="0" borderId="1" xfId="103" applyFont="1" applyBorder="1" applyAlignment="1">
      <alignment horizontal="center"/>
    </xf>
    <xf numFmtId="0" fontId="79" fillId="0" borderId="0" xfId="103" applyFont="1"/>
    <xf numFmtId="170" fontId="79" fillId="0" borderId="0" xfId="103" applyNumberFormat="1" applyFont="1"/>
    <xf numFmtId="185" fontId="79" fillId="0" borderId="0" xfId="76" applyNumberFormat="1" applyFont="1" applyFill="1" applyBorder="1"/>
    <xf numFmtId="1" fontId="79" fillId="0" borderId="0" xfId="103" applyNumberFormat="1" applyFont="1"/>
    <xf numFmtId="176" fontId="65" fillId="0" borderId="27" xfId="27" applyNumberFormat="1" applyFont="1" applyFill="1" applyBorder="1"/>
    <xf numFmtId="43" fontId="65" fillId="0" borderId="0" xfId="76" applyFont="1" applyFill="1"/>
    <xf numFmtId="10" fontId="65" fillId="0" borderId="0" xfId="27" applyNumberFormat="1" applyFont="1" applyFill="1"/>
    <xf numFmtId="170" fontId="79" fillId="0" borderId="0" xfId="103" quotePrefix="1" applyNumberFormat="1" applyFont="1" applyAlignment="1">
      <alignment horizontal="right"/>
    </xf>
    <xf numFmtId="170" fontId="79" fillId="0" borderId="0" xfId="103" applyNumberFormat="1" applyFont="1" applyAlignment="1">
      <alignment horizontal="right"/>
    </xf>
    <xf numFmtId="0" fontId="79" fillId="0" borderId="21" xfId="103" applyFont="1" applyBorder="1"/>
    <xf numFmtId="0" fontId="79" fillId="0" borderId="21" xfId="103" quotePrefix="1" applyFont="1" applyBorder="1" applyAlignment="1">
      <alignment horizontal="right"/>
    </xf>
    <xf numFmtId="170" fontId="79" fillId="0" borderId="21" xfId="103" applyNumberFormat="1" applyFont="1" applyBorder="1"/>
    <xf numFmtId="185" fontId="79" fillId="0" borderId="21" xfId="76" applyNumberFormat="1" applyFont="1" applyFill="1" applyBorder="1"/>
    <xf numFmtId="1" fontId="79" fillId="0" borderId="21" xfId="103" applyNumberFormat="1" applyFont="1" applyBorder="1"/>
    <xf numFmtId="176" fontId="65" fillId="0" borderId="29" xfId="27" applyNumberFormat="1" applyFont="1" applyFill="1" applyBorder="1"/>
    <xf numFmtId="10" fontId="65" fillId="0" borderId="0" xfId="27" applyNumberFormat="1" applyFont="1" applyFill="1" applyBorder="1"/>
    <xf numFmtId="3" fontId="65" fillId="0" borderId="21" xfId="76" applyNumberFormat="1" applyFont="1" applyBorder="1" applyAlignment="1">
      <alignment horizontal="right" vertical="center"/>
    </xf>
    <xf numFmtId="0" fontId="65" fillId="0" borderId="21" xfId="103" applyFont="1" applyBorder="1" applyAlignment="1">
      <alignment vertical="center"/>
    </xf>
    <xf numFmtId="39" fontId="21" fillId="0" borderId="0" xfId="23" applyNumberFormat="1" applyAlignment="1">
      <alignment horizontal="centerContinuous"/>
    </xf>
    <xf numFmtId="0" fontId="21" fillId="0" borderId="0" xfId="23" applyAlignment="1">
      <alignment horizontal="centerContinuous"/>
    </xf>
    <xf numFmtId="37" fontId="21" fillId="0" borderId="0" xfId="23" applyNumberFormat="1" applyAlignment="1">
      <alignment horizontal="centerContinuous"/>
    </xf>
    <xf numFmtId="179" fontId="0" fillId="0" borderId="0" xfId="15" applyNumberFormat="1" applyFont="1" applyAlignment="1">
      <alignment horizontal="centerContinuous"/>
    </xf>
    <xf numFmtId="10" fontId="0" fillId="0" borderId="0" xfId="27" applyNumberFormat="1" applyFont="1" applyAlignment="1">
      <alignment horizontal="centerContinuous"/>
    </xf>
    <xf numFmtId="0" fontId="21" fillId="0" borderId="0" xfId="23" applyAlignment="1">
      <alignment horizontal="center"/>
    </xf>
    <xf numFmtId="15" fontId="21" fillId="0" borderId="0" xfId="23" applyNumberFormat="1" applyAlignment="1">
      <alignment horizontal="left"/>
    </xf>
    <xf numFmtId="39" fontId="21" fillId="0" borderId="0" xfId="23" applyNumberFormat="1" applyAlignment="1">
      <alignment horizontal="center"/>
    </xf>
    <xf numFmtId="179" fontId="0" fillId="0" borderId="0" xfId="15" applyNumberFormat="1" applyFont="1"/>
    <xf numFmtId="10" fontId="0" fillId="0" borderId="0" xfId="27" applyNumberFormat="1" applyFont="1"/>
    <xf numFmtId="39" fontId="21" fillId="0" borderId="0" xfId="23" applyNumberFormat="1" applyAlignment="1">
      <alignment horizontal="left"/>
    </xf>
    <xf numFmtId="39" fontId="32" fillId="0" borderId="0" xfId="23" quotePrefix="1" applyNumberFormat="1" applyFont="1" applyAlignment="1">
      <alignment horizontal="left"/>
    </xf>
    <xf numFmtId="37" fontId="21" fillId="0" borderId="0" xfId="23" applyNumberFormat="1"/>
    <xf numFmtId="0" fontId="21" fillId="0" borderId="0" xfId="23" applyAlignment="1">
      <alignment horizontal="left"/>
    </xf>
    <xf numFmtId="39" fontId="81" fillId="0" borderId="0" xfId="23" applyNumberFormat="1" applyFont="1" applyAlignment="1">
      <alignment horizontal="center"/>
    </xf>
    <xf numFmtId="37" fontId="21" fillId="0" borderId="0" xfId="23" applyNumberFormat="1" applyAlignment="1">
      <alignment horizontal="center"/>
    </xf>
    <xf numFmtId="179" fontId="0" fillId="0" borderId="0" xfId="15" applyNumberFormat="1" applyFont="1" applyAlignment="1">
      <alignment horizontal="center"/>
    </xf>
    <xf numFmtId="37" fontId="21" fillId="0" borderId="0" xfId="23" quotePrefix="1" applyNumberFormat="1" applyAlignment="1">
      <alignment horizontal="center"/>
    </xf>
    <xf numFmtId="10" fontId="0" fillId="0" borderId="0" xfId="27" quotePrefix="1" applyNumberFormat="1" applyFont="1" applyAlignment="1">
      <alignment horizontal="center"/>
    </xf>
    <xf numFmtId="0" fontId="21" fillId="0" borderId="0" xfId="23" quotePrefix="1" applyAlignment="1">
      <alignment horizontal="center"/>
    </xf>
    <xf numFmtId="179" fontId="0" fillId="0" borderId="0" xfId="15" quotePrefix="1" applyNumberFormat="1" applyFont="1" applyAlignment="1">
      <alignment horizontal="center"/>
    </xf>
    <xf numFmtId="10" fontId="0" fillId="0" borderId="0" xfId="27" applyNumberFormat="1" applyFont="1" applyAlignment="1">
      <alignment horizontal="center"/>
    </xf>
    <xf numFmtId="37" fontId="63" fillId="0" borderId="0" xfId="23" applyNumberFormat="1" applyFont="1" applyAlignment="1">
      <alignment horizontal="center"/>
    </xf>
    <xf numFmtId="0" fontId="77" fillId="0" borderId="0" xfId="23" applyFont="1" applyAlignment="1">
      <alignment horizontal="center"/>
    </xf>
    <xf numFmtId="37" fontId="77" fillId="0" borderId="0" xfId="23" applyNumberFormat="1" applyFont="1" applyAlignment="1">
      <alignment horizontal="center"/>
    </xf>
    <xf numFmtId="37" fontId="77" fillId="0" borderId="0" xfId="23" quotePrefix="1" applyNumberFormat="1" applyFont="1" applyAlignment="1">
      <alignment horizontal="center"/>
    </xf>
    <xf numFmtId="179" fontId="77" fillId="0" borderId="0" xfId="15" applyNumberFormat="1" applyFont="1" applyBorder="1" applyAlignment="1">
      <alignment horizontal="center"/>
    </xf>
    <xf numFmtId="10" fontId="77" fillId="0" borderId="0" xfId="27" applyNumberFormat="1" applyFont="1" applyBorder="1" applyAlignment="1">
      <alignment horizontal="center"/>
    </xf>
    <xf numFmtId="39" fontId="77" fillId="0" borderId="0" xfId="23" applyNumberFormat="1" applyFont="1" applyAlignment="1">
      <alignment horizontal="center"/>
    </xf>
    <xf numFmtId="39" fontId="77" fillId="0" borderId="0" xfId="23" quotePrefix="1" applyNumberFormat="1" applyFont="1" applyAlignment="1">
      <alignment horizontal="center"/>
    </xf>
    <xf numFmtId="37" fontId="82" fillId="0" borderId="0" xfId="23" applyNumberFormat="1" applyFont="1" applyAlignment="1">
      <alignment horizontal="center"/>
    </xf>
    <xf numFmtId="0" fontId="21" fillId="0" borderId="0" xfId="23" quotePrefix="1" applyAlignment="1">
      <alignment horizontal="left"/>
    </xf>
    <xf numFmtId="5" fontId="21" fillId="0" borderId="0" xfId="23" applyNumberFormat="1"/>
    <xf numFmtId="4" fontId="21" fillId="0" borderId="0" xfId="23" applyNumberFormat="1"/>
    <xf numFmtId="179" fontId="0" fillId="0" borderId="0" xfId="15" applyNumberFormat="1" applyFont="1" applyBorder="1" applyAlignment="1"/>
    <xf numFmtId="10" fontId="0" fillId="0" borderId="0" xfId="27" applyNumberFormat="1" applyFont="1" applyAlignment="1"/>
    <xf numFmtId="186" fontId="0" fillId="0" borderId="0" xfId="27" applyNumberFormat="1" applyFont="1" applyAlignment="1"/>
    <xf numFmtId="184" fontId="21" fillId="0" borderId="0" xfId="23" applyNumberFormat="1"/>
    <xf numFmtId="10" fontId="21" fillId="0" borderId="0" xfId="23" applyNumberFormat="1"/>
    <xf numFmtId="5" fontId="63" fillId="0" borderId="0" xfId="23" applyNumberFormat="1" applyFont="1"/>
    <xf numFmtId="8" fontId="0" fillId="0" borderId="0" xfId="27" applyNumberFormat="1" applyFont="1" applyAlignment="1"/>
    <xf numFmtId="7" fontId="0" fillId="0" borderId="0" xfId="15" applyNumberFormat="1" applyFont="1" applyBorder="1" applyAlignment="1"/>
    <xf numFmtId="179" fontId="83" fillId="0" borderId="0" xfId="15" applyNumberFormat="1" applyFont="1" applyBorder="1" applyAlignment="1">
      <alignment horizontal="center"/>
    </xf>
    <xf numFmtId="39" fontId="63" fillId="0" borderId="0" xfId="23" applyNumberFormat="1" applyFont="1" applyAlignment="1">
      <alignment horizontal="left"/>
    </xf>
    <xf numFmtId="0" fontId="63" fillId="0" borderId="0" xfId="23" applyFont="1" applyAlignment="1">
      <alignment horizontal="center"/>
    </xf>
    <xf numFmtId="0" fontId="82" fillId="0" borderId="0" xfId="23" applyFont="1" applyAlignment="1">
      <alignment horizontal="center"/>
    </xf>
    <xf numFmtId="0" fontId="63" fillId="0" borderId="0" xfId="23" applyFont="1" applyAlignment="1">
      <alignment horizontal="left"/>
    </xf>
    <xf numFmtId="7" fontId="0" fillId="0" borderId="0" xfId="27" applyNumberFormat="1" applyFont="1" applyAlignment="1"/>
    <xf numFmtId="164" fontId="21" fillId="0" borderId="0" xfId="155" applyNumberFormat="1" applyFont="1"/>
    <xf numFmtId="180" fontId="21" fillId="0" borderId="0" xfId="23" applyNumberFormat="1"/>
    <xf numFmtId="10" fontId="32" fillId="0" borderId="0" xfId="27" applyNumberFormat="1" applyFont="1" applyAlignment="1"/>
    <xf numFmtId="187" fontId="21" fillId="0" borderId="0" xfId="23" applyNumberFormat="1"/>
    <xf numFmtId="5" fontId="83" fillId="0" borderId="0" xfId="23" applyNumberFormat="1" applyFont="1"/>
    <xf numFmtId="0" fontId="53" fillId="0" borderId="0" xfId="154" applyFont="1" applyAlignment="1">
      <alignment horizontal="center"/>
    </xf>
    <xf numFmtId="170" fontId="53" fillId="0" borderId="0" xfId="154" applyNumberFormat="1" applyFont="1" applyAlignment="1">
      <alignment horizontal="center"/>
    </xf>
    <xf numFmtId="0" fontId="53" fillId="0" borderId="0" xfId="154" applyFont="1" applyAlignment="1">
      <alignment horizontal="centerContinuous"/>
    </xf>
    <xf numFmtId="164" fontId="53" fillId="0" borderId="0" xfId="154" applyNumberFormat="1" applyFont="1" applyAlignment="1">
      <alignment horizontal="center"/>
    </xf>
    <xf numFmtId="188" fontId="53" fillId="0" borderId="0" xfId="154" applyNumberFormat="1" applyFont="1"/>
    <xf numFmtId="170" fontId="86" fillId="0" borderId="0" xfId="103" applyNumberFormat="1" applyFont="1" applyAlignment="1">
      <alignment horizontal="center"/>
    </xf>
    <xf numFmtId="177" fontId="86" fillId="0" borderId="0" xfId="103" applyNumberFormat="1" applyFont="1" applyAlignment="1">
      <alignment horizontal="center"/>
    </xf>
    <xf numFmtId="0" fontId="61" fillId="0" borderId="0" xfId="103" applyFont="1" applyAlignment="1">
      <alignment horizontal="center"/>
    </xf>
    <xf numFmtId="170" fontId="61" fillId="0" borderId="0" xfId="103" applyNumberFormat="1" applyFont="1" applyAlignment="1">
      <alignment horizontal="center"/>
    </xf>
    <xf numFmtId="177" fontId="61" fillId="0" borderId="0" xfId="75" applyNumberFormat="1" applyFont="1" applyBorder="1" applyAlignment="1">
      <alignment horizontal="center"/>
    </xf>
    <xf numFmtId="170" fontId="61" fillId="0" borderId="0" xfId="75" applyNumberFormat="1" applyFont="1" applyBorder="1" applyAlignment="1">
      <alignment horizontal="center"/>
    </xf>
    <xf numFmtId="10" fontId="87" fillId="0" borderId="0" xfId="23" applyNumberFormat="1" applyFont="1"/>
    <xf numFmtId="177" fontId="53" fillId="0" borderId="0" xfId="154" applyNumberFormat="1" applyFont="1" applyAlignment="1">
      <alignment horizontal="center"/>
    </xf>
    <xf numFmtId="0" fontId="85" fillId="0" borderId="0" xfId="103" applyFont="1"/>
    <xf numFmtId="0" fontId="64" fillId="0" borderId="0" xfId="0" applyFont="1"/>
    <xf numFmtId="0" fontId="88" fillId="0" borderId="0" xfId="0" applyFont="1" applyAlignment="1">
      <alignment horizontal="center" wrapText="1"/>
    </xf>
    <xf numFmtId="164" fontId="53" fillId="0" borderId="0" xfId="1" applyNumberFormat="1" applyFont="1"/>
    <xf numFmtId="164" fontId="89" fillId="0" borderId="0" xfId="1" applyNumberFormat="1" applyFont="1"/>
    <xf numFmtId="170" fontId="89" fillId="0" borderId="0" xfId="103" applyNumberFormat="1" applyFont="1"/>
    <xf numFmtId="0" fontId="58" fillId="0" borderId="0" xfId="0" applyFont="1"/>
    <xf numFmtId="0" fontId="90" fillId="0" borderId="0" xfId="0" applyFont="1"/>
    <xf numFmtId="44" fontId="84" fillId="0" borderId="0" xfId="2" applyFont="1" applyFill="1" applyBorder="1" applyAlignment="1">
      <alignment horizontal="center"/>
    </xf>
    <xf numFmtId="166" fontId="53" fillId="0" borderId="0" xfId="149" applyNumberFormat="1" applyFont="1"/>
    <xf numFmtId="166" fontId="53" fillId="0" borderId="0" xfId="15" applyNumberFormat="1" applyFont="1" applyFill="1" applyBorder="1"/>
    <xf numFmtId="0" fontId="53" fillId="0" borderId="12" xfId="0" applyFont="1" applyBorder="1" applyAlignment="1">
      <alignment horizontal="center"/>
    </xf>
    <xf numFmtId="0" fontId="53" fillId="0" borderId="14" xfId="0" applyFont="1" applyBorder="1" applyAlignment="1">
      <alignment horizontal="center"/>
    </xf>
    <xf numFmtId="166" fontId="53" fillId="0" borderId="0" xfId="1" applyNumberFormat="1" applyFont="1" applyFill="1" applyBorder="1"/>
    <xf numFmtId="166" fontId="53" fillId="0" borderId="0" xfId="2" applyNumberFormat="1" applyFont="1" applyFill="1" applyBorder="1"/>
    <xf numFmtId="0" fontId="53" fillId="0" borderId="17" xfId="0" applyFont="1" applyBorder="1" applyAlignment="1">
      <alignment horizontal="center"/>
    </xf>
    <xf numFmtId="164" fontId="53" fillId="0" borderId="21" xfId="152" applyNumberFormat="1" applyFont="1" applyBorder="1"/>
    <xf numFmtId="166" fontId="53" fillId="0" borderId="21" xfId="149" applyNumberFormat="1" applyFont="1" applyBorder="1"/>
    <xf numFmtId="0" fontId="53" fillId="0" borderId="0" xfId="0" applyFont="1"/>
    <xf numFmtId="164" fontId="53" fillId="0" borderId="1" xfId="1" applyNumberFormat="1" applyFont="1" applyFill="1" applyBorder="1"/>
    <xf numFmtId="0" fontId="55" fillId="0" borderId="0" xfId="158" applyFont="1"/>
    <xf numFmtId="0" fontId="10" fillId="0" borderId="0" xfId="158"/>
    <xf numFmtId="0" fontId="55" fillId="0" borderId="0" xfId="158" applyFont="1" applyAlignment="1">
      <alignment horizontal="center"/>
    </xf>
    <xf numFmtId="16" fontId="55" fillId="0" borderId="0" xfId="158" applyNumberFormat="1" applyFont="1"/>
    <xf numFmtId="16" fontId="55" fillId="0" borderId="0" xfId="158" applyNumberFormat="1" applyFont="1" applyAlignment="1">
      <alignment horizontal="center"/>
    </xf>
    <xf numFmtId="0" fontId="55" fillId="0" borderId="21" xfId="158" applyFont="1" applyBorder="1"/>
    <xf numFmtId="0" fontId="10" fillId="0" borderId="21" xfId="158" applyBorder="1"/>
    <xf numFmtId="0" fontId="55" fillId="0" borderId="21" xfId="158" applyFont="1" applyBorder="1" applyAlignment="1">
      <alignment wrapText="1"/>
    </xf>
    <xf numFmtId="0" fontId="55" fillId="0" borderId="21" xfId="158" applyFont="1" applyBorder="1" applyAlignment="1">
      <alignment horizontal="center" wrapText="1"/>
    </xf>
    <xf numFmtId="0" fontId="92" fillId="0" borderId="0" xfId="158" applyFont="1"/>
    <xf numFmtId="164" fontId="0" fillId="0" borderId="0" xfId="159" applyNumberFormat="1" applyFont="1"/>
    <xf numFmtId="164" fontId="10" fillId="0" borderId="0" xfId="158" applyNumberFormat="1"/>
    <xf numFmtId="170" fontId="10" fillId="0" borderId="0" xfId="158" applyNumberFormat="1"/>
    <xf numFmtId="0" fontId="0" fillId="0" borderId="0" xfId="159" applyNumberFormat="1" applyFont="1"/>
    <xf numFmtId="0" fontId="53" fillId="0" borderId="0" xfId="160" applyFont="1"/>
    <xf numFmtId="164" fontId="53" fillId="0" borderId="0" xfId="159" applyNumberFormat="1" applyFont="1"/>
    <xf numFmtId="166" fontId="0" fillId="0" borderId="0" xfId="161" applyNumberFormat="1" applyFont="1"/>
    <xf numFmtId="43" fontId="0" fillId="0" borderId="0" xfId="159" applyFont="1"/>
    <xf numFmtId="170" fontId="55" fillId="0" borderId="0" xfId="158" applyNumberFormat="1" applyFont="1"/>
    <xf numFmtId="0" fontId="53" fillId="9" borderId="0" xfId="160" applyFont="1" applyFill="1"/>
    <xf numFmtId="164" fontId="0" fillId="0" borderId="0" xfId="159" applyNumberFormat="1" applyFont="1" applyFill="1"/>
    <xf numFmtId="166" fontId="0" fillId="0" borderId="0" xfId="161" applyNumberFormat="1" applyFont="1" applyFill="1"/>
    <xf numFmtId="43" fontId="0" fillId="0" borderId="0" xfId="159" applyFont="1" applyFill="1"/>
    <xf numFmtId="0" fontId="53" fillId="0" borderId="0" xfId="158" applyFont="1"/>
    <xf numFmtId="164" fontId="55" fillId="0" borderId="0" xfId="159" applyNumberFormat="1" applyFont="1"/>
    <xf numFmtId="0" fontId="54" fillId="0" borderId="0" xfId="160" applyFont="1"/>
    <xf numFmtId="0" fontId="54" fillId="0" borderId="20" xfId="158" applyFont="1" applyBorder="1" applyAlignment="1">
      <alignment horizontal="center"/>
    </xf>
    <xf numFmtId="0" fontId="54" fillId="0" borderId="0" xfId="158" applyFont="1" applyAlignment="1">
      <alignment horizontal="center"/>
    </xf>
    <xf numFmtId="0" fontId="55" fillId="0" borderId="0" xfId="160" applyFont="1"/>
    <xf numFmtId="0" fontId="10" fillId="0" borderId="0" xfId="160"/>
    <xf numFmtId="0" fontId="55" fillId="0" borderId="21" xfId="160" applyFont="1" applyBorder="1" applyAlignment="1">
      <alignment horizontal="center" wrapText="1"/>
    </xf>
    <xf numFmtId="0" fontId="55" fillId="0" borderId="21" xfId="160" applyFont="1" applyBorder="1" applyAlignment="1">
      <alignment wrapText="1"/>
    </xf>
    <xf numFmtId="0" fontId="10" fillId="0" borderId="0" xfId="160" quotePrefix="1" applyAlignment="1">
      <alignment horizontal="left"/>
    </xf>
    <xf numFmtId="189" fontId="10" fillId="0" borderId="0" xfId="160" applyNumberFormat="1"/>
    <xf numFmtId="164" fontId="0" fillId="0" borderId="0" xfId="159" applyNumberFormat="1" applyFont="1" applyFill="1" applyBorder="1"/>
    <xf numFmtId="2" fontId="55" fillId="0" borderId="0" xfId="160" applyNumberFormat="1" applyFont="1"/>
    <xf numFmtId="43" fontId="10" fillId="0" borderId="0" xfId="160" applyNumberFormat="1"/>
    <xf numFmtId="0" fontId="58" fillId="0" borderId="0" xfId="158" applyFont="1"/>
    <xf numFmtId="0" fontId="93" fillId="0" borderId="0" xfId="158" applyFont="1"/>
    <xf numFmtId="3" fontId="21" fillId="0" borderId="0" xfId="103" applyNumberFormat="1"/>
    <xf numFmtId="170" fontId="21" fillId="0" borderId="0" xfId="103" applyNumberFormat="1"/>
    <xf numFmtId="0" fontId="21" fillId="0" borderId="0" xfId="103" quotePrefix="1" applyAlignment="1">
      <alignment horizontal="left"/>
    </xf>
    <xf numFmtId="0" fontId="77" fillId="0" borderId="0" xfId="103" applyFont="1"/>
    <xf numFmtId="4" fontId="0" fillId="0" borderId="0" xfId="76" applyNumberFormat="1" applyFont="1"/>
    <xf numFmtId="4" fontId="21" fillId="0" borderId="0" xfId="103" applyNumberFormat="1"/>
    <xf numFmtId="7" fontId="0" fillId="0" borderId="0" xfId="75" applyNumberFormat="1" applyFont="1"/>
    <xf numFmtId="7" fontId="21" fillId="0" borderId="0" xfId="103" applyNumberFormat="1"/>
    <xf numFmtId="3" fontId="77" fillId="0" borderId="0" xfId="103" applyNumberFormat="1" applyFont="1" applyAlignment="1">
      <alignment horizontal="center"/>
    </xf>
    <xf numFmtId="170" fontId="77" fillId="0" borderId="0" xfId="103" applyNumberFormat="1" applyFont="1" applyAlignment="1">
      <alignment horizontal="center"/>
    </xf>
    <xf numFmtId="0" fontId="77" fillId="0" borderId="0" xfId="103" quotePrefix="1" applyFont="1" applyAlignment="1">
      <alignment horizontal="left"/>
    </xf>
    <xf numFmtId="0" fontId="55" fillId="0" borderId="0" xfId="23" applyFont="1" applyAlignment="1">
      <alignment horizontal="center"/>
    </xf>
    <xf numFmtId="0" fontId="55" fillId="0" borderId="11" xfId="23" applyFont="1" applyBorder="1" applyAlignment="1">
      <alignment horizontal="center" wrapText="1"/>
    </xf>
    <xf numFmtId="9" fontId="55" fillId="0" borderId="11" xfId="23" applyNumberFormat="1" applyFont="1" applyBorder="1" applyAlignment="1">
      <alignment horizontal="center" wrapText="1"/>
    </xf>
    <xf numFmtId="0" fontId="53" fillId="0" borderId="11" xfId="23" applyFont="1" applyBorder="1"/>
    <xf numFmtId="41" fontId="53" fillId="0" borderId="11" xfId="23" applyNumberFormat="1" applyFont="1" applyBorder="1"/>
    <xf numFmtId="164" fontId="53" fillId="0" borderId="11" xfId="23" applyNumberFormat="1" applyFont="1" applyBorder="1"/>
    <xf numFmtId="164" fontId="53" fillId="0" borderId="11" xfId="23" applyNumberFormat="1" applyFont="1" applyBorder="1" applyAlignment="1">
      <alignment horizontal="center"/>
    </xf>
    <xf numFmtId="164" fontId="53" fillId="0" borderId="11" xfId="76" applyNumberFormat="1" applyFont="1" applyFill="1" applyBorder="1"/>
    <xf numFmtId="0" fontId="53" fillId="0" borderId="41" xfId="23" applyFont="1" applyBorder="1" applyAlignment="1">
      <alignment horizontal="right"/>
    </xf>
    <xf numFmtId="164" fontId="53" fillId="0" borderId="11" xfId="1" applyNumberFormat="1" applyFont="1" applyFill="1" applyBorder="1"/>
    <xf numFmtId="164" fontId="53" fillId="0" borderId="41" xfId="1" applyNumberFormat="1" applyFont="1" applyFill="1" applyBorder="1"/>
    <xf numFmtId="42" fontId="53" fillId="0" borderId="41" xfId="23" applyNumberFormat="1" applyFont="1" applyBorder="1"/>
    <xf numFmtId="166" fontId="53" fillId="0" borderId="11" xfId="23" applyNumberFormat="1" applyFont="1" applyBorder="1"/>
    <xf numFmtId="166" fontId="54" fillId="0" borderId="22" xfId="162" applyNumberFormat="1" applyFont="1" applyFill="1" applyBorder="1"/>
    <xf numFmtId="166" fontId="54" fillId="0" borderId="11" xfId="162" applyNumberFormat="1" applyFont="1" applyFill="1" applyBorder="1"/>
    <xf numFmtId="166" fontId="53" fillId="0" borderId="11" xfId="162" applyNumberFormat="1" applyFont="1" applyFill="1" applyBorder="1"/>
    <xf numFmtId="0" fontId="53" fillId="0" borderId="11" xfId="23" applyFont="1" applyBorder="1" applyAlignment="1">
      <alignment horizontal="right"/>
    </xf>
    <xf numFmtId="166" fontId="53" fillId="0" borderId="22" xfId="23" applyNumberFormat="1" applyFont="1" applyBorder="1"/>
    <xf numFmtId="0" fontId="53" fillId="0" borderId="41" xfId="23" applyFont="1" applyBorder="1"/>
    <xf numFmtId="10" fontId="53" fillId="0" borderId="42" xfId="3" applyNumberFormat="1" applyFont="1" applyFill="1" applyBorder="1"/>
    <xf numFmtId="166" fontId="53" fillId="0" borderId="11" xfId="162" applyNumberFormat="1" applyFont="1" applyFill="1" applyBorder="1" applyAlignment="1">
      <alignment horizontal="right"/>
    </xf>
    <xf numFmtId="166" fontId="53" fillId="0" borderId="41" xfId="162" applyNumberFormat="1" applyFont="1" applyFill="1" applyBorder="1" applyAlignment="1">
      <alignment horizontal="left"/>
    </xf>
    <xf numFmtId="0" fontId="53" fillId="0" borderId="42" xfId="23" applyFont="1" applyBorder="1"/>
    <xf numFmtId="166" fontId="53" fillId="0" borderId="0" xfId="23" applyNumberFormat="1" applyFont="1"/>
    <xf numFmtId="166" fontId="53" fillId="0" borderId="43" xfId="23" applyNumberFormat="1" applyFont="1" applyBorder="1"/>
    <xf numFmtId="166" fontId="53" fillId="0" borderId="26" xfId="23" applyNumberFormat="1" applyFont="1" applyBorder="1"/>
    <xf numFmtId="0" fontId="53" fillId="0" borderId="1" xfId="23" applyFont="1" applyBorder="1"/>
    <xf numFmtId="10" fontId="53" fillId="0" borderId="0" xfId="3" applyNumberFormat="1" applyFont="1" applyFill="1" applyBorder="1"/>
    <xf numFmtId="164" fontId="53" fillId="0" borderId="0" xfId="23" applyNumberFormat="1" applyFont="1"/>
    <xf numFmtId="10" fontId="54" fillId="0" borderId="0" xfId="3" applyNumberFormat="1" applyFont="1" applyFill="1" applyBorder="1" applyAlignment="1">
      <alignment horizontal="center"/>
    </xf>
    <xf numFmtId="10" fontId="53" fillId="0" borderId="0" xfId="3" applyNumberFormat="1" applyFont="1" applyFill="1"/>
    <xf numFmtId="0" fontId="94" fillId="0" borderId="0" xfId="103" applyFont="1"/>
    <xf numFmtId="0" fontId="94" fillId="0" borderId="0" xfId="103" applyFont="1" applyAlignment="1">
      <alignment horizontal="center"/>
    </xf>
    <xf numFmtId="166" fontId="94" fillId="0" borderId="0" xfId="75" applyNumberFormat="1" applyFont="1" applyFill="1"/>
    <xf numFmtId="0" fontId="94" fillId="0" borderId="0" xfId="103" applyFont="1" applyAlignment="1">
      <alignment horizontal="right"/>
    </xf>
    <xf numFmtId="5" fontId="94" fillId="0" borderId="21" xfId="75" applyNumberFormat="1" applyFont="1" applyFill="1" applyBorder="1"/>
    <xf numFmtId="9" fontId="94" fillId="0" borderId="0" xfId="27" applyFont="1" applyFill="1"/>
    <xf numFmtId="7" fontId="94" fillId="0" borderId="0" xfId="103" applyNumberFormat="1" applyFont="1"/>
    <xf numFmtId="5" fontId="94" fillId="0" borderId="0" xfId="75" applyNumberFormat="1" applyFont="1" applyFill="1" applyBorder="1"/>
    <xf numFmtId="5" fontId="94" fillId="0" borderId="21" xfId="103" applyNumberFormat="1" applyFont="1" applyBorder="1"/>
    <xf numFmtId="5" fontId="94" fillId="0" borderId="0" xfId="103" applyNumberFormat="1" applyFont="1"/>
    <xf numFmtId="0" fontId="94" fillId="0" borderId="21" xfId="103" applyFont="1" applyBorder="1"/>
    <xf numFmtId="10" fontId="94" fillId="0" borderId="0" xfId="103" applyNumberFormat="1" applyFont="1"/>
    <xf numFmtId="0" fontId="94" fillId="0" borderId="0" xfId="103" applyFont="1" applyAlignment="1">
      <alignment vertical="center" wrapText="1"/>
    </xf>
    <xf numFmtId="43" fontId="94" fillId="0" borderId="0" xfId="76" applyFont="1" applyFill="1" applyBorder="1"/>
    <xf numFmtId="166" fontId="94" fillId="0" borderId="0" xfId="103" applyNumberFormat="1" applyFont="1"/>
    <xf numFmtId="3" fontId="94" fillId="0" borderId="0" xfId="103" applyNumberFormat="1" applyFont="1"/>
    <xf numFmtId="181" fontId="94" fillId="0" borderId="0" xfId="103" applyNumberFormat="1" applyFont="1" applyAlignment="1">
      <alignment horizontal="center"/>
    </xf>
    <xf numFmtId="3" fontId="94" fillId="0" borderId="0" xfId="103" applyNumberFormat="1" applyFont="1" applyAlignment="1">
      <alignment horizontal="right"/>
    </xf>
    <xf numFmtId="10" fontId="94" fillId="0" borderId="0" xfId="27" applyNumberFormat="1" applyFont="1" applyFill="1" applyBorder="1"/>
    <xf numFmtId="0" fontId="94" fillId="0" borderId="0" xfId="103" applyFont="1" applyAlignment="1">
      <alignment horizontal="left"/>
    </xf>
    <xf numFmtId="178" fontId="94" fillId="0" borderId="0" xfId="103" applyNumberFormat="1" applyFont="1"/>
    <xf numFmtId="178" fontId="94" fillId="0" borderId="0" xfId="6" applyNumberFormat="1" applyFont="1" applyFill="1" applyBorder="1"/>
    <xf numFmtId="178" fontId="94" fillId="0" borderId="0" xfId="23" applyNumberFormat="1" applyFont="1"/>
    <xf numFmtId="10" fontId="94" fillId="0" borderId="0" xfId="27" applyNumberFormat="1" applyFont="1" applyFill="1" applyBorder="1" applyAlignment="1">
      <alignment horizontal="right"/>
    </xf>
    <xf numFmtId="166" fontId="94" fillId="0" borderId="0" xfId="75" applyNumberFormat="1" applyFont="1" applyFill="1" applyBorder="1"/>
    <xf numFmtId="181" fontId="94" fillId="0" borderId="0" xfId="27" applyNumberFormat="1" applyFont="1" applyFill="1" applyBorder="1"/>
    <xf numFmtId="0" fontId="94" fillId="0" borderId="0" xfId="103" quotePrefix="1" applyFont="1" applyAlignment="1">
      <alignment horizontal="left"/>
    </xf>
    <xf numFmtId="5" fontId="94" fillId="0" borderId="0" xfId="103" applyNumberFormat="1" applyFont="1" applyAlignment="1">
      <alignment horizontal="right"/>
    </xf>
    <xf numFmtId="0" fontId="95" fillId="0" borderId="0" xfId="163" applyFont="1" applyAlignment="1">
      <alignment horizontal="left"/>
    </xf>
    <xf numFmtId="166" fontId="94" fillId="0" borderId="0" xfId="75" applyNumberFormat="1" applyFont="1" applyFill="1" applyBorder="1" applyAlignment="1">
      <alignment horizontal="right"/>
    </xf>
    <xf numFmtId="5" fontId="94" fillId="0" borderId="0" xfId="75" applyNumberFormat="1" applyFont="1" applyFill="1" applyBorder="1" applyAlignment="1">
      <alignment horizontal="right"/>
    </xf>
    <xf numFmtId="0" fontId="96" fillId="0" borderId="0" xfId="103" applyFont="1" applyAlignment="1">
      <alignment horizontal="center"/>
    </xf>
    <xf numFmtId="0" fontId="94" fillId="0" borderId="0" xfId="103" applyFont="1" applyAlignment="1">
      <alignment horizontal="center" wrapText="1"/>
    </xf>
    <xf numFmtId="190" fontId="94" fillId="0" borderId="0" xfId="103" applyNumberFormat="1" applyFont="1" applyAlignment="1">
      <alignment horizontal="left"/>
    </xf>
    <xf numFmtId="0" fontId="94" fillId="0" borderId="0" xfId="103" applyFont="1" applyAlignment="1">
      <alignment horizontal="center" vertical="center"/>
    </xf>
    <xf numFmtId="0" fontId="94" fillId="0" borderId="0" xfId="103" applyFont="1" applyAlignment="1">
      <alignment wrapText="1"/>
    </xf>
    <xf numFmtId="0" fontId="94" fillId="0" borderId="21" xfId="103" applyFont="1" applyBorder="1" applyAlignment="1">
      <alignment horizontal="center" vertical="center" wrapText="1"/>
    </xf>
    <xf numFmtId="0" fontId="94" fillId="0" borderId="21" xfId="103" quotePrefix="1" applyFont="1" applyBorder="1" applyAlignment="1">
      <alignment horizontal="center" vertical="center"/>
    </xf>
    <xf numFmtId="0" fontId="94" fillId="0" borderId="0" xfId="103" quotePrefix="1" applyFont="1" applyAlignment="1">
      <alignment horizontal="center" vertical="center" wrapText="1"/>
    </xf>
    <xf numFmtId="0" fontId="94" fillId="0" borderId="21" xfId="103" quotePrefix="1" applyFont="1" applyBorder="1" applyAlignment="1">
      <alignment horizontal="center" vertical="center" wrapText="1"/>
    </xf>
    <xf numFmtId="0" fontId="94" fillId="0" borderId="21" xfId="103" applyFont="1" applyBorder="1" applyAlignment="1">
      <alignment horizontal="center" vertical="center"/>
    </xf>
    <xf numFmtId="0" fontId="96" fillId="0" borderId="0" xfId="103" applyFont="1" applyAlignment="1">
      <alignment horizontal="right"/>
    </xf>
    <xf numFmtId="0" fontId="94" fillId="0" borderId="0" xfId="103" applyFont="1" applyAlignment="1">
      <alignment horizontal="right" vertical="top"/>
    </xf>
    <xf numFmtId="0" fontId="21" fillId="0" borderId="0" xfId="103" applyAlignment="1">
      <alignment horizontal="left"/>
    </xf>
    <xf numFmtId="0" fontId="21" fillId="0" borderId="0" xfId="103" applyAlignment="1">
      <alignment horizontal="centerContinuous"/>
    </xf>
    <xf numFmtId="0" fontId="94" fillId="0" borderId="0" xfId="103" applyFont="1" applyAlignment="1">
      <alignment horizontal="centerContinuous" vertical="top"/>
    </xf>
    <xf numFmtId="0" fontId="94" fillId="0" borderId="0" xfId="103" applyFont="1" applyAlignment="1">
      <alignment horizontal="centerContinuous"/>
    </xf>
    <xf numFmtId="0" fontId="94" fillId="0" borderId="0" xfId="103" quotePrefix="1" applyFont="1" applyAlignment="1">
      <alignment horizontal="centerContinuous"/>
    </xf>
    <xf numFmtId="0" fontId="94" fillId="0" borderId="0" xfId="103" quotePrefix="1" applyFont="1" applyAlignment="1">
      <alignment horizontal="right"/>
    </xf>
    <xf numFmtId="165" fontId="53" fillId="0" borderId="0" xfId="2" applyNumberFormat="1" applyFont="1"/>
    <xf numFmtId="44" fontId="53" fillId="0" borderId="0" xfId="2" applyFont="1"/>
    <xf numFmtId="0" fontId="21" fillId="0" borderId="0" xfId="144" applyFont="1"/>
    <xf numFmtId="10" fontId="21" fillId="0" borderId="0" xfId="164" applyNumberFormat="1" applyFont="1"/>
    <xf numFmtId="3" fontId="21" fillId="0" borderId="0" xfId="144" applyNumberFormat="1" applyFont="1"/>
    <xf numFmtId="0" fontId="21" fillId="0" borderId="0" xfId="144" quotePrefix="1" applyFont="1" applyAlignment="1">
      <alignment horizontal="left"/>
    </xf>
    <xf numFmtId="0" fontId="21" fillId="10" borderId="0" xfId="144" applyFont="1" applyFill="1"/>
    <xf numFmtId="10" fontId="21" fillId="10" borderId="0" xfId="164" applyNumberFormat="1" applyFont="1" applyFill="1"/>
    <xf numFmtId="178" fontId="21" fillId="0" borderId="10" xfId="144" applyNumberFormat="1" applyFont="1" applyBorder="1"/>
    <xf numFmtId="178" fontId="21" fillId="10" borderId="0" xfId="144" applyNumberFormat="1" applyFont="1" applyFill="1"/>
    <xf numFmtId="178" fontId="21" fillId="0" borderId="0" xfId="144" applyNumberFormat="1" applyFont="1"/>
    <xf numFmtId="170" fontId="21" fillId="0" borderId="0" xfId="144" applyNumberFormat="1" applyFont="1"/>
    <xf numFmtId="177" fontId="21" fillId="0" borderId="0" xfId="144" applyNumberFormat="1" applyFont="1"/>
    <xf numFmtId="0" fontId="77" fillId="0" borderId="0" xfId="144" applyFont="1"/>
    <xf numFmtId="0" fontId="77" fillId="0" borderId="0" xfId="144" quotePrefix="1" applyFont="1" applyAlignment="1">
      <alignment horizontal="left"/>
    </xf>
    <xf numFmtId="0" fontId="21" fillId="0" borderId="0" xfId="144" quotePrefix="1" applyFont="1" applyAlignment="1">
      <alignment horizontal="right"/>
    </xf>
    <xf numFmtId="173" fontId="21" fillId="0" borderId="0" xfId="144" applyNumberFormat="1" applyFont="1"/>
    <xf numFmtId="177" fontId="97" fillId="0" borderId="0" xfId="144" quotePrefix="1" applyNumberFormat="1" applyFont="1" applyAlignment="1">
      <alignment horizontal="right" vertical="top"/>
    </xf>
    <xf numFmtId="0" fontId="77" fillId="0" borderId="0" xfId="144" quotePrefix="1" applyFont="1" applyAlignment="1">
      <alignment horizontal="center"/>
    </xf>
    <xf numFmtId="0" fontId="77" fillId="0" borderId="0" xfId="144" applyFont="1" applyAlignment="1">
      <alignment horizontal="center"/>
    </xf>
    <xf numFmtId="3" fontId="77" fillId="0" borderId="0" xfId="144" applyNumberFormat="1" applyFont="1" applyAlignment="1">
      <alignment horizontal="center"/>
    </xf>
    <xf numFmtId="0" fontId="21" fillId="0" borderId="0" xfId="144" quotePrefix="1" applyFont="1" applyAlignment="1">
      <alignment horizontal="center"/>
    </xf>
    <xf numFmtId="15" fontId="21" fillId="0" borderId="0" xfId="144" applyNumberFormat="1" applyFont="1" applyAlignment="1">
      <alignment horizontal="center"/>
    </xf>
    <xf numFmtId="0" fontId="21" fillId="0" borderId="0" xfId="144" applyFont="1" applyAlignment="1">
      <alignment horizontal="center"/>
    </xf>
    <xf numFmtId="15" fontId="21" fillId="0" borderId="0" xfId="144" quotePrefix="1" applyNumberFormat="1" applyFont="1" applyAlignment="1">
      <alignment horizontal="center"/>
    </xf>
    <xf numFmtId="3" fontId="21" fillId="0" borderId="0" xfId="144" applyNumberFormat="1" applyFont="1" applyAlignment="1">
      <alignment horizontal="center"/>
    </xf>
    <xf numFmtId="0" fontId="21" fillId="0" borderId="0" xfId="144" applyFont="1" applyAlignment="1">
      <alignment horizontal="centerContinuous"/>
    </xf>
    <xf numFmtId="3" fontId="21" fillId="0" borderId="0" xfId="144" applyNumberFormat="1" applyFont="1" applyAlignment="1">
      <alignment horizontal="centerContinuous"/>
    </xf>
    <xf numFmtId="0" fontId="77" fillId="0" borderId="0" xfId="144" applyFont="1" applyAlignment="1">
      <alignment horizontal="centerContinuous"/>
    </xf>
    <xf numFmtId="0" fontId="55" fillId="0" borderId="0" xfId="23" applyFont="1" applyAlignment="1">
      <alignment horizontal="center" wrapText="1"/>
    </xf>
    <xf numFmtId="164" fontId="53" fillId="0" borderId="0" xfId="23" applyNumberFormat="1" applyFont="1" applyAlignment="1">
      <alignment horizontal="center"/>
    </xf>
    <xf numFmtId="0" fontId="10" fillId="0" borderId="0" xfId="158" applyAlignment="1">
      <alignment horizontal="center"/>
    </xf>
    <xf numFmtId="0" fontId="71" fillId="0" borderId="26" xfId="103" quotePrefix="1" applyFont="1" applyBorder="1" applyAlignment="1">
      <alignment horizontal="left"/>
    </xf>
    <xf numFmtId="0" fontId="7" fillId="0" borderId="0" xfId="165"/>
    <xf numFmtId="0" fontId="7" fillId="0" borderId="0" xfId="165" applyAlignment="1">
      <alignment horizontal="center"/>
    </xf>
    <xf numFmtId="0" fontId="7" fillId="0" borderId="21" xfId="165" applyBorder="1" applyAlignment="1">
      <alignment horizontal="center"/>
    </xf>
    <xf numFmtId="3" fontId="7" fillId="0" borderId="0" xfId="165" applyNumberFormat="1"/>
    <xf numFmtId="179" fontId="7" fillId="0" borderId="0" xfId="165" applyNumberFormat="1"/>
    <xf numFmtId="0" fontId="98" fillId="0" borderId="0" xfId="165" applyFont="1" applyAlignment="1">
      <alignment vertical="center"/>
    </xf>
    <xf numFmtId="4" fontId="7" fillId="0" borderId="0" xfId="165" applyNumberFormat="1"/>
    <xf numFmtId="166" fontId="0" fillId="0" borderId="0" xfId="166" applyNumberFormat="1" applyFont="1" applyFill="1"/>
    <xf numFmtId="14" fontId="7" fillId="0" borderId="0" xfId="165" applyNumberFormat="1"/>
    <xf numFmtId="0" fontId="20" fillId="0" borderId="0" xfId="165" applyFont="1"/>
    <xf numFmtId="0" fontId="99" fillId="0" borderId="0" xfId="165" applyFont="1" applyAlignment="1">
      <alignment horizontal="left" vertical="center"/>
    </xf>
    <xf numFmtId="0" fontId="20" fillId="0" borderId="0" xfId="165" applyFont="1" applyAlignment="1">
      <alignment horizontal="center"/>
    </xf>
    <xf numFmtId="0" fontId="100" fillId="0" borderId="0" xfId="165" applyFont="1" applyAlignment="1">
      <alignment vertical="center"/>
    </xf>
    <xf numFmtId="0" fontId="37" fillId="0" borderId="0" xfId="165" applyFont="1" applyAlignment="1">
      <alignment horizontal="center"/>
    </xf>
    <xf numFmtId="0" fontId="55" fillId="0" borderId="0" xfId="165" applyFont="1"/>
    <xf numFmtId="179" fontId="101" fillId="11" borderId="0" xfId="165" applyNumberFormat="1" applyFont="1" applyFill="1"/>
    <xf numFmtId="0" fontId="102" fillId="0" borderId="0" xfId="165" applyFont="1" applyAlignment="1">
      <alignment horizontal="right" vertical="center"/>
    </xf>
    <xf numFmtId="10" fontId="102" fillId="0" borderId="0" xfId="165" applyNumberFormat="1" applyFont="1" applyAlignment="1">
      <alignment horizontal="center" vertical="center"/>
    </xf>
    <xf numFmtId="166" fontId="102" fillId="0" borderId="0" xfId="166" applyNumberFormat="1" applyFont="1" applyFill="1" applyBorder="1" applyAlignment="1">
      <alignment horizontal="center" vertical="center" wrapText="1"/>
    </xf>
    <xf numFmtId="0" fontId="103" fillId="0" borderId="0" xfId="165" applyFont="1" applyAlignment="1">
      <alignment horizontal="center" vertical="center" wrapText="1"/>
    </xf>
    <xf numFmtId="0" fontId="102" fillId="0" borderId="0" xfId="165" applyFont="1" applyAlignment="1">
      <alignment vertical="center" wrapText="1"/>
    </xf>
    <xf numFmtId="10" fontId="102" fillId="0" borderId="0" xfId="165" applyNumberFormat="1" applyFont="1" applyAlignment="1">
      <alignment horizontal="center" vertical="center" wrapText="1"/>
    </xf>
    <xf numFmtId="6" fontId="104" fillId="0" borderId="0" xfId="165" applyNumberFormat="1" applyFont="1" applyAlignment="1">
      <alignment vertical="center" wrapText="1"/>
    </xf>
    <xf numFmtId="10" fontId="104" fillId="0" borderId="0" xfId="165" applyNumberFormat="1" applyFont="1" applyAlignment="1">
      <alignment vertical="center" wrapText="1"/>
    </xf>
    <xf numFmtId="171" fontId="7" fillId="0" borderId="0" xfId="165" applyNumberFormat="1"/>
    <xf numFmtId="166" fontId="53" fillId="0" borderId="0" xfId="23" applyNumberFormat="1" applyFont="1" applyAlignment="1">
      <alignment wrapText="1"/>
    </xf>
    <xf numFmtId="5" fontId="53" fillId="0" borderId="11" xfId="23" applyNumberFormat="1" applyFont="1" applyBorder="1"/>
    <xf numFmtId="0" fontId="7" fillId="0" borderId="21" xfId="165" applyBorder="1" applyAlignment="1">
      <alignment horizontal="center" wrapText="1"/>
    </xf>
    <xf numFmtId="0" fontId="6" fillId="0" borderId="0" xfId="167"/>
    <xf numFmtId="0" fontId="6" fillId="0" borderId="21" xfId="167" applyBorder="1" applyAlignment="1">
      <alignment horizontal="center"/>
    </xf>
    <xf numFmtId="0" fontId="6" fillId="0" borderId="21" xfId="167" applyBorder="1" applyAlignment="1">
      <alignment horizontal="center" wrapText="1"/>
    </xf>
    <xf numFmtId="179" fontId="101" fillId="11" borderId="0" xfId="167" applyNumberFormat="1" applyFont="1" applyFill="1"/>
    <xf numFmtId="179" fontId="101" fillId="0" borderId="0" xfId="167" applyNumberFormat="1" applyFont="1"/>
    <xf numFmtId="179" fontId="6" fillId="0" borderId="0" xfId="167" applyNumberFormat="1"/>
    <xf numFmtId="0" fontId="58" fillId="0" borderId="0" xfId="167" applyFont="1"/>
    <xf numFmtId="171" fontId="53" fillId="0" borderId="0" xfId="150" applyNumberFormat="1" applyFont="1" applyFill="1" applyBorder="1"/>
    <xf numFmtId="166" fontId="53" fillId="0" borderId="0" xfId="0" applyNumberFormat="1" applyFont="1"/>
    <xf numFmtId="166" fontId="53" fillId="0" borderId="1" xfId="0" applyNumberFormat="1" applyFont="1" applyBorder="1"/>
    <xf numFmtId="10" fontId="53" fillId="0" borderId="0" xfId="27" applyNumberFormat="1" applyFont="1" applyFill="1" applyBorder="1"/>
    <xf numFmtId="37" fontId="94" fillId="0" borderId="0" xfId="103" applyNumberFormat="1" applyFont="1"/>
    <xf numFmtId="166" fontId="54" fillId="0" borderId="11" xfId="23" applyNumberFormat="1" applyFont="1" applyBorder="1"/>
    <xf numFmtId="166" fontId="53" fillId="0" borderId="16" xfId="1" applyNumberFormat="1" applyFont="1" applyFill="1" applyBorder="1"/>
    <xf numFmtId="166" fontId="53" fillId="0" borderId="16" xfId="2" applyNumberFormat="1" applyFont="1" applyFill="1" applyBorder="1"/>
    <xf numFmtId="166" fontId="53" fillId="0" borderId="16" xfId="149" applyNumberFormat="1" applyFont="1" applyBorder="1"/>
    <xf numFmtId="166" fontId="53" fillId="0" borderId="19" xfId="149" applyNumberFormat="1" applyFont="1" applyBorder="1"/>
    <xf numFmtId="164" fontId="53" fillId="0" borderId="16" xfId="1" applyNumberFormat="1" applyFont="1" applyFill="1" applyBorder="1"/>
    <xf numFmtId="164" fontId="53" fillId="0" borderId="23" xfId="1" applyNumberFormat="1" applyFont="1" applyFill="1" applyBorder="1"/>
    <xf numFmtId="170" fontId="79" fillId="7" borderId="0" xfId="103" quotePrefix="1" applyNumberFormat="1" applyFont="1" applyFill="1" applyAlignment="1">
      <alignment horizontal="right"/>
    </xf>
    <xf numFmtId="170" fontId="79" fillId="7" borderId="0" xfId="103" applyNumberFormat="1" applyFont="1" applyFill="1"/>
    <xf numFmtId="1" fontId="79" fillId="7" borderId="0" xfId="103" applyNumberFormat="1" applyFont="1" applyFill="1"/>
    <xf numFmtId="170" fontId="79" fillId="7" borderId="21" xfId="103" applyNumberFormat="1" applyFont="1" applyFill="1" applyBorder="1"/>
    <xf numFmtId="0" fontId="65" fillId="7" borderId="21" xfId="103" applyFont="1" applyFill="1" applyBorder="1"/>
    <xf numFmtId="0" fontId="67" fillId="0" borderId="0" xfId="103" quotePrefix="1" applyFont="1" applyAlignment="1">
      <alignment horizontal="left"/>
    </xf>
    <xf numFmtId="10" fontId="57" fillId="0" borderId="0" xfId="27" applyNumberFormat="1" applyFont="1" applyFill="1" applyBorder="1"/>
    <xf numFmtId="10" fontId="53" fillId="0" borderId="21" xfId="27" applyNumberFormat="1" applyFont="1" applyFill="1" applyBorder="1"/>
    <xf numFmtId="166" fontId="53" fillId="0" borderId="11" xfId="2" applyNumberFormat="1" applyFont="1" applyBorder="1"/>
    <xf numFmtId="166" fontId="53" fillId="0" borderId="11" xfId="2" applyNumberFormat="1" applyFont="1" applyBorder="1" applyAlignment="1">
      <alignment horizontal="center"/>
    </xf>
    <xf numFmtId="166" fontId="53" fillId="0" borderId="11" xfId="2" applyNumberFormat="1" applyFont="1" applyFill="1" applyBorder="1" applyAlignment="1">
      <alignment horizontal="center"/>
    </xf>
    <xf numFmtId="166" fontId="53" fillId="0" borderId="11" xfId="2" applyNumberFormat="1" applyFont="1" applyFill="1" applyBorder="1"/>
    <xf numFmtId="166" fontId="53" fillId="0" borderId="44" xfId="0" applyNumberFormat="1" applyFont="1" applyBorder="1"/>
    <xf numFmtId="0" fontId="65" fillId="0" borderId="0" xfId="103" quotePrefix="1" applyFont="1" applyAlignment="1">
      <alignment wrapText="1"/>
    </xf>
    <xf numFmtId="0" fontId="53" fillId="0" borderId="42" xfId="23" applyFont="1" applyBorder="1" applyAlignment="1">
      <alignment horizontal="right"/>
    </xf>
    <xf numFmtId="0" fontId="53" fillId="0" borderId="41" xfId="23" applyFont="1" applyBorder="1" applyAlignment="1">
      <alignment horizontal="left" indent="1"/>
    </xf>
    <xf numFmtId="0" fontId="53" fillId="0" borderId="28" xfId="23" applyFont="1" applyBorder="1"/>
    <xf numFmtId="0" fontId="53" fillId="0" borderId="21" xfId="23" applyFont="1" applyBorder="1" applyAlignment="1">
      <alignment horizontal="right"/>
    </xf>
    <xf numFmtId="10" fontId="53" fillId="0" borderId="41" xfId="3" applyNumberFormat="1" applyFont="1" applyFill="1" applyBorder="1"/>
    <xf numFmtId="0" fontId="53" fillId="0" borderId="41" xfId="23" applyFont="1" applyBorder="1" applyAlignment="1">
      <alignment horizontal="left"/>
    </xf>
    <xf numFmtId="5" fontId="53" fillId="0" borderId="1" xfId="141" applyNumberFormat="1" applyFont="1" applyBorder="1" applyAlignment="1"/>
    <xf numFmtId="5" fontId="38" fillId="0" borderId="27" xfId="169" applyNumberFormat="1" applyFont="1" applyBorder="1" applyAlignment="1">
      <alignment horizontal="right" vertical="center"/>
    </xf>
    <xf numFmtId="193" fontId="38" fillId="0" borderId="26" xfId="169" applyNumberFormat="1" applyFont="1" applyBorder="1" applyAlignment="1">
      <alignment horizontal="right" vertical="center"/>
    </xf>
    <xf numFmtId="5" fontId="38" fillId="0" borderId="0" xfId="169" applyNumberFormat="1" applyFont="1" applyBorder="1" applyAlignment="1">
      <alignment horizontal="right" vertical="center"/>
    </xf>
    <xf numFmtId="0" fontId="38" fillId="0" borderId="27" xfId="168" applyFont="1" applyBorder="1" applyAlignment="1">
      <alignment vertical="center"/>
    </xf>
    <xf numFmtId="194" fontId="38" fillId="0" borderId="0" xfId="168" quotePrefix="1" applyNumberFormat="1" applyFont="1" applyAlignment="1">
      <alignment horizontal="center" vertical="center"/>
    </xf>
    <xf numFmtId="5" fontId="106" fillId="0" borderId="27" xfId="168" applyNumberFormat="1" applyFont="1" applyBorder="1" applyAlignment="1">
      <alignment horizontal="right" vertical="center"/>
    </xf>
    <xf numFmtId="0" fontId="38" fillId="0" borderId="26" xfId="168" applyFont="1" applyBorder="1" applyAlignment="1">
      <alignment horizontal="right" vertical="center"/>
    </xf>
    <xf numFmtId="5" fontId="38" fillId="0" borderId="27" xfId="168" applyNumberFormat="1" applyFont="1" applyBorder="1" applyAlignment="1">
      <alignment horizontal="right" vertical="center"/>
    </xf>
    <xf numFmtId="177" fontId="38" fillId="0" borderId="26" xfId="168" applyNumberFormat="1" applyFont="1" applyBorder="1" applyAlignment="1">
      <alignment horizontal="right" vertical="center" wrapText="1"/>
    </xf>
    <xf numFmtId="37" fontId="38" fillId="0" borderId="27" xfId="168" applyNumberFormat="1" applyFont="1" applyBorder="1" applyAlignment="1">
      <alignment horizontal="right" vertical="center"/>
    </xf>
    <xf numFmtId="176" fontId="38" fillId="0" borderId="0" xfId="169" applyNumberFormat="1" applyFont="1" applyBorder="1" applyAlignment="1">
      <alignment vertical="center"/>
    </xf>
    <xf numFmtId="5" fontId="38" fillId="0" borderId="27" xfId="168" applyNumberFormat="1" applyFont="1" applyBorder="1" applyAlignment="1">
      <alignment horizontal="right" vertical="center" wrapText="1"/>
    </xf>
    <xf numFmtId="5" fontId="38" fillId="0" borderId="27" xfId="168" quotePrefix="1" applyNumberFormat="1" applyFont="1" applyBorder="1" applyAlignment="1">
      <alignment horizontal="right" vertical="center" wrapText="1"/>
    </xf>
    <xf numFmtId="3" fontId="38" fillId="0" borderId="26" xfId="168" quotePrefix="1" applyNumberFormat="1" applyFont="1" applyBorder="1" applyAlignment="1">
      <alignment horizontal="right" vertical="center" wrapText="1"/>
    </xf>
    <xf numFmtId="3" fontId="38" fillId="0" borderId="27" xfId="168" applyNumberFormat="1" applyFont="1" applyBorder="1" applyAlignment="1">
      <alignment vertical="center"/>
    </xf>
    <xf numFmtId="3" fontId="38" fillId="0" borderId="27" xfId="168" quotePrefix="1" applyNumberFormat="1" applyFont="1" applyBorder="1" applyAlignment="1">
      <alignment horizontal="center" vertical="center" wrapText="1"/>
    </xf>
    <xf numFmtId="3" fontId="38" fillId="0" borderId="26" xfId="168" quotePrefix="1" applyNumberFormat="1" applyFont="1" applyBorder="1" applyAlignment="1">
      <alignment horizontal="center" vertical="center" wrapText="1"/>
    </xf>
    <xf numFmtId="3" fontId="107" fillId="0" borderId="0" xfId="168" applyNumberFormat="1" applyFont="1" applyAlignment="1">
      <alignment horizontal="center" vertical="center" wrapText="1"/>
    </xf>
    <xf numFmtId="3" fontId="108" fillId="0" borderId="27" xfId="168" applyNumberFormat="1" applyFont="1" applyBorder="1" applyAlignment="1">
      <alignment horizontal="center" vertical="center" wrapText="1"/>
    </xf>
    <xf numFmtId="3" fontId="38" fillId="0" borderId="0" xfId="168" applyNumberFormat="1" applyFont="1" applyAlignment="1">
      <alignment horizontal="center" vertical="center"/>
    </xf>
    <xf numFmtId="3" fontId="38" fillId="0" borderId="27" xfId="168" applyNumberFormat="1" applyFont="1" applyBorder="1" applyAlignment="1">
      <alignment horizontal="center" vertical="center"/>
    </xf>
    <xf numFmtId="5" fontId="38" fillId="0" borderId="27" xfId="169" applyNumberFormat="1" applyFont="1" applyFill="1" applyBorder="1" applyAlignment="1">
      <alignment horizontal="right" vertical="center"/>
    </xf>
    <xf numFmtId="196" fontId="38" fillId="0" borderId="26" xfId="168" applyNumberFormat="1" applyFont="1" applyBorder="1" applyAlignment="1" applyProtection="1">
      <alignment horizontal="right" vertical="center"/>
      <protection locked="0"/>
    </xf>
    <xf numFmtId="3" fontId="38" fillId="0" borderId="26" xfId="168" applyNumberFormat="1" applyFont="1" applyBorder="1" applyAlignment="1">
      <alignment horizontal="right" vertical="center"/>
    </xf>
    <xf numFmtId="3" fontId="108" fillId="0" borderId="27" xfId="168" applyNumberFormat="1" applyFont="1" applyBorder="1" applyAlignment="1">
      <alignment vertical="center"/>
    </xf>
    <xf numFmtId="197" fontId="38" fillId="0" borderId="0" xfId="168" quotePrefix="1" applyNumberFormat="1" applyFont="1" applyAlignment="1">
      <alignment horizontal="center" vertical="center"/>
    </xf>
    <xf numFmtId="5" fontId="38" fillId="0" borderId="27" xfId="168" applyNumberFormat="1" applyFont="1" applyBorder="1" applyAlignment="1">
      <alignment vertical="center"/>
    </xf>
    <xf numFmtId="5" fontId="108" fillId="0" borderId="27" xfId="168" applyNumberFormat="1" applyFont="1" applyBorder="1" applyAlignment="1">
      <alignment horizontal="right" vertical="center"/>
    </xf>
    <xf numFmtId="3" fontId="38" fillId="0" borderId="26" xfId="168" applyNumberFormat="1" applyFont="1" applyBorder="1" applyAlignment="1">
      <alignment horizontal="right" vertical="center" wrapText="1"/>
    </xf>
    <xf numFmtId="194" fontId="38" fillId="0" borderId="0" xfId="168" applyNumberFormat="1" applyFont="1" applyAlignment="1">
      <alignment horizontal="center" vertical="center"/>
    </xf>
    <xf numFmtId="3" fontId="38" fillId="0" borderId="4" xfId="168" applyNumberFormat="1" applyFont="1" applyBorder="1" applyAlignment="1">
      <alignment horizontal="centerContinuous" vertical="center"/>
    </xf>
    <xf numFmtId="3" fontId="38" fillId="0" borderId="42" xfId="168" applyNumberFormat="1" applyFont="1" applyBorder="1" applyAlignment="1">
      <alignment horizontal="centerContinuous" vertical="center"/>
    </xf>
    <xf numFmtId="3" fontId="38" fillId="0" borderId="41" xfId="168" applyNumberFormat="1" applyFont="1" applyBorder="1" applyAlignment="1">
      <alignment horizontal="centerContinuous" vertical="center"/>
    </xf>
    <xf numFmtId="3" fontId="38" fillId="0" borderId="26" xfId="168" applyNumberFormat="1" applyFont="1" applyBorder="1" applyAlignment="1">
      <alignment horizontal="center" vertical="center"/>
    </xf>
    <xf numFmtId="3" fontId="107" fillId="0" borderId="26" xfId="168" applyNumberFormat="1" applyFont="1" applyBorder="1" applyAlignment="1">
      <alignment vertical="center"/>
    </xf>
    <xf numFmtId="3" fontId="38" fillId="0" borderId="0" xfId="168" applyNumberFormat="1" applyFont="1" applyAlignment="1">
      <alignment vertical="center"/>
    </xf>
    <xf numFmtId="3" fontId="38" fillId="0" borderId="0" xfId="168" quotePrefix="1" applyNumberFormat="1" applyFont="1" applyAlignment="1">
      <alignment horizontal="center" vertical="center" wrapText="1"/>
    </xf>
    <xf numFmtId="3" fontId="38" fillId="0" borderId="26" xfId="168" applyNumberFormat="1" applyFont="1" applyBorder="1" applyAlignment="1">
      <alignment vertical="center"/>
    </xf>
    <xf numFmtId="5" fontId="106" fillId="0" borderId="0" xfId="168" applyNumberFormat="1" applyFont="1" applyAlignment="1">
      <alignment horizontal="right" vertical="center"/>
    </xf>
    <xf numFmtId="5" fontId="38" fillId="0" borderId="0" xfId="168" quotePrefix="1" applyNumberFormat="1" applyFont="1" applyAlignment="1">
      <alignment horizontal="right" vertical="center" wrapText="1"/>
    </xf>
    <xf numFmtId="7" fontId="38" fillId="0" borderId="0" xfId="168" applyNumberFormat="1" applyFont="1" applyAlignment="1">
      <alignment horizontal="right" vertical="center"/>
    </xf>
    <xf numFmtId="5" fontId="38" fillId="0" borderId="0" xfId="168" applyNumberFormat="1" applyFont="1" applyAlignment="1">
      <alignment horizontal="right" vertical="center" wrapText="1"/>
    </xf>
    <xf numFmtId="179" fontId="38" fillId="0" borderId="0" xfId="168" applyNumberFormat="1" applyFont="1" applyAlignment="1">
      <alignment horizontal="right" vertical="center"/>
    </xf>
    <xf numFmtId="170" fontId="38" fillId="0" borderId="0" xfId="168" applyNumberFormat="1" applyFont="1" applyAlignment="1">
      <alignment vertical="center"/>
    </xf>
    <xf numFmtId="5" fontId="38" fillId="0" borderId="0" xfId="168" applyNumberFormat="1" applyFont="1" applyAlignment="1">
      <alignment horizontal="right" vertical="center"/>
    </xf>
    <xf numFmtId="0" fontId="38" fillId="0" borderId="26" xfId="168" applyFont="1" applyBorder="1" applyAlignment="1">
      <alignment vertical="center"/>
    </xf>
    <xf numFmtId="0" fontId="38" fillId="0" borderId="0" xfId="168" applyFont="1" applyAlignment="1">
      <alignment vertical="center"/>
    </xf>
    <xf numFmtId="3" fontId="107" fillId="0" borderId="24" xfId="168" applyNumberFormat="1" applyFont="1" applyBorder="1" applyAlignment="1">
      <alignment vertical="center"/>
    </xf>
    <xf numFmtId="3" fontId="38" fillId="0" borderId="1" xfId="168" applyNumberFormat="1" applyFont="1" applyBorder="1" applyAlignment="1">
      <alignment vertical="center"/>
    </xf>
    <xf numFmtId="3" fontId="38" fillId="0" borderId="25" xfId="168" applyNumberFormat="1" applyFont="1" applyBorder="1" applyAlignment="1">
      <alignment vertical="center"/>
    </xf>
    <xf numFmtId="3" fontId="38" fillId="0" borderId="24" xfId="168" quotePrefix="1" applyNumberFormat="1" applyFont="1" applyBorder="1" applyAlignment="1">
      <alignment horizontal="center" vertical="center" wrapText="1"/>
    </xf>
    <xf numFmtId="3" fontId="38" fillId="0" borderId="25" xfId="168" quotePrefix="1" applyNumberFormat="1" applyFont="1" applyBorder="1" applyAlignment="1">
      <alignment horizontal="center" vertical="center" wrapText="1"/>
    </xf>
    <xf numFmtId="3" fontId="108" fillId="0" borderId="26" xfId="168" applyNumberFormat="1" applyFont="1" applyBorder="1" applyAlignment="1">
      <alignment vertical="center"/>
    </xf>
    <xf numFmtId="3" fontId="108" fillId="0" borderId="0" xfId="168" applyNumberFormat="1" applyFont="1" applyAlignment="1">
      <alignment vertical="center"/>
    </xf>
    <xf numFmtId="3" fontId="38" fillId="0" borderId="26" xfId="168" applyNumberFormat="1" applyFont="1" applyBorder="1" applyAlignment="1">
      <alignment vertical="center" wrapText="1"/>
    </xf>
    <xf numFmtId="198" fontId="38" fillId="0" borderId="0" xfId="168" applyNumberFormat="1" applyFont="1" applyAlignment="1">
      <alignment vertical="center"/>
    </xf>
    <xf numFmtId="0" fontId="53" fillId="0" borderId="13" xfId="140" applyFont="1" applyBorder="1"/>
    <xf numFmtId="0" fontId="53" fillId="0" borderId="15" xfId="140" applyFont="1" applyBorder="1"/>
    <xf numFmtId="5" fontId="53" fillId="0" borderId="0" xfId="141" applyNumberFormat="1" applyFont="1" applyBorder="1" applyAlignment="1"/>
    <xf numFmtId="177" fontId="53" fillId="0" borderId="0" xfId="142" applyNumberFormat="1" applyFont="1" applyBorder="1" applyAlignment="1"/>
    <xf numFmtId="166" fontId="53" fillId="0" borderId="16" xfId="0" applyNumberFormat="1" applyFont="1" applyBorder="1"/>
    <xf numFmtId="177" fontId="53" fillId="0" borderId="0" xfId="142" applyNumberFormat="1" applyFont="1" applyFill="1" applyBorder="1" applyAlignment="1"/>
    <xf numFmtId="166" fontId="53" fillId="0" borderId="19" xfId="3" applyNumberFormat="1" applyFont="1" applyBorder="1"/>
    <xf numFmtId="164" fontId="53" fillId="0" borderId="0" xfId="149" applyNumberFormat="1" applyFont="1"/>
    <xf numFmtId="164" fontId="53" fillId="0" borderId="0" xfId="0" applyNumberFormat="1" applyFont="1"/>
    <xf numFmtId="0" fontId="54" fillId="0" borderId="0" xfId="140" quotePrefix="1" applyFont="1" applyAlignment="1">
      <alignment horizontal="center"/>
    </xf>
    <xf numFmtId="5" fontId="53" fillId="0" borderId="13" xfId="141" applyNumberFormat="1" applyFont="1" applyBorder="1" applyAlignment="1"/>
    <xf numFmtId="177" fontId="53" fillId="0" borderId="13" xfId="142" applyNumberFormat="1" applyFont="1" applyBorder="1" applyAlignment="1"/>
    <xf numFmtId="178" fontId="53" fillId="0" borderId="15" xfId="140" applyNumberFormat="1" applyFont="1" applyBorder="1"/>
    <xf numFmtId="178" fontId="53" fillId="0" borderId="16" xfId="140" applyNumberFormat="1" applyFont="1" applyBorder="1"/>
    <xf numFmtId="0" fontId="61" fillId="0" borderId="0" xfId="140" applyFont="1" applyAlignment="1">
      <alignment horizontal="center" vertical="center"/>
    </xf>
    <xf numFmtId="170" fontId="53" fillId="0" borderId="0" xfId="142" applyNumberFormat="1" applyFont="1" applyBorder="1" applyAlignment="1"/>
    <xf numFmtId="170" fontId="53" fillId="0" borderId="0" xfId="140" applyNumberFormat="1" applyFont="1"/>
    <xf numFmtId="0" fontId="57" fillId="0" borderId="0" xfId="140" applyFont="1" applyAlignment="1">
      <alignment horizontal="left" vertical="center"/>
    </xf>
    <xf numFmtId="0" fontId="53" fillId="0" borderId="0" xfId="140" applyFont="1" applyAlignment="1">
      <alignment vertical="center"/>
    </xf>
    <xf numFmtId="0" fontId="53" fillId="0" borderId="0" xfId="140" applyFont="1" applyAlignment="1">
      <alignment horizontal="center" vertical="center"/>
    </xf>
    <xf numFmtId="0" fontId="53" fillId="0" borderId="0" xfId="140" quotePrefix="1" applyFont="1" applyAlignment="1">
      <alignment horizontal="left"/>
    </xf>
    <xf numFmtId="43" fontId="53" fillId="0" borderId="0" xfId="141" applyFont="1" applyFill="1" applyBorder="1" applyAlignment="1"/>
    <xf numFmtId="5" fontId="53" fillId="0" borderId="0" xfId="140" applyNumberFormat="1" applyFont="1"/>
    <xf numFmtId="5" fontId="53" fillId="0" borderId="16" xfId="140" applyNumberFormat="1" applyFont="1" applyBorder="1"/>
    <xf numFmtId="0" fontId="38" fillId="0" borderId="0" xfId="168" applyFont="1"/>
    <xf numFmtId="0" fontId="38" fillId="0" borderId="41" xfId="168" applyFont="1" applyBorder="1" applyAlignment="1">
      <alignment horizontal="centerContinuous"/>
    </xf>
    <xf numFmtId="0" fontId="38" fillId="0" borderId="24" xfId="168" applyFont="1" applyBorder="1"/>
    <xf numFmtId="0" fontId="38" fillId="0" borderId="1" xfId="168" applyFont="1" applyBorder="1"/>
    <xf numFmtId="0" fontId="38" fillId="0" borderId="11" xfId="168" applyFont="1" applyBorder="1"/>
    <xf numFmtId="0" fontId="38" fillId="0" borderId="27" xfId="168" applyFont="1" applyBorder="1" applyAlignment="1">
      <alignment horizontal="center"/>
    </xf>
    <xf numFmtId="0" fontId="38" fillId="0" borderId="26" xfId="168" applyFont="1" applyBorder="1" applyAlignment="1">
      <alignment horizontal="center"/>
    </xf>
    <xf numFmtId="0" fontId="108" fillId="0" borderId="26" xfId="168" applyFont="1" applyBorder="1" applyAlignment="1">
      <alignment horizontal="center"/>
    </xf>
    <xf numFmtId="178" fontId="38" fillId="0" borderId="26" xfId="170" applyNumberFormat="1" applyFont="1" applyBorder="1" applyAlignment="1">
      <alignment horizontal="right" vertical="center"/>
    </xf>
    <xf numFmtId="44" fontId="38" fillId="0" borderId="26" xfId="168" applyNumberFormat="1" applyFont="1" applyBorder="1" applyAlignment="1">
      <alignment horizontal="right" vertical="center"/>
    </xf>
    <xf numFmtId="195" fontId="38" fillId="0" borderId="0" xfId="168" applyNumberFormat="1" applyFont="1"/>
    <xf numFmtId="177" fontId="38" fillId="0" borderId="26" xfId="168" applyNumberFormat="1" applyFont="1" applyBorder="1" applyAlignment="1">
      <alignment horizontal="right" vertical="center"/>
    </xf>
    <xf numFmtId="179" fontId="38" fillId="0" borderId="26" xfId="168" applyNumberFormat="1" applyFont="1" applyBorder="1" applyAlignment="1">
      <alignment horizontal="right" vertical="center"/>
    </xf>
    <xf numFmtId="0" fontId="38" fillId="0" borderId="26" xfId="168" applyFont="1" applyBorder="1"/>
    <xf numFmtId="37" fontId="38" fillId="0" borderId="27" xfId="168" applyNumberFormat="1" applyFont="1" applyBorder="1"/>
    <xf numFmtId="0" fontId="38" fillId="0" borderId="27" xfId="168" applyFont="1" applyBorder="1"/>
    <xf numFmtId="0" fontId="107" fillId="0" borderId="28" xfId="168" applyFont="1" applyBorder="1"/>
    <xf numFmtId="0" fontId="38" fillId="0" borderId="21" xfId="168" applyFont="1" applyBorder="1"/>
    <xf numFmtId="0" fontId="38" fillId="0" borderId="29" xfId="168" applyFont="1" applyBorder="1"/>
    <xf numFmtId="0" fontId="38" fillId="0" borderId="28" xfId="168" applyFont="1" applyBorder="1"/>
    <xf numFmtId="7" fontId="38" fillId="0" borderId="0" xfId="168" applyNumberFormat="1" applyFont="1"/>
    <xf numFmtId="7" fontId="38" fillId="0" borderId="26" xfId="168" applyNumberFormat="1" applyFont="1" applyBorder="1"/>
    <xf numFmtId="179" fontId="38" fillId="0" borderId="0" xfId="168" applyNumberFormat="1" applyFont="1"/>
    <xf numFmtId="179" fontId="38" fillId="0" borderId="26" xfId="168" applyNumberFormat="1" applyFont="1" applyBorder="1"/>
    <xf numFmtId="7" fontId="38" fillId="0" borderId="21" xfId="168" applyNumberFormat="1" applyFont="1" applyBorder="1"/>
    <xf numFmtId="7" fontId="38" fillId="0" borderId="28" xfId="168" applyNumberFormat="1" applyFont="1" applyBorder="1"/>
    <xf numFmtId="0" fontId="38" fillId="0" borderId="0" xfId="168" quotePrefix="1" applyFont="1" applyAlignment="1">
      <alignment horizontal="center"/>
    </xf>
    <xf numFmtId="0" fontId="38" fillId="0" borderId="25" xfId="168" applyFont="1" applyBorder="1"/>
    <xf numFmtId="5" fontId="106" fillId="0" borderId="27" xfId="168" applyNumberFormat="1" applyFont="1" applyBorder="1"/>
    <xf numFmtId="5" fontId="38" fillId="0" borderId="27" xfId="168" applyNumberFormat="1" applyFont="1" applyBorder="1"/>
    <xf numFmtId="37" fontId="108" fillId="0" borderId="27" xfId="168" applyNumberFormat="1" applyFont="1" applyBorder="1" applyAlignment="1">
      <alignment horizontal="right" vertical="center"/>
    </xf>
    <xf numFmtId="5" fontId="108" fillId="0" borderId="27" xfId="168" applyNumberFormat="1" applyFont="1" applyBorder="1"/>
    <xf numFmtId="7" fontId="38" fillId="0" borderId="0" xfId="169" applyNumberFormat="1" applyFont="1" applyBorder="1"/>
    <xf numFmtId="166" fontId="53" fillId="0" borderId="1" xfId="23" applyNumberFormat="1" applyFont="1" applyBorder="1"/>
    <xf numFmtId="0" fontId="54" fillId="0" borderId="0" xfId="171" applyFont="1"/>
    <xf numFmtId="0" fontId="85" fillId="0" borderId="0" xfId="171" applyFont="1"/>
    <xf numFmtId="0" fontId="110" fillId="0" borderId="0" xfId="171" applyFont="1" applyAlignment="1">
      <alignment horizontal="center"/>
    </xf>
    <xf numFmtId="0" fontId="110" fillId="0" borderId="0" xfId="171" applyFont="1"/>
    <xf numFmtId="0" fontId="53" fillId="0" borderId="0" xfId="171" applyFont="1"/>
    <xf numFmtId="0" fontId="4" fillId="0" borderId="0" xfId="172"/>
    <xf numFmtId="0" fontId="111" fillId="0" borderId="0" xfId="171" applyFont="1" applyAlignment="1">
      <alignment horizontal="centerContinuous"/>
    </xf>
    <xf numFmtId="0" fontId="111" fillId="0" borderId="0" xfId="171" applyFont="1" applyAlignment="1">
      <alignment horizontal="center"/>
    </xf>
    <xf numFmtId="0" fontId="112" fillId="0" borderId="0" xfId="171" applyFont="1" applyAlignment="1">
      <alignment wrapText="1"/>
    </xf>
    <xf numFmtId="0" fontId="112" fillId="0" borderId="0" xfId="171" applyFont="1" applyAlignment="1">
      <alignment horizontal="centerContinuous"/>
    </xf>
    <xf numFmtId="0" fontId="112" fillId="0" borderId="0" xfId="171" applyFont="1" applyAlignment="1">
      <alignment horizontal="center"/>
    </xf>
    <xf numFmtId="0" fontId="112" fillId="0" borderId="0" xfId="171" applyFont="1" applyAlignment="1">
      <alignment horizontal="center" wrapText="1"/>
    </xf>
    <xf numFmtId="0" fontId="86" fillId="0" borderId="0" xfId="171" applyFont="1" applyAlignment="1">
      <alignment horizontal="center" wrapText="1"/>
    </xf>
    <xf numFmtId="0" fontId="53" fillId="0" borderId="0" xfId="171" applyFont="1" applyAlignment="1">
      <alignment horizontal="center" wrapText="1"/>
    </xf>
    <xf numFmtId="0" fontId="110" fillId="0" borderId="0" xfId="171" applyFont="1" applyAlignment="1">
      <alignment horizontal="center" wrapText="1"/>
    </xf>
    <xf numFmtId="0" fontId="53" fillId="0" borderId="0" xfId="171" applyFont="1" applyAlignment="1">
      <alignment horizontal="left" vertical="top"/>
    </xf>
    <xf numFmtId="0" fontId="53" fillId="0" borderId="0" xfId="171" applyFont="1" applyAlignment="1">
      <alignment horizontal="center" vertical="top"/>
    </xf>
    <xf numFmtId="170" fontId="110" fillId="0" borderId="0" xfId="171" applyNumberFormat="1" applyFont="1" applyAlignment="1">
      <alignment horizontal="center"/>
    </xf>
    <xf numFmtId="44" fontId="110" fillId="0" borderId="0" xfId="171" applyNumberFormat="1" applyFont="1" applyAlignment="1">
      <alignment horizontal="center"/>
    </xf>
    <xf numFmtId="44" fontId="110" fillId="0" borderId="0" xfId="173" applyFont="1" applyAlignment="1">
      <alignment horizontal="center"/>
    </xf>
    <xf numFmtId="0" fontId="113" fillId="0" borderId="0" xfId="171" applyFont="1"/>
    <xf numFmtId="0" fontId="113" fillId="0" borderId="0" xfId="171" applyFont="1" applyAlignment="1">
      <alignment horizontal="center"/>
    </xf>
    <xf numFmtId="0" fontId="110" fillId="0" borderId="0" xfId="171" applyFont="1" applyAlignment="1">
      <alignment horizontal="right"/>
    </xf>
    <xf numFmtId="166" fontId="110" fillId="0" borderId="0" xfId="171" applyNumberFormat="1" applyFont="1" applyAlignment="1">
      <alignment horizontal="center"/>
    </xf>
    <xf numFmtId="44" fontId="110" fillId="0" borderId="0" xfId="171" applyNumberFormat="1" applyFont="1"/>
    <xf numFmtId="166" fontId="110" fillId="0" borderId="1" xfId="171" applyNumberFormat="1" applyFont="1" applyBorder="1" applyAlignment="1">
      <alignment horizontal="center"/>
    </xf>
    <xf numFmtId="164" fontId="110" fillId="0" borderId="0" xfId="174" applyNumberFormat="1" applyFont="1" applyAlignment="1">
      <alignment horizontal="center"/>
    </xf>
    <xf numFmtId="177" fontId="61" fillId="0" borderId="0" xfId="75" applyNumberFormat="1" applyFont="1" applyFill="1" applyBorder="1" applyAlignment="1">
      <alignment horizontal="center"/>
    </xf>
    <xf numFmtId="166" fontId="53" fillId="0" borderId="16" xfId="3" applyNumberFormat="1" applyFont="1" applyBorder="1"/>
    <xf numFmtId="0" fontId="53" fillId="0" borderId="18" xfId="140" quotePrefix="1" applyFont="1" applyBorder="1" applyAlignment="1">
      <alignment horizontal="left"/>
    </xf>
    <xf numFmtId="0" fontId="53" fillId="0" borderId="18" xfId="140" applyFont="1" applyBorder="1"/>
    <xf numFmtId="10" fontId="53" fillId="0" borderId="19" xfId="143" applyNumberFormat="1" applyFont="1" applyFill="1" applyBorder="1"/>
    <xf numFmtId="0" fontId="38" fillId="0" borderId="0" xfId="168" applyFont="1" applyAlignment="1">
      <alignment horizontal="center"/>
    </xf>
    <xf numFmtId="0" fontId="108" fillId="0" borderId="0" xfId="168" applyFont="1" applyAlignment="1">
      <alignment horizontal="center"/>
    </xf>
    <xf numFmtId="3" fontId="38" fillId="0" borderId="21" xfId="168" applyNumberFormat="1" applyFont="1" applyBorder="1" applyAlignment="1">
      <alignment vertical="center"/>
    </xf>
    <xf numFmtId="3" fontId="38" fillId="0" borderId="29" xfId="168" quotePrefix="1" applyNumberFormat="1" applyFont="1" applyBorder="1" applyAlignment="1">
      <alignment horizontal="center" vertical="center" wrapText="1"/>
    </xf>
    <xf numFmtId="3" fontId="38" fillId="0" borderId="28" xfId="168" quotePrefix="1" applyNumberFormat="1" applyFont="1" applyBorder="1" applyAlignment="1">
      <alignment horizontal="center" vertical="center" wrapText="1"/>
    </xf>
    <xf numFmtId="3" fontId="38" fillId="0" borderId="21" xfId="168" quotePrefix="1" applyNumberFormat="1" applyFont="1" applyBorder="1" applyAlignment="1">
      <alignment horizontal="center" vertical="center" wrapText="1"/>
    </xf>
    <xf numFmtId="0" fontId="105" fillId="0" borderId="0" xfId="168"/>
    <xf numFmtId="0" fontId="105" fillId="0" borderId="0" xfId="168" applyAlignment="1">
      <alignment horizontal="center"/>
    </xf>
    <xf numFmtId="166" fontId="105" fillId="0" borderId="29" xfId="168" applyNumberFormat="1" applyBorder="1"/>
    <xf numFmtId="164" fontId="0" fillId="0" borderId="21" xfId="176" applyNumberFormat="1" applyFont="1" applyBorder="1"/>
    <xf numFmtId="171" fontId="0" fillId="0" borderId="28" xfId="177" applyNumberFormat="1" applyFont="1" applyBorder="1"/>
    <xf numFmtId="171" fontId="0" fillId="0" borderId="21" xfId="177" applyNumberFormat="1" applyFont="1" applyBorder="1"/>
    <xf numFmtId="164" fontId="51" fillId="0" borderId="28" xfId="178" applyNumberFormat="1" applyFont="1" applyFill="1" applyBorder="1"/>
    <xf numFmtId="0" fontId="105" fillId="0" borderId="20" xfId="168" applyBorder="1" applyAlignment="1">
      <alignment horizontal="center"/>
    </xf>
    <xf numFmtId="164" fontId="51" fillId="0" borderId="26" xfId="178" applyNumberFormat="1" applyFont="1" applyBorder="1"/>
    <xf numFmtId="0" fontId="105" fillId="0" borderId="43" xfId="168" applyBorder="1" applyAlignment="1">
      <alignment horizontal="center"/>
    </xf>
    <xf numFmtId="166" fontId="105" fillId="0" borderId="27" xfId="168" applyNumberFormat="1" applyBorder="1"/>
    <xf numFmtId="164" fontId="0" fillId="0" borderId="0" xfId="176" applyNumberFormat="1" applyFont="1" applyBorder="1"/>
    <xf numFmtId="171" fontId="0" fillId="0" borderId="26" xfId="177" applyNumberFormat="1" applyFont="1" applyBorder="1"/>
    <xf numFmtId="171" fontId="0" fillId="0" borderId="0" xfId="177" applyNumberFormat="1" applyFont="1" applyBorder="1"/>
    <xf numFmtId="166" fontId="105" fillId="0" borderId="25" xfId="168" applyNumberFormat="1" applyBorder="1"/>
    <xf numFmtId="164" fontId="0" fillId="0" borderId="1" xfId="176" applyNumberFormat="1" applyFont="1" applyBorder="1"/>
    <xf numFmtId="171" fontId="0" fillId="0" borderId="24" xfId="177" applyNumberFormat="1" applyFont="1" applyBorder="1"/>
    <xf numFmtId="171" fontId="0" fillId="0" borderId="1" xfId="177" applyNumberFormat="1" applyFont="1" applyBorder="1"/>
    <xf numFmtId="164" fontId="51" fillId="0" borderId="24" xfId="178" applyNumberFormat="1" applyFont="1" applyBorder="1"/>
    <xf numFmtId="0" fontId="32" fillId="0" borderId="45" xfId="168" applyFont="1" applyBorder="1" applyAlignment="1">
      <alignment horizontal="center" wrapText="1"/>
    </xf>
    <xf numFmtId="0" fontId="105" fillId="0" borderId="22" xfId="168" applyBorder="1" applyAlignment="1">
      <alignment horizontal="center"/>
    </xf>
    <xf numFmtId="0" fontId="105" fillId="0" borderId="0" xfId="168" applyAlignment="1">
      <alignment horizontal="centerContinuous"/>
    </xf>
    <xf numFmtId="0" fontId="115" fillId="0" borderId="0" xfId="168" applyFont="1"/>
    <xf numFmtId="166" fontId="0" fillId="0" borderId="0" xfId="177" applyNumberFormat="1" applyFont="1" applyBorder="1"/>
    <xf numFmtId="0" fontId="116" fillId="0" borderId="0" xfId="168" applyFont="1" applyAlignment="1">
      <alignment horizontal="left"/>
    </xf>
    <xf numFmtId="3" fontId="38" fillId="0" borderId="0" xfId="168" applyNumberFormat="1" applyFont="1" applyAlignment="1">
      <alignment horizontal="left"/>
    </xf>
    <xf numFmtId="164" fontId="21" fillId="0" borderId="0" xfId="168" applyNumberFormat="1" applyFont="1"/>
    <xf numFmtId="166" fontId="105" fillId="0" borderId="0" xfId="177" applyNumberFormat="1" applyFont="1" applyBorder="1"/>
    <xf numFmtId="185" fontId="21" fillId="0" borderId="0" xfId="168" applyNumberFormat="1" applyFont="1"/>
    <xf numFmtId="166" fontId="0" fillId="0" borderId="29" xfId="177" applyNumberFormat="1" applyFont="1" applyBorder="1"/>
    <xf numFmtId="164" fontId="0" fillId="0" borderId="21" xfId="178" applyNumberFormat="1" applyFont="1" applyBorder="1"/>
    <xf numFmtId="166" fontId="105" fillId="0" borderId="29" xfId="177" applyNumberFormat="1" applyFont="1" applyBorder="1"/>
    <xf numFmtId="171" fontId="105" fillId="0" borderId="28" xfId="177" applyNumberFormat="1" applyFont="1" applyBorder="1"/>
    <xf numFmtId="166" fontId="0" fillId="0" borderId="27" xfId="177" applyNumberFormat="1" applyFont="1" applyFill="1" applyBorder="1"/>
    <xf numFmtId="164" fontId="21" fillId="0" borderId="0" xfId="178" applyNumberFormat="1" applyFont="1" applyFill="1" applyBorder="1"/>
    <xf numFmtId="171" fontId="21" fillId="0" borderId="26" xfId="177" applyNumberFormat="1" applyFont="1" applyFill="1" applyBorder="1"/>
    <xf numFmtId="166" fontId="105" fillId="0" borderId="27" xfId="177" applyNumberFormat="1" applyFont="1" applyFill="1" applyBorder="1"/>
    <xf numFmtId="171" fontId="21" fillId="0" borderId="0" xfId="177" applyNumberFormat="1" applyFont="1" applyFill="1" applyBorder="1"/>
    <xf numFmtId="0" fontId="51" fillId="0" borderId="26" xfId="168" applyFont="1" applyBorder="1"/>
    <xf numFmtId="164" fontId="0" fillId="0" borderId="0" xfId="178" applyNumberFormat="1" applyFont="1" applyBorder="1"/>
    <xf numFmtId="164" fontId="105" fillId="0" borderId="21" xfId="178" applyNumberFormat="1" applyFont="1" applyBorder="1"/>
    <xf numFmtId="0" fontId="105" fillId="0" borderId="21" xfId="168" applyBorder="1"/>
    <xf numFmtId="171" fontId="105" fillId="0" borderId="21" xfId="177" applyNumberFormat="1" applyFont="1" applyBorder="1"/>
    <xf numFmtId="166" fontId="0" fillId="0" borderId="27" xfId="177" applyNumberFormat="1" applyFont="1" applyBorder="1"/>
    <xf numFmtId="164" fontId="105" fillId="0" borderId="0" xfId="178" applyNumberFormat="1" applyFont="1" applyBorder="1"/>
    <xf numFmtId="171" fontId="105" fillId="0" borderId="26" xfId="177" applyNumberFormat="1" applyFont="1" applyBorder="1"/>
    <xf numFmtId="166" fontId="105" fillId="0" borderId="27" xfId="177" applyNumberFormat="1" applyFont="1" applyBorder="1"/>
    <xf numFmtId="171" fontId="105" fillId="0" borderId="0" xfId="177" applyNumberFormat="1" applyFont="1" applyBorder="1"/>
    <xf numFmtId="164" fontId="0" fillId="0" borderId="27" xfId="178" applyNumberFormat="1" applyFont="1" applyBorder="1"/>
    <xf numFmtId="164" fontId="105" fillId="0" borderId="26" xfId="178" applyNumberFormat="1" applyFont="1" applyBorder="1"/>
    <xf numFmtId="164" fontId="105" fillId="0" borderId="27" xfId="178" applyNumberFormat="1" applyFont="1" applyBorder="1"/>
    <xf numFmtId="166" fontId="0" fillId="0" borderId="25" xfId="177" applyNumberFormat="1" applyFont="1" applyBorder="1"/>
    <xf numFmtId="164" fontId="0" fillId="0" borderId="1" xfId="178" applyNumberFormat="1" applyFont="1" applyBorder="1"/>
    <xf numFmtId="185" fontId="105" fillId="0" borderId="0" xfId="168" applyNumberFormat="1" applyAlignment="1">
      <alignment horizontal="centerContinuous"/>
    </xf>
    <xf numFmtId="0" fontId="115" fillId="0" borderId="0" xfId="168" applyFont="1" applyAlignment="1">
      <alignment horizontal="left"/>
    </xf>
    <xf numFmtId="3" fontId="117" fillId="0" borderId="0" xfId="168" applyNumberFormat="1" applyFont="1" applyAlignment="1">
      <alignment horizontal="center"/>
    </xf>
    <xf numFmtId="0" fontId="118" fillId="0" borderId="0" xfId="168" applyFont="1" applyAlignment="1">
      <alignment horizontal="centerContinuous"/>
    </xf>
    <xf numFmtId="3" fontId="117" fillId="0" borderId="0" xfId="168" applyNumberFormat="1" applyFont="1" applyAlignment="1">
      <alignment horizontal="centerContinuous" vertical="center"/>
    </xf>
    <xf numFmtId="0" fontId="3" fillId="0" borderId="0" xfId="179"/>
    <xf numFmtId="171" fontId="3" fillId="0" borderId="0" xfId="179" applyNumberFormat="1"/>
    <xf numFmtId="0" fontId="0" fillId="0" borderId="0" xfId="179" applyFont="1"/>
    <xf numFmtId="171" fontId="0" fillId="0" borderId="0" xfId="180" applyNumberFormat="1" applyFont="1"/>
    <xf numFmtId="0" fontId="3" fillId="0" borderId="0" xfId="179" applyAlignment="1">
      <alignment horizontal="center"/>
    </xf>
    <xf numFmtId="171" fontId="51" fillId="0" borderId="0" xfId="180" applyNumberFormat="1" applyFont="1" applyFill="1"/>
    <xf numFmtId="0" fontId="51" fillId="0" borderId="0" xfId="179" quotePrefix="1" applyFont="1"/>
    <xf numFmtId="0" fontId="51" fillId="0" borderId="0" xfId="179" applyFont="1" applyAlignment="1">
      <alignment horizontal="center"/>
    </xf>
    <xf numFmtId="171" fontId="119" fillId="0" borderId="0" xfId="180" applyNumberFormat="1" applyFont="1" applyFill="1" applyBorder="1"/>
    <xf numFmtId="0" fontId="114" fillId="0" borderId="0" xfId="179" applyFont="1" applyAlignment="1">
      <alignment horizontal="left"/>
    </xf>
    <xf numFmtId="0" fontId="114" fillId="0" borderId="11" xfId="179" applyFont="1" applyBorder="1" applyAlignment="1">
      <alignment horizontal="left"/>
    </xf>
    <xf numFmtId="0" fontId="32" fillId="0" borderId="11" xfId="179" applyFont="1" applyBorder="1" applyAlignment="1">
      <alignment horizontal="center" wrapText="1"/>
    </xf>
    <xf numFmtId="0" fontId="32" fillId="0" borderId="11" xfId="179" applyFont="1" applyBorder="1" applyAlignment="1">
      <alignment horizontal="left"/>
    </xf>
    <xf numFmtId="0" fontId="51" fillId="0" borderId="0" xfId="179" applyFont="1"/>
    <xf numFmtId="0" fontId="32" fillId="0" borderId="0" xfId="179" applyFont="1"/>
    <xf numFmtId="171" fontId="62" fillId="0" borderId="0" xfId="179" applyNumberFormat="1" applyFont="1"/>
    <xf numFmtId="171" fontId="0" fillId="0" borderId="0" xfId="180" applyNumberFormat="1" applyFont="1" applyFill="1"/>
    <xf numFmtId="171" fontId="0" fillId="0" borderId="0" xfId="180" applyNumberFormat="1" applyFont="1" applyFill="1" applyBorder="1"/>
    <xf numFmtId="171" fontId="51" fillId="0" borderId="0" xfId="180" applyNumberFormat="1" applyFont="1" applyFill="1" applyBorder="1"/>
    <xf numFmtId="0" fontId="51" fillId="0" borderId="0" xfId="179" applyFont="1" applyAlignment="1">
      <alignment horizontal="left"/>
    </xf>
    <xf numFmtId="171" fontId="0" fillId="0" borderId="0" xfId="180" applyNumberFormat="1" applyFont="1" applyBorder="1"/>
    <xf numFmtId="0" fontId="120" fillId="0" borderId="0" xfId="179" applyFont="1"/>
    <xf numFmtId="172" fontId="3" fillId="0" borderId="0" xfId="179" applyNumberFormat="1"/>
    <xf numFmtId="171" fontId="0" fillId="0" borderId="0" xfId="179" applyNumberFormat="1" applyFont="1"/>
    <xf numFmtId="171" fontId="51" fillId="0" borderId="0" xfId="180" applyNumberFormat="1" applyFont="1"/>
    <xf numFmtId="171" fontId="51" fillId="0" borderId="0" xfId="180" applyNumberFormat="1" applyFont="1" applyBorder="1"/>
    <xf numFmtId="0" fontId="55" fillId="0" borderId="0" xfId="179" applyFont="1"/>
    <xf numFmtId="0" fontId="121" fillId="0" borderId="0" xfId="179" applyFont="1"/>
    <xf numFmtId="176" fontId="0" fillId="0" borderId="0" xfId="181" applyNumberFormat="1" applyFont="1" applyBorder="1"/>
    <xf numFmtId="171" fontId="0" fillId="0" borderId="0" xfId="181" applyNumberFormat="1" applyFont="1" applyBorder="1"/>
    <xf numFmtId="43" fontId="0" fillId="0" borderId="0" xfId="182" applyFont="1"/>
    <xf numFmtId="43" fontId="51" fillId="0" borderId="0" xfId="182" applyFont="1"/>
    <xf numFmtId="0" fontId="3" fillId="0" borderId="0" xfId="179" applyAlignment="1">
      <alignment horizontal="left"/>
    </xf>
    <xf numFmtId="171" fontId="122" fillId="0" borderId="0" xfId="180" applyNumberFormat="1" applyFont="1" applyBorder="1"/>
    <xf numFmtId="0" fontId="64" fillId="0" borderId="0" xfId="179" applyFont="1" applyAlignment="1">
      <alignment horizontal="right"/>
    </xf>
    <xf numFmtId="15" fontId="121" fillId="0" borderId="0" xfId="179" applyNumberFormat="1" applyFont="1"/>
    <xf numFmtId="171" fontId="122" fillId="0" borderId="0" xfId="179" applyNumberFormat="1" applyFont="1"/>
    <xf numFmtId="171" fontId="123" fillId="0" borderId="0" xfId="180" applyNumberFormat="1" applyFont="1"/>
    <xf numFmtId="171" fontId="124" fillId="0" borderId="0" xfId="180" applyNumberFormat="1" applyFont="1" applyFill="1" applyBorder="1"/>
    <xf numFmtId="0" fontId="114" fillId="0" borderId="0" xfId="179" applyFont="1" applyAlignment="1">
      <alignment horizontal="right"/>
    </xf>
    <xf numFmtId="171" fontId="124" fillId="0" borderId="0" xfId="180" applyNumberFormat="1" applyFont="1"/>
    <xf numFmtId="0" fontId="20" fillId="0" borderId="0" xfId="179" applyFont="1"/>
    <xf numFmtId="43" fontId="0" fillId="0" borderId="0" xfId="182" applyFont="1" applyFill="1"/>
    <xf numFmtId="171" fontId="122" fillId="0" borderId="0" xfId="180" applyNumberFormat="1" applyFont="1" applyFill="1" applyBorder="1"/>
    <xf numFmtId="0" fontId="122" fillId="0" borderId="0" xfId="179" applyFont="1" applyAlignment="1">
      <alignment horizontal="right"/>
    </xf>
    <xf numFmtId="0" fontId="122" fillId="0" borderId="0" xfId="179" applyFont="1"/>
    <xf numFmtId="171" fontId="123" fillId="0" borderId="0" xfId="180" applyNumberFormat="1" applyFont="1" applyFill="1"/>
    <xf numFmtId="171" fontId="124" fillId="0" borderId="0" xfId="180" applyNumberFormat="1" applyFont="1" applyBorder="1"/>
    <xf numFmtId="0" fontId="124" fillId="0" borderId="0" xfId="179" applyFont="1" applyAlignment="1">
      <alignment horizontal="right"/>
    </xf>
    <xf numFmtId="171" fontId="122" fillId="0" borderId="0" xfId="180" applyNumberFormat="1" applyFont="1" applyFill="1"/>
    <xf numFmtId="0" fontId="123" fillId="0" borderId="0" xfId="179" applyFont="1"/>
    <xf numFmtId="15" fontId="3" fillId="0" borderId="0" xfId="179" quotePrefix="1" applyNumberFormat="1" applyAlignment="1">
      <alignment horizontal="center"/>
    </xf>
    <xf numFmtId="0" fontId="64" fillId="0" borderId="0" xfId="179" applyFont="1" applyAlignment="1">
      <alignment horizontal="center"/>
    </xf>
    <xf numFmtId="44" fontId="0" fillId="0" borderId="0" xfId="180" applyFont="1"/>
    <xf numFmtId="44" fontId="51" fillId="0" borderId="0" xfId="180" applyFont="1" applyBorder="1"/>
    <xf numFmtId="0" fontId="51" fillId="0" borderId="21" xfId="179" applyFont="1" applyBorder="1" applyAlignment="1">
      <alignment horizontal="center"/>
    </xf>
    <xf numFmtId="15" fontId="3" fillId="0" borderId="0" xfId="179" quotePrefix="1" applyNumberFormat="1"/>
    <xf numFmtId="15" fontId="51" fillId="0" borderId="0" xfId="179" quotePrefix="1" applyNumberFormat="1" applyFont="1" applyAlignment="1">
      <alignment horizontal="center"/>
    </xf>
    <xf numFmtId="0" fontId="125" fillId="0" borderId="0" xfId="179" applyFont="1" applyAlignment="1">
      <alignment horizontal="centerContinuous"/>
    </xf>
    <xf numFmtId="0" fontId="126" fillId="0" borderId="0" xfId="179" applyFont="1"/>
    <xf numFmtId="0" fontId="42" fillId="0" borderId="0" xfId="179" applyFont="1"/>
    <xf numFmtId="171" fontId="127" fillId="0" borderId="0" xfId="180" applyNumberFormat="1" applyFont="1" applyFill="1" applyBorder="1"/>
    <xf numFmtId="171" fontId="128" fillId="0" borderId="11" xfId="180" applyNumberFormat="1" applyFont="1" applyFill="1" applyBorder="1"/>
    <xf numFmtId="0" fontId="7" fillId="0" borderId="0" xfId="165" quotePrefix="1" applyAlignment="1">
      <alignment horizontal="center"/>
    </xf>
    <xf numFmtId="0" fontId="77" fillId="0" borderId="0" xfId="165" applyFont="1" applyAlignment="1">
      <alignment horizontal="center"/>
    </xf>
    <xf numFmtId="0" fontId="7" fillId="0" borderId="21" xfId="165" quotePrefix="1" applyBorder="1" applyAlignment="1">
      <alignment horizontal="center" wrapText="1"/>
    </xf>
    <xf numFmtId="0" fontId="21" fillId="0" borderId="21" xfId="165" quotePrefix="1" applyFont="1" applyBorder="1" applyAlignment="1">
      <alignment horizontal="center" wrapText="1"/>
    </xf>
    <xf numFmtId="4" fontId="7" fillId="0" borderId="0" xfId="165" applyNumberFormat="1" applyAlignment="1">
      <alignment horizontal="right"/>
    </xf>
    <xf numFmtId="166" fontId="7" fillId="0" borderId="0" xfId="165" applyNumberFormat="1"/>
    <xf numFmtId="166" fontId="0" fillId="0" borderId="21" xfId="166" applyNumberFormat="1" applyFont="1" applyFill="1" applyBorder="1"/>
    <xf numFmtId="3" fontId="7" fillId="0" borderId="21" xfId="165" applyNumberFormat="1" applyBorder="1"/>
    <xf numFmtId="166" fontId="0" fillId="0" borderId="0" xfId="166" applyNumberFormat="1" applyFont="1" applyFill="1" applyBorder="1"/>
    <xf numFmtId="0" fontId="55" fillId="0" borderId="0" xfId="172" applyFont="1"/>
    <xf numFmtId="0" fontId="58" fillId="0" borderId="0" xfId="183" applyFont="1"/>
    <xf numFmtId="170" fontId="91" fillId="0" borderId="0" xfId="154" applyNumberFormat="1" applyFont="1" applyAlignment="1">
      <alignment horizontal="center"/>
    </xf>
    <xf numFmtId="0" fontId="58" fillId="0" borderId="0" xfId="0" applyFont="1" applyAlignment="1">
      <alignment horizontal="center"/>
    </xf>
    <xf numFmtId="164" fontId="53" fillId="0" borderId="0" xfId="1" applyNumberFormat="1" applyFont="1" applyFill="1"/>
    <xf numFmtId="0" fontId="20" fillId="0" borderId="0" xfId="0" applyFont="1"/>
    <xf numFmtId="0" fontId="60" fillId="12" borderId="0" xfId="147" applyFont="1" applyFill="1" applyAlignment="1">
      <alignment horizontal="left"/>
    </xf>
    <xf numFmtId="0" fontId="37" fillId="12" borderId="0" xfId="0" applyFont="1" applyFill="1"/>
    <xf numFmtId="0" fontId="20" fillId="12" borderId="0" xfId="0" applyFont="1" applyFill="1"/>
    <xf numFmtId="0" fontId="54" fillId="0" borderId="0" xfId="0" applyFont="1" applyAlignment="1">
      <alignment horizontal="left"/>
    </xf>
    <xf numFmtId="0" fontId="54" fillId="0" borderId="0" xfId="0" applyFont="1" applyAlignment="1">
      <alignment horizontal="center"/>
    </xf>
    <xf numFmtId="9" fontId="54" fillId="0" borderId="0" xfId="3" applyFont="1" applyAlignment="1">
      <alignment horizontal="center" wrapText="1"/>
    </xf>
    <xf numFmtId="0" fontId="54" fillId="0" borderId="22" xfId="0" applyFont="1" applyBorder="1"/>
    <xf numFmtId="0" fontId="53" fillId="0" borderId="0" xfId="0" applyFont="1" applyAlignment="1">
      <alignment wrapText="1"/>
    </xf>
    <xf numFmtId="0" fontId="54" fillId="0" borderId="11" xfId="0" applyFont="1" applyBorder="1"/>
    <xf numFmtId="0" fontId="53" fillId="0" borderId="11" xfId="0" applyFont="1" applyBorder="1"/>
    <xf numFmtId="0" fontId="54" fillId="0" borderId="20" xfId="0" applyFont="1" applyBorder="1"/>
    <xf numFmtId="44" fontId="53" fillId="0" borderId="11" xfId="2" applyFont="1" applyFill="1" applyBorder="1"/>
    <xf numFmtId="44" fontId="53" fillId="0" borderId="11" xfId="0" applyNumberFormat="1" applyFont="1" applyBorder="1"/>
    <xf numFmtId="9" fontId="53" fillId="0" borderId="11" xfId="3" applyFont="1" applyFill="1" applyBorder="1"/>
    <xf numFmtId="10" fontId="53" fillId="0" borderId="0" xfId="3" applyNumberFormat="1" applyFont="1"/>
    <xf numFmtId="175" fontId="53" fillId="0" borderId="11" xfId="2" applyNumberFormat="1" applyFont="1" applyFill="1" applyBorder="1"/>
    <xf numFmtId="175" fontId="53" fillId="0" borderId="0" xfId="2" applyNumberFormat="1" applyFont="1" applyFill="1" applyBorder="1"/>
    <xf numFmtId="44" fontId="53" fillId="0" borderId="0" xfId="0" applyNumberFormat="1" applyFont="1"/>
    <xf numFmtId="8" fontId="53" fillId="0" borderId="11" xfId="2" applyNumberFormat="1" applyFont="1" applyFill="1" applyBorder="1"/>
    <xf numFmtId="0" fontId="53" fillId="0" borderId="11" xfId="0" applyFont="1" applyBorder="1" applyAlignment="1">
      <alignment horizontal="left" indent="1"/>
    </xf>
    <xf numFmtId="175" fontId="53" fillId="0" borderId="0" xfId="0" applyNumberFormat="1" applyFont="1"/>
    <xf numFmtId="0" fontId="61" fillId="0" borderId="0" xfId="0" applyFont="1" applyAlignment="1">
      <alignment horizontal="center"/>
    </xf>
    <xf numFmtId="0" fontId="85" fillId="0" borderId="0" xfId="0" applyFont="1"/>
    <xf numFmtId="0" fontId="57" fillId="0" borderId="0" xfId="0" applyFont="1"/>
    <xf numFmtId="0" fontId="54" fillId="0" borderId="0" xfId="0" applyFont="1"/>
    <xf numFmtId="0" fontId="53" fillId="0" borderId="0" xfId="149" applyFont="1" applyAlignment="1">
      <alignment horizontal="left" indent="2"/>
    </xf>
    <xf numFmtId="171" fontId="53" fillId="0" borderId="0" xfId="0" applyNumberFormat="1" applyFont="1"/>
    <xf numFmtId="0" fontId="54" fillId="0" borderId="21" xfId="0" applyFont="1" applyBorder="1"/>
    <xf numFmtId="0" fontId="53" fillId="0" borderId="21" xfId="0" applyFont="1" applyBorder="1" applyAlignment="1">
      <alignment horizontal="center" wrapText="1"/>
    </xf>
    <xf numFmtId="43" fontId="53" fillId="0" borderId="0" xfId="1" applyFont="1" applyFill="1" applyBorder="1"/>
    <xf numFmtId="43" fontId="53" fillId="0" borderId="0" xfId="0" applyNumberFormat="1" applyFont="1"/>
    <xf numFmtId="43" fontId="53" fillId="0" borderId="0" xfId="1" applyFont="1"/>
    <xf numFmtId="191" fontId="53" fillId="0" borderId="0" xfId="1" applyNumberFormat="1" applyFont="1" applyFill="1"/>
    <xf numFmtId="44" fontId="53" fillId="0" borderId="21" xfId="0" applyNumberFormat="1" applyFont="1" applyBorder="1"/>
    <xf numFmtId="43" fontId="53" fillId="0" borderId="21" xfId="0" applyNumberFormat="1" applyFont="1" applyBorder="1"/>
    <xf numFmtId="43" fontId="53" fillId="0" borderId="21" xfId="1" applyFont="1" applyBorder="1"/>
    <xf numFmtId="0" fontId="53" fillId="0" borderId="0" xfId="0" applyFont="1" applyAlignment="1">
      <alignment horizontal="right"/>
    </xf>
    <xf numFmtId="0" fontId="53" fillId="0" borderId="0" xfId="0" applyFont="1" applyAlignment="1">
      <alignment horizontal="left"/>
    </xf>
    <xf numFmtId="8" fontId="53" fillId="0" borderId="0" xfId="0" applyNumberFormat="1" applyFont="1"/>
    <xf numFmtId="192" fontId="53" fillId="0" borderId="0" xfId="0" applyNumberFormat="1" applyFont="1"/>
    <xf numFmtId="0" fontId="57" fillId="0" borderId="0" xfId="0" applyFont="1" applyAlignment="1">
      <alignment horizontal="center"/>
    </xf>
    <xf numFmtId="7" fontId="53" fillId="0" borderId="0" xfId="0" applyNumberFormat="1" applyFont="1" applyAlignment="1">
      <alignment horizontal="center"/>
    </xf>
    <xf numFmtId="7" fontId="53" fillId="0" borderId="21" xfId="0" applyNumberFormat="1" applyFont="1" applyBorder="1" applyAlignment="1">
      <alignment horizontal="center"/>
    </xf>
    <xf numFmtId="44" fontId="53" fillId="0" borderId="1" xfId="0" applyNumberFormat="1" applyFont="1" applyBorder="1"/>
    <xf numFmtId="0" fontId="53" fillId="0" borderId="0" xfId="140" quotePrefix="1" applyFont="1" applyAlignment="1">
      <alignment horizontal="center"/>
    </xf>
    <xf numFmtId="0" fontId="54" fillId="0" borderId="13" xfId="0" applyFont="1" applyBorder="1"/>
    <xf numFmtId="179" fontId="53" fillId="0" borderId="13" xfId="140" applyNumberFormat="1" applyFont="1" applyBorder="1" applyAlignment="1">
      <alignment vertical="center"/>
    </xf>
    <xf numFmtId="179" fontId="53" fillId="0" borderId="0" xfId="140" applyNumberFormat="1" applyFont="1" applyAlignment="1">
      <alignment vertical="center"/>
    </xf>
    <xf numFmtId="0" fontId="53" fillId="0" borderId="16" xfId="140" applyFont="1" applyBorder="1"/>
    <xf numFmtId="9" fontId="53" fillId="0" borderId="0" xfId="3" applyFont="1"/>
    <xf numFmtId="170" fontId="53" fillId="0" borderId="0" xfId="142" applyNumberFormat="1" applyFont="1" applyFill="1" applyBorder="1" applyAlignment="1"/>
    <xf numFmtId="3" fontId="53" fillId="0" borderId="0" xfId="140" applyNumberFormat="1" applyFont="1"/>
    <xf numFmtId="5" fontId="53" fillId="0" borderId="16" xfId="141" applyNumberFormat="1" applyFont="1" applyBorder="1" applyAlignment="1"/>
    <xf numFmtId="0" fontId="54" fillId="0" borderId="0" xfId="149" applyFont="1"/>
    <xf numFmtId="178" fontId="53" fillId="0" borderId="18" xfId="140" applyNumberFormat="1" applyFont="1" applyBorder="1"/>
    <xf numFmtId="166" fontId="53" fillId="0" borderId="16" xfId="15" applyNumberFormat="1" applyFont="1" applyFill="1" applyBorder="1"/>
    <xf numFmtId="166" fontId="53" fillId="0" borderId="44" xfId="149" applyNumberFormat="1" applyFont="1" applyBorder="1"/>
    <xf numFmtId="0" fontId="53" fillId="0" borderId="18" xfId="149" applyFont="1" applyBorder="1"/>
    <xf numFmtId="0" fontId="53" fillId="0" borderId="0" xfId="140" quotePrefix="1" applyFont="1" applyAlignment="1">
      <alignment horizontal="right"/>
    </xf>
    <xf numFmtId="178" fontId="54" fillId="0" borderId="0" xfId="140" applyNumberFormat="1" applyFont="1"/>
    <xf numFmtId="0" fontId="53" fillId="0" borderId="0" xfId="0" applyFont="1" applyAlignment="1">
      <alignment horizontal="centerContinuous"/>
    </xf>
    <xf numFmtId="0" fontId="54" fillId="0" borderId="0" xfId="0" applyFont="1" applyAlignment="1">
      <alignment horizontal="center" wrapText="1"/>
    </xf>
    <xf numFmtId="0" fontId="54" fillId="0" borderId="0" xfId="149" applyFont="1" applyAlignment="1">
      <alignment horizontal="center" vertical="center"/>
    </xf>
    <xf numFmtId="0" fontId="53" fillId="0" borderId="13" xfId="0" applyFont="1" applyBorder="1"/>
    <xf numFmtId="0" fontId="53" fillId="0" borderId="15" xfId="0" applyFont="1" applyBorder="1"/>
    <xf numFmtId="0" fontId="53" fillId="0" borderId="13" xfId="149" applyFont="1" applyBorder="1"/>
    <xf numFmtId="44" fontId="53" fillId="0" borderId="0" xfId="1" applyNumberFormat="1" applyFont="1" applyFill="1" applyBorder="1"/>
    <xf numFmtId="171" fontId="53" fillId="0" borderId="0" xfId="2" applyNumberFormat="1" applyFont="1" applyBorder="1"/>
    <xf numFmtId="0" fontId="53" fillId="0" borderId="16" xfId="0" applyFont="1" applyBorder="1"/>
    <xf numFmtId="164" fontId="61" fillId="0" borderId="0" xfId="152" applyNumberFormat="1" applyFont="1" applyBorder="1"/>
    <xf numFmtId="0" fontId="53" fillId="0" borderId="0" xfId="149" applyFont="1" applyAlignment="1">
      <alignment horizontal="left" indent="1"/>
    </xf>
    <xf numFmtId="44" fontId="53" fillId="0" borderId="0" xfId="150" applyFont="1" applyFill="1" applyBorder="1"/>
    <xf numFmtId="166" fontId="53" fillId="0" borderId="18" xfId="149" applyNumberFormat="1" applyFont="1" applyBorder="1"/>
    <xf numFmtId="10" fontId="53" fillId="0" borderId="18" xfId="27" applyNumberFormat="1" applyFont="1" applyFill="1" applyBorder="1"/>
    <xf numFmtId="166" fontId="53" fillId="0" borderId="15" xfId="2" applyNumberFormat="1" applyFont="1" applyFill="1" applyBorder="1"/>
    <xf numFmtId="166" fontId="53" fillId="0" borderId="13" xfId="2" applyNumberFormat="1" applyFont="1" applyFill="1" applyBorder="1"/>
    <xf numFmtId="164" fontId="53" fillId="0" borderId="0" xfId="0" quotePrefix="1" applyNumberFormat="1" applyFont="1"/>
    <xf numFmtId="174" fontId="53" fillId="0" borderId="0" xfId="1" applyNumberFormat="1" applyFont="1" applyFill="1" applyBorder="1"/>
    <xf numFmtId="166" fontId="53" fillId="0" borderId="0" xfId="2" applyNumberFormat="1" applyFont="1" applyFill="1"/>
    <xf numFmtId="164" fontId="53" fillId="0" borderId="18" xfId="0" quotePrefix="1" applyNumberFormat="1" applyFont="1" applyBorder="1"/>
    <xf numFmtId="174" fontId="53" fillId="0" borderId="18" xfId="1" applyNumberFormat="1" applyFont="1" applyFill="1" applyBorder="1"/>
    <xf numFmtId="166" fontId="53" fillId="0" borderId="18" xfId="0" applyNumberFormat="1" applyFont="1" applyBorder="1"/>
    <xf numFmtId="0" fontId="53" fillId="0" borderId="18" xfId="0" applyFont="1" applyBorder="1"/>
    <xf numFmtId="166" fontId="53" fillId="0" borderId="18" xfId="2" applyNumberFormat="1" applyFont="1" applyFill="1" applyBorder="1"/>
    <xf numFmtId="0" fontId="53" fillId="0" borderId="0" xfId="0" applyFont="1" applyAlignment="1">
      <alignment horizontal="left" indent="2"/>
    </xf>
    <xf numFmtId="0" fontId="53" fillId="0" borderId="21" xfId="0" applyFont="1" applyBorder="1"/>
    <xf numFmtId="0" fontId="53" fillId="0" borderId="0" xfId="0" applyFont="1" applyAlignment="1">
      <alignment horizontal="left" indent="1"/>
    </xf>
    <xf numFmtId="0" fontId="53" fillId="0" borderId="0" xfId="0" applyFont="1" applyAlignment="1">
      <alignment horizontal="left" indent="3"/>
    </xf>
    <xf numFmtId="166" fontId="53" fillId="0" borderId="1" xfId="2" applyNumberFormat="1" applyFont="1" applyFill="1" applyBorder="1"/>
    <xf numFmtId="166" fontId="53" fillId="0" borderId="21" xfId="2" applyNumberFormat="1" applyFont="1" applyFill="1" applyBorder="1"/>
    <xf numFmtId="176" fontId="53" fillId="0" borderId="0" xfId="3" applyNumberFormat="1" applyFont="1" applyFill="1" applyBorder="1"/>
    <xf numFmtId="166" fontId="53" fillId="0" borderId="18" xfId="15" applyNumberFormat="1" applyFont="1" applyFill="1" applyBorder="1"/>
    <xf numFmtId="166" fontId="53" fillId="0" borderId="21" xfId="15" applyNumberFormat="1" applyFont="1" applyFill="1" applyBorder="1"/>
    <xf numFmtId="166" fontId="53" fillId="0" borderId="13" xfId="15" applyNumberFormat="1" applyFont="1" applyFill="1" applyBorder="1"/>
    <xf numFmtId="166" fontId="53" fillId="0" borderId="15" xfId="15" applyNumberFormat="1" applyFont="1" applyFill="1" applyBorder="1"/>
    <xf numFmtId="5" fontId="53" fillId="0" borderId="0" xfId="0" applyNumberFormat="1" applyFont="1"/>
    <xf numFmtId="42" fontId="53" fillId="0" borderId="0" xfId="0" applyNumberFormat="1" applyFont="1"/>
    <xf numFmtId="0" fontId="0" fillId="12" borderId="0" xfId="0" applyFill="1"/>
    <xf numFmtId="0" fontId="1" fillId="12" borderId="0" xfId="0" applyFont="1" applyFill="1"/>
    <xf numFmtId="0" fontId="21" fillId="12" borderId="0" xfId="23" applyFill="1"/>
    <xf numFmtId="0" fontId="1" fillId="12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23" applyFont="1" applyAlignment="1">
      <alignment horizontal="center"/>
    </xf>
    <xf numFmtId="10" fontId="1" fillId="0" borderId="11" xfId="3" applyNumberFormat="1" applyFont="1" applyFill="1" applyBorder="1" applyAlignment="1">
      <alignment horizontal="center"/>
    </xf>
    <xf numFmtId="0" fontId="54" fillId="0" borderId="21" xfId="0" applyFont="1" applyBorder="1" applyAlignment="1">
      <alignment horizontal="center" wrapText="1"/>
    </xf>
    <xf numFmtId="0" fontId="1" fillId="0" borderId="0" xfId="149" applyFont="1"/>
    <xf numFmtId="0" fontId="1" fillId="0" borderId="0" xfId="0" applyFont="1" applyAlignment="1">
      <alignment horizontal="centerContinuous"/>
    </xf>
    <xf numFmtId="0" fontId="1" fillId="0" borderId="0" xfId="149" applyFont="1" applyAlignment="1">
      <alignment horizontal="left" indent="2"/>
    </xf>
    <xf numFmtId="164" fontId="1" fillId="0" borderId="0" xfId="1" applyNumberFormat="1" applyFont="1" applyFill="1" applyBorder="1"/>
    <xf numFmtId="166" fontId="1" fillId="0" borderId="0" xfId="1" applyNumberFormat="1" applyFont="1" applyFill="1" applyBorder="1"/>
    <xf numFmtId="166" fontId="1" fillId="0" borderId="0" xfId="0" applyNumberFormat="1" applyFont="1"/>
    <xf numFmtId="166" fontId="1" fillId="0" borderId="0" xfId="149" applyNumberFormat="1" applyFont="1"/>
    <xf numFmtId="166" fontId="1" fillId="0" borderId="0" xfId="2" applyNumberFormat="1" applyFont="1" applyFill="1" applyBorder="1"/>
    <xf numFmtId="10" fontId="1" fillId="0" borderId="0" xfId="27" applyNumberFormat="1" applyFont="1" applyFill="1" applyBorder="1"/>
    <xf numFmtId="166" fontId="1" fillId="0" borderId="0" xfId="15" applyNumberFormat="1" applyFont="1" applyFill="1" applyBorder="1"/>
    <xf numFmtId="164" fontId="1" fillId="0" borderId="0" xfId="0" quotePrefix="1" applyNumberFormat="1" applyFont="1"/>
    <xf numFmtId="174" fontId="1" fillId="0" borderId="0" xfId="1" applyNumberFormat="1" applyFont="1" applyFill="1" applyBorder="1"/>
    <xf numFmtId="166" fontId="1" fillId="0" borderId="0" xfId="2" applyNumberFormat="1" applyFont="1" applyFill="1"/>
    <xf numFmtId="164" fontId="1" fillId="0" borderId="0" xfId="152" applyNumberFormat="1" applyFont="1" applyBorder="1"/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indent="1"/>
    </xf>
    <xf numFmtId="43" fontId="1" fillId="0" borderId="0" xfId="1" applyFont="1" applyFill="1" applyBorder="1"/>
    <xf numFmtId="176" fontId="1" fillId="0" borderId="0" xfId="3" applyNumberFormat="1" applyFont="1" applyFill="1" applyBorder="1"/>
    <xf numFmtId="0" fontId="1" fillId="12" borderId="0" xfId="149" applyFont="1" applyFill="1"/>
    <xf numFmtId="43" fontId="1" fillId="0" borderId="0" xfId="175" applyFont="1" applyFill="1" applyAlignment="1">
      <alignment horizontal="center"/>
    </xf>
    <xf numFmtId="43" fontId="1" fillId="0" borderId="0" xfId="175" applyFont="1" applyAlignment="1">
      <alignment horizontal="center"/>
    </xf>
    <xf numFmtId="179" fontId="1" fillId="0" borderId="0" xfId="15" applyNumberFormat="1" applyFont="1"/>
    <xf numFmtId="10" fontId="1" fillId="0" borderId="0" xfId="27" applyNumberFormat="1" applyFont="1"/>
    <xf numFmtId="0" fontId="1" fillId="0" borderId="0" xfId="158" applyFont="1" applyAlignment="1">
      <alignment horizontal="center"/>
    </xf>
    <xf numFmtId="0" fontId="1" fillId="0" borderId="0" xfId="158" applyFont="1"/>
    <xf numFmtId="9" fontId="1" fillId="0" borderId="0" xfId="3" applyFont="1"/>
    <xf numFmtId="0" fontId="1" fillId="0" borderId="0" xfId="3" applyNumberFormat="1" applyFont="1" applyAlignment="1">
      <alignment horizontal="center"/>
    </xf>
    <xf numFmtId="9" fontId="1" fillId="0" borderId="0" xfId="3" applyFont="1" applyAlignment="1">
      <alignment horizontal="center"/>
    </xf>
    <xf numFmtId="43" fontId="1" fillId="0" borderId="0" xfId="1" applyFont="1" applyAlignment="1">
      <alignment horizontal="center"/>
    </xf>
    <xf numFmtId="177" fontId="1" fillId="0" borderId="0" xfId="75" applyNumberFormat="1" applyFont="1" applyAlignment="1">
      <alignment horizontal="center"/>
    </xf>
    <xf numFmtId="177" fontId="1" fillId="0" borderId="0" xfId="75" quotePrefix="1" applyNumberFormat="1" applyFont="1" applyAlignment="1">
      <alignment horizontal="center"/>
    </xf>
    <xf numFmtId="177" fontId="1" fillId="0" borderId="0" xfId="75" applyNumberFormat="1" applyFont="1" applyFill="1" applyAlignment="1">
      <alignment horizontal="center"/>
    </xf>
    <xf numFmtId="177" fontId="1" fillId="0" borderId="0" xfId="75" quotePrefix="1" applyNumberFormat="1" applyFont="1" applyFill="1" applyAlignment="1">
      <alignment horizontal="center"/>
    </xf>
    <xf numFmtId="0" fontId="1" fillId="0" borderId="0" xfId="165" applyFont="1"/>
    <xf numFmtId="0" fontId="1" fillId="0" borderId="0" xfId="165" applyFont="1" applyAlignment="1">
      <alignment horizontal="center" wrapText="1"/>
    </xf>
    <xf numFmtId="0" fontId="60" fillId="0" borderId="0" xfId="147" applyFont="1" applyFill="1" applyAlignment="1">
      <alignment horizontal="left"/>
    </xf>
    <xf numFmtId="5" fontId="94" fillId="0" borderId="0" xfId="23" applyNumberFormat="1" applyFont="1"/>
    <xf numFmtId="0" fontId="55" fillId="0" borderId="11" xfId="23" applyFont="1" applyBorder="1" applyAlignment="1">
      <alignment horizontal="center"/>
    </xf>
    <xf numFmtId="0" fontId="53" fillId="0" borderId="41" xfId="23" applyFont="1" applyBorder="1" applyAlignment="1">
      <alignment horizontal="right"/>
    </xf>
    <xf numFmtId="0" fontId="53" fillId="0" borderId="42" xfId="23" applyFont="1" applyBorder="1" applyAlignment="1">
      <alignment horizontal="right"/>
    </xf>
    <xf numFmtId="0" fontId="54" fillId="0" borderId="41" xfId="23" applyFont="1" applyBorder="1" applyAlignment="1">
      <alignment horizontal="left"/>
    </xf>
    <xf numFmtId="0" fontId="54" fillId="0" borderId="42" xfId="23" applyFont="1" applyBorder="1" applyAlignment="1">
      <alignment horizontal="left"/>
    </xf>
    <xf numFmtId="0" fontId="54" fillId="0" borderId="0" xfId="140" applyFont="1" applyAlignment="1">
      <alignment horizontal="center" wrapText="1"/>
    </xf>
    <xf numFmtId="3" fontId="114" fillId="0" borderId="18" xfId="168" applyNumberFormat="1" applyFont="1" applyBorder="1" applyAlignment="1">
      <alignment horizontal="center"/>
    </xf>
    <xf numFmtId="3" fontId="117" fillId="0" borderId="0" xfId="168" applyNumberFormat="1" applyFont="1" applyAlignment="1">
      <alignment horizontal="center"/>
    </xf>
    <xf numFmtId="0" fontId="115" fillId="0" borderId="0" xfId="168" applyFont="1" applyAlignment="1">
      <alignment horizontal="left"/>
    </xf>
    <xf numFmtId="0" fontId="42" fillId="0" borderId="0" xfId="179" applyFont="1" applyAlignment="1">
      <alignment horizontal="center"/>
    </xf>
    <xf numFmtId="0" fontId="126" fillId="0" borderId="0" xfId="179" applyFont="1" applyAlignment="1">
      <alignment horizontal="center"/>
    </xf>
    <xf numFmtId="0" fontId="45" fillId="0" borderId="0" xfId="103" quotePrefix="1" applyFont="1" applyAlignment="1">
      <alignment horizontal="left" vertical="top" wrapText="1"/>
    </xf>
    <xf numFmtId="0" fontId="54" fillId="0" borderId="11" xfId="0" applyFont="1" applyBorder="1" applyAlignment="1">
      <alignment horizontal="center" wrapText="1"/>
    </xf>
    <xf numFmtId="0" fontId="75" fillId="0" borderId="0" xfId="103" quotePrefix="1" applyFont="1" applyAlignment="1">
      <alignment horizontal="left" vertical="top" wrapText="1"/>
    </xf>
    <xf numFmtId="0" fontId="76" fillId="0" borderId="0" xfId="103" quotePrefix="1" applyFont="1" applyAlignment="1">
      <alignment horizontal="left" vertical="top" wrapText="1"/>
    </xf>
    <xf numFmtId="0" fontId="65" fillId="0" borderId="0" xfId="103" quotePrefix="1" applyFont="1" applyAlignment="1">
      <alignment horizontal="left" vertical="top" wrapText="1"/>
    </xf>
    <xf numFmtId="0" fontId="21" fillId="0" borderId="0" xfId="103" applyAlignment="1">
      <alignment vertical="top"/>
    </xf>
    <xf numFmtId="0" fontId="21" fillId="0" borderId="0" xfId="103" applyAlignment="1">
      <alignment vertical="top" wrapText="1"/>
    </xf>
    <xf numFmtId="0" fontId="66" fillId="0" borderId="24" xfId="103" applyFont="1" applyBorder="1" applyAlignment="1">
      <alignment horizontal="center"/>
    </xf>
    <xf numFmtId="0" fontId="66" fillId="0" borderId="1" xfId="103" applyFont="1" applyBorder="1" applyAlignment="1">
      <alignment horizontal="center"/>
    </xf>
    <xf numFmtId="0" fontId="66" fillId="0" borderId="25" xfId="103" applyFont="1" applyBorder="1" applyAlignment="1">
      <alignment horizontal="center"/>
    </xf>
    <xf numFmtId="0" fontId="66" fillId="0" borderId="26" xfId="103" applyFont="1" applyBorder="1" applyAlignment="1">
      <alignment horizontal="center"/>
    </xf>
    <xf numFmtId="0" fontId="66" fillId="0" borderId="0" xfId="103" applyFont="1" applyAlignment="1">
      <alignment horizontal="center"/>
    </xf>
    <xf numFmtId="0" fontId="66" fillId="0" borderId="27" xfId="103" applyFont="1" applyBorder="1" applyAlignment="1">
      <alignment horizontal="center"/>
    </xf>
    <xf numFmtId="0" fontId="66" fillId="0" borderId="28" xfId="103" applyFont="1" applyBorder="1" applyAlignment="1">
      <alignment horizontal="center"/>
    </xf>
    <xf numFmtId="0" fontId="66" fillId="0" borderId="21" xfId="103" applyFont="1" applyBorder="1" applyAlignment="1">
      <alignment horizontal="center"/>
    </xf>
    <xf numFmtId="0" fontId="66" fillId="0" borderId="29" xfId="103" applyFont="1" applyBorder="1" applyAlignment="1">
      <alignment horizontal="center"/>
    </xf>
    <xf numFmtId="0" fontId="65" fillId="0" borderId="26" xfId="103" applyFont="1" applyBorder="1" applyAlignment="1">
      <alignment vertical="center" wrapText="1"/>
    </xf>
    <xf numFmtId="0" fontId="65" fillId="0" borderId="0" xfId="103" applyFont="1" applyAlignment="1">
      <alignment vertical="center" wrapText="1"/>
    </xf>
    <xf numFmtId="0" fontId="65" fillId="0" borderId="28" xfId="103" applyFont="1" applyBorder="1" applyAlignment="1">
      <alignment wrapText="1"/>
    </xf>
    <xf numFmtId="0" fontId="65" fillId="0" borderId="21" xfId="103" applyFont="1" applyBorder="1" applyAlignment="1">
      <alignment wrapText="1"/>
    </xf>
    <xf numFmtId="0" fontId="65" fillId="0" borderId="26" xfId="103" quotePrefix="1" applyFont="1" applyBorder="1" applyAlignment="1">
      <alignment horizontal="left" wrapText="1"/>
    </xf>
    <xf numFmtId="0" fontId="65" fillId="0" borderId="0" xfId="103" applyFont="1" applyAlignment="1">
      <alignment wrapText="1"/>
    </xf>
    <xf numFmtId="179" fontId="65" fillId="10" borderId="0" xfId="103" applyNumberFormat="1" applyFont="1" applyFill="1" applyAlignment="1">
      <alignment horizontal="center"/>
    </xf>
  </cellXfs>
  <cellStyles count="184">
    <cellStyle name="Calculation 2" xfId="4" xr:uid="{00000000-0005-0000-0000-000000000000}"/>
    <cellStyle name="Calculation 3" xfId="49" xr:uid="{00000000-0005-0000-0000-000001000000}"/>
    <cellStyle name="CheckCell" xfId="5" xr:uid="{00000000-0005-0000-0000-000002000000}"/>
    <cellStyle name="CheckCell 2" xfId="86" xr:uid="{00000000-0005-0000-0000-000003000000}"/>
    <cellStyle name="Comma" xfId="1" builtinId="3"/>
    <cellStyle name="Comma 10" xfId="146" xr:uid="{8E810CE3-9422-46A7-B8C0-A53F4D60729B}"/>
    <cellStyle name="Comma 10 3" xfId="76" xr:uid="{00000000-0005-0000-0000-000005000000}"/>
    <cellStyle name="Comma 11" xfId="152" xr:uid="{2CB57E8B-CD0B-48A7-B866-EB4613E6D02B}"/>
    <cellStyle name="Comma 12" xfId="155" xr:uid="{FF15A2B0-072C-48DB-8335-F433D0BF721E}"/>
    <cellStyle name="Comma 13" xfId="159" xr:uid="{B1E10849-F706-4D48-BDEE-DBA7301D6B1E}"/>
    <cellStyle name="Comma 14" xfId="174" xr:uid="{EF8DE0F9-526E-4DF6-A67B-4374745BEBD9}"/>
    <cellStyle name="Comma 15" xfId="176" xr:uid="{E7C95321-4356-4565-AD2D-99E4B2A025BC}"/>
    <cellStyle name="Comma 2" xfId="6" xr:uid="{00000000-0005-0000-0000-000006000000}"/>
    <cellStyle name="Comma 2 2" xfId="72" xr:uid="{00000000-0005-0000-0000-000007000000}"/>
    <cellStyle name="Comma 2 2 2" xfId="87" xr:uid="{00000000-0005-0000-0000-000008000000}"/>
    <cellStyle name="Comma 2 3" xfId="55" xr:uid="{00000000-0005-0000-0000-000009000000}"/>
    <cellStyle name="Comma 2 4" xfId="182" xr:uid="{6A39752C-B58C-4FD3-969F-A807F1D2CE5A}"/>
    <cellStyle name="Comma 3" xfId="7" xr:uid="{00000000-0005-0000-0000-00000A000000}"/>
    <cellStyle name="Comma 3 2" xfId="88" xr:uid="{00000000-0005-0000-0000-00000B000000}"/>
    <cellStyle name="Comma 3 3" xfId="175" xr:uid="{9E0728FB-B3F8-46DF-8693-32BC74C94EBD}"/>
    <cellStyle name="Comma 4" xfId="47" xr:uid="{00000000-0005-0000-0000-00000C000000}"/>
    <cellStyle name="Comma 4 2" xfId="66" xr:uid="{00000000-0005-0000-0000-00000D000000}"/>
    <cellStyle name="Comma 4 3" xfId="178" xr:uid="{5B691BF4-B281-44BA-8723-17C5175CFBE9}"/>
    <cellStyle name="Comma 5" xfId="69" xr:uid="{00000000-0005-0000-0000-00000E000000}"/>
    <cellStyle name="Comma 6" xfId="52" xr:uid="{00000000-0005-0000-0000-00000F000000}"/>
    <cellStyle name="Comma 7" xfId="89" xr:uid="{00000000-0005-0000-0000-000010000000}"/>
    <cellStyle name="Comma 8" xfId="137" xr:uid="{00000000-0005-0000-0000-000011000000}"/>
    <cellStyle name="Comma 9" xfId="141" xr:uid="{033E7769-D443-482A-9ADC-E4D2DACE70D9}"/>
    <cellStyle name="Comma0" xfId="8" xr:uid="{00000000-0005-0000-0000-000012000000}"/>
    <cellStyle name="Comma0 - Style2" xfId="9" xr:uid="{00000000-0005-0000-0000-000013000000}"/>
    <cellStyle name="Comma0 - Style5" xfId="10" xr:uid="{00000000-0005-0000-0000-000014000000}"/>
    <cellStyle name="Comma0 - Style5 2" xfId="90" xr:uid="{00000000-0005-0000-0000-000015000000}"/>
    <cellStyle name="Comma0 2" xfId="91" xr:uid="{00000000-0005-0000-0000-000016000000}"/>
    <cellStyle name="Comma0_00COS Ind Allocators" xfId="11" xr:uid="{00000000-0005-0000-0000-000017000000}"/>
    <cellStyle name="Comma1 - Style1" xfId="12" xr:uid="{00000000-0005-0000-0000-000018000000}"/>
    <cellStyle name="Comma1 - Style1 2" xfId="92" xr:uid="{00000000-0005-0000-0000-000019000000}"/>
    <cellStyle name="COPY" xfId="93" xr:uid="{00000000-0005-0000-0000-00001A000000}"/>
    <cellStyle name="Curren - Style2" xfId="13" xr:uid="{00000000-0005-0000-0000-00001B000000}"/>
    <cellStyle name="Curren - Style2 2" xfId="94" xr:uid="{00000000-0005-0000-0000-00001C000000}"/>
    <cellStyle name="Curren - Style6" xfId="14" xr:uid="{00000000-0005-0000-0000-00001D000000}"/>
    <cellStyle name="Curren - Style6 2" xfId="95" xr:uid="{00000000-0005-0000-0000-00001E000000}"/>
    <cellStyle name="Currency" xfId="2" builtinId="4"/>
    <cellStyle name="Currency 10" xfId="75" xr:uid="{00000000-0005-0000-0000-000020000000}"/>
    <cellStyle name="Currency 11" xfId="161" xr:uid="{9096A9FF-0884-4203-9134-A29AB511B7C2}"/>
    <cellStyle name="Currency 12" xfId="166" xr:uid="{3AB1F6DA-96F2-4535-83DA-6C4B878F5B34}"/>
    <cellStyle name="Currency 13" xfId="173" xr:uid="{CB0FD5AD-FF1F-419C-B486-899F2A781A2C}"/>
    <cellStyle name="Currency 14" xfId="177" xr:uid="{030CCED7-E2D3-4661-9230-B9FF55831755}"/>
    <cellStyle name="Currency 2" xfId="15" xr:uid="{00000000-0005-0000-0000-000021000000}"/>
    <cellStyle name="Currency 2 2" xfId="96" xr:uid="{00000000-0005-0000-0000-000022000000}"/>
    <cellStyle name="Currency 2 3" xfId="180" xr:uid="{28C2A279-9706-4146-BF84-A6B22B70F566}"/>
    <cellStyle name="Currency 3" xfId="46" xr:uid="{00000000-0005-0000-0000-000023000000}"/>
    <cellStyle name="Currency 3 2" xfId="67" xr:uid="{00000000-0005-0000-0000-000024000000}"/>
    <cellStyle name="Currency 3 3" xfId="84" xr:uid="{00000000-0005-0000-0000-000025000000}"/>
    <cellStyle name="Currency 3 3 2" xfId="162" xr:uid="{2C968A64-3C02-4884-8446-B51B4617FE50}"/>
    <cellStyle name="Currency 4" xfId="73" xr:uid="{00000000-0005-0000-0000-000026000000}"/>
    <cellStyle name="Currency 5" xfId="53" xr:uid="{00000000-0005-0000-0000-000027000000}"/>
    <cellStyle name="Currency 6" xfId="139" xr:uid="{00000000-0005-0000-0000-000028000000}"/>
    <cellStyle name="Currency 7" xfId="142" xr:uid="{8CE00853-C424-4408-A3E7-AC5407ECB3C7}"/>
    <cellStyle name="Currency 8" xfId="150" xr:uid="{33FCD6E7-F8FE-4451-9571-063D7CDF444E}"/>
    <cellStyle name="Currency 9" xfId="156" xr:uid="{AD7DDA4C-79E4-4D0D-B6C6-B7117DA0F87B}"/>
    <cellStyle name="Currency0" xfId="16" xr:uid="{00000000-0005-0000-0000-000029000000}"/>
    <cellStyle name="Currency0 2" xfId="97" xr:uid="{00000000-0005-0000-0000-00002A000000}"/>
    <cellStyle name="Date" xfId="17" xr:uid="{00000000-0005-0000-0000-00002B000000}"/>
    <cellStyle name="Date 2" xfId="98" xr:uid="{00000000-0005-0000-0000-00002C000000}"/>
    <cellStyle name="Fixed" xfId="18" xr:uid="{00000000-0005-0000-0000-00002D000000}"/>
    <cellStyle name="Fixed 2" xfId="99" xr:uid="{00000000-0005-0000-0000-00002E000000}"/>
    <cellStyle name="Hyperlink" xfId="147" builtinId="8"/>
    <cellStyle name="Hyperlink 2" xfId="100" xr:uid="{00000000-0005-0000-0000-000030000000}"/>
    <cellStyle name="Hyperlink 3" xfId="153" xr:uid="{A9468AA9-629C-4044-B931-E36E84E2B972}"/>
    <cellStyle name="Input Cells" xfId="19" xr:uid="{00000000-0005-0000-0000-000031000000}"/>
    <cellStyle name="Input Cells 2" xfId="101" xr:uid="{00000000-0005-0000-0000-000032000000}"/>
    <cellStyle name="Input Cells Percent" xfId="20" xr:uid="{00000000-0005-0000-0000-000033000000}"/>
    <cellStyle name="Input Cells Percent 2" xfId="102" xr:uid="{00000000-0005-0000-0000-000034000000}"/>
    <cellStyle name="Input Cells_ACCOUNTALLOC" xfId="21" xr:uid="{00000000-0005-0000-0000-000035000000}"/>
    <cellStyle name="LINKED" xfId="22" xr:uid="{00000000-0005-0000-0000-000036000000}"/>
    <cellStyle name="Normal" xfId="0" builtinId="0"/>
    <cellStyle name="Normal 10" xfId="103" xr:uid="{00000000-0005-0000-0000-000038000000}"/>
    <cellStyle name="Normal 11" xfId="104" xr:uid="{00000000-0005-0000-0000-000039000000}"/>
    <cellStyle name="Normal 11 2 2" xfId="163" xr:uid="{0330FDD3-73AD-4E58-AEC0-CC515A52CA86}"/>
    <cellStyle name="Normal 12" xfId="105" xr:uid="{00000000-0005-0000-0000-00003A000000}"/>
    <cellStyle name="Normal 13" xfId="106" xr:uid="{00000000-0005-0000-0000-00003B000000}"/>
    <cellStyle name="Normal 14" xfId="107" xr:uid="{00000000-0005-0000-0000-00003C000000}"/>
    <cellStyle name="Normal 15" xfId="108" xr:uid="{00000000-0005-0000-0000-00003D000000}"/>
    <cellStyle name="Normal 16" xfId="109" xr:uid="{00000000-0005-0000-0000-00003E000000}"/>
    <cellStyle name="Normal 17" xfId="110" xr:uid="{00000000-0005-0000-0000-00003F000000}"/>
    <cellStyle name="Normal 18" xfId="111" xr:uid="{00000000-0005-0000-0000-000040000000}"/>
    <cellStyle name="Normal 19" xfId="112" xr:uid="{00000000-0005-0000-0000-000041000000}"/>
    <cellStyle name="Normal 2" xfId="23" xr:uid="{00000000-0005-0000-0000-000042000000}"/>
    <cellStyle name="Normal 2 2" xfId="57" xr:uid="{00000000-0005-0000-0000-000043000000}"/>
    <cellStyle name="Normal 2 2 2" xfId="113" xr:uid="{00000000-0005-0000-0000-000044000000}"/>
    <cellStyle name="Normal 2 2 3" xfId="114" xr:uid="{00000000-0005-0000-0000-000045000000}"/>
    <cellStyle name="Normal 2 3" xfId="54" xr:uid="{00000000-0005-0000-0000-000046000000}"/>
    <cellStyle name="Normal 2 4" xfId="115" xr:uid="{00000000-0005-0000-0000-000047000000}"/>
    <cellStyle name="Normal 2 5" xfId="116" xr:uid="{00000000-0005-0000-0000-000048000000}"/>
    <cellStyle name="Normal 2 6" xfId="149" xr:uid="{BF27B8A1-BAA0-47D7-A1F9-A1963ECDEDBB}"/>
    <cellStyle name="Normal 2 7" xfId="160" xr:uid="{54756DCC-F4B0-4871-8BC9-6C6A4E2309BA}"/>
    <cellStyle name="Normal 2 8" xfId="171" xr:uid="{BB58DFDF-0DC6-4654-A973-4C732DF65A60}"/>
    <cellStyle name="Normal 2 9" xfId="179" xr:uid="{99978AB2-8964-4735-8F8B-C379F1529340}"/>
    <cellStyle name="Normal 20" xfId="117" xr:uid="{00000000-0005-0000-0000-000049000000}"/>
    <cellStyle name="Normal 20 2" xfId="134" xr:uid="{00000000-0005-0000-0000-00004A000000}"/>
    <cellStyle name="Normal 21" xfId="135" xr:uid="{00000000-0005-0000-0000-00004B000000}"/>
    <cellStyle name="Normal 22" xfId="136" xr:uid="{00000000-0005-0000-0000-00004C000000}"/>
    <cellStyle name="Normal 23" xfId="140" xr:uid="{0DDD06DA-2D9D-435B-BB8D-2200F5499F4E}"/>
    <cellStyle name="Normal 24" xfId="144" xr:uid="{F168400E-B21C-4F2D-89CE-8A61534801D4}"/>
    <cellStyle name="Normal 25" xfId="145" xr:uid="{1FFB4020-A798-4A9B-A82F-E9B9FF0FEA1B}"/>
    <cellStyle name="Normal 26" xfId="148" xr:uid="{4534D200-C321-4C2E-BE4E-35399D027F44}"/>
    <cellStyle name="Normal 27" xfId="154" xr:uid="{90D21E39-3517-45D5-A9D9-03205F6D8CEF}"/>
    <cellStyle name="Normal 28" xfId="158" xr:uid="{5E0B794A-03EC-44F2-933C-0EC981F61A47}"/>
    <cellStyle name="Normal 28 2" xfId="183" xr:uid="{2C25CF47-7F2B-490D-8F94-9AF9EBEB5527}"/>
    <cellStyle name="Normal 29" xfId="165" xr:uid="{B3DE8142-7067-4B84-8DBC-15B3DC11C68F}"/>
    <cellStyle name="Normal 3" xfId="24" xr:uid="{00000000-0005-0000-0000-00004D000000}"/>
    <cellStyle name="Normal 3 2" xfId="74" xr:uid="{00000000-0005-0000-0000-00004E000000}"/>
    <cellStyle name="Normal 3 3" xfId="56" xr:uid="{00000000-0005-0000-0000-00004F000000}"/>
    <cellStyle name="Normal 30" xfId="167" xr:uid="{F31559E8-8FED-49AD-B46A-6CECFD6789E2}"/>
    <cellStyle name="Normal 31" xfId="168" xr:uid="{7D7E458E-3466-4F40-86BD-B552161F3701}"/>
    <cellStyle name="Normal 32" xfId="172" xr:uid="{C02961F5-D7E5-4783-B22A-29536668CD51}"/>
    <cellStyle name="Normal 338" xfId="60" xr:uid="{00000000-0005-0000-0000-000050000000}"/>
    <cellStyle name="Normal 338 2" xfId="79" xr:uid="{00000000-0005-0000-0000-000051000000}"/>
    <cellStyle name="Normal 338 3" xfId="63" xr:uid="{00000000-0005-0000-0000-000052000000}"/>
    <cellStyle name="Normal 338 4" xfId="81" xr:uid="{00000000-0005-0000-0000-000053000000}"/>
    <cellStyle name="Normal 338 5" xfId="82" xr:uid="{00000000-0005-0000-0000-000054000000}"/>
    <cellStyle name="Normal 4" xfId="45" xr:uid="{00000000-0005-0000-0000-000055000000}"/>
    <cellStyle name="Normal 4 2" xfId="71" xr:uid="{00000000-0005-0000-0000-000056000000}"/>
    <cellStyle name="Normal 4 2 2" xfId="118" xr:uid="{00000000-0005-0000-0000-000057000000}"/>
    <cellStyle name="Normal 4 3" xfId="59" xr:uid="{00000000-0005-0000-0000-000058000000}"/>
    <cellStyle name="Normal 4 5" xfId="62" xr:uid="{00000000-0005-0000-0000-000059000000}"/>
    <cellStyle name="Normal 4 5 2" xfId="78" xr:uid="{00000000-0005-0000-0000-00005A000000}"/>
    <cellStyle name="Normal 4 5 3" xfId="80" xr:uid="{00000000-0005-0000-0000-00005B000000}"/>
    <cellStyle name="Normal 4 5 4" xfId="77" xr:uid="{00000000-0005-0000-0000-00005C000000}"/>
    <cellStyle name="Normal 4 5 5" xfId="83" xr:uid="{00000000-0005-0000-0000-00005D000000}"/>
    <cellStyle name="Normal 5" xfId="61" xr:uid="{00000000-0005-0000-0000-00005E000000}"/>
    <cellStyle name="Normal 5 2" xfId="119" xr:uid="{00000000-0005-0000-0000-00005F000000}"/>
    <cellStyle name="Normal 6" xfId="64" xr:uid="{00000000-0005-0000-0000-000060000000}"/>
    <cellStyle name="Normal 7" xfId="65" xr:uid="{00000000-0005-0000-0000-000061000000}"/>
    <cellStyle name="Normal 8" xfId="68" xr:uid="{00000000-0005-0000-0000-000062000000}"/>
    <cellStyle name="Normal 9" xfId="51" xr:uid="{00000000-0005-0000-0000-000063000000}"/>
    <cellStyle name="Normal_C-06" xfId="170" xr:uid="{F1CAA2A9-B72D-49E2-A0DC-C2C0F9447D4D}"/>
    <cellStyle name="Percen - Style1" xfId="25" xr:uid="{00000000-0005-0000-0000-000064000000}"/>
    <cellStyle name="Percen - Style3" xfId="26" xr:uid="{00000000-0005-0000-0000-000065000000}"/>
    <cellStyle name="Percen - Style3 2" xfId="120" xr:uid="{00000000-0005-0000-0000-000066000000}"/>
    <cellStyle name="Percent" xfId="3" builtinId="5"/>
    <cellStyle name="Percent 10" xfId="151" xr:uid="{9A4461A7-9AB8-4D3D-9199-D25FF1953FFA}"/>
    <cellStyle name="Percent 11" xfId="157" xr:uid="{FF36D007-8F84-4ABE-9163-E52F24BCF11D}"/>
    <cellStyle name="Percent 12" xfId="164" xr:uid="{552B4507-D49A-4F27-A8AB-92CA183230AE}"/>
    <cellStyle name="Percent 13" xfId="169" xr:uid="{03FB7C3A-2C29-4EDA-B607-CD6E9803E0A6}"/>
    <cellStyle name="Percent 2" xfId="27" xr:uid="{00000000-0005-0000-0000-000068000000}"/>
    <cellStyle name="Percent 2 2" xfId="121" xr:uid="{00000000-0005-0000-0000-000069000000}"/>
    <cellStyle name="Percent 2 3" xfId="181" xr:uid="{60D130BF-7E61-4364-B776-DB502B2AD817}"/>
    <cellStyle name="Percent 3" xfId="28" xr:uid="{00000000-0005-0000-0000-00006A000000}"/>
    <cellStyle name="Percent 3 2" xfId="70" xr:uid="{00000000-0005-0000-0000-00006B000000}"/>
    <cellStyle name="Percent 4" xfId="48" xr:uid="{00000000-0005-0000-0000-00006C000000}"/>
    <cellStyle name="Percent 4 2" xfId="85" xr:uid="{00000000-0005-0000-0000-00006D000000}"/>
    <cellStyle name="Percent 5" xfId="58" xr:uid="{00000000-0005-0000-0000-00006E000000}"/>
    <cellStyle name="Percent 6" xfId="122" xr:uid="{00000000-0005-0000-0000-00006F000000}"/>
    <cellStyle name="Percent 7" xfId="123" xr:uid="{00000000-0005-0000-0000-000070000000}"/>
    <cellStyle name="Percent 8" xfId="138" xr:uid="{00000000-0005-0000-0000-000071000000}"/>
    <cellStyle name="Percent 9" xfId="143" xr:uid="{AE4066DF-2E22-43AE-B495-6AE27F98C93E}"/>
    <cellStyle name="Processing" xfId="29" xr:uid="{00000000-0005-0000-0000-000072000000}"/>
    <cellStyle name="Processing 2" xfId="124" xr:uid="{00000000-0005-0000-0000-000073000000}"/>
    <cellStyle name="purple - Style8" xfId="30" xr:uid="{00000000-0005-0000-0000-000074000000}"/>
    <cellStyle name="purple - Style8 2" xfId="125" xr:uid="{00000000-0005-0000-0000-000075000000}"/>
    <cellStyle name="RED" xfId="31" xr:uid="{00000000-0005-0000-0000-000076000000}"/>
    <cellStyle name="Red - Style7" xfId="32" xr:uid="{00000000-0005-0000-0000-000077000000}"/>
    <cellStyle name="Red - Style7 2" xfId="126" xr:uid="{00000000-0005-0000-0000-000078000000}"/>
    <cellStyle name="Report" xfId="33" xr:uid="{00000000-0005-0000-0000-000079000000}"/>
    <cellStyle name="Report 2" xfId="127" xr:uid="{00000000-0005-0000-0000-00007A000000}"/>
    <cellStyle name="Report Bar" xfId="34" xr:uid="{00000000-0005-0000-0000-00007B000000}"/>
    <cellStyle name="Report Bar 2" xfId="128" xr:uid="{00000000-0005-0000-0000-00007C000000}"/>
    <cellStyle name="Report Heading" xfId="35" xr:uid="{00000000-0005-0000-0000-00007D000000}"/>
    <cellStyle name="Report Percent" xfId="36" xr:uid="{00000000-0005-0000-0000-00007E000000}"/>
    <cellStyle name="Report Unit Cost" xfId="37" xr:uid="{00000000-0005-0000-0000-00007F000000}"/>
    <cellStyle name="Report Unit Cost 2" xfId="50" xr:uid="{00000000-0005-0000-0000-000080000000}"/>
    <cellStyle name="Reports Total" xfId="38" xr:uid="{00000000-0005-0000-0000-000081000000}"/>
    <cellStyle name="Reports Total 2" xfId="129" xr:uid="{00000000-0005-0000-0000-000082000000}"/>
    <cellStyle name="Reports Unit Cost Total" xfId="39" xr:uid="{00000000-0005-0000-0000-000083000000}"/>
    <cellStyle name="Sub-total" xfId="40" xr:uid="{00000000-0005-0000-0000-000084000000}"/>
    <cellStyle name="Test" xfId="130" xr:uid="{00000000-0005-0000-0000-000085000000}"/>
    <cellStyle name="Test 2" xfId="131" xr:uid="{00000000-0005-0000-0000-000086000000}"/>
    <cellStyle name="Title: Major" xfId="41" xr:uid="{00000000-0005-0000-0000-000087000000}"/>
    <cellStyle name="Title: Minor" xfId="42" xr:uid="{00000000-0005-0000-0000-000088000000}"/>
    <cellStyle name="Title: Worksheet" xfId="43" xr:uid="{00000000-0005-0000-0000-000089000000}"/>
    <cellStyle name="Total 2" xfId="132" xr:uid="{00000000-0005-0000-0000-00008A000000}"/>
    <cellStyle name="Total4 - Style4" xfId="44" xr:uid="{00000000-0005-0000-0000-00008B000000}"/>
    <cellStyle name="Total4 - Style4 2" xfId="133" xr:uid="{00000000-0005-0000-0000-00008C000000}"/>
  </cellStyles>
  <dxfs count="1">
    <dxf>
      <font>
        <color rgb="FFC00000"/>
      </font>
      <fill>
        <patternFill>
          <bgColor rgb="FFFFCCCC"/>
        </patternFill>
      </fill>
    </dxf>
  </dxfs>
  <tableStyles count="0" defaultTableStyle="TableStyleMedium9" defaultPivotStyle="PivotStyleLight16"/>
  <colors>
    <mruColors>
      <color rgb="FFFFFFCC"/>
      <color rgb="FFFFCCCC"/>
      <color rgb="FFFF9999"/>
      <color rgb="FF0033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21982</xdr:colOff>
      <xdr:row>11</xdr:row>
      <xdr:rowOff>0</xdr:rowOff>
    </xdr:from>
    <xdr:to>
      <xdr:col>28</xdr:col>
      <xdr:colOff>338390</xdr:colOff>
      <xdr:row>30</xdr:row>
      <xdr:rowOff>115832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4FEB98CD-2D89-FF7C-798E-589603BB1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07217" y="2385391"/>
          <a:ext cx="7631609" cy="4502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2FFB-D3B5-4230-95DC-1A5B92448002}">
  <dimension ref="A1:H37"/>
  <sheetViews>
    <sheetView workbookViewId="0"/>
  </sheetViews>
  <sheetFormatPr defaultRowHeight="13.8"/>
  <cols>
    <col min="1" max="1" width="8.21875" bestFit="1" customWidth="1"/>
    <col min="2" max="2" width="27.5546875" customWidth="1"/>
    <col min="3" max="3" width="36" customWidth="1"/>
    <col min="4" max="4" width="39.109375" bestFit="1" customWidth="1"/>
    <col min="5" max="5" width="71.44140625" bestFit="1" customWidth="1"/>
    <col min="6" max="6" width="75.77734375" bestFit="1" customWidth="1"/>
    <col min="7" max="7" width="9.21875" bestFit="1" customWidth="1"/>
  </cols>
  <sheetData>
    <row r="1" spans="1:8" ht="14.4">
      <c r="A1" s="4" t="s">
        <v>0</v>
      </c>
    </row>
    <row r="2" spans="1:8">
      <c r="A2" s="33" t="s">
        <v>1</v>
      </c>
    </row>
    <row r="3" spans="1:8">
      <c r="A3" s="3" t="s">
        <v>2</v>
      </c>
    </row>
    <row r="5" spans="1:8" ht="30.75" customHeight="1">
      <c r="A5" s="34" t="s">
        <v>3</v>
      </c>
      <c r="B5" s="35" t="s">
        <v>4</v>
      </c>
      <c r="C5" s="35" t="s">
        <v>5</v>
      </c>
      <c r="D5" s="35" t="s">
        <v>6</v>
      </c>
      <c r="E5" s="35" t="s">
        <v>7</v>
      </c>
      <c r="F5" s="35" t="s">
        <v>8</v>
      </c>
    </row>
    <row r="6" spans="1:8">
      <c r="B6" s="31" t="s">
        <v>9</v>
      </c>
    </row>
    <row r="7" spans="1:8">
      <c r="B7" s="31" t="s">
        <v>10</v>
      </c>
      <c r="C7" t="s">
        <v>11</v>
      </c>
      <c r="D7" t="s">
        <v>12</v>
      </c>
      <c r="E7" t="s">
        <v>10</v>
      </c>
      <c r="F7" t="str">
        <f>CONCATENATE(D7," - ",E7)</f>
        <v>Schedule 1 - Revenue Apportionment</v>
      </c>
    </row>
    <row r="8" spans="1:8">
      <c r="B8" s="31" t="s">
        <v>13</v>
      </c>
      <c r="C8" t="s">
        <v>11</v>
      </c>
      <c r="D8" t="s">
        <v>14</v>
      </c>
      <c r="E8" t="s">
        <v>15</v>
      </c>
      <c r="F8" t="str">
        <f t="shared" ref="F8:F37" si="0">CONCATENATE(D8," - ",E8)</f>
        <v>Schedule 2 - Revenue Proof and Rate Design</v>
      </c>
    </row>
    <row r="9" spans="1:8">
      <c r="B9" s="31" t="s">
        <v>16</v>
      </c>
      <c r="C9" t="s">
        <v>17</v>
      </c>
      <c r="E9" t="s">
        <v>18</v>
      </c>
      <c r="F9" t="str">
        <f>E9</f>
        <v>Residential Heat Pump Rate Design</v>
      </c>
    </row>
    <row r="10" spans="1:8">
      <c r="B10" s="31" t="s">
        <v>19</v>
      </c>
      <c r="C10" t="s">
        <v>11</v>
      </c>
      <c r="D10" t="s">
        <v>14</v>
      </c>
      <c r="E10" s="32" t="s">
        <v>15</v>
      </c>
      <c r="F10" t="str">
        <f t="shared" si="0"/>
        <v>Schedule 2 - Revenue Proof and Rate Design</v>
      </c>
    </row>
    <row r="11" spans="1:8">
      <c r="B11" s="31" t="s">
        <v>20</v>
      </c>
      <c r="C11" t="s">
        <v>21</v>
      </c>
      <c r="D11" t="s">
        <v>22</v>
      </c>
      <c r="E11" t="s">
        <v>23</v>
      </c>
      <c r="F11" t="str">
        <f t="shared" si="0"/>
        <v>WP - Current and Proposed Rates</v>
      </c>
    </row>
    <row r="12" spans="1:8">
      <c r="B12" s="31" t="s">
        <v>24</v>
      </c>
      <c r="C12" t="s">
        <v>25</v>
      </c>
      <c r="E12" s="32" t="s">
        <v>26</v>
      </c>
      <c r="F12" s="32" t="s">
        <v>26</v>
      </c>
    </row>
    <row r="13" spans="1:8">
      <c r="B13" s="31" t="s">
        <v>27</v>
      </c>
      <c r="C13" t="s">
        <v>25</v>
      </c>
    </row>
    <row r="14" spans="1:8">
      <c r="B14" s="31" t="s">
        <v>28</v>
      </c>
      <c r="C14" t="s">
        <v>29</v>
      </c>
      <c r="E14" t="s">
        <v>30</v>
      </c>
      <c r="F14" t="str">
        <f t="shared" ref="F14:F15" si="1">E14</f>
        <v>General Service EV Demand Charge Alternative Rates</v>
      </c>
    </row>
    <row r="15" spans="1:8">
      <c r="B15" s="1031" t="s">
        <v>31</v>
      </c>
      <c r="C15" t="s">
        <v>32</v>
      </c>
      <c r="E15" t="s">
        <v>33</v>
      </c>
      <c r="F15" t="str">
        <f t="shared" si="1"/>
        <v>Revenue Decoupling Annual Target Revenue</v>
      </c>
      <c r="G15" s="3"/>
    </row>
    <row r="16" spans="1:8">
      <c r="B16" s="890" t="s">
        <v>35</v>
      </c>
      <c r="C16" s="891"/>
      <c r="D16" s="892" t="s">
        <v>36</v>
      </c>
      <c r="E16" s="892" t="s">
        <v>37</v>
      </c>
      <c r="F16" s="892" t="str">
        <f t="shared" si="0"/>
        <v>CONFIDENTIAL Workpaper to Exhibit Unitil-JDT-4 - Special Contract Data and Rate Change</v>
      </c>
      <c r="G16" s="891" t="s">
        <v>34</v>
      </c>
      <c r="H16" s="889"/>
    </row>
    <row r="17" spans="2:7">
      <c r="B17" s="31" t="s">
        <v>38</v>
      </c>
      <c r="F17" t="str">
        <f t="shared" si="0"/>
        <v xml:space="preserve"> - </v>
      </c>
    </row>
    <row r="18" spans="2:7">
      <c r="B18" s="31" t="s">
        <v>39</v>
      </c>
      <c r="C18" s="32" t="s">
        <v>40</v>
      </c>
      <c r="E18" t="s">
        <v>41</v>
      </c>
      <c r="F18" t="str">
        <f t="shared" ref="F18:F26" si="2">E18</f>
        <v>Bill Impact</v>
      </c>
    </row>
    <row r="19" spans="2:7">
      <c r="B19" s="31" t="s">
        <v>42</v>
      </c>
      <c r="C19" s="32" t="s">
        <v>40</v>
      </c>
      <c r="E19" t="s">
        <v>41</v>
      </c>
      <c r="F19" t="str">
        <f t="shared" si="2"/>
        <v>Bill Impact</v>
      </c>
    </row>
    <row r="20" spans="2:7">
      <c r="B20" s="31" t="s">
        <v>43</v>
      </c>
      <c r="C20" s="32" t="s">
        <v>40</v>
      </c>
      <c r="E20" t="s">
        <v>41</v>
      </c>
      <c r="F20" t="str">
        <f t="shared" si="2"/>
        <v>Bill Impact</v>
      </c>
    </row>
    <row r="21" spans="2:7">
      <c r="B21" s="31" t="s">
        <v>44</v>
      </c>
      <c r="C21" s="32" t="s">
        <v>40</v>
      </c>
      <c r="E21" t="s">
        <v>41</v>
      </c>
      <c r="F21" t="str">
        <f t="shared" si="2"/>
        <v>Bill Impact</v>
      </c>
    </row>
    <row r="22" spans="2:7">
      <c r="B22" s="31" t="s">
        <v>45</v>
      </c>
      <c r="C22" s="32" t="s">
        <v>40</v>
      </c>
      <c r="E22" t="s">
        <v>41</v>
      </c>
      <c r="F22" t="str">
        <f t="shared" si="2"/>
        <v>Bill Impact</v>
      </c>
    </row>
    <row r="23" spans="2:7">
      <c r="B23" s="31" t="s">
        <v>46</v>
      </c>
      <c r="C23" s="32" t="s">
        <v>40</v>
      </c>
      <c r="E23" t="s">
        <v>41</v>
      </c>
      <c r="F23" t="str">
        <f t="shared" si="2"/>
        <v>Bill Impact</v>
      </c>
    </row>
    <row r="24" spans="2:7">
      <c r="B24" s="31" t="s">
        <v>47</v>
      </c>
      <c r="C24" s="32" t="s">
        <v>40</v>
      </c>
      <c r="E24" t="s">
        <v>41</v>
      </c>
      <c r="F24" t="str">
        <f t="shared" si="2"/>
        <v>Bill Impact</v>
      </c>
    </row>
    <row r="25" spans="2:7">
      <c r="B25" s="31" t="s">
        <v>48</v>
      </c>
      <c r="C25" s="32" t="s">
        <v>40</v>
      </c>
      <c r="E25" t="s">
        <v>41</v>
      </c>
      <c r="F25" t="str">
        <f t="shared" si="2"/>
        <v>Bill Impact</v>
      </c>
    </row>
    <row r="26" spans="2:7">
      <c r="B26" s="31" t="s">
        <v>49</v>
      </c>
      <c r="C26" s="32" t="s">
        <v>40</v>
      </c>
      <c r="E26" t="s">
        <v>41</v>
      </c>
      <c r="F26" t="str">
        <f t="shared" si="2"/>
        <v>Bill Impact</v>
      </c>
    </row>
    <row r="27" spans="2:7">
      <c r="B27" s="31" t="s">
        <v>50</v>
      </c>
      <c r="F27" t="str">
        <f t="shared" si="0"/>
        <v xml:space="preserve"> - </v>
      </c>
    </row>
    <row r="28" spans="2:7">
      <c r="B28" s="890" t="s">
        <v>51</v>
      </c>
      <c r="C28" s="987" t="s">
        <v>52</v>
      </c>
      <c r="D28" s="987"/>
      <c r="E28" s="987"/>
      <c r="F28" s="987" t="str">
        <f t="shared" si="0"/>
        <v xml:space="preserve"> - </v>
      </c>
      <c r="G28" s="891" t="s">
        <v>34</v>
      </c>
    </row>
    <row r="29" spans="2:7">
      <c r="B29" s="31" t="s">
        <v>53</v>
      </c>
      <c r="C29" t="s">
        <v>21</v>
      </c>
      <c r="D29" t="s">
        <v>22</v>
      </c>
      <c r="E29" t="s">
        <v>54</v>
      </c>
      <c r="F29" t="str">
        <f t="shared" si="0"/>
        <v>WP - Cost Based Analysis of LED Lighting Fixtures</v>
      </c>
    </row>
    <row r="30" spans="2:7">
      <c r="B30" s="890" t="s">
        <v>55</v>
      </c>
      <c r="C30" s="987" t="s">
        <v>21</v>
      </c>
      <c r="D30" s="987" t="s">
        <v>22</v>
      </c>
      <c r="E30" s="987" t="s">
        <v>56</v>
      </c>
      <c r="F30" s="987" t="str">
        <f t="shared" si="0"/>
        <v>WP - Per Books Accuracy Report</v>
      </c>
      <c r="G30" s="891" t="s">
        <v>34</v>
      </c>
    </row>
    <row r="31" spans="2:7">
      <c r="B31" s="31" t="s">
        <v>57</v>
      </c>
      <c r="C31" t="s">
        <v>21</v>
      </c>
      <c r="D31" t="s">
        <v>22</v>
      </c>
      <c r="E31" t="s">
        <v>58</v>
      </c>
      <c r="F31" t="str">
        <f t="shared" si="0"/>
        <v>WP - 2022 Annual Outdoor Lighting Summary</v>
      </c>
    </row>
    <row r="32" spans="2:7">
      <c r="B32" s="31" t="s">
        <v>59</v>
      </c>
      <c r="C32" t="s">
        <v>21</v>
      </c>
      <c r="D32" t="s">
        <v>22</v>
      </c>
      <c r="E32" t="s">
        <v>60</v>
      </c>
      <c r="F32" t="str">
        <f t="shared" si="0"/>
        <v>WP - June 2023 Annualized Outdoor Lighting Fixtures</v>
      </c>
    </row>
    <row r="33" spans="2:6">
      <c r="B33" s="31" t="s">
        <v>61</v>
      </c>
      <c r="C33" t="s">
        <v>21</v>
      </c>
      <c r="D33" t="s">
        <v>22</v>
      </c>
      <c r="E33" t="s">
        <v>62</v>
      </c>
      <c r="F33" t="str">
        <f t="shared" si="0"/>
        <v>WP - Fitchburg/Lunenburg Customer Owned Lights</v>
      </c>
    </row>
    <row r="34" spans="2:6">
      <c r="B34" s="31" t="s">
        <v>63</v>
      </c>
      <c r="C34" t="s">
        <v>21</v>
      </c>
      <c r="D34" t="s">
        <v>22</v>
      </c>
      <c r="E34" t="s">
        <v>64</v>
      </c>
      <c r="F34" t="str">
        <f t="shared" si="0"/>
        <v>WP - Tariff Rates and Effective Dates</v>
      </c>
    </row>
    <row r="35" spans="2:6">
      <c r="B35" s="31" t="s">
        <v>65</v>
      </c>
      <c r="C35" t="s">
        <v>66</v>
      </c>
      <c r="D35" t="s">
        <v>22</v>
      </c>
      <c r="E35" t="s">
        <v>67</v>
      </c>
      <c r="F35" t="str">
        <f t="shared" si="0"/>
        <v>WP - Computation of Total Current Revenues by Rate Class using test year average Basic Service</v>
      </c>
    </row>
    <row r="36" spans="2:6">
      <c r="B36" s="31" t="s">
        <v>68</v>
      </c>
      <c r="C36" t="s">
        <v>66</v>
      </c>
      <c r="D36" t="s">
        <v>22</v>
      </c>
      <c r="E36" s="32" t="s">
        <v>69</v>
      </c>
      <c r="F36" t="str">
        <f t="shared" si="0"/>
        <v>WP - Rider Revenue Rolled into Base Rates</v>
      </c>
    </row>
    <row r="37" spans="2:6">
      <c r="B37" s="31" t="s">
        <v>70</v>
      </c>
      <c r="C37" t="s">
        <v>71</v>
      </c>
      <c r="D37" t="s">
        <v>22</v>
      </c>
      <c r="E37" t="s">
        <v>72</v>
      </c>
      <c r="F37" t="str">
        <f t="shared" si="0"/>
        <v>WP - Change to Reconciliation Mechanisms for Bill Impacts</v>
      </c>
    </row>
  </sheetData>
  <hyperlinks>
    <hyperlink ref="B6" location="'Index'!A1" display="Index" xr:uid="{682C8E0A-1404-4E13-9871-DDC154588B57}"/>
    <hyperlink ref="B7" location="'Revenue Apportionment'!A1" display="Revenue Apportionment" xr:uid="{240A5687-13DD-45B6-9FB2-52BE759F0642}"/>
    <hyperlink ref="B8" location="'Rate Design'!A1" display="Rate Design" xr:uid="{A8980889-B6CC-41CF-A055-DFA4489F3DFF}"/>
    <hyperlink ref="B9" location="'Heat Pump Rate Design'!A1" display="Heat Pump Rate Design" xr:uid="{6C162689-6C56-429B-BBDD-5781506838E4}"/>
    <hyperlink ref="B10" location="'Rate Design Lighting'!A1" display="Rate Design Lighting" xr:uid="{16105030-4DB9-4D08-9002-A30D67AC1469}"/>
    <hyperlink ref="B11" location="'Rates'!A1" display="Rates" xr:uid="{8C0C19D3-DBCF-428F-B007-7AD7C7ECE3FF}"/>
    <hyperlink ref="B15" location="'Decoupling Target'!A1" display="Decoupling Target" xr:uid="{7556AC9A-08F3-4349-ABBA-3431945F3530}"/>
    <hyperlink ref="B16" location="'CONFIDENTIAL'!A1" display="CONFIDENTIAL" xr:uid="{E9873504-63DD-4D31-BE70-AA01921CDE88}"/>
    <hyperlink ref="B17" location="'FGE Bill Impact Tabs ---&gt;'!A1" display="FGE Bill Impact Tabs ---&gt;" xr:uid="{4B2E7377-7F28-4869-B565-AAE511D7F8B0}"/>
    <hyperlink ref="B18" location="'RD-1'!A1" display="RD-1" xr:uid="{778180C7-BC05-4B4E-983C-C9D9C9D74AD1}"/>
    <hyperlink ref="B19" location="'RD-2'!A1" display="RD-2" xr:uid="{AD54D454-DEEA-4062-9F57-5EA91E15196B}"/>
    <hyperlink ref="B20" location="'GD-1'!A1" display="GD-1" xr:uid="{1F08377E-37BD-4CF0-937F-A4DA022F1B0C}"/>
    <hyperlink ref="B21" location="'GD-2'!A1" display="GD-2" xr:uid="{0226A768-1B98-4BFD-97FC-6F259D5E881A}"/>
    <hyperlink ref="B22" location="'GD-3'!A1" display="GD-3" xr:uid="{22FC65BD-90D6-47D6-AAF6-C6E5348B5E16}"/>
    <hyperlink ref="B23" location="'GD-4'!A1" display="GD-4" xr:uid="{C2BFA87F-20A7-4227-A53A-E87976063406}"/>
    <hyperlink ref="B24" location="'GD-5'!A1" display="GD-5" xr:uid="{C1C72ABA-0A7F-40A8-A826-FB44E432A5D4}"/>
    <hyperlink ref="B25" location="'SD'!A1" display="SD" xr:uid="{55F589D1-93A2-47AD-AA92-32D99CD793A0}"/>
    <hyperlink ref="B26" location="'SDC'!A1" display="SDC" xr:uid="{7A89DD73-44AC-49A8-BE22-FD326A127A78}"/>
    <hyperlink ref="B27" location="'Support Files ---&gt;'!A1" display="Support Files ---&gt;" xr:uid="{F2797C91-05E2-4EA3-BD4F-4A463AA2930D}"/>
    <hyperlink ref="B28" location="'ProForma Revenue'!A1" display="ProForma Revenue" xr:uid="{271CA876-46C4-4F6E-8962-F458C5D8A851}"/>
    <hyperlink ref="B30" location="'Rev_Billing_Det'!A1" display="Rev_Billing_Det" xr:uid="{938B3BA5-4389-48B1-8573-0BC408141850}"/>
    <hyperlink ref="B31" location="'Outdoor Lighting Update'!A1" display="Outdoor Lighting Update" xr:uid="{22E79F24-F77C-4864-980D-16F42C42B373}"/>
    <hyperlink ref="B32" location="'Atrium + Updated Rates'!A1" display="Atrium + Updated Rates" xr:uid="{1EEF6806-3759-4364-ACA0-7B89BB51E550}"/>
    <hyperlink ref="B33" location="'Customer Owned Lights'!A1" display="Customer Owned Lights" xr:uid="{B94AD4AB-8B6C-404C-9710-7472C6496B5C}"/>
    <hyperlink ref="B34" location="'Rates and Eff Dates'!A1" display="Rates and Eff Dates" xr:uid="{EC9C3C50-9A12-4BA1-A915-BAE9B5B98919}"/>
    <hyperlink ref="B35" location="'Total Revenues by Class'!A1" display="Total Revenues by Class" xr:uid="{41589B28-E5AC-413A-B5B4-79E427A8F9C5}"/>
    <hyperlink ref="B14" location="'Demand Charge Alternative'!A1" display="Demand Charge Alternative" xr:uid="{2E0F0A13-B658-4AFF-A9F2-6DA8CDF8C43E}"/>
  </hyperlinks>
  <printOptions horizontalCentered="1"/>
  <pageMargins left="0.5" right="0.5" top="0.5" bottom="0.5" header="0.5" footer="0.5"/>
  <pageSetup scale="70" orientation="portrait" horizontalDpi="1200" verticalDpi="1200" r:id="rId1"/>
  <headerFooter alignWithMargins="0">
    <oddHeader xml:space="preserve">&amp;R&amp;"-,Bold"&amp;11Schedule X
Page &amp;P of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0075-840C-42C4-AE90-1DE142353C90}">
  <sheetPr codeName="Sheet2"/>
  <dimension ref="A1:U43"/>
  <sheetViews>
    <sheetView workbookViewId="0"/>
  </sheetViews>
  <sheetFormatPr defaultColWidth="9.109375" defaultRowHeight="14.4"/>
  <cols>
    <col min="1" max="1" width="4.77734375" style="5" customWidth="1"/>
    <col min="2" max="2" width="30.77734375" style="5" customWidth="1"/>
    <col min="3" max="3" width="10.109375" style="5" bestFit="1" customWidth="1"/>
    <col min="4" max="4" width="13.77734375" style="5" customWidth="1"/>
    <col min="5" max="6" width="13.77734375" style="5" bestFit="1" customWidth="1"/>
    <col min="7" max="7" width="13.77734375" style="5" customWidth="1"/>
    <col min="8" max="8" width="12.21875" style="5" bestFit="1" customWidth="1"/>
    <col min="9" max="9" width="13.21875" style="5" customWidth="1"/>
    <col min="10" max="10" width="12.21875" style="5" bestFit="1" customWidth="1"/>
    <col min="11" max="12" width="12.109375" style="5" bestFit="1" customWidth="1"/>
    <col min="13" max="13" width="13.44140625" style="5" customWidth="1"/>
    <col min="14" max="14" width="14.44140625" style="5" customWidth="1"/>
    <col min="15" max="15" width="11.77734375" style="5" bestFit="1" customWidth="1"/>
    <col min="16" max="16" width="10.21875" style="5" bestFit="1" customWidth="1"/>
    <col min="17" max="17" width="13" style="5" customWidth="1"/>
    <col min="18" max="18" width="13.44140625" style="5" customWidth="1"/>
    <col min="19" max="19" width="13.21875" style="5" customWidth="1"/>
    <col min="20" max="21" width="12.77734375" style="5" customWidth="1"/>
    <col min="22" max="16384" width="9.109375" style="5"/>
  </cols>
  <sheetData>
    <row r="1" spans="1:21">
      <c r="A1" s="30" t="s">
        <v>0</v>
      </c>
      <c r="B1" s="991"/>
    </row>
    <row r="2" spans="1:21">
      <c r="A2" s="4" t="s">
        <v>11</v>
      </c>
      <c r="B2" s="991"/>
    </row>
    <row r="3" spans="1:21">
      <c r="A3" s="36" t="s">
        <v>802</v>
      </c>
      <c r="B3" s="991"/>
    </row>
    <row r="4" spans="1:21">
      <c r="A4" s="4"/>
    </row>
    <row r="5" spans="1:21" ht="17.25" customHeight="1">
      <c r="A5" s="4"/>
    </row>
    <row r="6" spans="1:21">
      <c r="A6" s="4"/>
    </row>
    <row r="7" spans="1:21">
      <c r="A7" s="20" t="s">
        <v>73</v>
      </c>
      <c r="B7" s="421" t="s">
        <v>74</v>
      </c>
      <c r="C7" s="8" t="s">
        <v>75</v>
      </c>
      <c r="D7" s="8" t="s">
        <v>76</v>
      </c>
      <c r="E7" s="20" t="s">
        <v>77</v>
      </c>
      <c r="F7" s="20" t="s">
        <v>78</v>
      </c>
      <c r="G7" s="20" t="s">
        <v>79</v>
      </c>
      <c r="H7" s="20" t="s">
        <v>80</v>
      </c>
      <c r="I7" s="421" t="s">
        <v>81</v>
      </c>
      <c r="J7" s="421" t="s">
        <v>82</v>
      </c>
      <c r="K7" s="421" t="s">
        <v>83</v>
      </c>
      <c r="L7" s="421" t="s">
        <v>84</v>
      </c>
      <c r="M7" s="421" t="s">
        <v>85</v>
      </c>
      <c r="N7" s="421" t="s">
        <v>86</v>
      </c>
      <c r="O7" s="421" t="s">
        <v>87</v>
      </c>
      <c r="P7" s="421" t="s">
        <v>88</v>
      </c>
      <c r="Q7" s="421"/>
      <c r="R7" s="7"/>
      <c r="S7" s="421"/>
      <c r="T7" s="421"/>
      <c r="U7" s="421"/>
    </row>
    <row r="8" spans="1:21">
      <c r="B8" s="992"/>
      <c r="C8" s="993"/>
      <c r="D8" s="993"/>
      <c r="E8" s="11"/>
      <c r="F8" s="11"/>
      <c r="G8" s="993"/>
      <c r="H8" s="993"/>
      <c r="I8" s="993"/>
      <c r="J8" s="993"/>
      <c r="K8" s="993"/>
      <c r="L8" s="993"/>
      <c r="M8" s="993"/>
      <c r="N8" s="993"/>
      <c r="O8" s="993"/>
      <c r="P8" s="993"/>
      <c r="Q8" s="993"/>
      <c r="R8" s="993"/>
      <c r="S8" s="993"/>
      <c r="T8" s="421"/>
      <c r="U8" s="421"/>
    </row>
    <row r="9" spans="1:21" ht="65.25" customHeight="1">
      <c r="A9" s="7" t="s">
        <v>89</v>
      </c>
      <c r="B9" s="1033" t="s">
        <v>90</v>
      </c>
      <c r="C9" s="1033"/>
      <c r="D9" s="422" t="s">
        <v>91</v>
      </c>
      <c r="E9" s="422" t="s">
        <v>92</v>
      </c>
      <c r="F9" s="422" t="s">
        <v>93</v>
      </c>
      <c r="G9" s="423" t="s">
        <v>94</v>
      </c>
      <c r="H9" s="423" t="s">
        <v>95</v>
      </c>
      <c r="I9" s="422" t="s">
        <v>96</v>
      </c>
      <c r="J9" s="422" t="s">
        <v>97</v>
      </c>
      <c r="K9" s="422" t="s">
        <v>98</v>
      </c>
      <c r="L9" s="422" t="s">
        <v>99</v>
      </c>
      <c r="M9" s="422" t="s">
        <v>100</v>
      </c>
      <c r="N9" s="422" t="s">
        <v>101</v>
      </c>
      <c r="O9" s="422" t="s">
        <v>102</v>
      </c>
      <c r="P9" s="422" t="s">
        <v>103</v>
      </c>
    </row>
    <row r="10" spans="1:21">
      <c r="A10" s="10">
        <v>1</v>
      </c>
      <c r="B10" s="424" t="s">
        <v>104</v>
      </c>
      <c r="C10" s="424" t="s">
        <v>105</v>
      </c>
      <c r="D10" s="589">
        <f>'Rate Design'!$E$21</f>
        <v>17394497.254280001</v>
      </c>
      <c r="E10" s="589">
        <v>22701837.905149292</v>
      </c>
      <c r="F10" s="589">
        <f t="shared" ref="F10:F17" si="0">E10-D10</f>
        <v>5307340.6508692913</v>
      </c>
      <c r="G10" s="589">
        <f t="shared" ref="G10:G17" si="1">D10*$H$21</f>
        <v>3538423.9419815219</v>
      </c>
      <c r="H10" s="590" t="str">
        <f t="shared" ref="H10:H17" si="2">IF(F10&gt;G10,"Yes","No")</f>
        <v>Yes</v>
      </c>
      <c r="I10" s="590">
        <f>F29</f>
        <v>5903915.3095833855</v>
      </c>
      <c r="J10" s="591" t="str">
        <f t="shared" ref="J10:J17" si="3">IF(H10="yes",IF(G10&gt;I10,"Yes","No"),IF(F10&gt;I10,"Yes","No"))</f>
        <v>No</v>
      </c>
      <c r="K10" s="589">
        <f t="shared" ref="K10:K17" si="4">IF(AND(H10="No",J10="No",F10&gt;0),F10,IF(J10="yes",I10,IF(H10="Yes",G10,0)))</f>
        <v>3538423.9419815219</v>
      </c>
      <c r="L10" s="589">
        <f t="shared" ref="L10:L17" si="5">IF(H10="No", $L$22*(E10/SUMIF($H$10:$H$17, "No", $E$10:$E$17)),0)</f>
        <v>0</v>
      </c>
      <c r="M10" s="589">
        <f t="shared" ref="M10:M17" si="6">K10+L10</f>
        <v>3538423.9419815219</v>
      </c>
      <c r="N10" s="592">
        <f t="shared" ref="N10:N17" si="7">M10+D10</f>
        <v>20932921.196261521</v>
      </c>
      <c r="O10" s="994">
        <f t="shared" ref="O10:O17" si="8">M10/D10</f>
        <v>0.20342202998197464</v>
      </c>
      <c r="P10" s="994" t="str">
        <f t="shared" ref="P10:P17" si="9">IF(M10&gt;G10, "No", "Yes")</f>
        <v>Yes</v>
      </c>
    </row>
    <row r="11" spans="1:21">
      <c r="A11" s="10">
        <v>2</v>
      </c>
      <c r="B11" s="424" t="s">
        <v>106</v>
      </c>
      <c r="C11" s="424" t="s">
        <v>43</v>
      </c>
      <c r="D11" s="425">
        <f>'Rate Design'!$E$29</f>
        <v>823493.81536999997</v>
      </c>
      <c r="E11" s="425">
        <v>1445084.1859055664</v>
      </c>
      <c r="F11" s="426">
        <f t="shared" si="0"/>
        <v>621590.37053556647</v>
      </c>
      <c r="G11" s="426">
        <f t="shared" si="1"/>
        <v>167516.78360016682</v>
      </c>
      <c r="H11" s="427" t="str">
        <f t="shared" si="2"/>
        <v>Yes</v>
      </c>
      <c r="I11" s="427">
        <f t="shared" ref="I11:I17" si="10">F30</f>
        <v>211736.36167276921</v>
      </c>
      <c r="J11" s="427" t="str">
        <f t="shared" si="3"/>
        <v>No</v>
      </c>
      <c r="K11" s="426">
        <f t="shared" si="4"/>
        <v>167516.78360016682</v>
      </c>
      <c r="L11" s="426">
        <f t="shared" si="5"/>
        <v>0</v>
      </c>
      <c r="M11" s="426">
        <f t="shared" si="6"/>
        <v>167516.78360016682</v>
      </c>
      <c r="N11" s="428">
        <f t="shared" si="7"/>
        <v>991010.59897016676</v>
      </c>
      <c r="O11" s="994">
        <f t="shared" si="8"/>
        <v>0.20342202998197464</v>
      </c>
      <c r="P11" s="994" t="str">
        <f t="shared" si="9"/>
        <v>Yes</v>
      </c>
    </row>
    <row r="12" spans="1:21">
      <c r="A12" s="10">
        <v>3</v>
      </c>
      <c r="B12" s="424" t="s">
        <v>107</v>
      </c>
      <c r="C12" s="424" t="s">
        <v>44</v>
      </c>
      <c r="D12" s="426">
        <f>'Rate Design'!$E$39</f>
        <v>6129339.3431099998</v>
      </c>
      <c r="E12" s="426">
        <f>D12*$D$22/$D$21</f>
        <v>4400753.849099461</v>
      </c>
      <c r="F12" s="426">
        <f t="shared" si="0"/>
        <v>-1728585.4940105388</v>
      </c>
      <c r="G12" s="426">
        <f t="shared" si="1"/>
        <v>1246842.6516238193</v>
      </c>
      <c r="H12" s="427" t="str">
        <f t="shared" si="2"/>
        <v>No</v>
      </c>
      <c r="I12" s="427">
        <f t="shared" si="10"/>
        <v>2639546.854263708</v>
      </c>
      <c r="J12" s="427" t="str">
        <f t="shared" si="3"/>
        <v>No</v>
      </c>
      <c r="K12" s="426">
        <f t="shared" si="4"/>
        <v>0</v>
      </c>
      <c r="L12" s="426">
        <f t="shared" si="5"/>
        <v>128933.05021310433</v>
      </c>
      <c r="M12" s="426">
        <f t="shared" si="6"/>
        <v>128933.05021310433</v>
      </c>
      <c r="N12" s="428">
        <f t="shared" si="7"/>
        <v>6258272.3933231039</v>
      </c>
      <c r="O12" s="994">
        <f t="shared" si="8"/>
        <v>2.1035391091217388E-2</v>
      </c>
      <c r="P12" s="994" t="str">
        <f t="shared" si="9"/>
        <v>Yes</v>
      </c>
    </row>
    <row r="13" spans="1:21">
      <c r="A13" s="10">
        <v>4</v>
      </c>
      <c r="B13" s="424" t="s">
        <v>108</v>
      </c>
      <c r="C13" s="424" t="s">
        <v>45</v>
      </c>
      <c r="D13" s="425">
        <f>'Rate Design'!$E$48</f>
        <v>4134127.21141</v>
      </c>
      <c r="E13" s="425">
        <v>3832874.6172440443</v>
      </c>
      <c r="F13" s="426">
        <f t="shared" si="0"/>
        <v>-301252.59416595567</v>
      </c>
      <c r="G13" s="426">
        <f t="shared" si="1"/>
        <v>840972.54954874224</v>
      </c>
      <c r="H13" s="427" t="str">
        <f t="shared" si="2"/>
        <v>No</v>
      </c>
      <c r="I13" s="427">
        <f t="shared" si="10"/>
        <v>2739293.3241345002</v>
      </c>
      <c r="J13" s="427" t="str">
        <f t="shared" si="3"/>
        <v>No</v>
      </c>
      <c r="K13" s="426">
        <f t="shared" si="4"/>
        <v>0</v>
      </c>
      <c r="L13" s="426">
        <f t="shared" si="5"/>
        <v>112295.35493942379</v>
      </c>
      <c r="M13" s="426">
        <f t="shared" si="6"/>
        <v>112295.35493942379</v>
      </c>
      <c r="N13" s="428">
        <f t="shared" si="7"/>
        <v>4246422.5663494235</v>
      </c>
      <c r="O13" s="994">
        <f t="shared" si="8"/>
        <v>2.7163013907625728E-2</v>
      </c>
      <c r="P13" s="994" t="str">
        <f t="shared" si="9"/>
        <v>Yes</v>
      </c>
    </row>
    <row r="14" spans="1:21">
      <c r="A14" s="10">
        <v>5</v>
      </c>
      <c r="B14" s="424" t="s">
        <v>109</v>
      </c>
      <c r="C14" s="424" t="s">
        <v>46</v>
      </c>
      <c r="D14" s="426">
        <f>'Rate Design'!$E$62</f>
        <v>8851.1352100000004</v>
      </c>
      <c r="E14" s="426">
        <f>D14*$D$22/$D$21</f>
        <v>6354.9536359237309</v>
      </c>
      <c r="F14" s="426">
        <f t="shared" si="0"/>
        <v>-2496.1815740762695</v>
      </c>
      <c r="G14" s="426">
        <f t="shared" si="1"/>
        <v>1800.5158920631316</v>
      </c>
      <c r="H14" s="427" t="str">
        <f t="shared" si="2"/>
        <v>No</v>
      </c>
      <c r="I14" s="427">
        <f t="shared" si="10"/>
        <v>7782.3828905416676</v>
      </c>
      <c r="J14" s="427" t="str">
        <f t="shared" si="3"/>
        <v>No</v>
      </c>
      <c r="K14" s="426">
        <f t="shared" si="4"/>
        <v>0</v>
      </c>
      <c r="L14" s="426">
        <f t="shared" si="5"/>
        <v>186.18709074359455</v>
      </c>
      <c r="M14" s="426">
        <f t="shared" si="6"/>
        <v>186.18709074359455</v>
      </c>
      <c r="N14" s="428">
        <f t="shared" si="7"/>
        <v>9037.3223007435954</v>
      </c>
      <c r="O14" s="994">
        <f t="shared" si="8"/>
        <v>2.1035391091217388E-2</v>
      </c>
      <c r="P14" s="994" t="str">
        <f t="shared" si="9"/>
        <v>Yes</v>
      </c>
    </row>
    <row r="15" spans="1:21">
      <c r="A15" s="10">
        <v>6</v>
      </c>
      <c r="B15" s="424" t="s">
        <v>110</v>
      </c>
      <c r="C15" s="424" t="s">
        <v>47</v>
      </c>
      <c r="D15" s="426">
        <f>'Rate Design'!$E$74</f>
        <v>23656.224560000002</v>
      </c>
      <c r="E15" s="426">
        <f>D15*$D$22/$D$21</f>
        <v>16984.737744143025</v>
      </c>
      <c r="F15" s="426">
        <f t="shared" si="0"/>
        <v>-6671.486815856977</v>
      </c>
      <c r="G15" s="426">
        <f t="shared" si="1"/>
        <v>4812.197221704645</v>
      </c>
      <c r="H15" s="427" t="str">
        <f t="shared" si="2"/>
        <v>No</v>
      </c>
      <c r="I15" s="427">
        <f t="shared" si="10"/>
        <v>10376.252823666666</v>
      </c>
      <c r="J15" s="427" t="str">
        <f t="shared" si="3"/>
        <v>No</v>
      </c>
      <c r="K15" s="426">
        <f t="shared" si="4"/>
        <v>0</v>
      </c>
      <c r="L15" s="426">
        <f t="shared" si="5"/>
        <v>497.61793536126214</v>
      </c>
      <c r="M15" s="426">
        <f t="shared" si="6"/>
        <v>497.61793536126214</v>
      </c>
      <c r="N15" s="428">
        <f t="shared" si="7"/>
        <v>24153.842495361263</v>
      </c>
      <c r="O15" s="994">
        <f t="shared" si="8"/>
        <v>2.1035391091217392E-2</v>
      </c>
      <c r="P15" s="994" t="str">
        <f t="shared" si="9"/>
        <v>Yes</v>
      </c>
    </row>
    <row r="16" spans="1:21">
      <c r="A16" s="10">
        <v>7</v>
      </c>
      <c r="B16" s="424" t="s">
        <v>111</v>
      </c>
      <c r="C16" s="424" t="s">
        <v>48</v>
      </c>
      <c r="D16" s="560">
        <f>'Rate Design'!$E$91</f>
        <v>266880.38825000002</v>
      </c>
      <c r="E16" s="425">
        <v>413273.59014877258</v>
      </c>
      <c r="F16" s="426">
        <f t="shared" si="0"/>
        <v>146393.20189877256</v>
      </c>
      <c r="G16" s="426">
        <f t="shared" si="1"/>
        <v>54289.350340192541</v>
      </c>
      <c r="H16" s="427" t="str">
        <f t="shared" si="2"/>
        <v>Yes</v>
      </c>
      <c r="I16" s="427">
        <f>F35</f>
        <v>52187.195505458338</v>
      </c>
      <c r="J16" s="427" t="str">
        <f t="shared" si="3"/>
        <v>Yes</v>
      </c>
      <c r="K16" s="426">
        <f t="shared" si="4"/>
        <v>52187.195505458338</v>
      </c>
      <c r="L16" s="426">
        <f t="shared" si="5"/>
        <v>0</v>
      </c>
      <c r="M16" s="426">
        <f t="shared" si="6"/>
        <v>52187.195505458338</v>
      </c>
      <c r="N16" s="428">
        <f t="shared" si="7"/>
        <v>319067.58375545836</v>
      </c>
      <c r="O16" s="994">
        <f t="shared" si="8"/>
        <v>0.19554526223400132</v>
      </c>
      <c r="P16" s="994" t="str">
        <f t="shared" si="9"/>
        <v>Yes</v>
      </c>
    </row>
    <row r="17" spans="1:21">
      <c r="A17" s="10">
        <v>8</v>
      </c>
      <c r="B17" s="424" t="s">
        <v>112</v>
      </c>
      <c r="C17" s="424" t="s">
        <v>49</v>
      </c>
      <c r="D17" s="560">
        <f>'Rate Design'!$E$92</f>
        <v>46202.773895999999</v>
      </c>
      <c r="E17" s="425">
        <v>111660.9295812998</v>
      </c>
      <c r="F17" s="426">
        <f t="shared" si="0"/>
        <v>65458.155685299804</v>
      </c>
      <c r="G17" s="426">
        <f t="shared" si="1"/>
        <v>9398.6620567225073</v>
      </c>
      <c r="H17" s="427" t="str">
        <f t="shared" si="2"/>
        <v>Yes</v>
      </c>
      <c r="I17" s="427">
        <f t="shared" si="10"/>
        <v>19097.932786583333</v>
      </c>
      <c r="J17" s="427" t="str">
        <f t="shared" si="3"/>
        <v>No</v>
      </c>
      <c r="K17" s="426">
        <f t="shared" si="4"/>
        <v>9398.6620567225073</v>
      </c>
      <c r="L17" s="426">
        <f t="shared" si="5"/>
        <v>0</v>
      </c>
      <c r="M17" s="426">
        <f t="shared" si="6"/>
        <v>9398.6620567225073</v>
      </c>
      <c r="N17" s="428">
        <f t="shared" si="7"/>
        <v>55601.435952722502</v>
      </c>
      <c r="O17" s="994">
        <f t="shared" si="8"/>
        <v>0.20342202998197464</v>
      </c>
      <c r="P17" s="994" t="str">
        <f t="shared" si="9"/>
        <v>Yes</v>
      </c>
    </row>
    <row r="18" spans="1:21">
      <c r="A18" s="10">
        <v>9</v>
      </c>
      <c r="B18" s="1034" t="s">
        <v>113</v>
      </c>
      <c r="C18" s="1035"/>
      <c r="D18" s="430">
        <v>1418766.1060819922</v>
      </c>
      <c r="E18" s="430">
        <f>D18</f>
        <v>1418766.1060819922</v>
      </c>
      <c r="F18" s="431">
        <v>0</v>
      </c>
      <c r="G18" s="432"/>
      <c r="H18" s="426"/>
      <c r="I18" s="426"/>
      <c r="J18" s="426"/>
      <c r="K18" s="426"/>
      <c r="L18" s="426"/>
      <c r="M18" s="432">
        <f>L21</f>
        <v>92337.829099999974</v>
      </c>
      <c r="N18" s="433">
        <f>E18+L21</f>
        <v>1511103.9351819921</v>
      </c>
      <c r="O18" s="994">
        <f t="shared" ref="O18" si="11">M18/D18</f>
        <v>6.5083193561055977E-2</v>
      </c>
      <c r="P18" s="994"/>
    </row>
    <row r="19" spans="1:21" s="4" customFormat="1">
      <c r="A19" s="10">
        <v>10</v>
      </c>
      <c r="B19" s="1036" t="s">
        <v>114</v>
      </c>
      <c r="C19" s="1037"/>
      <c r="D19" s="434">
        <f>SUM(D10:D18)</f>
        <v>30245814.252167996</v>
      </c>
      <c r="E19" s="435">
        <f>SUM(E10:E18)</f>
        <v>34347590.874590494</v>
      </c>
      <c r="F19" s="435">
        <f>SUM(F10:F18)</f>
        <v>4101776.6224225028</v>
      </c>
      <c r="G19" s="435"/>
      <c r="H19" s="435"/>
      <c r="I19" s="435"/>
      <c r="J19" s="435"/>
      <c r="K19" s="435">
        <f>SUM(K10:K18)</f>
        <v>3767526.5831438699</v>
      </c>
      <c r="L19" s="436">
        <f>SUM(L10:L18)</f>
        <v>241912.21017863299</v>
      </c>
      <c r="M19" s="436">
        <f>SUM(M10:M18)</f>
        <v>4101776.6224225033</v>
      </c>
      <c r="N19" s="574">
        <f>SUM(N10:N18)</f>
        <v>34347590.874590494</v>
      </c>
      <c r="O19" s="421"/>
      <c r="P19" s="421"/>
    </row>
    <row r="20" spans="1:21">
      <c r="A20" s="10">
        <v>11</v>
      </c>
      <c r="B20" s="600" t="s">
        <v>115</v>
      </c>
      <c r="C20" s="595"/>
      <c r="D20" s="437"/>
      <c r="E20" s="438"/>
      <c r="F20" s="439"/>
      <c r="G20" s="429" t="s">
        <v>116</v>
      </c>
      <c r="H20" s="440">
        <f>F19/D19</f>
        <v>0.13561468665464976</v>
      </c>
      <c r="I20" s="448"/>
      <c r="J20" s="448"/>
      <c r="L20" s="441">
        <f>F19-K19</f>
        <v>334250.03927863296</v>
      </c>
      <c r="M20" s="442" t="s">
        <v>117</v>
      </c>
      <c r="N20" s="443"/>
      <c r="P20" s="421"/>
      <c r="R20" s="444"/>
      <c r="S20" s="421"/>
      <c r="T20" s="421"/>
    </row>
    <row r="21" spans="1:21">
      <c r="A21" s="10">
        <v>12</v>
      </c>
      <c r="B21" s="596" t="s">
        <v>91</v>
      </c>
      <c r="C21" s="595"/>
      <c r="D21" s="425">
        <f>D12+D14+D15</f>
        <v>6161846.7028799998</v>
      </c>
      <c r="E21" s="445"/>
      <c r="F21" s="439"/>
      <c r="G21" s="429" t="s">
        <v>118</v>
      </c>
      <c r="H21" s="440">
        <f>H20*150%</f>
        <v>0.20342202998197464</v>
      </c>
      <c r="I21" s="448"/>
      <c r="J21" s="448"/>
      <c r="L21" s="441">
        <v>92337.829099999974</v>
      </c>
      <c r="M21" s="442" t="s">
        <v>119</v>
      </c>
      <c r="N21" s="443"/>
      <c r="P21" s="421"/>
      <c r="R21" s="444"/>
      <c r="S21" s="421"/>
      <c r="T21" s="421"/>
    </row>
    <row r="22" spans="1:21">
      <c r="A22" s="10">
        <v>13</v>
      </c>
      <c r="B22" s="596" t="s">
        <v>120</v>
      </c>
      <c r="C22" s="595"/>
      <c r="D22" s="425">
        <v>4424093.5404795278</v>
      </c>
      <c r="E22" s="446"/>
      <c r="H22" s="447"/>
      <c r="L22" s="441">
        <f>L20-L21</f>
        <v>241912.21017863299</v>
      </c>
      <c r="M22" s="442" t="s">
        <v>117</v>
      </c>
      <c r="N22" s="443"/>
      <c r="R22" s="444"/>
      <c r="S22" s="421"/>
      <c r="T22" s="421"/>
    </row>
    <row r="23" spans="1:21">
      <c r="A23" s="10">
        <v>14</v>
      </c>
      <c r="D23" s="715"/>
      <c r="E23" s="444"/>
      <c r="K23" s="448"/>
      <c r="L23" s="444"/>
      <c r="M23" s="444"/>
      <c r="N23" s="444"/>
      <c r="O23" s="444"/>
      <c r="P23" s="444"/>
      <c r="Q23" s="444"/>
      <c r="R23" s="444"/>
      <c r="S23" s="449"/>
      <c r="T23" s="421"/>
      <c r="U23" s="421"/>
    </row>
    <row r="24" spans="1:21">
      <c r="A24" s="10">
        <v>15</v>
      </c>
      <c r="E24" s="449"/>
      <c r="F24" s="449"/>
      <c r="K24" s="599"/>
      <c r="L24" s="439"/>
      <c r="M24" s="437" t="s">
        <v>115</v>
      </c>
      <c r="N24" s="433">
        <f>SUM(N12,N14,N15)</f>
        <v>6291463.5581192086</v>
      </c>
      <c r="P24" s="444"/>
      <c r="Q24" s="444"/>
      <c r="R24" s="444"/>
      <c r="S24" s="449"/>
      <c r="T24" s="421"/>
      <c r="U24" s="421"/>
    </row>
    <row r="25" spans="1:21">
      <c r="A25" s="10">
        <v>16</v>
      </c>
      <c r="E25" s="449"/>
      <c r="K25" s="448"/>
      <c r="L25" s="597"/>
      <c r="M25" s="598" t="s">
        <v>121</v>
      </c>
      <c r="N25" s="433">
        <f>SUM(N16:N17)</f>
        <v>374669.01970818086</v>
      </c>
      <c r="P25" s="444"/>
      <c r="Q25" s="444"/>
      <c r="R25" s="444"/>
      <c r="S25" s="449"/>
      <c r="T25" s="421"/>
      <c r="U25" s="421"/>
    </row>
    <row r="26" spans="1:21" ht="46.95" customHeight="1">
      <c r="A26" s="20" t="s">
        <v>73</v>
      </c>
      <c r="B26" s="421" t="s">
        <v>74</v>
      </c>
      <c r="C26" s="8" t="s">
        <v>75</v>
      </c>
      <c r="D26" s="7" t="s">
        <v>76</v>
      </c>
      <c r="E26" s="450" t="s">
        <v>77</v>
      </c>
      <c r="F26" s="20" t="s">
        <v>78</v>
      </c>
      <c r="G26" s="20" t="s">
        <v>79</v>
      </c>
      <c r="H26" s="20" t="s">
        <v>80</v>
      </c>
      <c r="I26" s="20"/>
      <c r="J26" s="20"/>
      <c r="K26" s="444"/>
      <c r="L26" s="444"/>
      <c r="M26" s="444"/>
      <c r="N26" s="444"/>
      <c r="O26" s="449"/>
      <c r="P26" s="421"/>
      <c r="Q26" s="421"/>
    </row>
    <row r="27" spans="1:21">
      <c r="A27" s="10"/>
      <c r="B27" s="992"/>
      <c r="C27" s="993"/>
      <c r="E27" s="448"/>
      <c r="H27" s="444"/>
      <c r="I27" s="444"/>
      <c r="J27" s="444"/>
      <c r="K27" s="444"/>
      <c r="L27" s="444"/>
      <c r="M27" s="451"/>
      <c r="N27" s="444"/>
      <c r="O27" s="449"/>
      <c r="P27" s="421"/>
      <c r="Q27" s="421"/>
    </row>
    <row r="28" spans="1:21" ht="57.6">
      <c r="A28" s="7" t="s">
        <v>89</v>
      </c>
      <c r="B28" s="1033" t="s">
        <v>90</v>
      </c>
      <c r="C28" s="1033"/>
      <c r="D28" s="422" t="s">
        <v>96</v>
      </c>
      <c r="E28" s="422" t="s">
        <v>122</v>
      </c>
      <c r="F28" s="422" t="s">
        <v>123</v>
      </c>
      <c r="G28" s="422" t="s">
        <v>100</v>
      </c>
      <c r="H28" s="422" t="s">
        <v>124</v>
      </c>
      <c r="I28" s="530"/>
      <c r="J28" s="530"/>
      <c r="K28" s="444"/>
      <c r="L28" s="444"/>
      <c r="M28" s="444"/>
      <c r="N28" s="444"/>
      <c r="O28" s="449"/>
      <c r="P28" s="421"/>
      <c r="Q28" s="421"/>
    </row>
    <row r="29" spans="1:21">
      <c r="A29" s="10">
        <f>+A25+1</f>
        <v>17</v>
      </c>
      <c r="B29" s="424" t="s">
        <v>104</v>
      </c>
      <c r="C29" s="424" t="s">
        <v>105</v>
      </c>
      <c r="D29" s="426">
        <f>'Total Revenues by Class'!L11</f>
        <v>6370956.9762633853</v>
      </c>
      <c r="E29" s="426">
        <f>SUM(E41:E42)</f>
        <v>467041.66667999997</v>
      </c>
      <c r="F29" s="426">
        <f>D29-E29</f>
        <v>5903915.3095833855</v>
      </c>
      <c r="G29" s="426">
        <f t="shared" ref="G29:G36" si="12">M10</f>
        <v>3538423.9419815219</v>
      </c>
      <c r="H29" s="427" t="str">
        <f t="shared" ref="H29:H36" si="13">IF(G29&gt;F29, "No", "Yes")</f>
        <v>Yes</v>
      </c>
      <c r="I29" s="531"/>
      <c r="J29" s="531"/>
      <c r="K29" s="444"/>
      <c r="L29" s="444"/>
      <c r="M29" s="444"/>
      <c r="N29" s="444"/>
      <c r="O29" s="449"/>
      <c r="P29" s="421"/>
      <c r="Q29" s="421"/>
    </row>
    <row r="30" spans="1:21">
      <c r="A30" s="10">
        <f>+A29+1</f>
        <v>18</v>
      </c>
      <c r="B30" s="424" t="s">
        <v>106</v>
      </c>
      <c r="C30" s="424" t="s">
        <v>43</v>
      </c>
      <c r="D30" s="426">
        <f>'Total Revenues by Class'!L15</f>
        <v>223856.67302276922</v>
      </c>
      <c r="E30" s="426">
        <f>+Rider_Revenue!O11</f>
        <v>12120.31135</v>
      </c>
      <c r="F30" s="426">
        <f>D30-E30</f>
        <v>211736.36167276921</v>
      </c>
      <c r="G30" s="426">
        <f t="shared" si="12"/>
        <v>167516.78360016682</v>
      </c>
      <c r="H30" s="427" t="str">
        <f t="shared" si="13"/>
        <v>Yes</v>
      </c>
      <c r="I30" s="531"/>
      <c r="J30" s="531"/>
      <c r="K30" s="444"/>
      <c r="L30" s="444"/>
      <c r="M30" s="444"/>
      <c r="N30" s="444"/>
      <c r="O30" s="449"/>
      <c r="P30" s="421"/>
      <c r="Q30" s="421"/>
    </row>
    <row r="31" spans="1:21">
      <c r="A31" s="10">
        <f t="shared" ref="A31:A38" si="14">+A30+1</f>
        <v>19</v>
      </c>
      <c r="B31" s="424" t="s">
        <v>107</v>
      </c>
      <c r="C31" s="424" t="s">
        <v>44</v>
      </c>
      <c r="D31" s="426">
        <f>'Total Revenues by Class'!L19</f>
        <v>2817542.1817137082</v>
      </c>
      <c r="E31" s="426">
        <f>+Rider_Revenue!O12</f>
        <v>177995.32745000001</v>
      </c>
      <c r="F31" s="426">
        <f t="shared" ref="F31:F36" si="15">D31-E31</f>
        <v>2639546.854263708</v>
      </c>
      <c r="G31" s="426">
        <f t="shared" si="12"/>
        <v>128933.05021310433</v>
      </c>
      <c r="H31" s="427" t="str">
        <f t="shared" si="13"/>
        <v>Yes</v>
      </c>
      <c r="I31" s="531"/>
      <c r="J31" s="531"/>
    </row>
    <row r="32" spans="1:21">
      <c r="A32" s="10">
        <f t="shared" si="14"/>
        <v>20</v>
      </c>
      <c r="B32" s="424" t="s">
        <v>108</v>
      </c>
      <c r="C32" s="424" t="s">
        <v>45</v>
      </c>
      <c r="D32" s="426">
        <f>'Total Revenues by Class'!L25</f>
        <v>2793064.6872345004</v>
      </c>
      <c r="E32" s="426">
        <f>+Rider_Revenue!O13</f>
        <v>53771.363100000002</v>
      </c>
      <c r="F32" s="426">
        <f t="shared" si="15"/>
        <v>2739293.3241345002</v>
      </c>
      <c r="G32" s="426">
        <f t="shared" si="12"/>
        <v>112295.35493942379</v>
      </c>
      <c r="H32" s="427" t="str">
        <f t="shared" si="13"/>
        <v>Yes</v>
      </c>
      <c r="I32" s="531"/>
      <c r="J32" s="531"/>
    </row>
    <row r="33" spans="1:12">
      <c r="A33" s="10">
        <f t="shared" si="14"/>
        <v>21</v>
      </c>
      <c r="B33" s="424" t="s">
        <v>109</v>
      </c>
      <c r="C33" s="424" t="s">
        <v>46</v>
      </c>
      <c r="D33" s="426">
        <f>'Total Revenues by Class'!L31</f>
        <v>8389.0701405416676</v>
      </c>
      <c r="E33" s="426">
        <f>+Rider_Revenue!O14</f>
        <v>606.68725000000006</v>
      </c>
      <c r="F33" s="426">
        <f>D33-E33</f>
        <v>7782.3828905416676</v>
      </c>
      <c r="G33" s="426">
        <f t="shared" si="12"/>
        <v>186.18709074359455</v>
      </c>
      <c r="H33" s="427" t="str">
        <f t="shared" si="13"/>
        <v>Yes</v>
      </c>
      <c r="I33" s="531"/>
      <c r="J33" s="531"/>
    </row>
    <row r="34" spans="1:12">
      <c r="A34" s="10">
        <f t="shared" si="14"/>
        <v>22</v>
      </c>
      <c r="B34" s="424" t="s">
        <v>110</v>
      </c>
      <c r="C34" s="424" t="s">
        <v>47</v>
      </c>
      <c r="D34" s="426">
        <f>'Total Revenues by Class'!L38</f>
        <v>11079.796423666667</v>
      </c>
      <c r="E34" s="426">
        <f>+Rider_Revenue!O15</f>
        <v>703.54359999999997</v>
      </c>
      <c r="F34" s="426">
        <f t="shared" si="15"/>
        <v>10376.252823666666</v>
      </c>
      <c r="G34" s="426">
        <f t="shared" si="12"/>
        <v>497.61793536126214</v>
      </c>
      <c r="H34" s="427" t="str">
        <f t="shared" si="13"/>
        <v>Yes</v>
      </c>
      <c r="I34" s="531"/>
      <c r="J34" s="531"/>
    </row>
    <row r="35" spans="1:12">
      <c r="A35" s="10">
        <f t="shared" si="14"/>
        <v>23</v>
      </c>
      <c r="B35" s="424" t="s">
        <v>111</v>
      </c>
      <c r="C35" s="424" t="s">
        <v>48</v>
      </c>
      <c r="D35" s="426">
        <f>'Total Revenues by Class'!L44</f>
        <v>54186.743025458338</v>
      </c>
      <c r="E35" s="426">
        <f>+Rider_Revenue!O16</f>
        <v>1999.5475200000001</v>
      </c>
      <c r="F35" s="426">
        <f t="shared" si="15"/>
        <v>52187.195505458338</v>
      </c>
      <c r="G35" s="426">
        <f t="shared" si="12"/>
        <v>52187.195505458338</v>
      </c>
      <c r="H35" s="427" t="str">
        <f t="shared" si="13"/>
        <v>Yes</v>
      </c>
      <c r="I35" s="531"/>
      <c r="J35" s="531"/>
      <c r="L35" s="444"/>
    </row>
    <row r="36" spans="1:12">
      <c r="A36" s="10">
        <f t="shared" si="14"/>
        <v>24</v>
      </c>
      <c r="B36" s="424" t="s">
        <v>112</v>
      </c>
      <c r="C36" s="424" t="s">
        <v>49</v>
      </c>
      <c r="D36" s="426">
        <f>'Total Revenues by Class'!L45</f>
        <v>20238.301426583334</v>
      </c>
      <c r="E36" s="426">
        <f>+Rider_Revenue!O17</f>
        <v>1140.3686399999999</v>
      </c>
      <c r="F36" s="426">
        <f t="shared" si="15"/>
        <v>19097.932786583333</v>
      </c>
      <c r="G36" s="426">
        <f t="shared" si="12"/>
        <v>9398.6620567225073</v>
      </c>
      <c r="H36" s="427" t="str">
        <f t="shared" si="13"/>
        <v>Yes</v>
      </c>
      <c r="I36" s="531"/>
      <c r="J36" s="531"/>
    </row>
    <row r="37" spans="1:12">
      <c r="A37" s="10">
        <f t="shared" si="14"/>
        <v>25</v>
      </c>
      <c r="B37" s="1034" t="s">
        <v>113</v>
      </c>
      <c r="C37" s="1035"/>
      <c r="D37" s="432"/>
      <c r="E37" s="432"/>
      <c r="F37" s="426"/>
      <c r="G37" s="426">
        <f>M18</f>
        <v>92337.829099999974</v>
      </c>
      <c r="H37" s="426"/>
      <c r="I37" s="449"/>
      <c r="J37" s="449"/>
    </row>
    <row r="38" spans="1:12">
      <c r="A38" s="10">
        <f t="shared" si="14"/>
        <v>26</v>
      </c>
      <c r="D38" s="435">
        <f>SUM(D29:D37)</f>
        <v>12299314.429250613</v>
      </c>
      <c r="E38" s="435">
        <f>SUM(E29:E37)</f>
        <v>715378.8155899999</v>
      </c>
      <c r="F38" s="435">
        <f>SUM(F29:F37)</f>
        <v>11583935.613660613</v>
      </c>
      <c r="G38" s="435">
        <f>M19</f>
        <v>4101776.6224225033</v>
      </c>
    </row>
    <row r="40" spans="1:12" ht="43.2">
      <c r="D40" s="444"/>
      <c r="E40" s="559" t="s">
        <v>122</v>
      </c>
    </row>
    <row r="41" spans="1:12">
      <c r="D41" s="444" t="s">
        <v>39</v>
      </c>
      <c r="E41" s="444">
        <f>+Rider_Revenue!O9</f>
        <v>372016.85</v>
      </c>
    </row>
    <row r="42" spans="1:12">
      <c r="D42" s="444" t="s">
        <v>42</v>
      </c>
      <c r="E42" s="444">
        <f>+Rider_Revenue!O10</f>
        <v>95024.816680000004</v>
      </c>
    </row>
    <row r="43" spans="1:12">
      <c r="E43" s="449"/>
    </row>
  </sheetData>
  <mergeCells count="5">
    <mergeCell ref="B9:C9"/>
    <mergeCell ref="B18:C18"/>
    <mergeCell ref="B19:C19"/>
    <mergeCell ref="B28:C28"/>
    <mergeCell ref="B37:C37"/>
  </mergeCells>
  <conditionalFormatting sqref="H29:J36">
    <cfRule type="cellIs" dxfId="0" priority="1" operator="equal">
      <formula>"no"</formula>
    </cfRule>
  </conditionalFormatting>
  <printOptions horizontalCentered="1"/>
  <pageMargins left="0.45" right="0.45" top="0.75" bottom="0.75" header="0.3" footer="0.3"/>
  <pageSetup scale="65" orientation="landscape" horizontalDpi="1200" verticalDpi="1200" r:id="rId1"/>
  <colBreaks count="1" manualBreakCount="1">
    <brk id="16" max="3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M109"/>
  <sheetViews>
    <sheetView workbookViewId="0"/>
  </sheetViews>
  <sheetFormatPr defaultColWidth="9.109375" defaultRowHeight="14.4"/>
  <cols>
    <col min="1" max="1" width="5.44140625" style="369" customWidth="1"/>
    <col min="2" max="2" width="37.21875" style="369" customWidth="1"/>
    <col min="3" max="3" width="15.109375" style="369" customWidth="1"/>
    <col min="4" max="4" width="13.77734375" style="369" customWidth="1"/>
    <col min="5" max="5" width="16.44140625" style="369" bestFit="1" customWidth="1"/>
    <col min="6" max="6" width="2.5546875" style="369" customWidth="1"/>
    <col min="7" max="7" width="18" style="369" customWidth="1"/>
    <col min="8" max="8" width="18.77734375" style="369" bestFit="1" customWidth="1"/>
    <col min="9" max="9" width="2.77734375" style="369" customWidth="1"/>
    <col min="10" max="10" width="14.5546875" style="42" customWidth="1"/>
    <col min="11" max="11" width="14.5546875" style="42" bestFit="1" customWidth="1"/>
    <col min="12" max="12" width="9.109375" style="42"/>
    <col min="13" max="13" width="14.5546875" style="369" bestFit="1" customWidth="1"/>
    <col min="14" max="16384" width="9.109375" style="369"/>
  </cols>
  <sheetData>
    <row r="1" spans="1:13">
      <c r="A1" s="30" t="s">
        <v>0</v>
      </c>
    </row>
    <row r="2" spans="1:13">
      <c r="A2" s="4" t="s">
        <v>11</v>
      </c>
    </row>
    <row r="3" spans="1:13">
      <c r="A3" s="893" t="s">
        <v>803</v>
      </c>
      <c r="C3" s="950"/>
      <c r="D3" s="950"/>
      <c r="E3" s="950"/>
      <c r="F3" s="950"/>
      <c r="G3" s="950"/>
      <c r="H3" s="950"/>
      <c r="I3" s="950"/>
      <c r="J3" s="41"/>
    </row>
    <row r="4" spans="1:13">
      <c r="A4" s="950"/>
      <c r="B4" s="4"/>
      <c r="C4" s="950"/>
      <c r="D4" s="950"/>
      <c r="E4" s="950"/>
      <c r="F4" s="950"/>
      <c r="G4" s="950"/>
      <c r="H4" s="950"/>
      <c r="I4" s="950"/>
    </row>
    <row r="5" spans="1:13">
      <c r="A5" s="914"/>
      <c r="B5" s="894"/>
      <c r="C5" s="894"/>
      <c r="D5" s="894"/>
      <c r="E5" s="894"/>
      <c r="F5" s="914"/>
      <c r="G5" s="894"/>
      <c r="H5" s="894"/>
      <c r="I5" s="894"/>
    </row>
    <row r="6" spans="1:13" ht="43.8" thickBot="1">
      <c r="A6" s="951" t="s">
        <v>3</v>
      </c>
      <c r="B6" s="951" t="s">
        <v>125</v>
      </c>
      <c r="C6" s="951" t="s">
        <v>126</v>
      </c>
      <c r="D6" s="951" t="s">
        <v>127</v>
      </c>
      <c r="E6" s="951" t="s">
        <v>128</v>
      </c>
      <c r="F6" s="951"/>
      <c r="G6" s="951" t="s">
        <v>129</v>
      </c>
      <c r="H6" s="951" t="s">
        <v>130</v>
      </c>
      <c r="I6" s="951"/>
      <c r="J6" s="952" t="s">
        <v>131</v>
      </c>
      <c r="K6" s="952" t="s">
        <v>132</v>
      </c>
    </row>
    <row r="7" spans="1:13">
      <c r="A7" s="362">
        <f>IF(AND(B7="",E7=""),"",MAX(A$1:A6)+1)</f>
        <v>1</v>
      </c>
      <c r="B7" s="935" t="s">
        <v>133</v>
      </c>
      <c r="C7" s="953"/>
      <c r="D7" s="953"/>
      <c r="E7" s="953"/>
      <c r="F7" s="953"/>
      <c r="G7" s="953"/>
      <c r="H7" s="954"/>
      <c r="I7" s="953"/>
      <c r="J7" s="955"/>
      <c r="K7" s="955"/>
    </row>
    <row r="8" spans="1:13">
      <c r="A8" s="363">
        <f>IF(AND(B8="",E8=""),"",MAX(A$1:A7)+1)</f>
        <v>2</v>
      </c>
      <c r="B8" s="915" t="s">
        <v>134</v>
      </c>
      <c r="C8" s="28">
        <f>SUMIFS(Rev_Billing_Det!$C$180:$C$186,Rev_Billing_Det!$A$180:$A$186,LEFT($B7,4))</f>
        <v>254959.89714285714</v>
      </c>
      <c r="D8" s="956">
        <f>Rates!C8</f>
        <v>7</v>
      </c>
      <c r="E8" s="364">
        <f>D8*C8</f>
        <v>1784719.28</v>
      </c>
      <c r="G8" s="48">
        <f>G18</f>
        <v>8.5</v>
      </c>
      <c r="H8" s="575">
        <f>C8*G8</f>
        <v>2167159.1257142858</v>
      </c>
      <c r="I8" s="570"/>
      <c r="J8" s="360">
        <f>H8-E8</f>
        <v>382439.84571428574</v>
      </c>
      <c r="K8" s="572">
        <f>J8/E8</f>
        <v>0.2142857142857143</v>
      </c>
      <c r="M8" s="49" t="s">
        <v>133</v>
      </c>
    </row>
    <row r="9" spans="1:13">
      <c r="A9" s="363">
        <f>IF(AND(B9="",E9=""),"",MAX(A$1:A8)+1)</f>
        <v>3</v>
      </c>
      <c r="B9" s="915" t="s">
        <v>135</v>
      </c>
      <c r="C9" s="28">
        <f>SUMIFS(Rev_Billing_Det!$E$180:$E$186,Rev_Billing_Det!$A$180:$A$186,LEFT($B7,4))</f>
        <v>137275588</v>
      </c>
      <c r="D9" s="957">
        <f>Rates!C9</f>
        <v>7.9030000000000003E-2</v>
      </c>
      <c r="E9" s="28">
        <f>D9*C9</f>
        <v>10848889.71964</v>
      </c>
      <c r="G9" s="47">
        <f>G19</f>
        <v>0.10585</v>
      </c>
      <c r="H9" s="579">
        <f>C9*G9</f>
        <v>14530620.989800001</v>
      </c>
      <c r="I9" s="570"/>
      <c r="J9" s="28">
        <f>H9-E9</f>
        <v>3681731.2701600008</v>
      </c>
      <c r="K9" s="587">
        <f>J9/E9</f>
        <v>0.33936479817790721</v>
      </c>
      <c r="M9" s="49" t="s">
        <v>133</v>
      </c>
    </row>
    <row r="10" spans="1:13">
      <c r="A10" s="363">
        <f>IF(AND(B10="",E10=""),"",MAX(A$1:A9)+1)</f>
        <v>4</v>
      </c>
      <c r="B10" s="915" t="s">
        <v>136</v>
      </c>
      <c r="E10" s="28">
        <f>-Rider_Revenue!N9</f>
        <v>1242344.07</v>
      </c>
      <c r="H10" s="579">
        <v>0</v>
      </c>
      <c r="J10" s="28">
        <f>H10-E10</f>
        <v>-1242344.07</v>
      </c>
    </row>
    <row r="11" spans="1:13">
      <c r="A11" s="363">
        <f>IF(AND(B11="",E11=""),"",MAX(A$1:A10)+1)</f>
        <v>5</v>
      </c>
      <c r="E11" s="571">
        <f>SUM(E8:E10)</f>
        <v>13875953.069639999</v>
      </c>
      <c r="H11" s="593">
        <f>SUM(H8:H10)</f>
        <v>16697780.115514286</v>
      </c>
      <c r="I11" s="365"/>
      <c r="J11" s="361">
        <f>H11-E11</f>
        <v>2821827.0458742864</v>
      </c>
      <c r="K11" s="572">
        <f>J11/E11</f>
        <v>0.20336095342152211</v>
      </c>
      <c r="M11" s="570"/>
    </row>
    <row r="12" spans="1:13">
      <c r="A12" s="363">
        <f>IF(AND(B12="",E12=""),"",MAX(A$1:A11)+1)</f>
        <v>6</v>
      </c>
      <c r="B12" s="914" t="s">
        <v>137</v>
      </c>
      <c r="H12" s="958"/>
      <c r="J12" s="360"/>
      <c r="K12" s="572"/>
    </row>
    <row r="13" spans="1:13">
      <c r="A13" s="363">
        <f>IF(AND(B13="",E13=""),"",MAX(A$1:A12)+1)</f>
        <v>7</v>
      </c>
      <c r="B13" s="915" t="s">
        <v>134</v>
      </c>
      <c r="C13" s="28">
        <f>SUMIFS(Rev_Billing_Det!$C$180:$C$186,Rev_Billing_Det!$A$180:$A$186,LEFT($B12,4))</f>
        <v>61437.474285714277</v>
      </c>
      <c r="D13" s="956">
        <f>Rates!C12</f>
        <v>7</v>
      </c>
      <c r="E13" s="364">
        <f>D13*C13</f>
        <v>430062.31999999995</v>
      </c>
      <c r="G13" s="48">
        <f>G18</f>
        <v>8.5</v>
      </c>
      <c r="H13" s="575">
        <f>C13*G13</f>
        <v>522218.53142857138</v>
      </c>
      <c r="I13" s="570"/>
      <c r="J13" s="360">
        <f>H13-E13</f>
        <v>92156.211428571434</v>
      </c>
      <c r="K13" s="572">
        <f>J13/E13</f>
        <v>0.21428571428571433</v>
      </c>
      <c r="M13" s="49" t="s">
        <v>137</v>
      </c>
    </row>
    <row r="14" spans="1:13">
      <c r="A14" s="363">
        <f>IF(AND(B14="",E14=""),"",MAX(A$1:A13)+1)</f>
        <v>8</v>
      </c>
      <c r="B14" s="915" t="s">
        <v>135</v>
      </c>
      <c r="C14" s="28">
        <f>SUMIFS(Rev_Billing_Det!$E$180:$E$186,Rev_Billing_Det!$A$180:$A$186,LEFT($B12,4))</f>
        <v>35064508</v>
      </c>
      <c r="D14" s="47">
        <f>Rates!C13</f>
        <v>7.9030000000000003E-2</v>
      </c>
      <c r="E14" s="28">
        <f>D14*C14</f>
        <v>2771148.0672400002</v>
      </c>
      <c r="G14" s="47">
        <f>G19</f>
        <v>0.10585</v>
      </c>
      <c r="H14" s="579">
        <f>C14*G14</f>
        <v>3711578.1718000001</v>
      </c>
      <c r="I14" s="570"/>
      <c r="J14" s="28">
        <f>H14-E14</f>
        <v>940430.10455999989</v>
      </c>
      <c r="K14" s="587">
        <f>J14/E14</f>
        <v>0.33936479817790705</v>
      </c>
      <c r="M14" s="49" t="s">
        <v>137</v>
      </c>
    </row>
    <row r="15" spans="1:13">
      <c r="A15" s="363">
        <f>IF(AND(B15="",E15=""),"",MAX(A$1:A14)+1)</f>
        <v>9</v>
      </c>
      <c r="B15" s="915" t="s">
        <v>136</v>
      </c>
      <c r="E15" s="28">
        <f>-Rider_Revenue!N10</f>
        <v>317333.79739999998</v>
      </c>
      <c r="H15" s="579">
        <v>0</v>
      </c>
      <c r="J15" s="28">
        <f>H15-E15</f>
        <v>-317333.79739999998</v>
      </c>
      <c r="M15" s="570"/>
    </row>
    <row r="16" spans="1:13">
      <c r="A16" s="363">
        <f>IF(AND(B16="",E16=""),"",MAX(A$1:A15)+1)</f>
        <v>10</v>
      </c>
      <c r="E16" s="571">
        <f>SUM(E13:E15)</f>
        <v>3518544.1846400001</v>
      </c>
      <c r="H16" s="593">
        <f>SUM(H13:H15)</f>
        <v>4233796.7032285715</v>
      </c>
      <c r="I16" s="365"/>
      <c r="J16" s="361">
        <f>H16-E16</f>
        <v>715252.51858857134</v>
      </c>
      <c r="K16" s="572">
        <f>J16/E16</f>
        <v>0.20328081190822175</v>
      </c>
      <c r="M16" s="570"/>
    </row>
    <row r="17" spans="1:13" ht="16.2">
      <c r="A17" s="363">
        <f>IF(AND(B17="",E17=""),"",MAX(A$1:A16)+1)</f>
        <v>11</v>
      </c>
      <c r="B17" s="943" t="s">
        <v>138</v>
      </c>
      <c r="H17" s="662"/>
      <c r="I17" s="570"/>
      <c r="J17" s="959"/>
      <c r="K17" s="587"/>
    </row>
    <row r="18" spans="1:13">
      <c r="A18" s="363">
        <f>IF(AND(B18="",E18=""),"",MAX(A$1:A17)+1)</f>
        <v>12</v>
      </c>
      <c r="B18" s="960" t="s">
        <v>139</v>
      </c>
      <c r="C18" s="665">
        <f>C8+C13</f>
        <v>316397.37142857141</v>
      </c>
      <c r="D18" s="42"/>
      <c r="E18" s="39">
        <f>E8+E13</f>
        <v>2214781.6</v>
      </c>
      <c r="F18" s="42"/>
      <c r="G18" s="961">
        <f>Rates!M8</f>
        <v>8.5</v>
      </c>
      <c r="H18" s="577">
        <f>H8+H13</f>
        <v>2689377.6571428571</v>
      </c>
      <c r="I18" s="42"/>
      <c r="J18" s="360">
        <f>H18-E18</f>
        <v>474596.057142857</v>
      </c>
      <c r="K18" s="572">
        <f>J18/E18</f>
        <v>0.21428571428571422</v>
      </c>
    </row>
    <row r="19" spans="1:13">
      <c r="A19" s="363">
        <f>IF(AND(B19="",E19=""),"",MAX(A$1:A18)+1)</f>
        <v>13</v>
      </c>
      <c r="B19" s="960" t="s">
        <v>140</v>
      </c>
      <c r="C19" s="665">
        <f>C9+C14</f>
        <v>172340096</v>
      </c>
      <c r="D19" s="42"/>
      <c r="E19" s="28">
        <f>E9+E14</f>
        <v>13620037.78688</v>
      </c>
      <c r="F19" s="42"/>
      <c r="G19" s="569">
        <f>TRUNC((H23-H18)/C19,5)</f>
        <v>0.10585</v>
      </c>
      <c r="H19" s="579">
        <f>G19*C19</f>
        <v>18242199.161600001</v>
      </c>
      <c r="I19" s="42"/>
      <c r="J19" s="28">
        <f>H19-E19</f>
        <v>4622161.3747200016</v>
      </c>
      <c r="K19" s="587">
        <f>J19/E19</f>
        <v>0.33936479817790727</v>
      </c>
    </row>
    <row r="20" spans="1:13">
      <c r="A20" s="363">
        <f>IF(AND(B20="",E20=""),"",MAX(A$1:A19)+1)</f>
        <v>14</v>
      </c>
      <c r="B20" s="915" t="s">
        <v>136</v>
      </c>
      <c r="C20" s="665"/>
      <c r="D20" s="42"/>
      <c r="E20" s="28">
        <f>E10+E15</f>
        <v>1559677.8674000001</v>
      </c>
      <c r="F20" s="42"/>
      <c r="G20" s="569"/>
      <c r="H20" s="579">
        <f>G20*C20</f>
        <v>0</v>
      </c>
      <c r="I20" s="42"/>
      <c r="J20" s="28">
        <f>H20-E20</f>
        <v>-1559677.8674000001</v>
      </c>
      <c r="K20" s="587"/>
    </row>
    <row r="21" spans="1:13">
      <c r="A21" s="363">
        <f>IF(AND(B21="",E21=""),"",MAX(A$1:A20)+1)</f>
        <v>15</v>
      </c>
      <c r="B21" s="42"/>
      <c r="C21" s="42"/>
      <c r="D21" s="42"/>
      <c r="E21" s="571">
        <f>SUM(E18:E20)</f>
        <v>17394497.254280001</v>
      </c>
      <c r="F21" s="42"/>
      <c r="G21" s="42"/>
      <c r="H21" s="593">
        <f>SUM(H18:H20)</f>
        <v>20931576.818742856</v>
      </c>
      <c r="I21" s="42"/>
      <c r="J21" s="361">
        <f>H21-E21</f>
        <v>3537079.5644628555</v>
      </c>
      <c r="K21" s="572">
        <f>J21/E21</f>
        <v>0.20334474246403067</v>
      </c>
    </row>
    <row r="22" spans="1:13">
      <c r="A22" s="363" t="str">
        <f>IF(AND(B22="",E22=""),"",MAX(A$1:A21)+1)</f>
        <v/>
      </c>
      <c r="B22" s="42"/>
      <c r="C22" s="42"/>
      <c r="D22" s="42"/>
      <c r="E22" s="361"/>
      <c r="F22" s="42"/>
      <c r="G22" s="42"/>
      <c r="H22" s="945"/>
      <c r="I22" s="42"/>
      <c r="J22" s="361"/>
      <c r="K22" s="572"/>
    </row>
    <row r="23" spans="1:13">
      <c r="A23" s="363">
        <f>IF(AND(B23="",E23=""),"",MAX(A$1:A22)+1)</f>
        <v>16</v>
      </c>
      <c r="B23" s="943" t="s">
        <v>141</v>
      </c>
      <c r="C23" s="42"/>
      <c r="D23" s="42"/>
      <c r="E23" s="42"/>
      <c r="F23" s="42"/>
      <c r="G23" s="42"/>
      <c r="H23" s="577">
        <f>'Revenue Apportionment'!N10</f>
        <v>20932921.196261521</v>
      </c>
      <c r="I23" s="42"/>
      <c r="J23" s="360"/>
      <c r="K23" s="572"/>
    </row>
    <row r="24" spans="1:13" ht="15" thickBot="1">
      <c r="A24" s="366">
        <f>IF(AND(B24="",E24=""),"",MAX(A$1:A23)+1)</f>
        <v>17</v>
      </c>
      <c r="B24" s="947" t="s">
        <v>142</v>
      </c>
      <c r="C24" s="947"/>
      <c r="D24" s="947"/>
      <c r="E24" s="947"/>
      <c r="F24" s="947"/>
      <c r="G24" s="947"/>
      <c r="H24" s="578">
        <f>H23-H21</f>
        <v>1344.3775186650455</v>
      </c>
      <c r="I24" s="947"/>
      <c r="J24" s="962"/>
      <c r="K24" s="963"/>
    </row>
    <row r="25" spans="1:13">
      <c r="A25" s="362">
        <f>IF(AND(B25="",E25=""),"",MAX(A$1:A24)+1)</f>
        <v>18</v>
      </c>
      <c r="B25" s="935" t="s">
        <v>143</v>
      </c>
      <c r="C25" s="953"/>
      <c r="D25" s="953"/>
      <c r="E25" s="953"/>
      <c r="F25" s="953"/>
      <c r="G25" s="953"/>
      <c r="H25" s="964"/>
      <c r="I25" s="965"/>
      <c r="J25" s="965"/>
      <c r="K25" s="965"/>
      <c r="L25" s="365"/>
      <c r="M25" s="365"/>
    </row>
    <row r="26" spans="1:13">
      <c r="A26" s="363">
        <f>IF(AND(B26="",E26=""),"",MAX(A$1:A25)+1)</f>
        <v>19</v>
      </c>
      <c r="B26" s="915" t="s">
        <v>134</v>
      </c>
      <c r="C26" s="28">
        <f>SUMIFS(Rev_Billing_Det!$C$180:$C$186,Rev_Billing_Det!$A$180:$A$186,LEFT($B25,4))</f>
        <v>30492.186000000002</v>
      </c>
      <c r="D26" s="956">
        <f>Rates!C16</f>
        <v>10</v>
      </c>
      <c r="E26" s="364">
        <f>D26*C26</f>
        <v>304921.86</v>
      </c>
      <c r="G26" s="48">
        <f>Rates!M9</f>
        <v>12</v>
      </c>
      <c r="H26" s="575">
        <f>C26*G26</f>
        <v>365906.23200000002</v>
      </c>
      <c r="I26" s="570"/>
      <c r="J26" s="360">
        <f>H26-E26</f>
        <v>60984.372000000032</v>
      </c>
      <c r="K26" s="572">
        <f>J26/E26</f>
        <v>0.20000000000000012</v>
      </c>
      <c r="L26" s="570"/>
      <c r="M26" s="49" t="s">
        <v>143</v>
      </c>
    </row>
    <row r="27" spans="1:13">
      <c r="A27" s="363">
        <f>IF(AND(B27="",E27=""),"",MAX(A$1:A26)+1)</f>
        <v>20</v>
      </c>
      <c r="B27" s="915" t="s">
        <v>135</v>
      </c>
      <c r="C27" s="28">
        <f>SUMIFS(Rev_Billing_Det!$E$180:$E$186,Rev_Billing_Det!$A$180:$A$186,LEFT($B25,4))</f>
        <v>5912347</v>
      </c>
      <c r="D27" s="47">
        <f>Rates!C17</f>
        <v>7.85E-2</v>
      </c>
      <c r="E27" s="28">
        <f>D27*C27</f>
        <v>464119.23950000003</v>
      </c>
      <c r="G27" s="569">
        <f>TRUNC((H31-H26)/C27,5)</f>
        <v>0.10571999999999999</v>
      </c>
      <c r="H27" s="579">
        <f>G27*C27</f>
        <v>625053.32484000002</v>
      </c>
      <c r="I27" s="570"/>
      <c r="J27" s="28">
        <f>H27-E27</f>
        <v>160934.08533999999</v>
      </c>
      <c r="K27" s="587">
        <f>J27/E27</f>
        <v>0.34675159235668784</v>
      </c>
      <c r="L27" s="570"/>
      <c r="M27" s="49" t="s">
        <v>143</v>
      </c>
    </row>
    <row r="28" spans="1:13">
      <c r="A28" s="363">
        <f>IF(AND(B28="",E28=""),"",MAX(A$1:A27)+1)</f>
        <v>21</v>
      </c>
      <c r="B28" s="915" t="s">
        <v>136</v>
      </c>
      <c r="C28" s="28"/>
      <c r="D28" s="47"/>
      <c r="E28" s="28">
        <f>-Rider_Revenue!N11</f>
        <v>54452.71587</v>
      </c>
      <c r="G28" s="569"/>
      <c r="H28" s="579">
        <v>0</v>
      </c>
      <c r="I28" s="570"/>
      <c r="J28" s="28"/>
      <c r="K28" s="587"/>
      <c r="L28" s="570"/>
      <c r="M28" s="49"/>
    </row>
    <row r="29" spans="1:13">
      <c r="A29" s="363">
        <f>IF(AND(B29="",E29=""),"",MAX(A$1:A28)+1)</f>
        <v>22</v>
      </c>
      <c r="E29" s="571">
        <f>SUM(E26:E28)</f>
        <v>823493.81536999997</v>
      </c>
      <c r="H29" s="593">
        <f>SUM(H26:H28)</f>
        <v>990959.55683999998</v>
      </c>
      <c r="I29" s="365"/>
      <c r="J29" s="361">
        <f>SUM(J26:J27)</f>
        <v>221918.45734000002</v>
      </c>
      <c r="K29" s="572">
        <f>J29/E29</f>
        <v>0.26948406071549053</v>
      </c>
      <c r="L29" s="365"/>
      <c r="M29" s="365"/>
    </row>
    <row r="30" spans="1:13">
      <c r="A30" s="363" t="str">
        <f>IF(AND(B30="",E30=""),"",MAX(A$1:A29)+1)</f>
        <v/>
      </c>
      <c r="E30" s="361"/>
      <c r="H30" s="945"/>
      <c r="I30" s="365"/>
      <c r="J30" s="361"/>
      <c r="K30" s="572"/>
      <c r="L30" s="365"/>
      <c r="M30" s="365"/>
    </row>
    <row r="31" spans="1:13">
      <c r="A31" s="363">
        <f>IF(AND(B31="",E31=""),"",MAX(A$1:A30)+1)</f>
        <v>23</v>
      </c>
      <c r="B31" s="943" t="str">
        <f>CONCATENATE("Revenue Target_",B25)</f>
        <v>Revenue Target_GD-1: Small General</v>
      </c>
      <c r="C31" s="966"/>
      <c r="D31" s="967"/>
      <c r="E31" s="570"/>
      <c r="H31" s="577">
        <f>'Revenue Apportionment'!N11</f>
        <v>991010.59897016676</v>
      </c>
      <c r="I31" s="365"/>
      <c r="J31" s="360"/>
      <c r="K31" s="572"/>
      <c r="L31" s="365"/>
      <c r="M31" s="968"/>
    </row>
    <row r="32" spans="1:13" ht="15" thickBot="1">
      <c r="A32" s="366">
        <f>IF(AND(B32="",E32=""),"",MAX(A$1:A31)+1)</f>
        <v>24</v>
      </c>
      <c r="B32" s="947" t="s">
        <v>142</v>
      </c>
      <c r="C32" s="969"/>
      <c r="D32" s="970"/>
      <c r="E32" s="971"/>
      <c r="F32" s="972"/>
      <c r="G32" s="972"/>
      <c r="H32" s="578">
        <f>H31-H29</f>
        <v>51.042130166781135</v>
      </c>
      <c r="I32" s="973"/>
      <c r="J32" s="973"/>
      <c r="K32" s="973"/>
      <c r="L32" s="365"/>
      <c r="M32" s="968"/>
    </row>
    <row r="33" spans="1:13">
      <c r="A33" s="362">
        <f>IF(AND(B33="",E33=""),"",MAX(A$1:A32)+1)</f>
        <v>25</v>
      </c>
      <c r="B33" s="935" t="s">
        <v>144</v>
      </c>
      <c r="C33" s="953"/>
      <c r="D33" s="953"/>
      <c r="E33" s="953"/>
      <c r="F33" s="953"/>
      <c r="G33" s="953"/>
      <c r="H33" s="964"/>
      <c r="I33" s="965"/>
      <c r="J33" s="965"/>
      <c r="K33" s="965"/>
      <c r="L33" s="365"/>
      <c r="M33" s="365"/>
    </row>
    <row r="34" spans="1:13">
      <c r="A34" s="363">
        <f>IF(AND(B34="",E34=""),"",MAX(A$1:A33)+1)</f>
        <v>26</v>
      </c>
      <c r="B34" s="915" t="s">
        <v>134</v>
      </c>
      <c r="C34" s="28">
        <f>SUMIFS(Rev_Billing_Det!$C$180:$C$186,Rev_Billing_Det!$A$180:$A$186,LEFT($B33,4))</f>
        <v>18164.620999999999</v>
      </c>
      <c r="D34" s="48">
        <f>Rates!C20</f>
        <v>10</v>
      </c>
      <c r="E34" s="570">
        <f>C34*D34</f>
        <v>181646.21</v>
      </c>
      <c r="G34" s="48">
        <f>Rates!M10</f>
        <v>12</v>
      </c>
      <c r="H34" s="575">
        <f>C34*G34</f>
        <v>217975.45199999999</v>
      </c>
      <c r="I34" s="570"/>
      <c r="J34" s="360">
        <f>H34-E34</f>
        <v>36329.241999999998</v>
      </c>
      <c r="K34" s="572">
        <f>J34/E34</f>
        <v>0.2</v>
      </c>
      <c r="L34" s="570"/>
      <c r="M34" s="49" t="s">
        <v>144</v>
      </c>
    </row>
    <row r="35" spans="1:13">
      <c r="A35" s="363">
        <f>IF(AND(B35="",E35=""),"",MAX(A$1:A34)+1)</f>
        <v>27</v>
      </c>
      <c r="B35" s="974" t="s">
        <v>145</v>
      </c>
      <c r="C35" s="28">
        <f>SUMIFS(Rev_Billing_Det!$M$180:$M$186,Rev_Billing_Det!$A$180:$A$186,LEFT($B33,4))</f>
        <v>323618.5</v>
      </c>
      <c r="D35" s="29">
        <f>Rates!C21</f>
        <v>9.81</v>
      </c>
      <c r="E35" s="28">
        <f>C35*D35</f>
        <v>3174697.4850000003</v>
      </c>
      <c r="G35" s="48">
        <f>Rates!M11</f>
        <v>10</v>
      </c>
      <c r="H35" s="579">
        <f>C35*G35</f>
        <v>3236185</v>
      </c>
      <c r="I35" s="570"/>
      <c r="J35" s="40">
        <f>H35-E35</f>
        <v>61487.514999999665</v>
      </c>
      <c r="K35" s="572">
        <f>J35/E35</f>
        <v>1.9367991845055957E-2</v>
      </c>
      <c r="L35" s="570"/>
      <c r="M35" s="49" t="s">
        <v>144</v>
      </c>
    </row>
    <row r="36" spans="1:13">
      <c r="A36" s="363">
        <f>IF(AND(B36="",E36=""),"",MAX(A$1:A35)+1)</f>
        <v>28</v>
      </c>
      <c r="B36" s="915" t="s">
        <v>135</v>
      </c>
      <c r="C36" s="28">
        <f>SUMIFS(Rev_Billing_Det!$E$180:$E$186,Rev_Billing_Det!$A$180:$A$186,LEFT($B33,4))</f>
        <v>86826989</v>
      </c>
      <c r="D36" s="47">
        <f>Rates!C22</f>
        <v>2.3769999999999999E-2</v>
      </c>
      <c r="E36" s="28">
        <f>C36*D36</f>
        <v>2063877.52853</v>
      </c>
      <c r="G36" s="569">
        <f>TRUNC((H41-H34-H35-H37)/C36,5)</f>
        <v>3.2340000000000001E-2</v>
      </c>
      <c r="H36" s="579">
        <f>C36*G36</f>
        <v>2807984.8242600001</v>
      </c>
      <c r="I36" s="365"/>
      <c r="J36" s="40">
        <f t="shared" ref="J36:J37" si="0">H36-E36</f>
        <v>744107.29573000013</v>
      </c>
      <c r="K36" s="572">
        <f t="shared" ref="K36:K37" si="1">J36/E36</f>
        <v>0.36053849389987386</v>
      </c>
      <c r="L36" s="570"/>
      <c r="M36" s="49" t="s">
        <v>144</v>
      </c>
    </row>
    <row r="37" spans="1:13">
      <c r="A37" s="363">
        <f>IF(AND(B37="",E37=""),"",MAX(A$1:A36)+1)</f>
        <v>29</v>
      </c>
      <c r="B37" s="974" t="s">
        <v>146</v>
      </c>
      <c r="C37" s="28">
        <f>E37/D37</f>
        <v>24209.105263157893</v>
      </c>
      <c r="D37" s="48">
        <f>$D$82</f>
        <v>-0.19</v>
      </c>
      <c r="E37" s="28">
        <f>'ProForma Revenue'!E28</f>
        <v>-4599.7299999999996</v>
      </c>
      <c r="G37" s="48">
        <f>D37</f>
        <v>-0.19</v>
      </c>
      <c r="H37" s="579">
        <f>C37*G37</f>
        <v>-4599.7299999999996</v>
      </c>
      <c r="I37" s="570"/>
      <c r="J37" s="367">
        <f t="shared" si="0"/>
        <v>0</v>
      </c>
      <c r="K37" s="588">
        <f t="shared" si="1"/>
        <v>0</v>
      </c>
      <c r="L37" s="570"/>
      <c r="M37" s="49" t="s">
        <v>144</v>
      </c>
    </row>
    <row r="38" spans="1:13">
      <c r="A38" s="363">
        <f>IF(AND(B38="",E38=""),"",MAX(A$1:A37)+1)</f>
        <v>30</v>
      </c>
      <c r="B38" s="915" t="s">
        <v>136</v>
      </c>
      <c r="C38" s="28"/>
      <c r="D38" s="48"/>
      <c r="E38" s="28">
        <f>-Rider_Revenue!N12</f>
        <v>713717.84958000004</v>
      </c>
      <c r="G38" s="48"/>
      <c r="H38" s="579">
        <v>0</v>
      </c>
      <c r="I38" s="570"/>
      <c r="J38" s="40"/>
      <c r="K38" s="572"/>
      <c r="L38" s="570"/>
      <c r="M38" s="49"/>
    </row>
    <row r="39" spans="1:13">
      <c r="A39" s="363">
        <f>IF(AND(B39="",E39=""),"",MAX(A$1:A38)+1)</f>
        <v>31</v>
      </c>
      <c r="E39" s="571">
        <f>SUM(E34:E38)</f>
        <v>6129339.3431099998</v>
      </c>
      <c r="H39" s="593">
        <f>SUM(H34:H38)</f>
        <v>6257545.5462599993</v>
      </c>
      <c r="I39" s="365"/>
      <c r="J39" s="361">
        <f>H39-E39</f>
        <v>128206.20314999949</v>
      </c>
      <c r="K39" s="572">
        <f>J39/E39</f>
        <v>2.0916806196105996E-2</v>
      </c>
      <c r="L39" s="369"/>
    </row>
    <row r="40" spans="1:13">
      <c r="A40" s="363" t="str">
        <f>IF(AND(B40="",E40=""),"",MAX(A$1:A39)+1)</f>
        <v/>
      </c>
      <c r="E40" s="570"/>
      <c r="H40" s="958"/>
      <c r="J40" s="369"/>
      <c r="K40" s="369"/>
      <c r="L40" s="369"/>
    </row>
    <row r="41" spans="1:13">
      <c r="A41" s="363">
        <f>IF(AND(B41="",E41=""),"",MAX(A$1:A40)+1)</f>
        <v>32</v>
      </c>
      <c r="B41" s="943" t="str">
        <f>CONCATENATE("Revenue Target_",B33)</f>
        <v>Revenue Target_GD-2: Regular General</v>
      </c>
      <c r="E41" s="570"/>
      <c r="H41" s="577">
        <f>'Revenue Apportionment'!N12</f>
        <v>6258272.3933231039</v>
      </c>
      <c r="J41" s="369"/>
      <c r="K41" s="369"/>
      <c r="L41" s="369"/>
    </row>
    <row r="42" spans="1:13" ht="15" thickBot="1">
      <c r="A42" s="366">
        <f>IF(AND(B42="",E42=""),"",MAX(A$1:A41)+1)</f>
        <v>33</v>
      </c>
      <c r="B42" s="947" t="s">
        <v>142</v>
      </c>
      <c r="C42" s="972"/>
      <c r="D42" s="972"/>
      <c r="E42" s="972"/>
      <c r="F42" s="972"/>
      <c r="G42" s="972"/>
      <c r="H42" s="578">
        <f>H41-H39</f>
        <v>726.84706310462207</v>
      </c>
      <c r="I42" s="975"/>
      <c r="J42" s="975"/>
      <c r="K42" s="975"/>
      <c r="L42" s="570"/>
      <c r="M42" s="570"/>
    </row>
    <row r="43" spans="1:13">
      <c r="A43" s="362">
        <f>IF(AND(B43="",E43=""),"",MAX(A$1:A42)+1)</f>
        <v>34</v>
      </c>
      <c r="B43" s="935" t="s">
        <v>147</v>
      </c>
      <c r="C43" s="953"/>
      <c r="D43" s="953"/>
      <c r="E43" s="953"/>
      <c r="F43" s="953"/>
      <c r="G43" s="953"/>
      <c r="H43" s="954"/>
      <c r="J43" s="369"/>
      <c r="K43" s="369"/>
      <c r="L43" s="570"/>
      <c r="M43" s="570"/>
    </row>
    <row r="44" spans="1:13">
      <c r="A44" s="363">
        <f>IF(AND(B44="",E44=""),"",MAX(A$1:A43)+1)</f>
        <v>35</v>
      </c>
      <c r="B44" s="915" t="s">
        <v>134</v>
      </c>
      <c r="C44" s="28">
        <f>SUMIFS(Rev_Billing_Det!$C$180:$C$186,Rev_Billing_Det!$A$180:$A$186,LEFT($B43,4))</f>
        <v>339</v>
      </c>
      <c r="D44" s="48">
        <f>Rates!C26</f>
        <v>300</v>
      </c>
      <c r="E44" s="365">
        <f>C44*D44</f>
        <v>101700</v>
      </c>
      <c r="G44" s="48">
        <f>Rates!M12</f>
        <v>338.75</v>
      </c>
      <c r="H44" s="575">
        <f>C44*G44</f>
        <v>114836.25</v>
      </c>
      <c r="I44" s="570"/>
      <c r="J44" s="360">
        <f>H44-E44</f>
        <v>13136.25</v>
      </c>
      <c r="K44" s="572">
        <f>J44/E44</f>
        <v>0.12916666666666668</v>
      </c>
      <c r="L44" s="570"/>
      <c r="M44" s="49" t="s">
        <v>147</v>
      </c>
    </row>
    <row r="45" spans="1:13">
      <c r="A45" s="363">
        <f>IF(AND(B45="",E45=""),"",MAX(A$1:A44)+1)</f>
        <v>36</v>
      </c>
      <c r="B45" s="974" t="s">
        <v>145</v>
      </c>
      <c r="C45" s="28">
        <f>SUMIFS(Rev_Billing_Det!$M$180:$M$186,Rev_Billing_Det!$A$180:$A$186,LEFT($B43,4))</f>
        <v>296936</v>
      </c>
      <c r="D45" s="48">
        <f>Rates!C27</f>
        <v>8.07</v>
      </c>
      <c r="E45" s="28">
        <f>C45*D45</f>
        <v>2396273.52</v>
      </c>
      <c r="G45" s="48">
        <f>Rates!M13</f>
        <v>9.75</v>
      </c>
      <c r="H45" s="579">
        <f>C45*G45</f>
        <v>2895126</v>
      </c>
      <c r="I45" s="570"/>
      <c r="J45" s="40">
        <f>H45-E45</f>
        <v>498852.48</v>
      </c>
      <c r="K45" s="572">
        <f>J45/E45</f>
        <v>0.20817843866171004</v>
      </c>
      <c r="L45" s="570"/>
      <c r="M45" s="49" t="s">
        <v>147</v>
      </c>
    </row>
    <row r="46" spans="1:13">
      <c r="A46" s="363">
        <f>IF(AND(B46="",E46=""),"",MAX(A$1:A45)+1)</f>
        <v>37</v>
      </c>
      <c r="B46" s="915" t="s">
        <v>135</v>
      </c>
      <c r="C46" s="28">
        <f>C52</f>
        <v>128027055</v>
      </c>
      <c r="D46" s="359"/>
      <c r="E46" s="28">
        <f>E52</f>
        <v>1319926.8655599998</v>
      </c>
      <c r="H46" s="579">
        <f>H52</f>
        <v>1235793.9368799999</v>
      </c>
      <c r="J46" s="367">
        <f>H46-E46</f>
        <v>-84132.928679999895</v>
      </c>
      <c r="K46" s="588">
        <f>J46/E46</f>
        <v>-6.3740598721964165E-2</v>
      </c>
      <c r="L46" s="570"/>
      <c r="M46" s="49" t="s">
        <v>147</v>
      </c>
    </row>
    <row r="47" spans="1:13">
      <c r="A47" s="363">
        <f>IF(AND(B47="",E47=""),"",MAX(A$1:A46)+1)</f>
        <v>38</v>
      </c>
      <c r="B47" s="915" t="s">
        <v>136</v>
      </c>
      <c r="C47" s="919"/>
      <c r="D47" s="29"/>
      <c r="E47" s="28">
        <f>-Rider_Revenue!N13</f>
        <v>316226.82585000002</v>
      </c>
      <c r="H47" s="579">
        <v>0</v>
      </c>
      <c r="J47" s="369"/>
      <c r="K47" s="369"/>
      <c r="L47" s="369"/>
    </row>
    <row r="48" spans="1:13">
      <c r="A48" s="363">
        <f>IF(AND(B48="",E48=""),"",MAX(A$1:A47)+1)</f>
        <v>39</v>
      </c>
      <c r="B48" s="976"/>
      <c r="C48" s="919"/>
      <c r="D48" s="29"/>
      <c r="E48" s="571">
        <f>SUM(E44:E47)</f>
        <v>4134127.21141</v>
      </c>
      <c r="H48" s="593">
        <f>SUM(H44:H47)</f>
        <v>4245756.1868799999</v>
      </c>
      <c r="J48" s="361">
        <f>H48-E48</f>
        <v>111628.97546999995</v>
      </c>
      <c r="K48" s="572">
        <f>J48/E48</f>
        <v>2.7001824027550272E-2</v>
      </c>
      <c r="L48" s="570"/>
      <c r="M48" s="49" t="s">
        <v>147</v>
      </c>
    </row>
    <row r="49" spans="1:13">
      <c r="A49" s="363">
        <f>IF(AND(B49="",E49=""),"",MAX(A$1:A48)+1)</f>
        <v>40</v>
      </c>
      <c r="B49" s="976" t="s">
        <v>135</v>
      </c>
      <c r="C49" s="919"/>
      <c r="D49" s="29"/>
      <c r="E49" s="365"/>
      <c r="H49" s="958"/>
      <c r="J49" s="369"/>
      <c r="K49" s="369"/>
      <c r="L49" s="570"/>
      <c r="M49" s="570"/>
    </row>
    <row r="50" spans="1:13">
      <c r="A50" s="363">
        <f>IF(AND(B50="",E50=""),"",MAX(A$1:A49)+1)</f>
        <v>41</v>
      </c>
      <c r="B50" s="977" t="s">
        <v>148</v>
      </c>
      <c r="C50" s="28">
        <f>SUMIFS(Rev_Billing_Det!$E$180:$E$186,Rev_Billing_Det!$A$180:$A$186,LEFT($B43,4))</f>
        <v>50297243</v>
      </c>
      <c r="D50" s="47">
        <f>Rates!C29</f>
        <v>1.9519999999999999E-2</v>
      </c>
      <c r="E50" s="365">
        <f>C50*D50</f>
        <v>981802.18335999991</v>
      </c>
      <c r="G50" s="569">
        <f>TRUNC((H54-H44-H45)*E50/(E50+E51)/C50,5)</f>
        <v>1.8280000000000001E-2</v>
      </c>
      <c r="H50" s="575">
        <f>C50*G50</f>
        <v>919433.60204000003</v>
      </c>
      <c r="J50" s="40">
        <f>H50-E50</f>
        <v>-62368.581319999881</v>
      </c>
      <c r="K50" s="572">
        <f>J50/E50</f>
        <v>-6.3524590163934316E-2</v>
      </c>
      <c r="L50" s="570"/>
      <c r="M50" s="49" t="s">
        <v>147</v>
      </c>
    </row>
    <row r="51" spans="1:13">
      <c r="A51" s="363">
        <f>IF(AND(B51="",E51=""),"",MAX(A$1:A50)+1)</f>
        <v>42</v>
      </c>
      <c r="B51" s="977" t="s">
        <v>149</v>
      </c>
      <c r="C51" s="28">
        <f>SUMIFS(Rev_Billing_Det!$F$180:$F$186,Rev_Billing_Det!$A$180:$A$186,LEFT($B43,4))</f>
        <v>77729812</v>
      </c>
      <c r="D51" s="47">
        <f>Rates!C30</f>
        <v>4.3499999999999997E-3</v>
      </c>
      <c r="E51" s="28">
        <f>C51*D51</f>
        <v>338124.68219999998</v>
      </c>
      <c r="G51" s="569">
        <f>TRUNC((H54-H44-H45-H50)/C51,5)</f>
        <v>4.0699999999999998E-3</v>
      </c>
      <c r="H51" s="580">
        <f>C51*G51</f>
        <v>316360.33483999997</v>
      </c>
      <c r="J51" s="40">
        <f>H51-E51</f>
        <v>-21764.347360000014</v>
      </c>
      <c r="K51" s="572">
        <f>J51/E51</f>
        <v>-6.4367816091954064E-2</v>
      </c>
      <c r="L51" s="570"/>
      <c r="M51" s="49" t="s">
        <v>147</v>
      </c>
    </row>
    <row r="52" spans="1:13">
      <c r="A52" s="363">
        <f>IF(AND(B52="",E52=""),"",MAX(A$1:A51)+1)</f>
        <v>43</v>
      </c>
      <c r="C52" s="370">
        <f>SUM(C50:C51)</f>
        <v>128027055</v>
      </c>
      <c r="D52" s="47"/>
      <c r="E52" s="571">
        <f>SUM(E50:E51)</f>
        <v>1319926.8655599998</v>
      </c>
      <c r="H52" s="593">
        <f>SUM(H50:H51)</f>
        <v>1235793.9368799999</v>
      </c>
      <c r="J52" s="369"/>
      <c r="K52" s="369"/>
      <c r="L52" s="570"/>
      <c r="M52" s="49" t="s">
        <v>147</v>
      </c>
    </row>
    <row r="53" spans="1:13">
      <c r="A53" s="363" t="str">
        <f>IF(AND(B53="",E53=""),"",MAX(A$1:A52)+1)</f>
        <v/>
      </c>
      <c r="C53" s="28"/>
      <c r="D53" s="47"/>
      <c r="E53" s="365"/>
      <c r="H53" s="958"/>
      <c r="J53" s="369"/>
      <c r="K53" s="369"/>
      <c r="L53" s="570"/>
      <c r="M53" s="49"/>
    </row>
    <row r="54" spans="1:13">
      <c r="A54" s="363">
        <f>IF(AND(B54="",E54=""),"",MAX(A$1:A53)+1)</f>
        <v>44</v>
      </c>
      <c r="B54" s="943" t="str">
        <f>CONCATENATE("Revenue Target_",B43)</f>
        <v>Revenue Target_GD-3: Large General</v>
      </c>
      <c r="C54" s="28"/>
      <c r="D54" s="47"/>
      <c r="E54" s="365"/>
      <c r="H54" s="577">
        <f>'Revenue Apportionment'!N13</f>
        <v>4246422.5663494235</v>
      </c>
      <c r="J54" s="369"/>
      <c r="K54" s="369"/>
      <c r="L54" s="570"/>
      <c r="M54" s="49"/>
    </row>
    <row r="55" spans="1:13" ht="15" thickBot="1">
      <c r="A55" s="366">
        <f>IF(AND(B55="",E55=""),"",MAX(A$1:A54)+1)</f>
        <v>45</v>
      </c>
      <c r="B55" s="947" t="s">
        <v>142</v>
      </c>
      <c r="C55" s="972"/>
      <c r="D55" s="972"/>
      <c r="E55" s="972"/>
      <c r="F55" s="972"/>
      <c r="G55" s="972"/>
      <c r="H55" s="578">
        <f>H54-H48</f>
        <v>666.37946942355484</v>
      </c>
      <c r="J55" s="369"/>
      <c r="K55" s="369"/>
      <c r="L55" s="570"/>
      <c r="M55" s="570"/>
    </row>
    <row r="56" spans="1:13">
      <c r="A56" s="362">
        <f>IF(AND(B56="",E56=""),"",MAX(A$1:A55)+1)</f>
        <v>46</v>
      </c>
      <c r="B56" s="935" t="s">
        <v>150</v>
      </c>
      <c r="C56" s="953"/>
      <c r="D56" s="953"/>
      <c r="E56" s="953"/>
      <c r="F56" s="953"/>
      <c r="G56" s="953"/>
      <c r="H56" s="964"/>
      <c r="I56" s="978"/>
      <c r="J56" s="978"/>
      <c r="K56" s="978"/>
      <c r="L56" s="570"/>
      <c r="M56" s="365"/>
    </row>
    <row r="57" spans="1:13">
      <c r="A57" s="363">
        <f>IF(AND(B57="",E57=""),"",MAX(A$1:A56)+1)</f>
        <v>47</v>
      </c>
      <c r="B57" s="915" t="s">
        <v>134</v>
      </c>
      <c r="C57" s="28">
        <f>SUMIFS(Rev_Billing_Det!$C$180:$C$186,Rev_Billing_Det!$A$180:$A$186,LEFT($B56,4))</f>
        <v>33</v>
      </c>
      <c r="D57" s="48">
        <f>Rates!C34</f>
        <v>10</v>
      </c>
      <c r="E57" s="365">
        <f>C57*D57</f>
        <v>330</v>
      </c>
      <c r="G57" s="48">
        <f>Rates!M14</f>
        <v>12</v>
      </c>
      <c r="H57" s="575">
        <f>C57*G57</f>
        <v>396</v>
      </c>
      <c r="I57" s="570"/>
      <c r="J57" s="360">
        <f>H57-E57</f>
        <v>66</v>
      </c>
      <c r="K57" s="572">
        <f>J57/E57</f>
        <v>0.2</v>
      </c>
      <c r="L57" s="570"/>
      <c r="M57" s="49" t="s">
        <v>150</v>
      </c>
    </row>
    <row r="58" spans="1:13">
      <c r="A58" s="363">
        <f>IF(AND(B58="",E58=""),"",MAX(A$1:A57)+1)</f>
        <v>48</v>
      </c>
      <c r="B58" s="974" t="s">
        <v>145</v>
      </c>
      <c r="C58" s="28">
        <f>SUMIFS(Rev_Billing_Det!$M$180:$M$186,Rev_Billing_Det!$A$180:$A$186,LEFT($B56,4))</f>
        <v>1329.5</v>
      </c>
      <c r="D58" s="48">
        <f>Rates!C35</f>
        <v>3.92</v>
      </c>
      <c r="E58" s="28">
        <f>C58*D58</f>
        <v>5211.6400000000003</v>
      </c>
      <c r="G58" s="48">
        <f>Rates!M15</f>
        <v>4.75</v>
      </c>
      <c r="H58" s="579">
        <f>C58*G58</f>
        <v>6315.125</v>
      </c>
      <c r="I58" s="570"/>
      <c r="J58" s="40">
        <f>H58-E58</f>
        <v>1103.4849999999997</v>
      </c>
      <c r="K58" s="572">
        <f>J58/E58</f>
        <v>0.21173469387755095</v>
      </c>
      <c r="L58" s="365"/>
      <c r="M58" s="49" t="s">
        <v>150</v>
      </c>
    </row>
    <row r="59" spans="1:13">
      <c r="A59" s="363">
        <f>IF(AND(B59="",E59=""),"",MAX(A$1:A58)+1)</f>
        <v>49</v>
      </c>
      <c r="B59" s="915" t="s">
        <v>135</v>
      </c>
      <c r="C59" s="28">
        <f>C66</f>
        <v>295945</v>
      </c>
      <c r="D59" s="48"/>
      <c r="E59" s="28">
        <f>E66</f>
        <v>1097.7273100000002</v>
      </c>
      <c r="H59" s="579">
        <f>H66</f>
        <v>2545.5095000000001</v>
      </c>
      <c r="J59" s="40">
        <f>H59-E59</f>
        <v>1447.7821899999999</v>
      </c>
      <c r="K59" s="572">
        <f>J59/E59</f>
        <v>1.318890563085289</v>
      </c>
      <c r="L59" s="365"/>
      <c r="M59" s="49" t="s">
        <v>150</v>
      </c>
    </row>
    <row r="60" spans="1:13">
      <c r="A60" s="363">
        <f>IF(AND(B60="",E60=""),"",MAX(A$1:A59)+1)</f>
        <v>50</v>
      </c>
      <c r="B60" s="915" t="s">
        <v>146</v>
      </c>
      <c r="C60" s="28">
        <f>E60/D60</f>
        <v>1162.6315789473683</v>
      </c>
      <c r="D60" s="48">
        <f>$D$82</f>
        <v>-0.19</v>
      </c>
      <c r="E60" s="28">
        <f>'ProForma Revenue'!E43</f>
        <v>-220.9</v>
      </c>
      <c r="G60" s="48">
        <f>D60</f>
        <v>-0.19</v>
      </c>
      <c r="H60" s="579">
        <f>C60*G60</f>
        <v>-220.89999999999998</v>
      </c>
      <c r="I60" s="365"/>
      <c r="J60" s="367">
        <f>H60-E60</f>
        <v>0</v>
      </c>
      <c r="K60" s="588">
        <f>J60/E60</f>
        <v>0</v>
      </c>
      <c r="L60" s="365"/>
      <c r="M60" s="49"/>
    </row>
    <row r="61" spans="1:13">
      <c r="A61" s="363">
        <f>IF(AND(B61="",E61=""),"",MAX(A$1:A60)+1)</f>
        <v>51</v>
      </c>
      <c r="B61" s="915" t="s">
        <v>136</v>
      </c>
      <c r="C61" s="919"/>
      <c r="D61" s="29"/>
      <c r="E61" s="28">
        <f>-Rider_Revenue!N14</f>
        <v>2432.6678999999999</v>
      </c>
      <c r="H61" s="579">
        <v>0</v>
      </c>
      <c r="J61" s="369"/>
      <c r="K61" s="369"/>
      <c r="L61" s="369"/>
    </row>
    <row r="62" spans="1:13">
      <c r="A62" s="363">
        <f>IF(AND(B62="",E62=""),"",MAX(A$1:A61)+1)</f>
        <v>52</v>
      </c>
      <c r="B62" s="976"/>
      <c r="C62" s="919"/>
      <c r="D62" s="29"/>
      <c r="E62" s="571">
        <f>SUM(E57:E61)</f>
        <v>8851.1352100000004</v>
      </c>
      <c r="H62" s="593">
        <f>SUM(H57:H61)</f>
        <v>9035.7345000000005</v>
      </c>
      <c r="I62" s="365"/>
      <c r="J62" s="361">
        <f>H62-E62</f>
        <v>184.59929000000011</v>
      </c>
      <c r="K62" s="572">
        <f>J62/E62</f>
        <v>2.085600158852393E-2</v>
      </c>
      <c r="L62" s="365"/>
      <c r="M62" s="49" t="s">
        <v>150</v>
      </c>
    </row>
    <row r="63" spans="1:13">
      <c r="A63" s="363">
        <f>IF(AND(B63="",E63=""),"",MAX(A$1:A62)+1)</f>
        <v>53</v>
      </c>
      <c r="B63" s="976" t="s">
        <v>135</v>
      </c>
      <c r="C63" s="919"/>
      <c r="D63" s="29"/>
      <c r="E63" s="365"/>
      <c r="H63" s="576"/>
      <c r="I63" s="365"/>
      <c r="J63" s="369"/>
      <c r="K63" s="365"/>
      <c r="L63" s="365"/>
      <c r="M63" s="49" t="s">
        <v>150</v>
      </c>
    </row>
    <row r="64" spans="1:13">
      <c r="A64" s="363">
        <f>IF(AND(B64="",E64=""),"",MAX(A$1:A63)+1)</f>
        <v>54</v>
      </c>
      <c r="B64" s="977" t="s">
        <v>148</v>
      </c>
      <c r="C64" s="28">
        <f>SUMIFS(Rev_Billing_Det!$E$180:$E$186,Rev_Billing_Det!$A$180:$A$186,LEFT($B56,4))</f>
        <v>54449</v>
      </c>
      <c r="D64" s="47">
        <f>Rates!C37</f>
        <v>1.027E-2</v>
      </c>
      <c r="E64" s="365">
        <f>C64*D64</f>
        <v>559.19123000000002</v>
      </c>
      <c r="G64" s="569">
        <f>TRUNC((H68-H57-H58-H60)*E64/(E64+E65)/C64,5)</f>
        <v>2.3820000000000001E-2</v>
      </c>
      <c r="H64" s="575">
        <f>C64*G64</f>
        <v>1296.9751800000001</v>
      </c>
      <c r="J64" s="40">
        <f>H64-E64</f>
        <v>737.78395000000012</v>
      </c>
      <c r="K64" s="572">
        <f>J64/E64</f>
        <v>1.3193768257059397</v>
      </c>
      <c r="L64" s="365"/>
      <c r="M64" s="49" t="s">
        <v>150</v>
      </c>
    </row>
    <row r="65" spans="1:13">
      <c r="A65" s="363">
        <f>IF(AND(B65="",E65=""),"",MAX(A$1:A64)+1)</f>
        <v>55</v>
      </c>
      <c r="B65" s="977" t="s">
        <v>149</v>
      </c>
      <c r="C65" s="28">
        <f>SUMIFS(Rev_Billing_Det!$F$180:$F$186,Rev_Billing_Det!$A$180:$A$186,LEFT($B56,4))</f>
        <v>241496</v>
      </c>
      <c r="D65" s="47">
        <f>Rates!C38</f>
        <v>2.2300000000000002E-3</v>
      </c>
      <c r="E65" s="28">
        <f>C65*D65</f>
        <v>538.53608000000008</v>
      </c>
      <c r="G65" s="569">
        <f>TRUNC((H68-H57-H58-H60-H64)/C65,5)</f>
        <v>5.1700000000000001E-3</v>
      </c>
      <c r="H65" s="580">
        <f>C65*G65</f>
        <v>1248.53432</v>
      </c>
      <c r="J65" s="40">
        <f>H65-E65</f>
        <v>709.9982399999999</v>
      </c>
      <c r="K65" s="572">
        <f>J65/E65</f>
        <v>1.3183856502242148</v>
      </c>
      <c r="L65" s="365"/>
      <c r="M65" s="49" t="s">
        <v>150</v>
      </c>
    </row>
    <row r="66" spans="1:13">
      <c r="A66" s="363">
        <f>IF(AND(B66="",E66=""),"",MAX(A$1:A65)+1)</f>
        <v>56</v>
      </c>
      <c r="B66" s="977"/>
      <c r="C66" s="370">
        <f>SUM(C64:C65)</f>
        <v>295945</v>
      </c>
      <c r="D66" s="47"/>
      <c r="E66" s="571">
        <f>SUM(E64:E65)</f>
        <v>1097.7273100000002</v>
      </c>
      <c r="H66" s="593">
        <f>SUM(H64:H65)</f>
        <v>2545.5095000000001</v>
      </c>
      <c r="J66" s="369"/>
      <c r="K66" s="369"/>
      <c r="L66" s="365"/>
      <c r="M66" s="49" t="s">
        <v>150</v>
      </c>
    </row>
    <row r="67" spans="1:13">
      <c r="A67" s="363" t="str">
        <f>IF(AND(B67="",E67=""),"",MAX(A$1:A66)+1)</f>
        <v/>
      </c>
      <c r="B67" s="977"/>
      <c r="C67" s="28"/>
      <c r="D67" s="47"/>
      <c r="E67" s="365"/>
      <c r="G67" s="47"/>
      <c r="H67" s="576"/>
      <c r="I67" s="365"/>
      <c r="J67" s="365"/>
      <c r="K67" s="365"/>
      <c r="L67" s="365"/>
      <c r="M67" s="49"/>
    </row>
    <row r="68" spans="1:13">
      <c r="A68" s="363">
        <f>IF(AND(B68="",E68=""),"",MAX(A$1:A67)+1)</f>
        <v>57</v>
      </c>
      <c r="B68" s="943" t="str">
        <f>CONCATENATE("Revenue Target_",B56)</f>
        <v>Revenue Target_GD-4: Regular General Optional TOU</v>
      </c>
      <c r="C68" s="28"/>
      <c r="D68" s="47"/>
      <c r="E68" s="365"/>
      <c r="G68" s="47"/>
      <c r="H68" s="577">
        <f>'Revenue Apportionment'!N14</f>
        <v>9037.3223007435954</v>
      </c>
      <c r="I68" s="365"/>
      <c r="J68" s="365"/>
      <c r="K68" s="365"/>
      <c r="L68" s="365"/>
      <c r="M68" s="49"/>
    </row>
    <row r="69" spans="1:13" ht="15" thickBot="1">
      <c r="A69" s="366">
        <f>IF(AND(B69="",E69=""),"",MAX(A$1:A68)+1)</f>
        <v>58</v>
      </c>
      <c r="B69" s="947" t="s">
        <v>142</v>
      </c>
      <c r="C69" s="972"/>
      <c r="D69" s="972"/>
      <c r="E69" s="972"/>
      <c r="F69" s="972"/>
      <c r="G69" s="972"/>
      <c r="H69" s="578">
        <f>H68-H62</f>
        <v>1.5878007435949257</v>
      </c>
      <c r="I69" s="979"/>
      <c r="J69" s="979"/>
      <c r="K69" s="979"/>
      <c r="L69" s="365"/>
      <c r="M69" s="968"/>
    </row>
    <row r="70" spans="1:13">
      <c r="A70" s="362">
        <f>IF(AND(B70="",E70=""),"",MAX(A$1:A69)+1)</f>
        <v>59</v>
      </c>
      <c r="B70" s="935" t="s">
        <v>151</v>
      </c>
      <c r="C70" s="953"/>
      <c r="D70" s="953"/>
      <c r="E70" s="953"/>
      <c r="F70" s="953"/>
      <c r="G70" s="953"/>
      <c r="H70" s="964"/>
      <c r="I70" s="365"/>
      <c r="J70" s="365"/>
      <c r="K70" s="365"/>
      <c r="L70" s="365"/>
      <c r="M70" s="365"/>
    </row>
    <row r="71" spans="1:13">
      <c r="A71" s="363">
        <f>IF(AND(B71="",E71=""),"",MAX(A$1:A70)+1)</f>
        <v>60</v>
      </c>
      <c r="B71" s="915" t="s">
        <v>134</v>
      </c>
      <c r="C71" s="28">
        <f>SUMIFS(Rev_Billing_Det!$C$180:$C$186,Rev_Billing_Det!$A$180:$A$186,LEFT($B70,4))</f>
        <v>78</v>
      </c>
      <c r="D71" s="956">
        <f>Rates!C42</f>
        <v>0</v>
      </c>
      <c r="E71" s="365">
        <f>C71*D71</f>
        <v>0</v>
      </c>
      <c r="G71" s="48">
        <f>D71</f>
        <v>0</v>
      </c>
      <c r="H71" s="575">
        <f>C71*G71</f>
        <v>0</v>
      </c>
      <c r="I71" s="570"/>
      <c r="J71" s="360">
        <f>H71-E71</f>
        <v>0</v>
      </c>
      <c r="K71" s="572" t="e">
        <f>J71/E71</f>
        <v>#DIV/0!</v>
      </c>
      <c r="L71" s="980"/>
      <c r="M71" s="49" t="s">
        <v>151</v>
      </c>
    </row>
    <row r="72" spans="1:13">
      <c r="A72" s="363">
        <f>IF(AND(B72="",E72=""),"",MAX(A$1:A71)+1)</f>
        <v>61</v>
      </c>
      <c r="B72" s="915" t="s">
        <v>135</v>
      </c>
      <c r="C72" s="28">
        <f>SUMIFS(Rev_Billing_Det!$E$180:$E$186,Rev_Billing_Det!$A$180:$A$186,LEFT($B70,4))</f>
        <v>343192</v>
      </c>
      <c r="D72" s="47">
        <f>Rates!C43</f>
        <v>6.071E-2</v>
      </c>
      <c r="E72" s="28">
        <f>C72*D72</f>
        <v>20835.186320000001</v>
      </c>
      <c r="G72" s="569">
        <f>TRUNC((H76-H71)/C72,5)</f>
        <v>7.0370000000000002E-2</v>
      </c>
      <c r="H72" s="579">
        <f>C72*G72</f>
        <v>24150.421040000001</v>
      </c>
      <c r="I72" s="570"/>
      <c r="J72" s="367">
        <f>H72-E72</f>
        <v>3315.2347200000004</v>
      </c>
      <c r="K72" s="588">
        <f>J72/E72</f>
        <v>0.15911711414923407</v>
      </c>
      <c r="L72" s="365"/>
      <c r="M72" s="49" t="s">
        <v>151</v>
      </c>
    </row>
    <row r="73" spans="1:13">
      <c r="A73" s="363">
        <f>IF(AND(B73="",E73=""),"",MAX(A$1:A72)+1)</f>
        <v>62</v>
      </c>
      <c r="B73" s="915" t="s">
        <v>136</v>
      </c>
      <c r="C73" s="28"/>
      <c r="D73" s="47"/>
      <c r="E73" s="28">
        <f>-Rider_Revenue!N15</f>
        <v>2821.0382399999999</v>
      </c>
      <c r="G73" s="569"/>
      <c r="H73" s="579">
        <v>0</v>
      </c>
      <c r="I73" s="570"/>
      <c r="J73" s="40"/>
      <c r="K73" s="572"/>
      <c r="L73" s="365"/>
      <c r="M73" s="49"/>
    </row>
    <row r="74" spans="1:13">
      <c r="A74" s="363">
        <f>IF(AND(B74="",E74=""),"",MAX(A$1:A73)+1)</f>
        <v>63</v>
      </c>
      <c r="E74" s="571">
        <f>SUM(E71:E73)</f>
        <v>23656.224560000002</v>
      </c>
      <c r="H74" s="593">
        <f>SUM(H71:H73)</f>
        <v>24150.421040000001</v>
      </c>
      <c r="I74" s="365"/>
      <c r="J74" s="361">
        <f>H74-E74</f>
        <v>494.1964799999987</v>
      </c>
      <c r="K74" s="572">
        <f>J74/E74</f>
        <v>2.0890758740751431E-2</v>
      </c>
      <c r="L74" s="369"/>
      <c r="M74" s="49" t="s">
        <v>151</v>
      </c>
    </row>
    <row r="75" spans="1:13">
      <c r="A75" s="363" t="str">
        <f>IF(AND(B75="",E75=""),"",MAX(A$1:A74)+1)</f>
        <v/>
      </c>
      <c r="E75" s="361"/>
      <c r="H75" s="945"/>
      <c r="I75" s="365"/>
      <c r="J75" s="361"/>
      <c r="K75" s="572"/>
      <c r="L75" s="369"/>
      <c r="M75" s="49"/>
    </row>
    <row r="76" spans="1:13">
      <c r="A76" s="363">
        <f>IF(AND(B76="",E76=""),"",MAX(A$1:A75)+1)</f>
        <v>64</v>
      </c>
      <c r="B76" s="943" t="str">
        <f>CONCATENATE("Revenue Target_",B70)</f>
        <v>Revenue Target_GD-5: Water and/or Space Heating Rider</v>
      </c>
      <c r="E76" s="361"/>
      <c r="H76" s="577">
        <f>'Revenue Apportionment'!N15</f>
        <v>24153.842495361263</v>
      </c>
      <c r="I76" s="365"/>
      <c r="J76" s="361"/>
      <c r="K76" s="572"/>
      <c r="L76" s="369"/>
      <c r="M76" s="49"/>
    </row>
    <row r="77" spans="1:13" ht="15" thickBot="1">
      <c r="A77" s="366">
        <f>IF(AND(B77="",E77=""),"",MAX(A$1:A76)+1)</f>
        <v>65</v>
      </c>
      <c r="B77" s="947" t="s">
        <v>142</v>
      </c>
      <c r="C77" s="972"/>
      <c r="D77" s="972"/>
      <c r="E77" s="981"/>
      <c r="F77" s="972"/>
      <c r="G77" s="972"/>
      <c r="H77" s="578">
        <f>H76-H74</f>
        <v>3.4214553612619056</v>
      </c>
      <c r="I77" s="979"/>
      <c r="J77" s="982"/>
      <c r="K77" s="588"/>
      <c r="L77" s="365"/>
      <c r="M77" s="365"/>
    </row>
    <row r="78" spans="1:13">
      <c r="A78" s="362">
        <f>IF(AND(B78="",E78=""),"",MAX(A$1:A77)+1)</f>
        <v>66</v>
      </c>
      <c r="B78" s="935" t="s">
        <v>152</v>
      </c>
      <c r="C78" s="953"/>
      <c r="D78" s="953"/>
      <c r="E78" s="983"/>
      <c r="F78" s="953"/>
      <c r="G78" s="953"/>
      <c r="H78" s="984"/>
      <c r="I78" s="365"/>
      <c r="J78" s="361"/>
      <c r="K78" s="572"/>
      <c r="L78" s="365"/>
      <c r="M78" s="365"/>
    </row>
    <row r="79" spans="1:13">
      <c r="A79" s="363">
        <f>IF(AND(B79="",E79=""),"",MAX(A$1:A78)+1)</f>
        <v>67</v>
      </c>
      <c r="B79" s="915" t="s">
        <v>134</v>
      </c>
      <c r="C79" s="666">
        <f>C34+C57+C71</f>
        <v>18275.620999999999</v>
      </c>
      <c r="E79" s="365">
        <f>E34+E57+E71</f>
        <v>181976.21</v>
      </c>
      <c r="G79" s="666"/>
      <c r="H79" s="576">
        <f>H34+H57+H71</f>
        <v>218371.45199999999</v>
      </c>
      <c r="I79" s="365"/>
      <c r="J79" s="360">
        <f>H79-E79</f>
        <v>36395.241999999998</v>
      </c>
      <c r="K79" s="572">
        <f>J79/E79</f>
        <v>0.2</v>
      </c>
      <c r="L79" s="365"/>
      <c r="M79" s="365"/>
    </row>
    <row r="80" spans="1:13">
      <c r="A80" s="363">
        <f>IF(AND(B80="",E80=""),"",MAX(A$1:A79)+1)</f>
        <v>68</v>
      </c>
      <c r="B80" s="974" t="s">
        <v>145</v>
      </c>
      <c r="C80" s="666">
        <f>C35+C58</f>
        <v>324948</v>
      </c>
      <c r="E80" s="28">
        <f>E35+E58</f>
        <v>3179909.1250000005</v>
      </c>
      <c r="G80" s="666"/>
      <c r="H80" s="579">
        <f>H35+H58</f>
        <v>3242500.125</v>
      </c>
      <c r="I80" s="365"/>
      <c r="J80" s="360">
        <f t="shared" ref="J80:J82" si="2">H80-E80</f>
        <v>62590.999999999534</v>
      </c>
      <c r="K80" s="572">
        <f t="shared" ref="K80:K82" si="3">J80/E80</f>
        <v>1.9683266892100107E-2</v>
      </c>
      <c r="L80" s="365"/>
      <c r="M80" s="365"/>
    </row>
    <row r="81" spans="1:13">
      <c r="A81" s="363">
        <f>IF(AND(B81="",E81=""),"",MAX(A$1:A80)+1)</f>
        <v>69</v>
      </c>
      <c r="B81" s="915" t="s">
        <v>135</v>
      </c>
      <c r="C81" s="666">
        <f>C36+C59+C72</f>
        <v>87466126</v>
      </c>
      <c r="E81" s="28">
        <f>E36+E59+E72</f>
        <v>2085810.4421600001</v>
      </c>
      <c r="G81" s="666"/>
      <c r="H81" s="579">
        <f>H36+H59+H72</f>
        <v>2834680.7548000002</v>
      </c>
      <c r="I81" s="365"/>
      <c r="J81" s="360">
        <f t="shared" si="2"/>
        <v>748870.31264000013</v>
      </c>
      <c r="K81" s="572">
        <f t="shared" si="3"/>
        <v>0.35903085798366868</v>
      </c>
      <c r="L81" s="365"/>
      <c r="M81" s="365"/>
    </row>
    <row r="82" spans="1:13">
      <c r="A82" s="363">
        <f>IF(AND(B82="",E82=""),"",MAX(A$1:A81)+1)</f>
        <v>70</v>
      </c>
      <c r="B82" s="974" t="s">
        <v>146</v>
      </c>
      <c r="D82" s="47">
        <v>-0.19</v>
      </c>
      <c r="E82" s="28">
        <f>E37+E60</f>
        <v>-4820.6299999999992</v>
      </c>
      <c r="H82" s="579">
        <f>H37+H60</f>
        <v>-4820.6299999999992</v>
      </c>
      <c r="I82" s="365"/>
      <c r="J82" s="368">
        <f t="shared" si="2"/>
        <v>0</v>
      </c>
      <c r="K82" s="588">
        <f t="shared" si="3"/>
        <v>0</v>
      </c>
      <c r="L82" s="365"/>
      <c r="M82" s="365"/>
    </row>
    <row r="83" spans="1:13">
      <c r="A83" s="363">
        <f>IF(AND(B83="",E83=""),"",MAX(A$1:A82)+1)</f>
        <v>71</v>
      </c>
      <c r="B83" s="915" t="s">
        <v>136</v>
      </c>
      <c r="D83" s="47"/>
      <c r="E83" s="28">
        <f>E28+E38+E61+E73</f>
        <v>773424.27159000002</v>
      </c>
      <c r="H83" s="579">
        <v>0</v>
      </c>
      <c r="I83" s="365"/>
      <c r="J83" s="360"/>
      <c r="K83" s="572"/>
      <c r="L83" s="365"/>
      <c r="M83" s="365"/>
    </row>
    <row r="84" spans="1:13">
      <c r="A84" s="363">
        <f>IF(AND(B84="",E84=""),"",MAX(A$1:A83)+1)</f>
        <v>72</v>
      </c>
      <c r="B84" s="974"/>
      <c r="E84" s="571">
        <f>SUM(E79:E83)</f>
        <v>6216299.4187500002</v>
      </c>
      <c r="H84" s="593">
        <f>SUM(H79:H83)</f>
        <v>6290731.7018000009</v>
      </c>
      <c r="I84" s="365"/>
      <c r="J84" s="361">
        <f>H84-E84</f>
        <v>74432.283050000668</v>
      </c>
      <c r="K84" s="572">
        <f>J84/E84</f>
        <v>1.1973728746960491E-2</v>
      </c>
      <c r="L84" s="365"/>
      <c r="M84" s="365"/>
    </row>
    <row r="85" spans="1:13">
      <c r="A85" s="363" t="str">
        <f>IF(AND(B85="",E85=""),"",MAX(A$1:A84)+1)</f>
        <v/>
      </c>
      <c r="B85" s="974"/>
      <c r="E85" s="361"/>
      <c r="H85" s="945"/>
      <c r="I85" s="365"/>
      <c r="J85" s="361"/>
      <c r="K85" s="572"/>
      <c r="L85" s="365"/>
      <c r="M85" s="365"/>
    </row>
    <row r="86" spans="1:13">
      <c r="A86" s="363">
        <f>IF(AND(B86="",E86=""),"",MAX(A$1:A85)+1)</f>
        <v>73</v>
      </c>
      <c r="B86" s="943" t="s">
        <v>153</v>
      </c>
      <c r="C86" s="966"/>
      <c r="D86" s="967"/>
      <c r="E86" s="570"/>
      <c r="H86" s="577">
        <f>'Revenue Apportionment'!N24</f>
        <v>6291463.5581192086</v>
      </c>
      <c r="I86" s="365"/>
      <c r="J86" s="360"/>
      <c r="K86" s="572"/>
      <c r="L86" s="365"/>
      <c r="M86" s="968"/>
    </row>
    <row r="87" spans="1:13" ht="15" thickBot="1">
      <c r="A87" s="366">
        <f>IF(AND(B87="",E87=""),"",MAX(A$1:A86)+1)</f>
        <v>74</v>
      </c>
      <c r="B87" s="947" t="s">
        <v>142</v>
      </c>
      <c r="C87" s="969"/>
      <c r="D87" s="970"/>
      <c r="E87" s="971"/>
      <c r="F87" s="972"/>
      <c r="G87" s="972"/>
      <c r="H87" s="578">
        <f>H86-H84</f>
        <v>731.85631920769811</v>
      </c>
      <c r="I87" s="365"/>
      <c r="J87" s="365"/>
      <c r="K87" s="365"/>
      <c r="L87" s="570"/>
      <c r="M87" s="570"/>
    </row>
    <row r="88" spans="1:13">
      <c r="A88" s="363" t="str">
        <f>IF(AND(B88="",E88=""),"",MAX(A$1:A87)+1)</f>
        <v/>
      </c>
      <c r="H88" s="570"/>
      <c r="I88" s="570"/>
      <c r="J88" s="570"/>
      <c r="K88" s="570"/>
      <c r="L88" s="570"/>
      <c r="M88" s="570"/>
    </row>
    <row r="89" spans="1:13" ht="12.75" customHeight="1">
      <c r="A89" s="9"/>
      <c r="K89" s="369"/>
      <c r="L89" s="369"/>
    </row>
    <row r="90" spans="1:13">
      <c r="A90" s="9"/>
      <c r="E90" s="570"/>
      <c r="H90" s="570"/>
      <c r="I90" s="570"/>
      <c r="J90" s="570"/>
      <c r="K90" s="570"/>
      <c r="L90" s="570"/>
      <c r="M90" s="570"/>
    </row>
    <row r="91" spans="1:13">
      <c r="A91" s="9"/>
      <c r="B91" s="369" t="s">
        <v>154</v>
      </c>
      <c r="E91" s="985">
        <f>'Rate Design Lighting'!F72</f>
        <v>266880.38825000002</v>
      </c>
      <c r="H91" s="985">
        <f>'Rate Design Lighting'!I72</f>
        <v>319014.60999999993</v>
      </c>
      <c r="I91" s="985"/>
      <c r="J91" s="985"/>
      <c r="K91" s="985"/>
      <c r="L91" s="985"/>
      <c r="M91" s="985"/>
    </row>
    <row r="92" spans="1:13">
      <c r="A92" s="9"/>
      <c r="B92" s="369" t="s">
        <v>155</v>
      </c>
      <c r="E92" s="985">
        <f>'Rate Design Lighting'!F80</f>
        <v>46202.773895999999</v>
      </c>
      <c r="H92" s="985">
        <f>'Rate Design Lighting'!I78</f>
        <v>55598.948064000004</v>
      </c>
      <c r="I92" s="985"/>
      <c r="J92" s="985"/>
      <c r="K92" s="985"/>
      <c r="L92" s="985"/>
      <c r="M92" s="985"/>
    </row>
    <row r="93" spans="1:13">
      <c r="A93" s="9"/>
      <c r="E93" s="985"/>
      <c r="J93" s="369"/>
      <c r="K93" s="369"/>
      <c r="L93" s="369"/>
    </row>
    <row r="94" spans="1:13">
      <c r="A94" s="9"/>
      <c r="K94" s="570"/>
      <c r="L94" s="570"/>
      <c r="M94" s="570"/>
    </row>
    <row r="95" spans="1:13" ht="12.75" customHeight="1">
      <c r="A95" s="9"/>
      <c r="K95" s="570"/>
      <c r="L95" s="570"/>
      <c r="M95" s="570"/>
    </row>
    <row r="96" spans="1:13" ht="12.75" customHeight="1">
      <c r="A96" s="9"/>
      <c r="K96" s="570"/>
      <c r="L96" s="570"/>
      <c r="M96" s="570"/>
    </row>
    <row r="97" spans="1:13" ht="12.75" customHeight="1">
      <c r="A97" s="9"/>
      <c r="K97" s="986"/>
      <c r="L97" s="986"/>
      <c r="M97" s="986"/>
    </row>
    <row r="98" spans="1:13" ht="12.75" customHeight="1">
      <c r="A98" s="9"/>
      <c r="K98" s="369"/>
      <c r="L98" s="369"/>
    </row>
    <row r="99" spans="1:13">
      <c r="A99" s="9"/>
      <c r="K99" s="369"/>
      <c r="L99" s="369"/>
    </row>
    <row r="100" spans="1:13">
      <c r="A100" s="9"/>
      <c r="K100" s="369" t="s">
        <v>156</v>
      </c>
      <c r="L100" s="369"/>
    </row>
    <row r="101" spans="1:13">
      <c r="A101" s="9"/>
      <c r="J101" s="369"/>
      <c r="K101" s="369"/>
      <c r="L101" s="369"/>
    </row>
    <row r="102" spans="1:13">
      <c r="A102" s="9"/>
      <c r="E102" s="907"/>
      <c r="H102" s="907"/>
      <c r="J102" s="369"/>
      <c r="K102" s="369"/>
      <c r="L102" s="369"/>
    </row>
    <row r="103" spans="1:13">
      <c r="A103" s="9"/>
      <c r="E103" s="570"/>
      <c r="H103" s="570"/>
      <c r="J103" s="369"/>
      <c r="K103" s="369"/>
      <c r="L103" s="369"/>
    </row>
    <row r="104" spans="1:13">
      <c r="E104" s="570"/>
      <c r="J104" s="369"/>
      <c r="K104" s="369"/>
      <c r="L104" s="369"/>
    </row>
    <row r="105" spans="1:13">
      <c r="J105" s="369"/>
      <c r="K105" s="369"/>
      <c r="L105" s="369"/>
    </row>
    <row r="106" spans="1:13">
      <c r="J106" s="369"/>
      <c r="K106" s="369"/>
      <c r="L106" s="369"/>
    </row>
    <row r="107" spans="1:13">
      <c r="J107" s="369"/>
      <c r="K107" s="369"/>
      <c r="L107" s="369"/>
    </row>
    <row r="108" spans="1:13">
      <c r="J108" s="369"/>
      <c r="K108" s="369"/>
      <c r="L108" s="369"/>
    </row>
    <row r="109" spans="1:13">
      <c r="J109" s="369"/>
      <c r="K109" s="369"/>
      <c r="L109" s="369"/>
    </row>
  </sheetData>
  <phoneticPr fontId="50" type="noConversion"/>
  <pageMargins left="0.5" right="0.5" top="0.5" bottom="0.5" header="0.5" footer="0.5"/>
  <pageSetup scale="75" firstPageNumber="3" orientation="portrait" horizontalDpi="1200" verticalDpi="1200" r:id="rId1"/>
  <headerFooter scaleWithDoc="0" alignWithMargins="0"/>
  <rowBreaks count="1" manualBreakCount="1">
    <brk id="55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8B1-4EFE-4356-AA7E-A558D6CBAF3F}">
  <sheetPr codeName="Sheet3"/>
  <dimension ref="A1:M95"/>
  <sheetViews>
    <sheetView workbookViewId="0"/>
  </sheetViews>
  <sheetFormatPr defaultColWidth="9.109375" defaultRowHeight="14.4"/>
  <cols>
    <col min="1" max="1" width="6.77734375" style="1" customWidth="1"/>
    <col min="2" max="2" width="9.77734375" style="1" customWidth="1"/>
    <col min="3" max="3" width="28.77734375" style="1" customWidth="1"/>
    <col min="4" max="4" width="13.21875" style="1" bestFit="1" customWidth="1"/>
    <col min="5" max="6" width="12.77734375" style="1" customWidth="1"/>
    <col min="7" max="7" width="3.77734375" style="1" customWidth="1"/>
    <col min="8" max="8" width="12.77734375" style="1" customWidth="1"/>
    <col min="9" max="9" width="13.77734375" style="1" customWidth="1"/>
    <col min="10" max="10" width="3.77734375" style="1" customWidth="1"/>
    <col min="11" max="11" width="9.109375" style="1"/>
    <col min="12" max="12" width="13.77734375" style="1" bestFit="1" customWidth="1"/>
    <col min="13" max="16384" width="9.109375" style="1"/>
  </cols>
  <sheetData>
    <row r="1" spans="1:13">
      <c r="A1" s="30" t="s">
        <v>0</v>
      </c>
    </row>
    <row r="2" spans="1:13">
      <c r="A2" s="4" t="s">
        <v>11</v>
      </c>
    </row>
    <row r="3" spans="1:13">
      <c r="A3" s="893" t="s">
        <v>803</v>
      </c>
      <c r="B3" s="2"/>
    </row>
    <row r="4" spans="1:13">
      <c r="A4" s="667"/>
      <c r="B4" s="667"/>
      <c r="C4" s="667"/>
      <c r="D4" s="667"/>
      <c r="E4" s="667"/>
      <c r="F4" s="667"/>
      <c r="G4" s="667"/>
      <c r="H4" s="667"/>
      <c r="I4" s="667"/>
      <c r="J4" s="934"/>
    </row>
    <row r="5" spans="1:13" ht="15.75" customHeight="1">
      <c r="A5" s="1038" t="s">
        <v>3</v>
      </c>
      <c r="B5" s="2"/>
      <c r="C5" s="2"/>
      <c r="D5" s="21" t="s">
        <v>157</v>
      </c>
      <c r="E5" s="21" t="s">
        <v>158</v>
      </c>
      <c r="F5" s="21" t="s">
        <v>158</v>
      </c>
      <c r="G5" s="21"/>
      <c r="H5" s="21" t="s">
        <v>159</v>
      </c>
      <c r="I5" s="21" t="s">
        <v>159</v>
      </c>
    </row>
    <row r="6" spans="1:13" ht="19.5" customHeight="1" thickBot="1">
      <c r="A6" s="1038"/>
      <c r="B6" s="2" t="s">
        <v>160</v>
      </c>
      <c r="C6" s="2"/>
      <c r="D6" s="21" t="s">
        <v>161</v>
      </c>
      <c r="E6" s="667" t="s">
        <v>20</v>
      </c>
      <c r="F6" s="21" t="s">
        <v>162</v>
      </c>
      <c r="G6" s="21"/>
      <c r="H6" s="21" t="s">
        <v>20</v>
      </c>
      <c r="I6" s="21" t="s">
        <v>162</v>
      </c>
    </row>
    <row r="7" spans="1:13">
      <c r="A7" s="362">
        <f>IF(B7="","",MAX(A$6:A6)+1)</f>
        <v>1</v>
      </c>
      <c r="B7" s="935" t="s">
        <v>163</v>
      </c>
      <c r="C7" s="936"/>
      <c r="D7" s="658"/>
      <c r="E7" s="658"/>
      <c r="F7" s="668"/>
      <c r="G7" s="669"/>
      <c r="H7" s="658"/>
      <c r="I7" s="670"/>
    </row>
    <row r="8" spans="1:13">
      <c r="A8" s="363" t="str">
        <f>IF(B8="","",MAX(A$6:A7)+1)</f>
        <v/>
      </c>
      <c r="C8" s="937"/>
      <c r="D8" s="22"/>
      <c r="E8" s="663"/>
      <c r="F8" s="660"/>
      <c r="G8" s="661"/>
      <c r="H8" s="26"/>
      <c r="I8" s="671"/>
    </row>
    <row r="9" spans="1:13">
      <c r="A9" s="363">
        <f>IF(B9="","",MAX(A$6:A8)+1)</f>
        <v>2</v>
      </c>
      <c r="B9" s="1" t="s">
        <v>164</v>
      </c>
      <c r="C9" s="937" t="s">
        <v>165</v>
      </c>
      <c r="D9" s="22">
        <f>'ProForma Revenue'!G105</f>
        <v>1041430.8909952607</v>
      </c>
      <c r="E9" s="663">
        <f>'Rates and Eff Dates'!D46</f>
        <v>0</v>
      </c>
      <c r="F9" s="660">
        <f>D9*E9</f>
        <v>0</v>
      </c>
      <c r="G9" s="661"/>
      <c r="H9" s="26">
        <f>TRUNC(E9*($I$76),5)</f>
        <v>0</v>
      </c>
      <c r="I9" s="671">
        <f t="shared" ref="I9" si="0">H9*D9</f>
        <v>0</v>
      </c>
    </row>
    <row r="10" spans="1:13">
      <c r="A10" s="363" t="str">
        <f>IF(B10="","",MAX(A$6:A9)+1)</f>
        <v/>
      </c>
      <c r="I10" s="938"/>
    </row>
    <row r="11" spans="1:13" ht="16.2">
      <c r="A11" s="363">
        <f>IF(B11="","",MAX(A$6:A10)+1)</f>
        <v>3</v>
      </c>
      <c r="B11" s="672" t="s">
        <v>166</v>
      </c>
      <c r="C11" s="672" t="s">
        <v>167</v>
      </c>
      <c r="D11" s="22"/>
      <c r="E11" s="673" t="s">
        <v>168</v>
      </c>
      <c r="F11" s="660" t="s">
        <v>168</v>
      </c>
      <c r="G11" s="674"/>
      <c r="I11" s="938"/>
    </row>
    <row r="12" spans="1:13">
      <c r="A12" s="363">
        <f>IF(B12="","",MAX(A$6:A11)+1)</f>
        <v>4</v>
      </c>
      <c r="B12" s="675" t="s">
        <v>169</v>
      </c>
      <c r="C12" s="677"/>
      <c r="D12" s="22"/>
      <c r="E12" s="673" t="s">
        <v>168</v>
      </c>
      <c r="F12" s="660" t="s">
        <v>168</v>
      </c>
      <c r="G12" s="674"/>
      <c r="I12" s="938"/>
    </row>
    <row r="13" spans="1:13">
      <c r="A13" s="363">
        <f>IF(B13="","",MAX(A$6:A12)+1)</f>
        <v>5</v>
      </c>
      <c r="B13" s="23">
        <v>3500</v>
      </c>
      <c r="C13" s="937" t="s">
        <v>170</v>
      </c>
      <c r="D13" s="22">
        <f>'ProForma Revenue'!G53</f>
        <v>48</v>
      </c>
      <c r="E13" s="673">
        <f>'Rates and Eff Dates'!E53</f>
        <v>13.54</v>
      </c>
      <c r="F13" s="660">
        <f t="shared" ref="F13:F19" si="1">D13*E13</f>
        <v>649.91999999999996</v>
      </c>
      <c r="G13" s="674"/>
      <c r="H13" s="674">
        <f t="shared" ref="H13:H19" si="2">TRUNC(E13*($I$76),2)</f>
        <v>17.3</v>
      </c>
      <c r="I13" s="671">
        <f>H13*D13</f>
        <v>830.40000000000009</v>
      </c>
      <c r="K13" s="939"/>
      <c r="M13" s="939"/>
    </row>
    <row r="14" spans="1:13">
      <c r="A14" s="363">
        <f>IF(B14="","",MAX(A$6:A13)+1)</f>
        <v>6</v>
      </c>
      <c r="B14" s="23">
        <v>7000</v>
      </c>
      <c r="C14" s="937" t="s">
        <v>170</v>
      </c>
      <c r="D14" s="22">
        <f>'ProForma Revenue'!G54</f>
        <v>84</v>
      </c>
      <c r="E14" s="673">
        <f>'Rates and Eff Dates'!E54</f>
        <v>15.02</v>
      </c>
      <c r="F14" s="660">
        <f t="shared" si="1"/>
        <v>1261.68</v>
      </c>
      <c r="G14" s="674"/>
      <c r="H14" s="674">
        <f t="shared" si="2"/>
        <v>19.190000000000001</v>
      </c>
      <c r="I14" s="671">
        <f t="shared" ref="I14:I19" si="3">H14*D14</f>
        <v>1611.96</v>
      </c>
      <c r="M14" s="939"/>
    </row>
    <row r="15" spans="1:13">
      <c r="A15" s="363">
        <f>IF(B15="","",MAX(A$6:A14)+1)</f>
        <v>7</v>
      </c>
      <c r="B15" s="23">
        <v>20000</v>
      </c>
      <c r="C15" s="937" t="s">
        <v>170</v>
      </c>
      <c r="D15" s="22">
        <f>'ProForma Revenue'!G55</f>
        <v>0</v>
      </c>
      <c r="E15" s="673">
        <f>'Rates and Eff Dates'!E55</f>
        <v>27.29</v>
      </c>
      <c r="F15" s="660">
        <f t="shared" si="1"/>
        <v>0</v>
      </c>
      <c r="G15" s="674"/>
      <c r="H15" s="674">
        <f t="shared" si="2"/>
        <v>34.880000000000003</v>
      </c>
      <c r="I15" s="671">
        <f t="shared" si="3"/>
        <v>0</v>
      </c>
      <c r="M15" s="939"/>
    </row>
    <row r="16" spans="1:13">
      <c r="A16" s="363">
        <f>IF(B16="","",MAX(A$6:A15)+1)</f>
        <v>8</v>
      </c>
      <c r="B16" s="23">
        <v>60000</v>
      </c>
      <c r="C16" s="937" t="s">
        <v>170</v>
      </c>
      <c r="D16" s="22">
        <f>'ProForma Revenue'!G56</f>
        <v>84</v>
      </c>
      <c r="E16" s="673">
        <f>'Rates and Eff Dates'!E56</f>
        <v>52.18</v>
      </c>
      <c r="F16" s="660">
        <f t="shared" si="1"/>
        <v>4383.12</v>
      </c>
      <c r="G16" s="674"/>
      <c r="H16" s="674">
        <f t="shared" si="2"/>
        <v>66.69</v>
      </c>
      <c r="I16" s="671">
        <f t="shared" si="3"/>
        <v>5601.96</v>
      </c>
      <c r="M16" s="939"/>
    </row>
    <row r="17" spans="1:13">
      <c r="A17" s="363">
        <f>IF(B17="","",MAX(A$6:A16)+1)</f>
        <v>9</v>
      </c>
      <c r="B17" s="23">
        <v>20000</v>
      </c>
      <c r="C17" s="676" t="s">
        <v>171</v>
      </c>
      <c r="D17" s="22">
        <f>'ProForma Revenue'!G57</f>
        <v>300</v>
      </c>
      <c r="E17" s="673">
        <f>'Rates and Eff Dates'!E57</f>
        <v>30.18</v>
      </c>
      <c r="F17" s="660">
        <f t="shared" si="1"/>
        <v>9054</v>
      </c>
      <c r="G17" s="674"/>
      <c r="H17" s="674">
        <f t="shared" si="2"/>
        <v>38.57</v>
      </c>
      <c r="I17" s="671">
        <f t="shared" si="3"/>
        <v>11571</v>
      </c>
      <c r="M17" s="939"/>
    </row>
    <row r="18" spans="1:13">
      <c r="A18" s="363">
        <f>IF(B18="","",MAX(A$6:A17)+1)</f>
        <v>10</v>
      </c>
      <c r="B18" s="23">
        <v>3500</v>
      </c>
      <c r="C18" s="676" t="s">
        <v>172</v>
      </c>
      <c r="D18" s="22">
        <f>'ProForma Revenue'!G58</f>
        <v>348</v>
      </c>
      <c r="E18" s="673">
        <f>'Rates and Eff Dates'!E58</f>
        <v>14.18</v>
      </c>
      <c r="F18" s="660">
        <f t="shared" si="1"/>
        <v>4934.6400000000003</v>
      </c>
      <c r="G18" s="674"/>
      <c r="H18" s="674">
        <f t="shared" si="2"/>
        <v>18.12</v>
      </c>
      <c r="I18" s="671">
        <f t="shared" si="3"/>
        <v>6305.76</v>
      </c>
      <c r="M18" s="939"/>
    </row>
    <row r="19" spans="1:13">
      <c r="A19" s="363">
        <f>IF(B19="","",MAX(A$6:A18)+1)</f>
        <v>11</v>
      </c>
      <c r="B19" s="23">
        <v>7000</v>
      </c>
      <c r="C19" s="676" t="s">
        <v>172</v>
      </c>
      <c r="D19" s="22">
        <f>'ProForma Revenue'!G59</f>
        <v>300</v>
      </c>
      <c r="E19" s="673">
        <f>'Rates and Eff Dates'!E59</f>
        <v>15.97</v>
      </c>
      <c r="F19" s="660">
        <f t="shared" si="1"/>
        <v>4791</v>
      </c>
      <c r="G19" s="674"/>
      <c r="H19" s="674">
        <f t="shared" si="2"/>
        <v>20.41</v>
      </c>
      <c r="I19" s="671">
        <f t="shared" si="3"/>
        <v>6123</v>
      </c>
      <c r="M19" s="939"/>
    </row>
    <row r="20" spans="1:13">
      <c r="A20" s="363" t="str">
        <f>IF(B20="","",MAX(A$6:A19)+1)</f>
        <v/>
      </c>
      <c r="B20" s="677"/>
      <c r="C20" s="676"/>
      <c r="D20" s="22"/>
      <c r="E20" s="673" t="s">
        <v>168</v>
      </c>
      <c r="F20" s="660" t="s">
        <v>168</v>
      </c>
      <c r="G20" s="674"/>
      <c r="I20" s="671"/>
      <c r="M20" s="939"/>
    </row>
    <row r="21" spans="1:13">
      <c r="A21" s="363">
        <f>IF(B21="","",MAX(A$6:A20)+1)</f>
        <v>12</v>
      </c>
      <c r="B21" s="675" t="s">
        <v>173</v>
      </c>
      <c r="C21" s="676"/>
      <c r="D21" s="22"/>
      <c r="E21" s="673" t="s">
        <v>168</v>
      </c>
      <c r="F21" s="660" t="s">
        <v>168</v>
      </c>
      <c r="G21" s="674"/>
      <c r="I21" s="671"/>
      <c r="M21" s="939"/>
    </row>
    <row r="22" spans="1:13">
      <c r="A22" s="363">
        <f>IF(B22="","",MAX(A$6:A21)+1)</f>
        <v>13</v>
      </c>
      <c r="B22" s="23">
        <v>3300</v>
      </c>
      <c r="C22" s="937" t="s">
        <v>170</v>
      </c>
      <c r="D22" s="22">
        <f>'ProForma Revenue'!G61</f>
        <v>1580</v>
      </c>
      <c r="E22" s="673">
        <f>'Rates and Eff Dates'!E62</f>
        <v>11.75</v>
      </c>
      <c r="F22" s="660">
        <f t="shared" ref="F22:F27" si="4">D22*E22</f>
        <v>18565</v>
      </c>
      <c r="G22" s="674"/>
      <c r="H22" s="674">
        <f t="shared" ref="H22:H27" si="5">TRUNC(E22*($I$76),2)</f>
        <v>15.01</v>
      </c>
      <c r="I22" s="671">
        <f t="shared" ref="I22:I27" si="6">H22*D22</f>
        <v>23715.8</v>
      </c>
      <c r="M22" s="939"/>
    </row>
    <row r="23" spans="1:13">
      <c r="A23" s="363">
        <f>IF(B23="","",MAX(A$6:A22)+1)</f>
        <v>14</v>
      </c>
      <c r="B23" s="23">
        <v>9500</v>
      </c>
      <c r="C23" s="937" t="s">
        <v>170</v>
      </c>
      <c r="D23" s="22">
        <f>'ProForma Revenue'!G62</f>
        <v>996</v>
      </c>
      <c r="E23" s="673">
        <f>'Rates and Eff Dates'!E63</f>
        <v>13.97</v>
      </c>
      <c r="F23" s="660">
        <f t="shared" si="4"/>
        <v>13914.12</v>
      </c>
      <c r="G23" s="674"/>
      <c r="H23" s="674">
        <f t="shared" si="5"/>
        <v>17.850000000000001</v>
      </c>
      <c r="I23" s="671">
        <f t="shared" si="6"/>
        <v>17778.600000000002</v>
      </c>
      <c r="M23" s="939"/>
    </row>
    <row r="24" spans="1:13">
      <c r="A24" s="363">
        <f>IF(B24="","",MAX(A$6:A23)+1)</f>
        <v>15</v>
      </c>
      <c r="B24" s="23">
        <v>20000</v>
      </c>
      <c r="C24" s="937" t="s">
        <v>170</v>
      </c>
      <c r="D24" s="22">
        <f>'ProForma Revenue'!G63</f>
        <v>96</v>
      </c>
      <c r="E24" s="673">
        <f>'Rates and Eff Dates'!E64</f>
        <v>20.83</v>
      </c>
      <c r="F24" s="660">
        <f t="shared" si="4"/>
        <v>1999.6799999999998</v>
      </c>
      <c r="G24" s="674"/>
      <c r="H24" s="674">
        <f t="shared" si="5"/>
        <v>26.62</v>
      </c>
      <c r="I24" s="671">
        <f t="shared" si="6"/>
        <v>2555.52</v>
      </c>
      <c r="M24" s="939"/>
    </row>
    <row r="25" spans="1:13">
      <c r="A25" s="363">
        <f>IF(B25="","",MAX(A$6:A24)+1)</f>
        <v>16</v>
      </c>
      <c r="B25" s="23">
        <v>50000</v>
      </c>
      <c r="C25" s="937" t="s">
        <v>170</v>
      </c>
      <c r="D25" s="22">
        <f>'ProForma Revenue'!G64</f>
        <v>72</v>
      </c>
      <c r="E25" s="673">
        <f>'Rates and Eff Dates'!E65</f>
        <v>29.62</v>
      </c>
      <c r="F25" s="660">
        <f t="shared" si="4"/>
        <v>2132.64</v>
      </c>
      <c r="G25" s="674"/>
      <c r="H25" s="674">
        <f t="shared" si="5"/>
        <v>37.86</v>
      </c>
      <c r="I25" s="671">
        <f t="shared" si="6"/>
        <v>2725.92</v>
      </c>
      <c r="M25" s="939"/>
    </row>
    <row r="26" spans="1:13">
      <c r="A26" s="363">
        <f>IF(B26="","",MAX(A$6:A25)+1)</f>
        <v>17</v>
      </c>
      <c r="B26" s="23">
        <v>140000</v>
      </c>
      <c r="C26" s="937" t="s">
        <v>170</v>
      </c>
      <c r="D26" s="22">
        <f>'ProForma Revenue'!G65</f>
        <v>516</v>
      </c>
      <c r="E26" s="673">
        <f>'Rates and Eff Dates'!E66</f>
        <v>60.77</v>
      </c>
      <c r="F26" s="660">
        <f t="shared" si="4"/>
        <v>31357.320000000003</v>
      </c>
      <c r="G26" s="674"/>
      <c r="H26" s="674">
        <f t="shared" si="5"/>
        <v>77.67</v>
      </c>
      <c r="I26" s="671">
        <f t="shared" si="6"/>
        <v>40077.72</v>
      </c>
      <c r="M26" s="939"/>
    </row>
    <row r="27" spans="1:13">
      <c r="A27" s="363">
        <f>IF(B27="","",MAX(A$6:A26)+1)</f>
        <v>18</v>
      </c>
      <c r="B27" s="23">
        <v>50000</v>
      </c>
      <c r="C27" s="676" t="s">
        <v>171</v>
      </c>
      <c r="D27" s="22">
        <f>'ProForma Revenue'!G66</f>
        <v>3480</v>
      </c>
      <c r="E27" s="673">
        <f>'Rates and Eff Dates'!E67</f>
        <v>34.380000000000003</v>
      </c>
      <c r="F27" s="660">
        <f t="shared" si="4"/>
        <v>119642.40000000001</v>
      </c>
      <c r="G27" s="674"/>
      <c r="H27" s="674">
        <f t="shared" si="5"/>
        <v>43.94</v>
      </c>
      <c r="I27" s="671">
        <f t="shared" si="6"/>
        <v>152911.19999999998</v>
      </c>
      <c r="M27" s="939"/>
    </row>
    <row r="28" spans="1:13">
      <c r="A28" s="363" t="str">
        <f>IF(B28="","",MAX(A$6:A27)+1)</f>
        <v/>
      </c>
      <c r="B28" s="677"/>
      <c r="C28" s="676"/>
      <c r="D28" s="22"/>
      <c r="E28" s="673" t="s">
        <v>168</v>
      </c>
      <c r="F28" s="660" t="s">
        <v>168</v>
      </c>
      <c r="G28" s="674"/>
      <c r="I28" s="671"/>
      <c r="M28" s="939"/>
    </row>
    <row r="29" spans="1:13">
      <c r="A29" s="363">
        <f>IF(B29="","",MAX(A$6:A28)+1)</f>
        <v>19</v>
      </c>
      <c r="B29" s="675" t="s">
        <v>174</v>
      </c>
      <c r="C29" s="676"/>
      <c r="D29" s="22"/>
      <c r="E29" s="673" t="s">
        <v>168</v>
      </c>
      <c r="F29" s="660" t="s">
        <v>168</v>
      </c>
      <c r="G29" s="674"/>
      <c r="I29" s="671"/>
      <c r="M29" s="939"/>
    </row>
    <row r="30" spans="1:13">
      <c r="A30" s="363">
        <f>IF(B30="","",MAX(A$6:A29)+1)</f>
        <v>20</v>
      </c>
      <c r="B30" s="23">
        <v>10680</v>
      </c>
      <c r="C30" s="937" t="s">
        <v>175</v>
      </c>
      <c r="D30" s="22">
        <f>'ProForma Revenue'!G81</f>
        <v>84</v>
      </c>
      <c r="E30" s="673">
        <f>'ProForma Revenue'!M81</f>
        <v>15.1</v>
      </c>
      <c r="F30" s="660">
        <f t="shared" ref="F30:F36" si="7">D30*E30</f>
        <v>1268.3999999999999</v>
      </c>
      <c r="G30" s="674"/>
      <c r="I30" s="671"/>
      <c r="K30" s="354"/>
      <c r="M30" s="939"/>
    </row>
    <row r="31" spans="1:13">
      <c r="A31" s="363">
        <f>IF(B31="","",MAX(A$6:A30)+1)</f>
        <v>21</v>
      </c>
      <c r="B31" s="23" t="s">
        <v>156</v>
      </c>
      <c r="C31" s="937" t="s">
        <v>176</v>
      </c>
      <c r="D31" s="22">
        <f>'ProForma Revenue'!G95</f>
        <v>1296</v>
      </c>
      <c r="E31" s="673">
        <f>'ProForma Revenue'!M95</f>
        <v>7.58</v>
      </c>
      <c r="F31" s="660">
        <f t="shared" si="7"/>
        <v>9823.68</v>
      </c>
      <c r="G31" s="674"/>
      <c r="I31" s="671"/>
      <c r="K31" s="354"/>
      <c r="M31" s="939"/>
    </row>
    <row r="32" spans="1:13">
      <c r="A32" s="363">
        <f>IF(B32="","",MAX(A$6:A31)+1)</f>
        <v>22</v>
      </c>
      <c r="B32" s="23" t="s">
        <v>156</v>
      </c>
      <c r="C32" s="937" t="s">
        <v>177</v>
      </c>
      <c r="D32" s="22">
        <f>'ProForma Revenue'!G96</f>
        <v>138</v>
      </c>
      <c r="E32" s="673">
        <f>'ProForma Revenue'!M96</f>
        <v>8.36</v>
      </c>
      <c r="F32" s="660">
        <f t="shared" si="7"/>
        <v>1153.6799999999998</v>
      </c>
      <c r="G32" s="674"/>
      <c r="I32" s="671"/>
      <c r="K32" s="354"/>
      <c r="M32" s="939"/>
    </row>
    <row r="33" spans="1:13">
      <c r="A33" s="363">
        <f>IF(B33="","",MAX(A$6:A32)+1)</f>
        <v>23</v>
      </c>
      <c r="B33" s="23" t="s">
        <v>156</v>
      </c>
      <c r="C33" s="937" t="s">
        <v>178</v>
      </c>
      <c r="D33" s="22">
        <f>'ProForma Revenue'!G97</f>
        <v>180</v>
      </c>
      <c r="E33" s="673">
        <f>'ProForma Revenue'!M97</f>
        <v>8.65</v>
      </c>
      <c r="F33" s="660">
        <f t="shared" si="7"/>
        <v>1557</v>
      </c>
      <c r="G33" s="674"/>
      <c r="I33" s="671"/>
      <c r="K33" s="354"/>
      <c r="M33" s="939"/>
    </row>
    <row r="34" spans="1:13">
      <c r="A34" s="363">
        <f>IF(B34="","",MAX(A$6:A33)+1)</f>
        <v>24</v>
      </c>
      <c r="B34" s="23" t="s">
        <v>156</v>
      </c>
      <c r="C34" s="937" t="s">
        <v>179</v>
      </c>
      <c r="D34" s="22">
        <f>'ProForma Revenue'!G98</f>
        <v>12</v>
      </c>
      <c r="E34" s="673">
        <f>'ProForma Revenue'!M98</f>
        <v>12.83</v>
      </c>
      <c r="F34" s="660">
        <f t="shared" si="7"/>
        <v>153.96</v>
      </c>
      <c r="G34" s="674"/>
      <c r="I34" s="671"/>
      <c r="K34" s="354"/>
      <c r="M34" s="939"/>
    </row>
    <row r="35" spans="1:13">
      <c r="A35" s="363">
        <f>IF(B35="","",MAX(A$6:A34)+1)</f>
        <v>25</v>
      </c>
      <c r="B35" s="23" t="s">
        <v>156</v>
      </c>
      <c r="C35" s="937" t="s">
        <v>180</v>
      </c>
      <c r="D35" s="22">
        <f>'ProForma Revenue'!G99</f>
        <v>1448</v>
      </c>
      <c r="E35" s="673">
        <f>'ProForma Revenue'!M99</f>
        <v>15.08</v>
      </c>
      <c r="F35" s="660">
        <f t="shared" si="7"/>
        <v>21835.84</v>
      </c>
      <c r="G35" s="674"/>
      <c r="I35" s="671"/>
      <c r="K35" s="354"/>
      <c r="M35" s="939"/>
    </row>
    <row r="36" spans="1:13">
      <c r="A36" s="363">
        <f>IF(B36="","",MAX(A$6:A35)+1)</f>
        <v>26</v>
      </c>
      <c r="B36" s="23" t="s">
        <v>156</v>
      </c>
      <c r="C36" s="937" t="s">
        <v>181</v>
      </c>
      <c r="D36" s="22">
        <f>'ProForma Revenue'!G100</f>
        <v>12</v>
      </c>
      <c r="E36" s="673">
        <f>'ProForma Revenue'!M100</f>
        <v>25.79</v>
      </c>
      <c r="F36" s="660">
        <f t="shared" si="7"/>
        <v>309.48</v>
      </c>
      <c r="G36" s="674"/>
      <c r="I36" s="671"/>
      <c r="K36" s="354"/>
      <c r="M36" s="939"/>
    </row>
    <row r="37" spans="1:13">
      <c r="A37" s="363" t="str">
        <f>IF(B37="","",MAX(A$6:A36)+1)</f>
        <v/>
      </c>
      <c r="B37" s="23"/>
      <c r="C37" s="937"/>
      <c r="D37" s="22"/>
      <c r="E37" s="673"/>
      <c r="F37" s="660"/>
      <c r="G37" s="674"/>
      <c r="H37" s="674"/>
      <c r="I37" s="671"/>
      <c r="K37" s="354"/>
      <c r="M37" s="939"/>
    </row>
    <row r="38" spans="1:13">
      <c r="A38" s="363">
        <f>IF(B38="","",MAX(A$6:A37)+1)</f>
        <v>27</v>
      </c>
      <c r="B38" s="675" t="s">
        <v>182</v>
      </c>
      <c r="C38" s="937"/>
      <c r="D38" s="22"/>
      <c r="E38" s="940"/>
      <c r="F38" s="660"/>
      <c r="G38" s="674"/>
      <c r="H38" s="674"/>
      <c r="I38" s="671"/>
      <c r="K38" s="354"/>
      <c r="M38" s="939"/>
    </row>
    <row r="39" spans="1:13">
      <c r="A39" s="363">
        <f>IF(B39="","",MAX(A$6:A38)+1)</f>
        <v>28</v>
      </c>
      <c r="B39" s="23" t="s">
        <v>183</v>
      </c>
      <c r="C39" s="937" t="s">
        <v>184</v>
      </c>
      <c r="D39" s="22">
        <f>D31</f>
        <v>1296</v>
      </c>
      <c r="E39" s="940">
        <f>E31</f>
        <v>7.58</v>
      </c>
      <c r="F39" s="660">
        <f>D39*E39</f>
        <v>9823.68</v>
      </c>
      <c r="G39" s="674"/>
      <c r="H39" s="674">
        <v>9.5</v>
      </c>
      <c r="I39" s="671">
        <f t="shared" ref="I39:I59" si="8">H39*D39</f>
        <v>12312</v>
      </c>
      <c r="K39" s="354"/>
      <c r="M39" s="939"/>
    </row>
    <row r="40" spans="1:13">
      <c r="A40" s="363">
        <f>IF(B40="","",MAX(A$6:A39)+1)</f>
        <v>29</v>
      </c>
      <c r="B40" s="23" t="s">
        <v>156</v>
      </c>
      <c r="C40" s="937" t="s">
        <v>185</v>
      </c>
      <c r="D40" s="22"/>
      <c r="E40" s="673"/>
      <c r="F40" s="660"/>
      <c r="G40" s="674"/>
      <c r="H40" s="674">
        <v>10.25</v>
      </c>
      <c r="I40" s="671">
        <f t="shared" si="8"/>
        <v>0</v>
      </c>
      <c r="K40" s="354"/>
      <c r="M40" s="939"/>
    </row>
    <row r="41" spans="1:13">
      <c r="A41" s="363">
        <f>IF(B41="","",MAX(A$6:A40)+1)</f>
        <v>30</v>
      </c>
      <c r="B41" s="23" t="s">
        <v>156</v>
      </c>
      <c r="C41" s="937" t="s">
        <v>186</v>
      </c>
      <c r="D41" s="22">
        <f>D32</f>
        <v>138</v>
      </c>
      <c r="E41" s="673">
        <f>E32</f>
        <v>8.36</v>
      </c>
      <c r="F41" s="660">
        <f>D41*E41</f>
        <v>1153.6799999999998</v>
      </c>
      <c r="G41" s="674"/>
      <c r="H41" s="674">
        <v>11</v>
      </c>
      <c r="I41" s="671">
        <f t="shared" si="8"/>
        <v>1518</v>
      </c>
      <c r="K41" s="354"/>
      <c r="M41" s="939"/>
    </row>
    <row r="42" spans="1:13">
      <c r="A42" s="363">
        <f>IF(B42="","",MAX(A$6:A41)+1)</f>
        <v>31</v>
      </c>
      <c r="B42" s="23" t="s">
        <v>156</v>
      </c>
      <c r="C42" s="937" t="s">
        <v>187</v>
      </c>
      <c r="D42" s="22">
        <f>D33</f>
        <v>180</v>
      </c>
      <c r="E42" s="673">
        <f t="shared" ref="E42:E43" si="9">E33</f>
        <v>8.65</v>
      </c>
      <c r="F42" s="660">
        <f>D42*E42</f>
        <v>1557</v>
      </c>
      <c r="G42" s="674"/>
      <c r="H42" s="674">
        <v>11.5</v>
      </c>
      <c r="I42" s="671">
        <f t="shared" si="8"/>
        <v>2070</v>
      </c>
      <c r="K42" s="354"/>
      <c r="M42" s="939"/>
    </row>
    <row r="43" spans="1:13">
      <c r="A43" s="363">
        <f>IF(B43="","",MAX(A$6:A42)+1)</f>
        <v>32</v>
      </c>
      <c r="B43" s="23" t="s">
        <v>188</v>
      </c>
      <c r="C43" s="937" t="s">
        <v>189</v>
      </c>
      <c r="D43" s="22">
        <f>D34</f>
        <v>12</v>
      </c>
      <c r="E43" s="673">
        <f t="shared" si="9"/>
        <v>12.83</v>
      </c>
      <c r="F43" s="660">
        <f>D43*E43</f>
        <v>153.96</v>
      </c>
      <c r="G43" s="674"/>
      <c r="H43" s="674">
        <v>16.5</v>
      </c>
      <c r="I43" s="671">
        <f t="shared" si="8"/>
        <v>198</v>
      </c>
      <c r="K43" s="354"/>
      <c r="M43" s="939"/>
    </row>
    <row r="44" spans="1:13">
      <c r="A44" s="363">
        <f>IF(B44="","",MAX(A$6:A43)+1)</f>
        <v>33</v>
      </c>
      <c r="B44" s="23" t="s">
        <v>156</v>
      </c>
      <c r="C44" s="937" t="s">
        <v>190</v>
      </c>
      <c r="D44" s="22">
        <f>D30</f>
        <v>84</v>
      </c>
      <c r="E44" s="673">
        <f>E30</f>
        <v>15.1</v>
      </c>
      <c r="F44" s="660">
        <f>D44*E44</f>
        <v>1268.3999999999999</v>
      </c>
      <c r="G44" s="674"/>
      <c r="H44" s="674">
        <v>19</v>
      </c>
      <c r="I44" s="671">
        <f t="shared" si="8"/>
        <v>1596</v>
      </c>
      <c r="K44" s="354"/>
      <c r="M44" s="939"/>
    </row>
    <row r="45" spans="1:13">
      <c r="A45" s="363">
        <f>IF(B45="","",MAX(A$6:A44)+1)</f>
        <v>34</v>
      </c>
      <c r="B45" s="23" t="s">
        <v>156</v>
      </c>
      <c r="C45" s="937" t="s">
        <v>191</v>
      </c>
      <c r="D45" s="22"/>
      <c r="E45" s="673"/>
      <c r="F45" s="660"/>
      <c r="G45" s="674"/>
      <c r="H45" s="674">
        <v>21</v>
      </c>
      <c r="I45" s="671">
        <f t="shared" si="8"/>
        <v>0</v>
      </c>
      <c r="K45" s="354"/>
      <c r="M45" s="939"/>
    </row>
    <row r="46" spans="1:13">
      <c r="A46" s="363" t="str">
        <f>IF(B46="","",MAX(A$6:A45)+1)</f>
        <v/>
      </c>
      <c r="B46" s="23"/>
      <c r="C46" s="937"/>
      <c r="D46" s="22"/>
      <c r="E46" s="673"/>
      <c r="F46" s="660"/>
      <c r="G46" s="674"/>
      <c r="H46" s="674"/>
      <c r="I46" s="671"/>
      <c r="K46" s="354"/>
      <c r="M46" s="939"/>
    </row>
    <row r="47" spans="1:13">
      <c r="A47" s="363">
        <f>IF(B47="","",MAX(A$6:A46)+1)</f>
        <v>35</v>
      </c>
      <c r="B47" s="23" t="s">
        <v>192</v>
      </c>
      <c r="C47" s="937" t="s">
        <v>193</v>
      </c>
      <c r="D47" s="22"/>
      <c r="E47" s="673"/>
      <c r="F47" s="660"/>
      <c r="G47" s="674"/>
      <c r="H47" s="674">
        <v>16.5</v>
      </c>
      <c r="I47" s="671">
        <f t="shared" si="8"/>
        <v>0</v>
      </c>
      <c r="K47" s="354"/>
      <c r="M47" s="939"/>
    </row>
    <row r="48" spans="1:13">
      <c r="A48" s="363">
        <f>IF(B48="","",MAX(A$6:A47)+1)</f>
        <v>36</v>
      </c>
      <c r="B48" s="1" t="s">
        <v>156</v>
      </c>
      <c r="C48" s="937" t="s">
        <v>194</v>
      </c>
      <c r="H48" s="674">
        <v>18</v>
      </c>
      <c r="I48" s="671">
        <f t="shared" si="8"/>
        <v>0</v>
      </c>
      <c r="K48" s="354"/>
      <c r="M48" s="939"/>
    </row>
    <row r="49" spans="1:13">
      <c r="A49" s="363">
        <f>IF(B49="","",MAX(A$6:A48)+1)</f>
        <v>37</v>
      </c>
      <c r="B49" s="23" t="s">
        <v>156</v>
      </c>
      <c r="C49" s="937" t="s">
        <v>195</v>
      </c>
      <c r="D49" s="22">
        <f>D35</f>
        <v>1448</v>
      </c>
      <c r="E49" s="673">
        <f>E35</f>
        <v>15.08</v>
      </c>
      <c r="F49" s="660">
        <f>D49*E49</f>
        <v>21835.84</v>
      </c>
      <c r="G49" s="674"/>
      <c r="H49" s="674">
        <v>19</v>
      </c>
      <c r="I49" s="671">
        <f t="shared" si="8"/>
        <v>27512</v>
      </c>
      <c r="K49" s="354"/>
      <c r="M49" s="939"/>
    </row>
    <row r="50" spans="1:13">
      <c r="A50" s="363">
        <f>IF(B50="","",MAX(A$6:A49)+1)</f>
        <v>38</v>
      </c>
      <c r="B50" s="23" t="s">
        <v>156</v>
      </c>
      <c r="C50" s="1" t="s">
        <v>196</v>
      </c>
      <c r="H50" s="674">
        <v>24</v>
      </c>
      <c r="I50" s="671">
        <f t="shared" si="8"/>
        <v>0</v>
      </c>
      <c r="K50" s="354"/>
      <c r="M50" s="939"/>
    </row>
    <row r="51" spans="1:13">
      <c r="A51" s="363">
        <f>IF(B51="","",MAX(A$6:A50)+1)</f>
        <v>39</v>
      </c>
      <c r="B51" s="1" t="s">
        <v>156</v>
      </c>
      <c r="C51" s="937" t="s">
        <v>197</v>
      </c>
      <c r="D51" s="22"/>
      <c r="E51" s="673"/>
      <c r="F51" s="660"/>
      <c r="G51" s="674"/>
      <c r="H51" s="674">
        <v>30</v>
      </c>
      <c r="I51" s="671">
        <f t="shared" si="8"/>
        <v>0</v>
      </c>
      <c r="K51" s="354"/>
      <c r="M51" s="939"/>
    </row>
    <row r="52" spans="1:13">
      <c r="A52" s="363" t="str">
        <f>IF(B52="","",MAX(A$6:A51)+1)</f>
        <v/>
      </c>
      <c r="C52" s="937"/>
      <c r="D52" s="22"/>
      <c r="E52" s="673"/>
      <c r="F52" s="660"/>
      <c r="G52" s="674"/>
      <c r="H52" s="674"/>
      <c r="I52" s="671"/>
      <c r="K52" s="354"/>
      <c r="M52" s="939"/>
    </row>
    <row r="53" spans="1:13">
      <c r="A53" s="363">
        <f>IF(B53="","",MAX(A$6:A52)+1)</f>
        <v>40</v>
      </c>
      <c r="B53" s="23" t="s">
        <v>198</v>
      </c>
      <c r="C53" s="937" t="s">
        <v>199</v>
      </c>
      <c r="D53" s="22"/>
      <c r="E53" s="673"/>
      <c r="F53" s="660"/>
      <c r="G53" s="674"/>
      <c r="H53" s="674">
        <f>H39+1</f>
        <v>10.5</v>
      </c>
      <c r="I53" s="671">
        <f t="shared" si="8"/>
        <v>0</v>
      </c>
      <c r="K53" s="354"/>
      <c r="M53" s="939"/>
    </row>
    <row r="54" spans="1:13">
      <c r="A54" s="363">
        <f>IF(B54="","",MAX(A$6:A53)+1)</f>
        <v>41</v>
      </c>
      <c r="B54" s="23" t="s">
        <v>156</v>
      </c>
      <c r="C54" s="937" t="s">
        <v>200</v>
      </c>
      <c r="D54" s="22"/>
      <c r="E54" s="673"/>
      <c r="F54" s="660"/>
      <c r="G54" s="674"/>
      <c r="H54" s="674">
        <f t="shared" ref="H54:H59" si="10">H40+1</f>
        <v>11.25</v>
      </c>
      <c r="I54" s="671">
        <f t="shared" si="8"/>
        <v>0</v>
      </c>
      <c r="K54" s="354"/>
      <c r="M54" s="939"/>
    </row>
    <row r="55" spans="1:13">
      <c r="A55" s="363">
        <f>IF(B55="","",MAX(A$6:A54)+1)</f>
        <v>42</v>
      </c>
      <c r="B55" s="23" t="s">
        <v>156</v>
      </c>
      <c r="C55" s="937" t="s">
        <v>201</v>
      </c>
      <c r="D55" s="22"/>
      <c r="E55" s="673"/>
      <c r="F55" s="660"/>
      <c r="G55" s="674"/>
      <c r="H55" s="674">
        <f t="shared" si="10"/>
        <v>12</v>
      </c>
      <c r="I55" s="671">
        <f t="shared" si="8"/>
        <v>0</v>
      </c>
      <c r="K55" s="354"/>
      <c r="M55" s="939"/>
    </row>
    <row r="56" spans="1:13">
      <c r="A56" s="363">
        <f>IF(B56="","",MAX(A$6:A55)+1)</f>
        <v>43</v>
      </c>
      <c r="B56" s="23" t="s">
        <v>156</v>
      </c>
      <c r="C56" s="937" t="s">
        <v>202</v>
      </c>
      <c r="D56" s="22"/>
      <c r="E56" s="673"/>
      <c r="F56" s="660"/>
      <c r="G56" s="674"/>
      <c r="H56" s="674">
        <f t="shared" si="10"/>
        <v>12.5</v>
      </c>
      <c r="I56" s="671">
        <f t="shared" si="8"/>
        <v>0</v>
      </c>
      <c r="K56" s="354"/>
      <c r="M56" s="939"/>
    </row>
    <row r="57" spans="1:13">
      <c r="A57" s="363">
        <f>IF(B57="","",MAX(A$6:A56)+1)</f>
        <v>44</v>
      </c>
      <c r="B57" s="23" t="s">
        <v>156</v>
      </c>
      <c r="C57" s="937" t="s">
        <v>203</v>
      </c>
      <c r="D57" s="22"/>
      <c r="E57" s="673"/>
      <c r="F57" s="660"/>
      <c r="G57" s="674"/>
      <c r="H57" s="674">
        <f t="shared" si="10"/>
        <v>17.5</v>
      </c>
      <c r="I57" s="671">
        <f t="shared" si="8"/>
        <v>0</v>
      </c>
      <c r="K57" s="354"/>
      <c r="M57" s="939"/>
    </row>
    <row r="58" spans="1:13">
      <c r="A58" s="363">
        <f>IF(B58="","",MAX(A$6:A57)+1)</f>
        <v>45</v>
      </c>
      <c r="B58" s="23" t="s">
        <v>156</v>
      </c>
      <c r="C58" s="937" t="s">
        <v>204</v>
      </c>
      <c r="D58" s="22"/>
      <c r="E58" s="673"/>
      <c r="F58" s="660"/>
      <c r="G58" s="674"/>
      <c r="H58" s="674">
        <f t="shared" si="10"/>
        <v>20</v>
      </c>
      <c r="I58" s="671">
        <f t="shared" si="8"/>
        <v>0</v>
      </c>
      <c r="K58" s="354"/>
      <c r="M58" s="939"/>
    </row>
    <row r="59" spans="1:13">
      <c r="A59" s="363">
        <f>IF(B59="","",MAX(A$6:A58)+1)</f>
        <v>46</v>
      </c>
      <c r="B59" s="23" t="s">
        <v>156</v>
      </c>
      <c r="C59" s="937" t="s">
        <v>205</v>
      </c>
      <c r="D59" s="22"/>
      <c r="E59" s="673"/>
      <c r="F59" s="660"/>
      <c r="G59" s="674"/>
      <c r="H59" s="674">
        <f t="shared" si="10"/>
        <v>22</v>
      </c>
      <c r="I59" s="671">
        <f t="shared" si="8"/>
        <v>0</v>
      </c>
      <c r="K59" s="354"/>
      <c r="M59" s="939"/>
    </row>
    <row r="60" spans="1:13">
      <c r="A60" s="363" t="str">
        <f>IF(B60="","",MAX(A$6:A59)+1)</f>
        <v/>
      </c>
      <c r="B60" s="23"/>
      <c r="C60" s="937"/>
      <c r="D60" s="22"/>
      <c r="E60" s="673"/>
      <c r="F60" s="660"/>
      <c r="G60" s="674"/>
      <c r="H60" s="674"/>
      <c r="I60" s="671"/>
      <c r="K60" s="939"/>
      <c r="M60" s="354"/>
    </row>
    <row r="61" spans="1:13">
      <c r="A61" s="363">
        <f>IF(B61="","",MAX(A$6:A60)+1)</f>
        <v>47</v>
      </c>
      <c r="B61" s="23" t="s">
        <v>206</v>
      </c>
      <c r="C61" s="937" t="str">
        <f>C36</f>
        <v>110 Watt LED Flood - CREE</v>
      </c>
      <c r="D61" s="22">
        <f>D36</f>
        <v>12</v>
      </c>
      <c r="E61" s="673">
        <f>E36</f>
        <v>25.79</v>
      </c>
      <c r="F61" s="660">
        <f>D61*E61</f>
        <v>309.48</v>
      </c>
      <c r="G61" s="674"/>
      <c r="H61" s="674">
        <f>E61</f>
        <v>25.79</v>
      </c>
      <c r="I61" s="671">
        <f t="shared" ref="I61" si="11">H61*D61</f>
        <v>309.48</v>
      </c>
      <c r="K61" s="354"/>
      <c r="L61" s="354"/>
      <c r="M61" s="939"/>
    </row>
    <row r="62" spans="1:13">
      <c r="A62" s="363" t="str">
        <f>IF(B62="","",MAX(A$6:A61)+1)</f>
        <v/>
      </c>
      <c r="B62" s="24"/>
      <c r="C62" s="676"/>
      <c r="D62" s="22"/>
      <c r="E62" s="673" t="s">
        <v>168</v>
      </c>
      <c r="F62" s="660" t="s">
        <v>168</v>
      </c>
      <c r="G62" s="674"/>
      <c r="I62" s="671"/>
      <c r="K62" s="354"/>
      <c r="M62" s="939"/>
    </row>
    <row r="63" spans="1:13">
      <c r="A63" s="363">
        <f>IF(B63="","",MAX(A$6:A62)+1)</f>
        <v>48</v>
      </c>
      <c r="B63" s="675" t="s">
        <v>207</v>
      </c>
      <c r="C63" s="676"/>
      <c r="D63" s="22"/>
      <c r="E63" s="673" t="s">
        <v>168</v>
      </c>
      <c r="F63" s="660" t="s">
        <v>168</v>
      </c>
      <c r="G63" s="674"/>
      <c r="I63" s="671"/>
    </row>
    <row r="64" spans="1:13">
      <c r="A64" s="363">
        <f>IF(B64="","",MAX(A$6:A63)+1)</f>
        <v>49</v>
      </c>
      <c r="B64" s="23">
        <v>3300</v>
      </c>
      <c r="C64" s="937" t="s">
        <v>170</v>
      </c>
      <c r="D64" s="22">
        <f>'ProForma Revenue'!G93</f>
        <v>0</v>
      </c>
      <c r="E64" s="673">
        <f>'ProForma Revenue'!M93</f>
        <v>9.43</v>
      </c>
      <c r="F64" s="660">
        <f>D64*E64</f>
        <v>0</v>
      </c>
      <c r="G64" s="674"/>
      <c r="H64" s="674">
        <f>TRUNC(E64*($I$76),2)</f>
        <v>12.05</v>
      </c>
      <c r="I64" s="671">
        <f>H64*D64</f>
        <v>0</v>
      </c>
    </row>
    <row r="65" spans="1:10">
      <c r="A65" s="363" t="str">
        <f>IF(B65="","",MAX(A$6:A64)+1)</f>
        <v/>
      </c>
      <c r="I65" s="938"/>
    </row>
    <row r="66" spans="1:10">
      <c r="A66" s="363">
        <f>IF(B66="","",MAX(A$6:A65)+1)</f>
        <v>50</v>
      </c>
      <c r="B66" s="678" t="s">
        <v>208</v>
      </c>
      <c r="D66" s="679"/>
      <c r="F66" s="680">
        <f>SUM(F13:F37)</f>
        <v>248787.56</v>
      </c>
      <c r="G66" s="674"/>
      <c r="I66" s="681">
        <f>SUM(I13:I64)</f>
        <v>317324.31999999995</v>
      </c>
    </row>
    <row r="67" spans="1:10">
      <c r="A67" s="363" t="str">
        <f>IF(B67="","",MAX(A$6:A66)+1)</f>
        <v/>
      </c>
      <c r="E67" s="941"/>
      <c r="I67" s="938"/>
    </row>
    <row r="68" spans="1:10">
      <c r="A68" s="363">
        <f>IF(B68="","",MAX(A$6:A67)+1)</f>
        <v>51</v>
      </c>
      <c r="B68" s="678" t="s">
        <v>209</v>
      </c>
      <c r="E68" s="941"/>
      <c r="F68" s="660">
        <f>'ProForma Revenue'!E102</f>
        <v>1690.29</v>
      </c>
      <c r="I68" s="942">
        <f>F68</f>
        <v>1690.29</v>
      </c>
    </row>
    <row r="69" spans="1:10">
      <c r="A69" s="363" t="str">
        <f>IF(B69="","",MAX(A$6:A68)+1)</f>
        <v/>
      </c>
      <c r="E69" s="941"/>
      <c r="I69" s="671"/>
    </row>
    <row r="70" spans="1:10">
      <c r="A70" s="363">
        <f>IF(B70="","",MAX(A$6:A69)+1)</f>
        <v>52</v>
      </c>
      <c r="B70" s="937" t="s">
        <v>136</v>
      </c>
      <c r="E70" s="941"/>
      <c r="F70" s="25">
        <f>-Rider_Revenue!N16</f>
        <v>16402.538250000001</v>
      </c>
      <c r="I70" s="942">
        <v>0</v>
      </c>
    </row>
    <row r="71" spans="1:10">
      <c r="A71" s="363" t="str">
        <f>IF(B71="","",MAX(A$6:A70)+1)</f>
        <v/>
      </c>
      <c r="E71" s="941"/>
      <c r="I71" s="671"/>
    </row>
    <row r="72" spans="1:10">
      <c r="A72" s="363">
        <f>IF(B72="","",MAX(A$6:A71)+1)</f>
        <v>53</v>
      </c>
      <c r="B72" s="1" t="s">
        <v>210</v>
      </c>
      <c r="E72" s="941"/>
      <c r="F72" s="25">
        <f>+F66+F68+F70</f>
        <v>266880.38825000002</v>
      </c>
      <c r="I72" s="942">
        <f>+I66+I68+I70</f>
        <v>319014.60999999993</v>
      </c>
    </row>
    <row r="73" spans="1:10">
      <c r="A73" s="363" t="str">
        <f>IF(B73="","",MAX(A$6:A72)+1)</f>
        <v/>
      </c>
      <c r="I73" s="671"/>
    </row>
    <row r="74" spans="1:10">
      <c r="A74" s="363">
        <f>IF(B74="","",MAX(A$6:A73)+1)</f>
        <v>54</v>
      </c>
      <c r="B74" s="943" t="str">
        <f>CONCATENATE("Revenue Target_",B7)</f>
        <v>Revenue Target_SD: Outdoor Lighting - Company Owned</v>
      </c>
      <c r="I74" s="942">
        <f>'Revenue Apportionment'!N16</f>
        <v>319067.58375545836</v>
      </c>
    </row>
    <row r="75" spans="1:10">
      <c r="A75" s="363">
        <f>IF(B75="","",MAX(A$6:A74)+1)</f>
        <v>55</v>
      </c>
      <c r="B75" s="42" t="s">
        <v>142</v>
      </c>
      <c r="I75" s="744">
        <f>I74-I72</f>
        <v>52.973755458428059</v>
      </c>
    </row>
    <row r="76" spans="1:10" ht="15" thickBot="1">
      <c r="A76" s="366">
        <f>IF(B76="","",MAX(A$6:A75)+1)</f>
        <v>56</v>
      </c>
      <c r="B76" s="745" t="s">
        <v>211</v>
      </c>
      <c r="C76" s="746"/>
      <c r="D76" s="746"/>
      <c r="E76" s="746"/>
      <c r="F76" s="944"/>
      <c r="G76" s="746"/>
      <c r="H76" s="746"/>
      <c r="I76" s="747">
        <f>(I74-I68-F66-SUM(I39:I61)+SUM(F30:F36))/SUM(F13:F27)+1</f>
        <v>1.2782337685962748</v>
      </c>
      <c r="J76" s="2"/>
    </row>
    <row r="77" spans="1:10">
      <c r="A77" s="362">
        <f>IF(B77="","",MAX(A$6:A76)+1)</f>
        <v>57</v>
      </c>
      <c r="B77" s="935" t="s">
        <v>212</v>
      </c>
      <c r="C77" s="658"/>
      <c r="D77" s="658"/>
      <c r="E77" s="658"/>
      <c r="F77" s="658"/>
      <c r="G77" s="658"/>
      <c r="H77" s="658"/>
      <c r="I77" s="659"/>
    </row>
    <row r="78" spans="1:10">
      <c r="A78" s="363">
        <f>IF(B78="","",MAX(A$6:A77)+1)</f>
        <v>58</v>
      </c>
      <c r="B78" s="1" t="s">
        <v>156</v>
      </c>
      <c r="C78" s="937" t="s">
        <v>213</v>
      </c>
      <c r="D78" s="22">
        <f>'ProForma Revenue'!G109</f>
        <v>593942.4</v>
      </c>
      <c r="E78" s="663">
        <f>'Rates and Eff Dates'!D47</f>
        <v>6.429E-2</v>
      </c>
      <c r="F78" s="660">
        <f>D78*E78</f>
        <v>38184.556896000002</v>
      </c>
      <c r="G78" s="661"/>
      <c r="H78" s="26">
        <f>TRUNC(I82/($D$78),5)</f>
        <v>9.3609999999999999E-2</v>
      </c>
      <c r="I78" s="662">
        <f>H78*D78</f>
        <v>55598.948064000004</v>
      </c>
    </row>
    <row r="79" spans="1:10">
      <c r="A79" s="363">
        <f>IF(B79="","",MAX(A$6:A78)+1)</f>
        <v>59</v>
      </c>
      <c r="B79" s="1" t="s">
        <v>156</v>
      </c>
      <c r="C79" s="937" t="s">
        <v>136</v>
      </c>
      <c r="D79" s="22"/>
      <c r="E79" s="663"/>
      <c r="F79" s="660">
        <f>-Rider_Revenue!N17</f>
        <v>8018.2170000000006</v>
      </c>
      <c r="G79" s="661"/>
      <c r="H79" s="26"/>
      <c r="I79" s="945">
        <v>0</v>
      </c>
    </row>
    <row r="80" spans="1:10">
      <c r="A80" s="363" t="str">
        <f>IF(B80="","",MAX(A$6:A79)+1)</f>
        <v/>
      </c>
      <c r="C80" s="937"/>
      <c r="D80" s="22"/>
      <c r="E80" s="663"/>
      <c r="F80" s="601">
        <f>SUM(F78:F79)</f>
        <v>46202.773895999999</v>
      </c>
      <c r="G80" s="661"/>
      <c r="H80" s="26"/>
      <c r="I80" s="946">
        <f>SUM(I78:I79)</f>
        <v>55598.948064000004</v>
      </c>
    </row>
    <row r="81" spans="1:10">
      <c r="A81" s="363" t="str">
        <f>IF(B81="","",MAX(A$6:A80)+1)</f>
        <v/>
      </c>
      <c r="I81" s="577"/>
    </row>
    <row r="82" spans="1:10">
      <c r="A82" s="363">
        <f>IF(B82="","",MAX(A$6:A81)+1)</f>
        <v>60</v>
      </c>
      <c r="B82" s="943" t="str">
        <f>CONCATENATE("Revenue Target_",B77)</f>
        <v>Revenue Target_SDC: Outdoor Lighting - Customer Owned</v>
      </c>
      <c r="I82" s="577">
        <f>'Revenue Apportionment'!N17</f>
        <v>55601.435952722502</v>
      </c>
    </row>
    <row r="83" spans="1:10" ht="15" thickBot="1">
      <c r="A83" s="366">
        <f>IF(B83="","",MAX(A$6:A82)+1)</f>
        <v>61</v>
      </c>
      <c r="B83" s="947" t="s">
        <v>142</v>
      </c>
      <c r="C83" s="746"/>
      <c r="D83" s="746"/>
      <c r="E83" s="746"/>
      <c r="F83" s="746"/>
      <c r="G83" s="746"/>
      <c r="H83" s="746"/>
      <c r="I83" s="664">
        <f>I82-I80</f>
        <v>2.4878887224986102</v>
      </c>
    </row>
    <row r="84" spans="1:10">
      <c r="D84" s="26"/>
      <c r="E84" s="941"/>
      <c r="F84" s="25"/>
      <c r="G84" s="25"/>
    </row>
    <row r="85" spans="1:10">
      <c r="D85" s="678"/>
      <c r="G85" s="26"/>
    </row>
    <row r="86" spans="1:10">
      <c r="F86" s="25"/>
    </row>
    <row r="87" spans="1:10">
      <c r="D87" s="948"/>
      <c r="F87" s="25"/>
      <c r="G87" s="25"/>
    </row>
    <row r="89" spans="1:10">
      <c r="F89" s="25"/>
      <c r="G89" s="25"/>
    </row>
    <row r="90" spans="1:10">
      <c r="D90" s="25"/>
    </row>
    <row r="91" spans="1:10">
      <c r="D91" s="25"/>
    </row>
    <row r="92" spans="1:10">
      <c r="D92" s="25"/>
    </row>
    <row r="94" spans="1:10">
      <c r="B94" s="2"/>
      <c r="C94" s="2"/>
      <c r="D94" s="2"/>
      <c r="E94" s="2"/>
      <c r="G94" s="2"/>
      <c r="H94" s="2"/>
      <c r="I94" s="949"/>
      <c r="J94" s="2"/>
    </row>
    <row r="95" spans="1:10">
      <c r="I95" s="25"/>
    </row>
  </sheetData>
  <mergeCells count="1">
    <mergeCell ref="A5:A6"/>
  </mergeCells>
  <pageMargins left="1" right="0.7" top="0.5" bottom="0.75" header="0.3" footer="0.3"/>
  <pageSetup scale="75" orientation="portrait" horizontalDpi="1200" verticalDpi="1200" r:id="rId1"/>
  <headerFooter scaleWithDoc="0" alignWithMargins="0"/>
  <rowBreaks count="1" manualBreakCount="1">
    <brk id="61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44A0-2E50-4403-84C7-1BC174996A50}">
  <sheetPr codeName="Sheet4"/>
  <dimension ref="A1:O56"/>
  <sheetViews>
    <sheetView workbookViewId="0"/>
  </sheetViews>
  <sheetFormatPr defaultColWidth="9.109375" defaultRowHeight="14.4"/>
  <cols>
    <col min="1" max="1" width="5.77734375" style="369" customWidth="1"/>
    <col min="2" max="2" width="36.21875" style="369" bestFit="1" customWidth="1"/>
    <col min="3" max="3" width="13.77734375" style="369" bestFit="1" customWidth="1"/>
    <col min="4" max="4" width="14" style="369" bestFit="1" customWidth="1"/>
    <col min="5" max="5" width="15.21875" style="369" bestFit="1" customWidth="1"/>
    <col min="6" max="6" width="14.77734375" style="369" customWidth="1"/>
    <col min="7" max="7" width="15.44140625" style="369" customWidth="1"/>
    <col min="8" max="8" width="10.77734375" style="369" bestFit="1" customWidth="1"/>
    <col min="9" max="9" width="10.44140625" style="369" bestFit="1" customWidth="1"/>
    <col min="10" max="15" width="12.109375" style="369" customWidth="1"/>
    <col min="16" max="16384" width="9.109375" style="369"/>
  </cols>
  <sheetData>
    <row r="1" spans="1:15">
      <c r="A1" s="30" t="s">
        <v>0</v>
      </c>
    </row>
    <row r="2" spans="1:15">
      <c r="A2" s="4" t="s">
        <v>17</v>
      </c>
    </row>
    <row r="3" spans="1:15">
      <c r="A3" s="893" t="s">
        <v>18</v>
      </c>
    </row>
    <row r="6" spans="1:15" ht="16.2">
      <c r="A6" s="911" t="s">
        <v>89</v>
      </c>
    </row>
    <row r="7" spans="1:15">
      <c r="A7" s="9">
        <v>1</v>
      </c>
      <c r="B7" s="912" t="s">
        <v>214</v>
      </c>
    </row>
    <row r="8" spans="1:15">
      <c r="A8" s="9" t="str">
        <f>IF(ISBLANK(B8),"",MAX($A$6:A7)+1)</f>
        <v/>
      </c>
      <c r="E8" s="913"/>
    </row>
    <row r="9" spans="1:15" ht="16.2">
      <c r="A9" s="9">
        <f>IF(ISBLANK(B9),"",MAX($A$6:A8)+1)</f>
        <v>2</v>
      </c>
      <c r="B9" s="914" t="s">
        <v>133</v>
      </c>
      <c r="C9" s="911" t="s">
        <v>129</v>
      </c>
    </row>
    <row r="10" spans="1:15">
      <c r="A10" s="9">
        <f>IF(ISBLANK(B10),"",MAX($A$6:A9)+1)</f>
        <v>3</v>
      </c>
      <c r="B10" s="915" t="s">
        <v>134</v>
      </c>
      <c r="C10" s="907">
        <f>'Rate Design'!G8</f>
        <v>8.5</v>
      </c>
      <c r="E10" s="364"/>
    </row>
    <row r="11" spans="1:15">
      <c r="A11" s="9">
        <f>IF(ISBLANK(B11),"",MAX($A$6:A10)+1)</f>
        <v>4</v>
      </c>
      <c r="B11" s="915" t="s">
        <v>135</v>
      </c>
      <c r="C11" s="916">
        <f>'Rate Design'!G9</f>
        <v>0.10585</v>
      </c>
      <c r="E11" s="364"/>
    </row>
    <row r="12" spans="1:15">
      <c r="A12" s="9" t="str">
        <f>IF(ISBLANK(B12),"",MAX($A$6:A11)+1)</f>
        <v/>
      </c>
      <c r="E12" s="365"/>
    </row>
    <row r="13" spans="1:15" ht="43.2">
      <c r="A13" s="9">
        <f>IF(ISBLANK(B13),"",MAX($A$6:A12)+1)</f>
        <v>5</v>
      </c>
      <c r="B13" s="917" t="s">
        <v>215</v>
      </c>
      <c r="C13" s="918" t="s">
        <v>216</v>
      </c>
      <c r="D13" s="918" t="s">
        <v>217</v>
      </c>
      <c r="E13" s="918" t="s">
        <v>218</v>
      </c>
      <c r="F13" s="918" t="s">
        <v>219</v>
      </c>
      <c r="G13" s="918" t="s">
        <v>220</v>
      </c>
      <c r="J13" s="918" t="s">
        <v>221</v>
      </c>
      <c r="K13" s="918" t="s">
        <v>222</v>
      </c>
      <c r="L13" s="918" t="s">
        <v>223</v>
      </c>
      <c r="M13" s="918" t="s">
        <v>224</v>
      </c>
      <c r="N13" s="918" t="s">
        <v>225</v>
      </c>
      <c r="O13" s="918" t="s">
        <v>226</v>
      </c>
    </row>
    <row r="14" spans="1:15">
      <c r="A14" s="9">
        <f>IF(ISBLANK(B14),"",MAX($A$6:A13)+1)</f>
        <v>6</v>
      </c>
      <c r="B14" s="342" t="s">
        <v>227</v>
      </c>
      <c r="C14" s="919">
        <f>SUMIFS(Rev_Billing_Det!E:E,Rev_Billing_Det!$A:$A,"RD-1",Rev_Billing_Det!$S:$S,$B14)/SUMIFS(Rev_Billing_Det!C:C,Rev_Billing_Det!$A:$A,"RD-1",Rev_Billing_Det!$S:$S,$B14)</f>
        <v>684.49087368276753</v>
      </c>
      <c r="D14" s="907">
        <f t="shared" ref="D14:D25" si="0">$C$10+$C$11*C14</f>
        <v>80.953358979320939</v>
      </c>
      <c r="E14" s="907">
        <f t="shared" ref="E14:E25" si="1">($C$11-$C$43)*C14</f>
        <v>72.453358979320939</v>
      </c>
      <c r="F14" s="907">
        <f t="shared" ref="F14:F25" si="2">$C$10</f>
        <v>8.5</v>
      </c>
      <c r="G14" s="920">
        <f t="shared" ref="G14:G25" si="3">C14+O14</f>
        <v>2137.0376248573143</v>
      </c>
      <c r="J14" s="921">
        <v>139.19505263396809</v>
      </c>
      <c r="K14" s="920">
        <f>J14-$K$27</f>
        <v>123.93743610704325</v>
      </c>
      <c r="L14" s="922">
        <v>26.802553763440859</v>
      </c>
      <c r="M14" s="921">
        <v>2.5</v>
      </c>
      <c r="N14" s="921">
        <f>K14*$K$28</f>
        <v>3631.3668779363675</v>
      </c>
      <c r="O14" s="921">
        <f>N14/M14</f>
        <v>1452.5467511745469</v>
      </c>
    </row>
    <row r="15" spans="1:15">
      <c r="A15" s="9">
        <f>IF(ISBLANK(B15),"",MAX($A$6:A14)+1)</f>
        <v>7</v>
      </c>
      <c r="B15" s="342" t="s">
        <v>228</v>
      </c>
      <c r="C15" s="919">
        <f>SUMIFS(Rev_Billing_Det!E:E,Rev_Billing_Det!$A:$A,"RD-1",Rev_Billing_Det!$S:$S,$B15)/SUMIFS(Rev_Billing_Det!C:C,Rev_Billing_Det!$A:$A,"RD-1",Rev_Billing_Det!$S:$S,$B15)</f>
        <v>634.5000575842148</v>
      </c>
      <c r="D15" s="907">
        <f t="shared" si="0"/>
        <v>75.661831095289131</v>
      </c>
      <c r="E15" s="907">
        <f t="shared" si="1"/>
        <v>67.161831095289131</v>
      </c>
      <c r="F15" s="907">
        <f t="shared" si="2"/>
        <v>8.5</v>
      </c>
      <c r="G15" s="920">
        <f t="shared" si="3"/>
        <v>2019.8549775385916</v>
      </c>
      <c r="J15" s="921">
        <v>145.28239570353017</v>
      </c>
      <c r="K15" s="920">
        <f>J15-$K$27</f>
        <v>130.02477917660534</v>
      </c>
      <c r="L15" s="922">
        <v>28.677306547619043</v>
      </c>
      <c r="M15" s="921">
        <v>2.75</v>
      </c>
      <c r="N15" s="921">
        <f>K15*$K$28</f>
        <v>3809.7260298745364</v>
      </c>
      <c r="O15" s="921">
        <f>N15/M15</f>
        <v>1385.3549199543768</v>
      </c>
    </row>
    <row r="16" spans="1:15">
      <c r="A16" s="9">
        <f>IF(ISBLANK(B16),"",MAX($A$6:A15)+1)</f>
        <v>8</v>
      </c>
      <c r="B16" s="342" t="s">
        <v>229</v>
      </c>
      <c r="C16" s="919">
        <f>SUMIFS(Rev_Billing_Det!E:E,Rev_Billing_Det!$A:$A,"RD-1",Rev_Billing_Det!$S:$S,$B16)/SUMIFS(Rev_Billing_Det!C:C,Rev_Billing_Det!$A:$A,"RD-1",Rev_Billing_Det!$S:$S,$B16)</f>
        <v>552.57366439382577</v>
      </c>
      <c r="D16" s="907">
        <f t="shared" si="0"/>
        <v>66.989922376086454</v>
      </c>
      <c r="E16" s="907">
        <f t="shared" si="1"/>
        <v>58.489922376086454</v>
      </c>
      <c r="F16" s="907">
        <f t="shared" si="2"/>
        <v>8.5</v>
      </c>
      <c r="G16" s="920">
        <f t="shared" si="3"/>
        <v>1632.7634702975233</v>
      </c>
      <c r="J16" s="921">
        <v>125.85725535665496</v>
      </c>
      <c r="K16" s="920">
        <f>J16-$K$27</f>
        <v>110.59963882973013</v>
      </c>
      <c r="L16" s="922">
        <v>35.62822580645161</v>
      </c>
      <c r="M16" s="921">
        <v>3</v>
      </c>
      <c r="N16" s="921">
        <f>K16*$K$28</f>
        <v>3240.5694177110927</v>
      </c>
      <c r="O16" s="921">
        <f>N16/M16</f>
        <v>1080.1898059036976</v>
      </c>
    </row>
    <row r="17" spans="1:15">
      <c r="A17" s="9">
        <f>IF(ISBLANK(B17),"",MAX($A$6:A16)+1)</f>
        <v>9</v>
      </c>
      <c r="B17" s="342" t="s">
        <v>230</v>
      </c>
      <c r="C17" s="919">
        <f>SUMIFS(Rev_Billing_Det!E:E,Rev_Billing_Det!$A:$A,"RD-1",Rev_Billing_Det!$S:$S,$B17)/SUMIFS(Rev_Billing_Det!C:C,Rev_Billing_Det!$A:$A,"RD-1",Rev_Billing_Det!$S:$S,$B17)</f>
        <v>441.967890555216</v>
      </c>
      <c r="D17" s="907">
        <f t="shared" si="0"/>
        <v>55.282301215269612</v>
      </c>
      <c r="E17" s="907">
        <f t="shared" si="1"/>
        <v>46.782301215269612</v>
      </c>
      <c r="F17" s="907">
        <f t="shared" si="2"/>
        <v>8.5</v>
      </c>
      <c r="G17" s="920">
        <f t="shared" si="3"/>
        <v>1130.1593105250315</v>
      </c>
      <c r="J17" s="921">
        <v>97.464782734923276</v>
      </c>
      <c r="K17" s="920">
        <f>J17-$K$27</f>
        <v>82.207166207998441</v>
      </c>
      <c r="L17" s="922">
        <v>46.415833333333332</v>
      </c>
      <c r="M17" s="921">
        <v>3.5</v>
      </c>
      <c r="N17" s="921">
        <f>K17*$K$28</f>
        <v>2408.6699698943544</v>
      </c>
      <c r="O17" s="921">
        <f>N17/M17</f>
        <v>688.19141996981557</v>
      </c>
    </row>
    <row r="18" spans="1:15">
      <c r="A18" s="9">
        <f>IF(ISBLANK(B18),"",MAX($A$6:A17)+1)</f>
        <v>10</v>
      </c>
      <c r="B18" s="342" t="s">
        <v>231</v>
      </c>
      <c r="C18" s="919">
        <f>SUMIFS(Rev_Billing_Det!E:E,Rev_Billing_Det!$A:$A,"RD-1",Rev_Billing_Det!$S:$S,$B18)/SUMIFS(Rev_Billing_Det!C:C,Rev_Billing_Det!$A:$A,"RD-1",Rev_Billing_Det!$S:$S,$B18)</f>
        <v>434.81857483085071</v>
      </c>
      <c r="D18" s="907">
        <f t="shared" si="0"/>
        <v>54.525546145845546</v>
      </c>
      <c r="E18" s="907">
        <f t="shared" si="1"/>
        <v>46.025546145845546</v>
      </c>
      <c r="F18" s="907">
        <f t="shared" si="2"/>
        <v>8.5</v>
      </c>
      <c r="G18" s="920">
        <f t="shared" si="3"/>
        <v>434.81857483085071</v>
      </c>
      <c r="J18" s="921">
        <v>51.100960435385332</v>
      </c>
      <c r="K18" s="920"/>
      <c r="L18" s="922"/>
      <c r="M18" s="921"/>
      <c r="N18" s="921"/>
      <c r="O18" s="921"/>
    </row>
    <row r="19" spans="1:15">
      <c r="A19" s="9">
        <f>IF(ISBLANK(B19),"",MAX($A$6:A18)+1)</f>
        <v>11</v>
      </c>
      <c r="B19" s="342" t="s">
        <v>232</v>
      </c>
      <c r="C19" s="919">
        <f>SUMIFS(Rev_Billing_Det!E:E,Rev_Billing_Det!$A:$A,"RD-1",Rev_Billing_Det!$S:$S,$B19)/SUMIFS(Rev_Billing_Det!C:C,Rev_Billing_Det!$A:$A,"RD-1",Rev_Billing_Det!$S:$S,$B19)</f>
        <v>472.29002313520965</v>
      </c>
      <c r="D19" s="907">
        <f t="shared" si="0"/>
        <v>58.491898948861945</v>
      </c>
      <c r="E19" s="907">
        <f t="shared" si="1"/>
        <v>49.991898948861945</v>
      </c>
      <c r="F19" s="907">
        <f t="shared" si="2"/>
        <v>8.5</v>
      </c>
      <c r="G19" s="920">
        <f t="shared" si="3"/>
        <v>472.29002313520965</v>
      </c>
      <c r="J19" s="921">
        <v>15.105046026803759</v>
      </c>
      <c r="K19" s="920"/>
      <c r="L19" s="922"/>
      <c r="M19" s="921"/>
      <c r="N19" s="921"/>
      <c r="O19" s="921"/>
    </row>
    <row r="20" spans="1:15">
      <c r="A20" s="9">
        <f>IF(ISBLANK(B20),"",MAX($A$6:A19)+1)</f>
        <v>12</v>
      </c>
      <c r="B20" s="342" t="s">
        <v>233</v>
      </c>
      <c r="C20" s="919">
        <f>SUMIFS(Rev_Billing_Det!E:E,Rev_Billing_Det!$A:$A,"RD-1",Rev_Billing_Det!$S:$S,$B20)/SUMIFS(Rev_Billing_Det!C:C,Rev_Billing_Det!$A:$A,"RD-1",Rev_Billing_Det!$S:$S,$B20)</f>
        <v>596.22825580066763</v>
      </c>
      <c r="D20" s="907">
        <f t="shared" si="0"/>
        <v>71.610760876500677</v>
      </c>
      <c r="E20" s="907">
        <f t="shared" si="1"/>
        <v>63.11076087650067</v>
      </c>
      <c r="F20" s="907">
        <f t="shared" si="2"/>
        <v>8.5</v>
      </c>
      <c r="G20" s="920">
        <f t="shared" si="3"/>
        <v>596.22825580066763</v>
      </c>
      <c r="J20" s="921">
        <v>16.015967979488103</v>
      </c>
      <c r="K20" s="920"/>
      <c r="L20" s="922"/>
      <c r="M20" s="921"/>
      <c r="N20" s="921"/>
      <c r="O20" s="921"/>
    </row>
    <row r="21" spans="1:15">
      <c r="A21" s="9">
        <f>IF(ISBLANK(B21),"",MAX($A$6:A20)+1)</f>
        <v>13</v>
      </c>
      <c r="B21" s="342" t="s">
        <v>234</v>
      </c>
      <c r="C21" s="919">
        <f>SUMIFS(Rev_Billing_Det!E:E,Rev_Billing_Det!$A:$A,"RD-1",Rev_Billing_Det!$S:$S,$B21)/SUMIFS(Rev_Billing_Det!C:C,Rev_Billing_Det!$A:$A,"RD-1",Rev_Billing_Det!$S:$S,$B21)</f>
        <v>717.36073899271003</v>
      </c>
      <c r="D21" s="907">
        <f t="shared" si="0"/>
        <v>84.432634222378354</v>
      </c>
      <c r="E21" s="907">
        <f t="shared" si="1"/>
        <v>75.932634222378354</v>
      </c>
      <c r="F21" s="907">
        <f t="shared" si="2"/>
        <v>8.5</v>
      </c>
      <c r="G21" s="920">
        <f t="shared" si="3"/>
        <v>717.36073899271003</v>
      </c>
      <c r="J21" s="921">
        <v>11.958408035004172</v>
      </c>
      <c r="K21" s="920"/>
      <c r="L21" s="922"/>
      <c r="M21" s="921"/>
      <c r="N21" s="921"/>
      <c r="O21" s="921"/>
    </row>
    <row r="22" spans="1:15">
      <c r="A22" s="9">
        <f>IF(ISBLANK(B22),"",MAX($A$6:A21)+1)</f>
        <v>14</v>
      </c>
      <c r="B22" s="342" t="s">
        <v>235</v>
      </c>
      <c r="C22" s="919">
        <f>SUMIFS(Rev_Billing_Det!E:E,Rev_Billing_Det!$A:$A,"RD-1",Rev_Billing_Det!$S:$S,$B22)/SUMIFS(Rev_Billing_Det!C:C,Rev_Billing_Det!$A:$A,"RD-1",Rev_Billing_Det!$S:$S,$B22)</f>
        <v>537.72135733258426</v>
      </c>
      <c r="D22" s="907">
        <f t="shared" si="0"/>
        <v>65.417805673654044</v>
      </c>
      <c r="E22" s="907">
        <f t="shared" si="1"/>
        <v>56.917805673654044</v>
      </c>
      <c r="F22" s="907">
        <f t="shared" si="2"/>
        <v>8.5</v>
      </c>
      <c r="G22" s="920">
        <f t="shared" si="3"/>
        <v>537.72135733258426</v>
      </c>
      <c r="J22" s="921">
        <v>17.951044066403327</v>
      </c>
      <c r="K22" s="920"/>
      <c r="L22" s="922"/>
      <c r="M22" s="921"/>
      <c r="N22" s="921"/>
      <c r="O22" s="921"/>
    </row>
    <row r="23" spans="1:15">
      <c r="A23" s="9">
        <f>IF(ISBLANK(B23),"",MAX($A$6:A22)+1)</f>
        <v>15</v>
      </c>
      <c r="B23" s="342" t="s">
        <v>236</v>
      </c>
      <c r="C23" s="919">
        <f>SUMIFS(Rev_Billing_Det!E:E,Rev_Billing_Det!$A:$A,"RD-1",Rev_Billing_Det!$S:$S,$B23)/SUMIFS(Rev_Billing_Det!C:C,Rev_Billing_Det!$A:$A,"RD-1",Rev_Billing_Det!$S:$S,$B23)</f>
        <v>405.51164151555383</v>
      </c>
      <c r="D23" s="907">
        <f t="shared" si="0"/>
        <v>51.42340725442137</v>
      </c>
      <c r="E23" s="907">
        <f t="shared" si="1"/>
        <v>42.92340725442137</v>
      </c>
      <c r="F23" s="907">
        <f t="shared" si="2"/>
        <v>8.5</v>
      </c>
      <c r="G23" s="920">
        <f t="shared" si="3"/>
        <v>405.51164151555383</v>
      </c>
      <c r="J23" s="921">
        <v>22.802519280957966</v>
      </c>
      <c r="K23" s="920"/>
      <c r="L23" s="922"/>
      <c r="M23" s="921"/>
      <c r="N23" s="921"/>
      <c r="O23" s="921"/>
    </row>
    <row r="24" spans="1:15">
      <c r="A24" s="9">
        <f>IF(ISBLANK(B24),"",MAX($A$6:A23)+1)</f>
        <v>16</v>
      </c>
      <c r="B24" s="342" t="s">
        <v>237</v>
      </c>
      <c r="C24" s="919">
        <f>SUMIFS(Rev_Billing_Det!E:E,Rev_Billing_Det!$A:$A,"RD-1",Rev_Billing_Det!$S:$S,$B24)/SUMIFS(Rev_Billing_Det!C:C,Rev_Billing_Det!$A:$A,"RD-1",Rev_Billing_Det!$S:$S,$B24)</f>
        <v>427.77897043879136</v>
      </c>
      <c r="D24" s="907">
        <f t="shared" si="0"/>
        <v>53.780404020946065</v>
      </c>
      <c r="E24" s="907">
        <f t="shared" si="1"/>
        <v>45.280404020946065</v>
      </c>
      <c r="F24" s="907">
        <f t="shared" si="2"/>
        <v>8.5</v>
      </c>
      <c r="G24" s="920">
        <f t="shared" si="3"/>
        <v>864.75714251629961</v>
      </c>
      <c r="J24" s="921">
        <v>63.727891586716716</v>
      </c>
      <c r="K24" s="920">
        <f>J24-$K$27</f>
        <v>48.470275059791874</v>
      </c>
      <c r="L24" s="922">
        <v>40.179305555555558</v>
      </c>
      <c r="M24" s="921">
        <v>3.25</v>
      </c>
      <c r="N24" s="921">
        <f>K24*$K$28</f>
        <v>1420.1790592519019</v>
      </c>
      <c r="O24" s="921">
        <f>N24/M24</f>
        <v>436.97817207750825</v>
      </c>
    </row>
    <row r="25" spans="1:15">
      <c r="A25" s="9">
        <f>IF(ISBLANK(B25),"",MAX($A$6:A24)+1)</f>
        <v>17</v>
      </c>
      <c r="B25" s="342" t="s">
        <v>238</v>
      </c>
      <c r="C25" s="919">
        <f>SUMIFS(Rev_Billing_Det!E:E,Rev_Billing_Det!$A:$A,"RD-1",Rev_Billing_Det!$S:$S,$B25)/SUMIFS(Rev_Billing_Det!C:C,Rev_Billing_Det!$A:$A,"RD-1",Rev_Billing_Det!$S:$S,$B25)</f>
        <v>550.49742468730665</v>
      </c>
      <c r="D25" s="923">
        <f t="shared" si="0"/>
        <v>66.7701524031514</v>
      </c>
      <c r="E25" s="923">
        <f t="shared" si="1"/>
        <v>58.270152403151407</v>
      </c>
      <c r="F25" s="923">
        <f t="shared" si="2"/>
        <v>8.5</v>
      </c>
      <c r="G25" s="924">
        <f t="shared" si="3"/>
        <v>1434.6296334243525</v>
      </c>
      <c r="J25" s="921">
        <v>105.78309865017184</v>
      </c>
      <c r="K25" s="920">
        <f>J25-$K$27</f>
        <v>90.525482123247002</v>
      </c>
      <c r="L25" s="922">
        <v>32.670026881720425</v>
      </c>
      <c r="M25" s="921">
        <v>3</v>
      </c>
      <c r="N25" s="921">
        <f>K25*$K$28</f>
        <v>2652.3966262111371</v>
      </c>
      <c r="O25" s="925">
        <f>N25/M25</f>
        <v>884.13220873704574</v>
      </c>
    </row>
    <row r="26" spans="1:15">
      <c r="A26" s="9" t="str">
        <f>IF(ISBLANK(B26),"",MAX($A$6:A25)+1)</f>
        <v/>
      </c>
      <c r="C26" s="920">
        <f>SUM(C14:C25)</f>
        <v>6455.7394729496973</v>
      </c>
      <c r="D26" s="907">
        <f>SUM(D14:D25)</f>
        <v>785.34002321172568</v>
      </c>
      <c r="E26" s="907">
        <f t="shared" ref="E26:F26" si="4">SUM(E14:E25)</f>
        <v>683.34002321172557</v>
      </c>
      <c r="F26" s="907">
        <f t="shared" si="4"/>
        <v>102</v>
      </c>
      <c r="G26" s="920">
        <f>SUM(G14:G25)</f>
        <v>12383.132750766687</v>
      </c>
      <c r="N26" s="920"/>
      <c r="O26" s="920">
        <f>SUM(O14:O25)</f>
        <v>5927.3932778169901</v>
      </c>
    </row>
    <row r="27" spans="1:15">
      <c r="A27" s="9" t="str">
        <f>IF(ISBLANK(B27),"",MAX($A$6:A26)+1)</f>
        <v/>
      </c>
      <c r="J27" s="926" t="s">
        <v>239</v>
      </c>
      <c r="K27" s="920">
        <f>AVERAGE(J19:J22)</f>
        <v>15.25761652692484</v>
      </c>
    </row>
    <row r="28" spans="1:15">
      <c r="A28" s="9">
        <f>IF(ISBLANK(B28),"",MAX($A$6:A27)+1)</f>
        <v>18</v>
      </c>
      <c r="B28" s="914" t="s">
        <v>240</v>
      </c>
      <c r="J28" s="926" t="s">
        <v>241</v>
      </c>
      <c r="K28" s="920">
        <v>29.3</v>
      </c>
    </row>
    <row r="29" spans="1:15">
      <c r="A29" s="9">
        <f>IF(ISBLANK(B29),"",MAX($A$6:A28)+1)</f>
        <v>19</v>
      </c>
      <c r="B29" s="927" t="s">
        <v>134</v>
      </c>
      <c r="C29" s="907">
        <f>C10</f>
        <v>8.5</v>
      </c>
    </row>
    <row r="30" spans="1:15">
      <c r="A30" s="9">
        <f>IF(ISBLANK(B30),"",MAX($A$6:A29)+1)</f>
        <v>20</v>
      </c>
      <c r="B30" s="927" t="s">
        <v>242</v>
      </c>
      <c r="C30" s="928">
        <f>C29*12</f>
        <v>102</v>
      </c>
    </row>
    <row r="31" spans="1:15">
      <c r="A31" s="9" t="str">
        <f>IF(ISBLANK(B31),"",MAX($A$6:A30)+1)</f>
        <v/>
      </c>
      <c r="B31" s="927"/>
    </row>
    <row r="32" spans="1:15">
      <c r="A32" s="9">
        <f>IF(ISBLANK(B32),"",MAX($A$6:A31)+1)</f>
        <v>21</v>
      </c>
      <c r="B32" s="927" t="s">
        <v>243</v>
      </c>
      <c r="C32" s="907">
        <f>SUM(E14:E17,E24:E25)</f>
        <v>348.43797009006369</v>
      </c>
      <c r="D32" s="369" t="s">
        <v>244</v>
      </c>
    </row>
    <row r="33" spans="1:7">
      <c r="A33" s="9">
        <f>IF(ISBLANK(B33),"",MAX($A$6:A32)+1)</f>
        <v>22</v>
      </c>
      <c r="B33" s="927" t="s">
        <v>245</v>
      </c>
      <c r="C33" s="929">
        <f>TRUNC(C32/SUM(G14:G17,G24:G25),5)</f>
        <v>3.7789999999999997E-2</v>
      </c>
      <c r="D33" s="369" t="s">
        <v>246</v>
      </c>
    </row>
    <row r="34" spans="1:7">
      <c r="A34" s="9" t="str">
        <f>IF(ISBLANK(B34),"",MAX($A$6:A33)+1)</f>
        <v/>
      </c>
    </row>
    <row r="35" spans="1:7">
      <c r="A35" s="9">
        <f>IF(ISBLANK(B35),"",MAX($A$6:A34)+1)</f>
        <v>23</v>
      </c>
      <c r="B35" s="914" t="s">
        <v>247</v>
      </c>
    </row>
    <row r="36" spans="1:7">
      <c r="A36" s="9">
        <f>IF(ISBLANK(B36),"",MAX($A$6:A35)+1)</f>
        <v>24</v>
      </c>
      <c r="B36" s="914" t="s">
        <v>248</v>
      </c>
      <c r="C36" s="930" t="s">
        <v>129</v>
      </c>
      <c r="F36" s="926"/>
    </row>
    <row r="37" spans="1:7">
      <c r="A37" s="9">
        <f>IF(ISBLANK(B37),"",MAX($A$6:A36)+1)</f>
        <v>25</v>
      </c>
      <c r="B37" s="915" t="s">
        <v>134</v>
      </c>
      <c r="C37" s="907">
        <f>C29</f>
        <v>8.5</v>
      </c>
    </row>
    <row r="38" spans="1:7">
      <c r="A38" s="9">
        <f>IF(ISBLANK(B38),"",MAX($A$6:A37)+1)</f>
        <v>26</v>
      </c>
      <c r="B38" s="915" t="s">
        <v>249</v>
      </c>
      <c r="C38" s="916">
        <f>C33</f>
        <v>3.7789999999999997E-2</v>
      </c>
    </row>
    <row r="39" spans="1:7">
      <c r="A39" s="9">
        <f>IF(ISBLANK(B39),"",MAX($A$6:A38)+1)</f>
        <v>27</v>
      </c>
      <c r="B39" s="915" t="s">
        <v>250</v>
      </c>
      <c r="C39" s="916">
        <f>C11</f>
        <v>0.10585</v>
      </c>
    </row>
    <row r="40" spans="1:7">
      <c r="A40" s="9" t="str">
        <f>IF(ISBLANK(B40),"",MAX($A$6:A39)+1)</f>
        <v/>
      </c>
    </row>
    <row r="41" spans="1:7">
      <c r="A41" s="9" t="str">
        <f>IF(ISBLANK(B41),"",MAX($A$6:A40)+1)</f>
        <v/>
      </c>
    </row>
    <row r="43" spans="1:7">
      <c r="B43" s="914" t="s">
        <v>251</v>
      </c>
      <c r="C43" s="501"/>
      <c r="E43" s="918" t="s">
        <v>39</v>
      </c>
      <c r="F43" s="918" t="s">
        <v>252</v>
      </c>
      <c r="G43" s="918" t="s">
        <v>142</v>
      </c>
    </row>
    <row r="44" spans="1:7">
      <c r="B44" s="369" t="s">
        <v>253</v>
      </c>
      <c r="C44" s="502">
        <v>45.471517144900126</v>
      </c>
      <c r="E44" s="907">
        <f t="shared" ref="E44:E55" si="5">$C$10+$C$11*C14</f>
        <v>80.953358979320939</v>
      </c>
      <c r="F44" s="907">
        <f>$C$37+$C$38*G14</f>
        <v>89.258651843357896</v>
      </c>
      <c r="G44" s="931">
        <f t="shared" ref="G44:G55" si="6">F44-E44</f>
        <v>8.3052928640369572</v>
      </c>
    </row>
    <row r="45" spans="1:7">
      <c r="B45" s="369" t="s">
        <v>254</v>
      </c>
      <c r="C45" s="502">
        <v>26.680410367722274</v>
      </c>
      <c r="E45" s="907">
        <f t="shared" si="5"/>
        <v>75.661831095289131</v>
      </c>
      <c r="F45" s="907">
        <f t="shared" ref="F45:F47" si="7">$C$37+$C$38*G15</f>
        <v>84.830319601183376</v>
      </c>
      <c r="G45" s="931">
        <f t="shared" si="6"/>
        <v>9.1684885058942456</v>
      </c>
    </row>
    <row r="46" spans="1:7">
      <c r="B46" s="369" t="s">
        <v>255</v>
      </c>
      <c r="C46" s="502">
        <v>73.327456143775848</v>
      </c>
      <c r="E46" s="907">
        <f t="shared" si="5"/>
        <v>66.989922376086454</v>
      </c>
      <c r="F46" s="907">
        <f t="shared" si="7"/>
        <v>70.202131542543412</v>
      </c>
      <c r="G46" s="931">
        <f t="shared" si="6"/>
        <v>3.2122091664569581</v>
      </c>
    </row>
    <row r="47" spans="1:7">
      <c r="E47" s="907">
        <f t="shared" si="5"/>
        <v>55.282301215269612</v>
      </c>
      <c r="F47" s="907">
        <f t="shared" si="7"/>
        <v>51.208720344740939</v>
      </c>
      <c r="G47" s="931">
        <f t="shared" si="6"/>
        <v>-4.0735808705286729</v>
      </c>
    </row>
    <row r="48" spans="1:7">
      <c r="B48" s="369" t="s">
        <v>256</v>
      </c>
      <c r="C48" s="907">
        <f>C46*12</f>
        <v>879.92947372531012</v>
      </c>
      <c r="E48" s="907">
        <f t="shared" si="5"/>
        <v>54.525546145845546</v>
      </c>
      <c r="F48" s="907">
        <f t="shared" ref="F48:F50" si="8">$C$37+$C$39*G18</f>
        <v>54.525546145845546</v>
      </c>
      <c r="G48" s="931">
        <f t="shared" si="6"/>
        <v>0</v>
      </c>
    </row>
    <row r="49" spans="5:7">
      <c r="E49" s="907">
        <f t="shared" si="5"/>
        <v>58.491898948861945</v>
      </c>
      <c r="F49" s="907">
        <f t="shared" si="8"/>
        <v>58.491898948861945</v>
      </c>
      <c r="G49" s="931">
        <f t="shared" si="6"/>
        <v>0</v>
      </c>
    </row>
    <row r="50" spans="5:7">
      <c r="E50" s="907">
        <f t="shared" si="5"/>
        <v>71.610760876500677</v>
      </c>
      <c r="F50" s="907">
        <f t="shared" si="8"/>
        <v>71.610760876500677</v>
      </c>
      <c r="G50" s="931">
        <f t="shared" si="6"/>
        <v>0</v>
      </c>
    </row>
    <row r="51" spans="5:7">
      <c r="E51" s="907">
        <f t="shared" si="5"/>
        <v>84.432634222378354</v>
      </c>
      <c r="F51" s="907">
        <f>$C$37+$C$39*G21</f>
        <v>84.432634222378354</v>
      </c>
      <c r="G51" s="931">
        <f t="shared" si="6"/>
        <v>0</v>
      </c>
    </row>
    <row r="52" spans="5:7">
      <c r="E52" s="907">
        <f t="shared" si="5"/>
        <v>65.417805673654044</v>
      </c>
      <c r="F52" s="907">
        <f t="shared" ref="F52:F53" si="9">$C$37+$C$39*G22</f>
        <v>65.417805673654044</v>
      </c>
      <c r="G52" s="931">
        <f t="shared" si="6"/>
        <v>0</v>
      </c>
    </row>
    <row r="53" spans="5:7">
      <c r="E53" s="907">
        <f t="shared" si="5"/>
        <v>51.42340725442137</v>
      </c>
      <c r="F53" s="907">
        <f t="shared" si="9"/>
        <v>51.42340725442137</v>
      </c>
      <c r="G53" s="931">
        <f t="shared" si="6"/>
        <v>0</v>
      </c>
    </row>
    <row r="54" spans="5:7">
      <c r="E54" s="907">
        <f t="shared" si="5"/>
        <v>53.780404020946065</v>
      </c>
      <c r="F54" s="907">
        <f t="shared" ref="F54:F55" si="10">$C$37+$C$38*G24</f>
        <v>41.179172415690957</v>
      </c>
      <c r="G54" s="931">
        <f t="shared" si="6"/>
        <v>-12.601231605255109</v>
      </c>
    </row>
    <row r="55" spans="5:7">
      <c r="E55" s="923">
        <f t="shared" si="5"/>
        <v>66.7701524031514</v>
      </c>
      <c r="F55" s="907">
        <f t="shared" si="10"/>
        <v>62.714653847106277</v>
      </c>
      <c r="G55" s="932">
        <f t="shared" si="6"/>
        <v>-4.0554985560451229</v>
      </c>
    </row>
    <row r="56" spans="5:7">
      <c r="E56" s="907">
        <f>SUM(E44:E55)</f>
        <v>785.34002321172568</v>
      </c>
      <c r="F56" s="933">
        <f>SUM(F44:F55)</f>
        <v>785.29570271628484</v>
      </c>
      <c r="G56" s="931">
        <f>SUM(G44:G55)</f>
        <v>-4.4320495440743457E-2</v>
      </c>
    </row>
  </sheetData>
  <pageMargins left="0.7" right="0.7" top="0.75" bottom="0.75" header="0.3" footer="0.3"/>
  <pageSetup scale="85" orientation="portrait" horizontalDpi="1200" verticalDpi="1200" r:id="rId1"/>
  <headerFooter scaleWithDoc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134A-2343-48BF-8D60-B50324F279C8}">
  <sheetPr codeName="Sheet8">
    <pageSetUpPr fitToPage="1"/>
  </sheetPr>
  <dimension ref="A1:N32"/>
  <sheetViews>
    <sheetView workbookViewId="0"/>
  </sheetViews>
  <sheetFormatPr defaultColWidth="8.77734375" defaultRowHeight="13.8"/>
  <cols>
    <col min="1" max="1" width="6.5546875" style="754" customWidth="1"/>
    <col min="2" max="2" width="19.44140625" style="754" customWidth="1"/>
    <col min="3" max="3" width="16.77734375" style="754" customWidth="1"/>
    <col min="4" max="4" width="17.77734375" style="754" customWidth="1"/>
    <col min="5" max="5" width="14.77734375" style="754" customWidth="1"/>
    <col min="6" max="6" width="8.77734375" style="754"/>
    <col min="7" max="7" width="14.77734375" style="754" customWidth="1"/>
    <col min="8" max="8" width="17" style="754" customWidth="1"/>
    <col min="9" max="9" width="15" style="754" customWidth="1"/>
    <col min="10" max="10" width="8.77734375" style="754"/>
    <col min="11" max="11" width="15.77734375" style="754" customWidth="1"/>
    <col min="12" max="12" width="18.21875" style="754" customWidth="1"/>
    <col min="13" max="13" width="17" style="754" customWidth="1"/>
    <col min="14" max="16384" width="8.77734375" style="754"/>
  </cols>
  <sheetData>
    <row r="1" spans="1:14" ht="17.399999999999999">
      <c r="B1" s="811" t="s">
        <v>0</v>
      </c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</row>
    <row r="2" spans="1:14" ht="17.399999999999999">
      <c r="B2" s="811" t="s">
        <v>257</v>
      </c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</row>
    <row r="3" spans="1:14" ht="17.399999999999999">
      <c r="B3" s="1040" t="s">
        <v>258</v>
      </c>
      <c r="C3" s="104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</row>
    <row r="4" spans="1:14" ht="17.399999999999999">
      <c r="B4" s="809"/>
      <c r="C4" s="809"/>
      <c r="D4" s="809"/>
      <c r="E4" s="809"/>
      <c r="F4" s="809"/>
      <c r="G4" s="809"/>
      <c r="H4" s="809"/>
      <c r="I4" s="809"/>
      <c r="J4" s="809"/>
      <c r="K4" s="809"/>
      <c r="L4" s="809"/>
      <c r="M4" s="809"/>
      <c r="N4" s="809"/>
    </row>
    <row r="5" spans="1:14" ht="17.399999999999999">
      <c r="B5" s="1041" t="s">
        <v>259</v>
      </c>
      <c r="C5" s="1041"/>
      <c r="D5" s="1041"/>
      <c r="E5" s="1041"/>
      <c r="F5" s="1041"/>
      <c r="G5" s="1041"/>
      <c r="H5" s="1041"/>
      <c r="I5" s="1041"/>
      <c r="J5" s="1041"/>
      <c r="K5" s="1041"/>
      <c r="L5" s="1041"/>
      <c r="M5" s="1041"/>
      <c r="N5" s="1041"/>
    </row>
    <row r="6" spans="1:14" ht="17.399999999999999">
      <c r="B6" s="808"/>
      <c r="C6" s="808"/>
      <c r="D6" s="808"/>
      <c r="E6" s="808"/>
      <c r="F6" s="808"/>
      <c r="G6" s="808"/>
      <c r="H6" s="808"/>
      <c r="I6" s="808"/>
      <c r="J6" s="808"/>
      <c r="K6" s="808"/>
      <c r="L6" s="808"/>
      <c r="M6" s="808"/>
      <c r="N6" s="808"/>
    </row>
    <row r="7" spans="1:14" ht="16.2" customHeight="1" thickBot="1">
      <c r="B7" s="1039" t="s">
        <v>260</v>
      </c>
      <c r="C7" s="1039"/>
      <c r="D7" s="1039"/>
      <c r="E7" s="1039"/>
      <c r="F7" s="775"/>
      <c r="G7" s="1039" t="s">
        <v>261</v>
      </c>
      <c r="H7" s="1039"/>
      <c r="I7" s="1039"/>
      <c r="J7" s="775"/>
      <c r="K7" s="1039" t="s">
        <v>262</v>
      </c>
      <c r="L7" s="1039"/>
      <c r="M7" s="1039"/>
      <c r="N7" s="807"/>
    </row>
    <row r="8" spans="1:14" ht="66">
      <c r="A8" s="774">
        <v>1</v>
      </c>
      <c r="B8" s="773" t="s">
        <v>263</v>
      </c>
      <c r="C8" s="773" t="s">
        <v>264</v>
      </c>
      <c r="D8" s="773" t="s">
        <v>265</v>
      </c>
      <c r="E8" s="773" t="s">
        <v>266</v>
      </c>
      <c r="G8" s="773" t="s">
        <v>267</v>
      </c>
      <c r="H8" s="773" t="s">
        <v>268</v>
      </c>
      <c r="I8" s="773" t="s">
        <v>269</v>
      </c>
      <c r="K8" s="773" t="s">
        <v>270</v>
      </c>
      <c r="L8" s="773" t="s">
        <v>271</v>
      </c>
      <c r="M8" s="773" t="s">
        <v>272</v>
      </c>
    </row>
    <row r="9" spans="1:14" ht="14.4">
      <c r="A9" s="763">
        <f t="shared" ref="A9:A19" si="0">+A8+1</f>
        <v>2</v>
      </c>
      <c r="B9" s="772" t="s">
        <v>273</v>
      </c>
      <c r="C9" s="771">
        <v>8.0639052719012144E-2</v>
      </c>
      <c r="D9" s="806">
        <v>10189579.30294776</v>
      </c>
      <c r="E9" s="805">
        <f>+C9*D9</f>
        <v>821678.02259495936</v>
      </c>
      <c r="G9" s="770">
        <v>0.11434889544139787</v>
      </c>
      <c r="H9" s="806">
        <v>16149797.376673503</v>
      </c>
      <c r="I9" s="805">
        <f>+G9*H9</f>
        <v>1846711.491625</v>
      </c>
      <c r="K9" s="770">
        <v>0.15533350173193586</v>
      </c>
      <c r="L9" s="806">
        <v>16824678.5472477</v>
      </c>
      <c r="M9" s="805">
        <f>+K9*L9</f>
        <v>2613436.2342581647</v>
      </c>
    </row>
    <row r="10" spans="1:14" ht="14.4">
      <c r="A10" s="763">
        <f t="shared" si="0"/>
        <v>3</v>
      </c>
      <c r="B10" s="762" t="s">
        <v>274</v>
      </c>
      <c r="C10" s="767">
        <v>5.6697192823721952E-2</v>
      </c>
      <c r="D10" s="793">
        <v>31409075.538772158</v>
      </c>
      <c r="E10" s="797">
        <f>+C10*D10</f>
        <v>1780806.4122366135</v>
      </c>
      <c r="G10" s="766">
        <v>0</v>
      </c>
      <c r="H10" s="793">
        <v>49781270.713802613</v>
      </c>
      <c r="I10" s="797">
        <f>+G10*H10</f>
        <v>0</v>
      </c>
      <c r="K10" s="766">
        <v>3.8760000000000003E-2</v>
      </c>
      <c r="L10" s="793">
        <v>51861571.876003459</v>
      </c>
      <c r="M10" s="797">
        <f>+K10*L10</f>
        <v>2010154.5259138942</v>
      </c>
    </row>
    <row r="11" spans="1:14" ht="14.4">
      <c r="A11" s="763">
        <f t="shared" si="0"/>
        <v>4</v>
      </c>
      <c r="B11" s="762" t="s">
        <v>275</v>
      </c>
      <c r="C11" s="759">
        <v>6.3347221790764116E-2</v>
      </c>
      <c r="D11" s="784">
        <v>12802255.158280076</v>
      </c>
      <c r="E11" s="783">
        <f>+C11*D11</f>
        <v>810987.29693352198</v>
      </c>
      <c r="G11" s="758">
        <v>3.5004864494548815E-2</v>
      </c>
      <c r="H11" s="784">
        <v>20290712.758954071</v>
      </c>
      <c r="I11" s="783">
        <f>+G11*H11</f>
        <v>710273.65062500001</v>
      </c>
      <c r="K11" s="758">
        <v>0.11068047961054854</v>
      </c>
      <c r="L11" s="784">
        <v>21138637.947063662</v>
      </c>
      <c r="M11" s="783">
        <f>+K11*L11</f>
        <v>2339634.5862947474</v>
      </c>
    </row>
    <row r="12" spans="1:14" ht="14.4">
      <c r="A12" s="763">
        <f t="shared" si="0"/>
        <v>5</v>
      </c>
      <c r="B12" s="762"/>
      <c r="C12" s="791">
        <v>6.2746592506726359E-2</v>
      </c>
      <c r="D12" s="793">
        <f>SUM(D9:D11)</f>
        <v>54400909.999999993</v>
      </c>
      <c r="E12" s="790">
        <f>+C12*D12</f>
        <v>3413471.7317650947</v>
      </c>
      <c r="G12" s="789">
        <v>2.9655907324800963E-2</v>
      </c>
      <c r="H12" s="793">
        <f>SUM(H9:H11)</f>
        <v>86221780.849430189</v>
      </c>
      <c r="I12" s="790">
        <f>+G12*H12</f>
        <v>2556985.14225</v>
      </c>
      <c r="K12" s="789">
        <v>7.7520000000000006E-2</v>
      </c>
      <c r="L12" s="793">
        <f>SUM(L9:L11)</f>
        <v>89824888.370314807</v>
      </c>
      <c r="M12" s="797">
        <f>+K12*L12</f>
        <v>6963225.3464668039</v>
      </c>
    </row>
    <row r="13" spans="1:14" ht="14.4">
      <c r="A13" s="763">
        <f t="shared" si="0"/>
        <v>6</v>
      </c>
      <c r="B13" s="762"/>
      <c r="C13" s="798"/>
      <c r="D13" s="798"/>
      <c r="E13" s="804"/>
      <c r="F13" s="798"/>
      <c r="G13" s="803"/>
      <c r="H13" s="798"/>
      <c r="I13" s="804"/>
      <c r="J13" s="798"/>
      <c r="K13" s="803"/>
      <c r="L13" s="798"/>
      <c r="M13" s="802"/>
    </row>
    <row r="14" spans="1:14" ht="14.4">
      <c r="A14" s="763">
        <f t="shared" si="0"/>
        <v>7</v>
      </c>
      <c r="B14" s="762" t="s">
        <v>276</v>
      </c>
      <c r="C14" s="801">
        <v>9.3246476249234975E-2</v>
      </c>
      <c r="D14" s="798">
        <v>10587774.698145647</v>
      </c>
      <c r="E14" s="800">
        <f>+C14*D14</f>
        <v>987272.68192288908</v>
      </c>
      <c r="G14" s="799">
        <v>0.1373237102563731</v>
      </c>
      <c r="H14" s="798">
        <v>14795004.863656977</v>
      </c>
      <c r="I14" s="800">
        <f>+G14*H14</f>
        <v>2031704.9611384617</v>
      </c>
      <c r="K14" s="799">
        <v>0.17308186771103526</v>
      </c>
      <c r="L14" s="798">
        <v>15413270.837412026</v>
      </c>
      <c r="M14" s="797">
        <f>+K14*L14</f>
        <v>2667757.7040753057</v>
      </c>
    </row>
    <row r="15" spans="1:14" ht="14.4">
      <c r="A15" s="763">
        <f t="shared" si="0"/>
        <v>8</v>
      </c>
      <c r="B15" s="762" t="s">
        <v>277</v>
      </c>
      <c r="C15" s="801">
        <v>7.4093675897749442E-2</v>
      </c>
      <c r="D15" s="798">
        <v>33921973.386446081</v>
      </c>
      <c r="E15" s="800">
        <f>+C15*D15</f>
        <v>2513403.7019074182</v>
      </c>
      <c r="G15" s="799">
        <v>1.913467510561698E-3</v>
      </c>
      <c r="H15" s="798">
        <v>47401439.447442293</v>
      </c>
      <c r="I15" s="800">
        <f>+G15*H15</f>
        <v>90701.114336538478</v>
      </c>
      <c r="K15" s="799">
        <v>3.8760000000000003E-2</v>
      </c>
      <c r="L15" s="798">
        <v>49382290.240492985</v>
      </c>
      <c r="M15" s="797">
        <f>+K15*L15</f>
        <v>1914057.5697215083</v>
      </c>
    </row>
    <row r="16" spans="1:14" ht="14.4">
      <c r="A16" s="763">
        <f t="shared" si="0"/>
        <v>9</v>
      </c>
      <c r="B16" s="762" t="s">
        <v>278</v>
      </c>
      <c r="C16" s="796">
        <v>8.5590754571465741E-2</v>
      </c>
      <c r="D16" s="794">
        <v>13948678.915408263</v>
      </c>
      <c r="E16" s="785">
        <f>+C16*D16</f>
        <v>1193877.9536448875</v>
      </c>
      <c r="F16" s="795"/>
      <c r="G16" s="786">
        <v>1.2098804864828215E-2</v>
      </c>
      <c r="H16" s="794">
        <v>19491420.839470524</v>
      </c>
      <c r="I16" s="785">
        <f>+G16*H16</f>
        <v>235822.89727500002</v>
      </c>
      <c r="J16" s="795"/>
      <c r="K16" s="786">
        <v>9.92445063305223E-2</v>
      </c>
      <c r="L16" s="794">
        <v>20305944.551780138</v>
      </c>
      <c r="M16" s="783">
        <f>+K16*L16</f>
        <v>2015253.4426163787</v>
      </c>
    </row>
    <row r="17" spans="1:14" ht="14.4">
      <c r="A17" s="763">
        <f t="shared" si="0"/>
        <v>10</v>
      </c>
      <c r="B17" s="792"/>
      <c r="C17" s="791">
        <v>8.0305861419692245E-2</v>
      </c>
      <c r="D17" s="793">
        <f>SUM(D14:D16)</f>
        <v>58458426.999999993</v>
      </c>
      <c r="E17" s="790">
        <f>+C17*D17</f>
        <v>4694554.3374751946</v>
      </c>
      <c r="G17" s="789">
        <v>2.8868779572133928E-2</v>
      </c>
      <c r="H17" s="793">
        <f>SUM(H14:H16)</f>
        <v>81687865.150569797</v>
      </c>
      <c r="I17" s="790">
        <f>+G17*H17</f>
        <v>2358228.9727500002</v>
      </c>
      <c r="K17" s="789">
        <v>7.7520000000000006E-2</v>
      </c>
      <c r="L17" s="793">
        <f>SUM(L14:L16)</f>
        <v>85101505.629685149</v>
      </c>
      <c r="M17" s="787">
        <f>+K17*L17</f>
        <v>6597068.7164131934</v>
      </c>
    </row>
    <row r="18" spans="1:14" ht="14.4">
      <c r="A18" s="763">
        <f t="shared" si="0"/>
        <v>11</v>
      </c>
      <c r="B18" s="792"/>
      <c r="C18" s="791"/>
      <c r="D18" s="788"/>
      <c r="E18" s="790"/>
      <c r="G18" s="789"/>
      <c r="H18" s="788"/>
      <c r="I18" s="790"/>
      <c r="K18" s="789"/>
      <c r="L18" s="788"/>
      <c r="M18" s="787"/>
    </row>
    <row r="19" spans="1:14" ht="14.4">
      <c r="A19" s="761">
        <f t="shared" si="0"/>
        <v>12</v>
      </c>
      <c r="B19" s="760" t="s">
        <v>279</v>
      </c>
      <c r="C19" s="759">
        <f>+E19/D19</f>
        <v>7.1841872234640988E-2</v>
      </c>
      <c r="D19" s="784">
        <f>+D12+D17</f>
        <v>112859336.99999999</v>
      </c>
      <c r="E19" s="785">
        <f>+E12+E17</f>
        <v>8108026.0692402888</v>
      </c>
      <c r="G19" s="786">
        <f>+I19/H19</f>
        <v>2.9272970505815968E-2</v>
      </c>
      <c r="H19" s="784">
        <f>+H12+H17</f>
        <v>167909646</v>
      </c>
      <c r="I19" s="785">
        <f>+I12+I17</f>
        <v>4915214.1150000002</v>
      </c>
      <c r="K19" s="758">
        <f>+M19/L19</f>
        <v>7.7520000000000019E-2</v>
      </c>
      <c r="L19" s="784">
        <f>+L12+L17</f>
        <v>174926393.99999994</v>
      </c>
      <c r="M19" s="783">
        <f>+M12+M17</f>
        <v>13560294.062879998</v>
      </c>
    </row>
    <row r="20" spans="1:14" ht="14.4">
      <c r="A20" s="755"/>
      <c r="D20" s="780"/>
      <c r="E20" s="781"/>
      <c r="G20" s="782"/>
      <c r="H20" s="780"/>
      <c r="I20" s="781"/>
      <c r="L20" s="780"/>
      <c r="M20" s="777"/>
    </row>
    <row r="21" spans="1:14">
      <c r="A21" s="755"/>
      <c r="B21" s="779" t="s">
        <v>280</v>
      </c>
      <c r="C21" s="778"/>
      <c r="D21" s="778"/>
      <c r="E21" s="778"/>
      <c r="F21" s="778"/>
      <c r="G21" s="778"/>
      <c r="H21" s="778"/>
      <c r="I21" s="778"/>
      <c r="J21" s="778"/>
      <c r="K21" s="778"/>
      <c r="L21" s="778"/>
      <c r="M21" s="778"/>
      <c r="N21" s="778"/>
    </row>
    <row r="22" spans="1:14" ht="14.4">
      <c r="A22" s="755"/>
      <c r="E22" s="777"/>
      <c r="I22" s="777"/>
      <c r="M22" s="777"/>
    </row>
    <row r="23" spans="1:14" ht="17.399999999999999">
      <c r="A23" s="755"/>
      <c r="B23" s="776" t="s">
        <v>281</v>
      </c>
    </row>
    <row r="24" spans="1:14" ht="17.399999999999999">
      <c r="A24" s="755"/>
      <c r="B24" s="776"/>
    </row>
    <row r="25" spans="1:14" ht="14.4" thickBot="1">
      <c r="A25" s="755"/>
      <c r="B25" s="1039" t="s">
        <v>260</v>
      </c>
      <c r="C25" s="1039"/>
      <c r="D25" s="1039"/>
      <c r="E25" s="1039"/>
      <c r="F25" s="775"/>
      <c r="G25" s="1039" t="s">
        <v>261</v>
      </c>
      <c r="H25" s="1039"/>
      <c r="I25" s="1039"/>
      <c r="J25" s="775"/>
      <c r="K25" s="1039" t="s">
        <v>262</v>
      </c>
      <c r="L25" s="1039"/>
      <c r="M25" s="1039"/>
    </row>
    <row r="26" spans="1:14" ht="66">
      <c r="A26" s="774"/>
      <c r="B26" s="773" t="s">
        <v>263</v>
      </c>
      <c r="C26" s="773" t="s">
        <v>264</v>
      </c>
      <c r="D26" s="773" t="s">
        <v>265</v>
      </c>
      <c r="E26" s="773" t="s">
        <v>266</v>
      </c>
      <c r="G26" s="773" t="s">
        <v>267</v>
      </c>
      <c r="H26" s="773" t="s">
        <v>268</v>
      </c>
      <c r="I26" s="773" t="s">
        <v>269</v>
      </c>
      <c r="K26" s="773" t="s">
        <v>270</v>
      </c>
      <c r="L26" s="773" t="s">
        <v>271</v>
      </c>
      <c r="M26" s="773" t="s">
        <v>272</v>
      </c>
    </row>
    <row r="27" spans="1:14" ht="14.4">
      <c r="A27" s="763">
        <f>+A19+1</f>
        <v>13</v>
      </c>
      <c r="B27" s="772" t="s">
        <v>282</v>
      </c>
      <c r="C27" s="771">
        <f>+E27/D27</f>
        <v>8.7063574333028762E-2</v>
      </c>
      <c r="D27" s="769">
        <f t="shared" ref="D27:E29" si="1">+D9+D14</f>
        <v>20777354.001093406</v>
      </c>
      <c r="E27" s="768">
        <f t="shared" si="1"/>
        <v>1808950.7045178483</v>
      </c>
      <c r="G27" s="770">
        <f>+I27/H27</f>
        <v>0.12533337336080003</v>
      </c>
      <c r="H27" s="769">
        <f t="shared" ref="H27:I29" si="2">+H9+H14</f>
        <v>30944802.24033048</v>
      </c>
      <c r="I27" s="768">
        <f t="shared" si="2"/>
        <v>3878416.4527634615</v>
      </c>
      <c r="K27" s="770">
        <f>+M27/L27</f>
        <v>0.16381916465339763</v>
      </c>
      <c r="L27" s="769">
        <f t="shared" ref="L27:M29" si="3">+L9+L14</f>
        <v>32237949.384659726</v>
      </c>
      <c r="M27" s="768">
        <f t="shared" si="3"/>
        <v>5281193.9383334704</v>
      </c>
    </row>
    <row r="28" spans="1:14" ht="14.4">
      <c r="A28" s="763">
        <f>+A27+1</f>
        <v>14</v>
      </c>
      <c r="B28" s="762" t="s">
        <v>283</v>
      </c>
      <c r="C28" s="767">
        <f>+E28/D28</f>
        <v>6.5730004106614559E-2</v>
      </c>
      <c r="D28" s="765">
        <f t="shared" si="1"/>
        <v>65331048.925218239</v>
      </c>
      <c r="E28" s="764">
        <f t="shared" si="1"/>
        <v>4294210.1141440319</v>
      </c>
      <c r="G28" s="766">
        <f>+I28/H28</f>
        <v>9.3330505175301035E-4</v>
      </c>
      <c r="H28" s="765">
        <f t="shared" si="2"/>
        <v>97182710.161244899</v>
      </c>
      <c r="I28" s="764">
        <f t="shared" si="2"/>
        <v>90701.114336538478</v>
      </c>
      <c r="K28" s="766">
        <f>+M28/L28</f>
        <v>3.8760000000000003E-2</v>
      </c>
      <c r="L28" s="765">
        <f t="shared" si="3"/>
        <v>101243862.11649644</v>
      </c>
      <c r="M28" s="764">
        <f t="shared" si="3"/>
        <v>3924212.0956354025</v>
      </c>
    </row>
    <row r="29" spans="1:14" ht="14.4">
      <c r="A29" s="763">
        <f>+A28+1</f>
        <v>15</v>
      </c>
      <c r="B29" s="762" t="s">
        <v>284</v>
      </c>
      <c r="C29" s="759">
        <f>+E29/D29</f>
        <v>7.4945616667283152E-2</v>
      </c>
      <c r="D29" s="757">
        <f t="shared" si="1"/>
        <v>26750934.073688339</v>
      </c>
      <c r="E29" s="756">
        <f t="shared" si="1"/>
        <v>2004865.2505784095</v>
      </c>
      <c r="G29" s="758">
        <f>+I29/H29</f>
        <v>2.3781945871738416E-2</v>
      </c>
      <c r="H29" s="757">
        <f t="shared" si="2"/>
        <v>39782133.598424599</v>
      </c>
      <c r="I29" s="756">
        <f t="shared" si="2"/>
        <v>946096.54790000001</v>
      </c>
      <c r="K29" s="758">
        <f>+M29/L29</f>
        <v>0.1050773772189071</v>
      </c>
      <c r="L29" s="757">
        <f t="shared" si="3"/>
        <v>41444582.498843804</v>
      </c>
      <c r="M29" s="756">
        <f t="shared" si="3"/>
        <v>4354888.0289111258</v>
      </c>
    </row>
    <row r="30" spans="1:14" ht="14.4">
      <c r="A30" s="761">
        <f>+A29+1</f>
        <v>16</v>
      </c>
      <c r="B30" s="760" t="s">
        <v>279</v>
      </c>
      <c r="C30" s="759">
        <f>+E30/D30</f>
        <v>7.1841872234640988E-2</v>
      </c>
      <c r="D30" s="757">
        <f>+D27+D28+D29</f>
        <v>112859336.99999999</v>
      </c>
      <c r="E30" s="756">
        <f>+E27+E28+E29</f>
        <v>8108026.0692402888</v>
      </c>
      <c r="G30" s="758">
        <f>+I30/H30</f>
        <v>2.9272970505815968E-2</v>
      </c>
      <c r="H30" s="757">
        <f>+H27+H28+H29</f>
        <v>167909646</v>
      </c>
      <c r="I30" s="756">
        <f>+I27+I28+I29</f>
        <v>4915214.1150000002</v>
      </c>
      <c r="K30" s="758">
        <f>+M30/L30</f>
        <v>7.7520000000000006E-2</v>
      </c>
      <c r="L30" s="757">
        <f>+L27+L28+L29</f>
        <v>174926393.99999997</v>
      </c>
      <c r="M30" s="756">
        <f>+M27+M28+M29</f>
        <v>13560294.062879998</v>
      </c>
    </row>
    <row r="31" spans="1:14">
      <c r="A31" s="755"/>
    </row>
    <row r="32" spans="1:14">
      <c r="A32" s="755"/>
    </row>
  </sheetData>
  <mergeCells count="8">
    <mergeCell ref="B25:E25"/>
    <mergeCell ref="G25:I25"/>
    <mergeCell ref="K25:M25"/>
    <mergeCell ref="B3:N3"/>
    <mergeCell ref="B5:N5"/>
    <mergeCell ref="B7:E7"/>
    <mergeCell ref="G7:I7"/>
    <mergeCell ref="K7:M7"/>
  </mergeCells>
  <pageMargins left="0.7" right="0.7" top="0.75" bottom="0.75" header="0.3" footer="0.3"/>
  <pageSetup scale="71" fitToHeight="0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EE9E-6401-4432-8931-82D9E7A409AE}">
  <sheetPr codeName="Sheet28">
    <pageSetUpPr fitToPage="1"/>
  </sheetPr>
  <dimension ref="A1:S65"/>
  <sheetViews>
    <sheetView workbookViewId="0"/>
  </sheetViews>
  <sheetFormatPr defaultColWidth="9.77734375" defaultRowHeight="14.4"/>
  <cols>
    <col min="1" max="1" width="6" style="812" customWidth="1"/>
    <col min="2" max="2" width="79.5546875" style="812" customWidth="1"/>
    <col min="3" max="3" width="19.109375" style="812" customWidth="1"/>
    <col min="4" max="4" width="30.44140625" style="812" customWidth="1"/>
    <col min="5" max="5" width="24.77734375" style="812" customWidth="1"/>
    <col min="6" max="6" width="19.44140625" style="812" customWidth="1"/>
    <col min="7" max="7" width="18.77734375" style="812" bestFit="1" customWidth="1"/>
    <col min="8" max="8" width="15.77734375" style="812" bestFit="1" customWidth="1"/>
    <col min="9" max="9" width="10.77734375" style="812" bestFit="1" customWidth="1"/>
    <col min="10" max="10" width="6.21875" style="812" customWidth="1"/>
    <col min="11" max="11" width="15.77734375" style="812" customWidth="1"/>
    <col min="12" max="12" width="16.77734375" style="812" customWidth="1"/>
    <col min="13" max="13" width="12.21875" style="812" customWidth="1"/>
    <col min="14" max="14" width="15.77734375" style="812" bestFit="1" customWidth="1"/>
    <col min="15" max="15" width="11.77734375" style="812" customWidth="1"/>
    <col min="16" max="16" width="17.21875" style="812" customWidth="1"/>
    <col min="17" max="17" width="12.77734375" style="812" customWidth="1"/>
    <col min="18" max="18" width="15.77734375" style="812" bestFit="1" customWidth="1"/>
    <col min="19" max="19" width="16.109375" style="812" bestFit="1" customWidth="1"/>
    <col min="20" max="16384" width="9.77734375" style="812"/>
  </cols>
  <sheetData>
    <row r="1" spans="1:19" ht="15.6">
      <c r="B1" s="1042" t="s">
        <v>285</v>
      </c>
      <c r="C1" s="1042"/>
      <c r="D1" s="1042"/>
      <c r="E1" s="1042"/>
      <c r="F1" s="872"/>
      <c r="G1" s="872"/>
      <c r="H1" s="872"/>
      <c r="K1" s="870"/>
      <c r="L1" s="870"/>
      <c r="M1" s="870"/>
      <c r="N1" s="870"/>
      <c r="O1" s="870"/>
      <c r="P1" s="870"/>
      <c r="Q1" s="870"/>
      <c r="R1" s="870"/>
      <c r="S1" s="870"/>
    </row>
    <row r="2" spans="1:19" ht="15.6">
      <c r="B2" s="1042" t="s">
        <v>286</v>
      </c>
      <c r="C2" s="1042"/>
      <c r="D2" s="1042"/>
      <c r="E2" s="1042"/>
      <c r="F2" s="872"/>
      <c r="G2" s="872"/>
      <c r="H2" s="872"/>
      <c r="K2" s="870"/>
      <c r="L2" s="870"/>
      <c r="M2" s="870"/>
      <c r="N2" s="870"/>
      <c r="O2" s="870"/>
      <c r="P2" s="870"/>
      <c r="Q2" s="870"/>
      <c r="R2" s="870"/>
      <c r="S2" s="870"/>
    </row>
    <row r="3" spans="1:19" ht="15.6">
      <c r="B3" s="1043" t="s">
        <v>287</v>
      </c>
      <c r="C3" s="1043"/>
      <c r="D3" s="1043"/>
      <c r="E3" s="1043"/>
      <c r="F3" s="871"/>
      <c r="G3" s="871"/>
      <c r="H3" s="871"/>
      <c r="K3" s="870"/>
      <c r="L3" s="870"/>
      <c r="M3" s="870"/>
      <c r="N3" s="870"/>
      <c r="O3" s="870"/>
      <c r="P3" s="870"/>
      <c r="Q3" s="870"/>
      <c r="R3" s="870"/>
      <c r="S3" s="870"/>
    </row>
    <row r="4" spans="1:19">
      <c r="C4" s="819"/>
      <c r="D4" s="825"/>
      <c r="E4" s="819"/>
      <c r="F4" s="816"/>
      <c r="H4" s="816"/>
      <c r="L4" s="816"/>
      <c r="P4" s="816"/>
      <c r="R4" s="868"/>
    </row>
    <row r="5" spans="1:19">
      <c r="C5" s="819" t="s">
        <v>288</v>
      </c>
      <c r="D5" s="825"/>
      <c r="E5" s="819" t="s">
        <v>289</v>
      </c>
      <c r="F5" s="816"/>
      <c r="H5" s="816"/>
      <c r="L5" s="816"/>
      <c r="P5" s="816"/>
      <c r="R5" s="816"/>
    </row>
    <row r="6" spans="1:19">
      <c r="C6" s="819" t="s">
        <v>290</v>
      </c>
      <c r="D6" s="819" t="s">
        <v>291</v>
      </c>
      <c r="E6" s="869" t="s">
        <v>292</v>
      </c>
      <c r="F6" s="816"/>
      <c r="G6" s="816"/>
      <c r="H6" s="863"/>
      <c r="L6" s="816"/>
      <c r="N6" s="868"/>
      <c r="P6" s="816"/>
      <c r="R6" s="816"/>
    </row>
    <row r="7" spans="1:19">
      <c r="C7" s="867" t="s">
        <v>293</v>
      </c>
      <c r="D7" s="867" t="s">
        <v>127</v>
      </c>
      <c r="E7" s="867" t="s">
        <v>20</v>
      </c>
      <c r="F7" s="816"/>
      <c r="G7" s="816"/>
      <c r="H7" s="863"/>
      <c r="L7" s="864"/>
      <c r="M7" s="816"/>
      <c r="N7" s="816"/>
      <c r="O7" s="816"/>
      <c r="P7" s="864"/>
      <c r="Q7" s="816"/>
      <c r="R7" s="816"/>
      <c r="S7" s="816"/>
    </row>
    <row r="8" spans="1:19">
      <c r="A8" s="819">
        <v>1</v>
      </c>
      <c r="B8" s="833" t="s">
        <v>294</v>
      </c>
      <c r="C8" s="825"/>
      <c r="D8" s="825"/>
      <c r="E8" s="866">
        <v>6.39</v>
      </c>
      <c r="F8" s="825"/>
      <c r="H8" s="865"/>
      <c r="L8" s="864"/>
      <c r="M8" s="816"/>
      <c r="N8" s="863"/>
      <c r="O8" s="816"/>
      <c r="P8" s="864"/>
      <c r="Q8" s="816"/>
      <c r="R8" s="863"/>
      <c r="S8" s="816"/>
    </row>
    <row r="9" spans="1:19">
      <c r="A9" s="819">
        <f t="shared" ref="A9:A55" si="0">+A8+1</f>
        <v>2</v>
      </c>
      <c r="B9" s="825"/>
      <c r="C9" s="825"/>
      <c r="D9" s="825"/>
      <c r="E9" s="825"/>
      <c r="F9" s="825"/>
      <c r="J9" s="816"/>
    </row>
    <row r="10" spans="1:19">
      <c r="A10" s="819">
        <f t="shared" si="0"/>
        <v>3</v>
      </c>
      <c r="B10" s="860" t="s">
        <v>295</v>
      </c>
      <c r="C10" s="852">
        <f>+C53</f>
        <v>7.7520000000000006E-2</v>
      </c>
      <c r="D10" s="860" t="s">
        <v>296</v>
      </c>
      <c r="E10" s="873">
        <f>'Rate Design'!G9</f>
        <v>0.10585</v>
      </c>
      <c r="F10" s="862"/>
      <c r="G10" s="856"/>
      <c r="H10" s="861"/>
      <c r="J10" s="816"/>
    </row>
    <row r="11" spans="1:19">
      <c r="A11" s="819">
        <f t="shared" si="0"/>
        <v>4</v>
      </c>
      <c r="B11" s="833" t="s">
        <v>297</v>
      </c>
      <c r="C11" s="825"/>
      <c r="D11" s="825"/>
      <c r="E11" s="825"/>
      <c r="F11" s="825"/>
      <c r="J11" s="816"/>
      <c r="K11" s="838"/>
      <c r="L11" s="845"/>
      <c r="N11" s="855"/>
      <c r="P11" s="845"/>
      <c r="R11" s="855"/>
    </row>
    <row r="12" spans="1:19">
      <c r="A12" s="819">
        <f t="shared" si="0"/>
        <v>5</v>
      </c>
      <c r="B12" s="831" t="s">
        <v>298</v>
      </c>
      <c r="C12" s="836">
        <f>+C50</f>
        <v>3.8760000000000003E-2</v>
      </c>
      <c r="D12" s="843">
        <f>+C12/C10</f>
        <v>0.5</v>
      </c>
      <c r="E12" s="837">
        <f>TRUNC(+E10*D12,5)</f>
        <v>5.2920000000000002E-2</v>
      </c>
      <c r="F12" s="817"/>
      <c r="G12" s="854"/>
      <c r="H12" s="828"/>
      <c r="J12" s="816"/>
      <c r="K12" s="844"/>
      <c r="L12" s="841"/>
      <c r="M12" s="840"/>
      <c r="N12" s="832"/>
      <c r="O12" s="840"/>
      <c r="P12" s="841"/>
      <c r="Q12" s="840"/>
      <c r="R12" s="832"/>
      <c r="S12" s="840"/>
    </row>
    <row r="13" spans="1:19">
      <c r="A13" s="819">
        <f t="shared" si="0"/>
        <v>6</v>
      </c>
      <c r="B13" s="825" t="s">
        <v>299</v>
      </c>
      <c r="C13" s="836">
        <f>+C51</f>
        <v>0.1050773772189071</v>
      </c>
      <c r="D13" s="843">
        <f>+C13/C10</f>
        <v>1.3554873222253236</v>
      </c>
      <c r="E13" s="837">
        <f>TRUNC(+E10*D13,5)</f>
        <v>0.14346999999999999</v>
      </c>
      <c r="F13" s="817"/>
      <c r="G13" s="854"/>
      <c r="H13" s="828"/>
      <c r="J13" s="816"/>
      <c r="L13" s="841"/>
      <c r="M13" s="840"/>
      <c r="N13" s="832"/>
      <c r="O13" s="840"/>
      <c r="P13" s="841"/>
      <c r="Q13" s="840"/>
      <c r="R13" s="832"/>
      <c r="S13" s="840"/>
    </row>
    <row r="14" spans="1:19">
      <c r="A14" s="819">
        <f t="shared" si="0"/>
        <v>7</v>
      </c>
      <c r="B14" s="825" t="s">
        <v>300</v>
      </c>
      <c r="C14" s="836">
        <f>+C52</f>
        <v>0.16381916465339763</v>
      </c>
      <c r="D14" s="843">
        <f>+C14/C10</f>
        <v>2.1132503180262852</v>
      </c>
      <c r="E14" s="837">
        <f>TRUNC(+E10*D14,5)</f>
        <v>0.22367999999999999</v>
      </c>
      <c r="F14" s="817"/>
      <c r="G14" s="854"/>
      <c r="H14" s="828"/>
      <c r="J14" s="816"/>
      <c r="L14" s="841"/>
      <c r="M14" s="840"/>
      <c r="N14" s="832"/>
      <c r="O14" s="840"/>
      <c r="P14" s="841"/>
      <c r="Q14" s="840"/>
      <c r="R14" s="832"/>
      <c r="S14" s="840"/>
    </row>
    <row r="15" spans="1:19">
      <c r="A15" s="819">
        <f t="shared" si="0"/>
        <v>8</v>
      </c>
      <c r="B15" s="825"/>
      <c r="C15" s="836"/>
      <c r="D15" s="836"/>
      <c r="E15" s="837"/>
      <c r="F15" s="817"/>
      <c r="G15" s="828"/>
      <c r="J15" s="816"/>
    </row>
    <row r="16" spans="1:19">
      <c r="A16" s="819">
        <f t="shared" si="0"/>
        <v>9</v>
      </c>
      <c r="B16" s="860" t="s">
        <v>301</v>
      </c>
      <c r="C16" s="852">
        <f>+D53</f>
        <v>2.9272970505815968E-2</v>
      </c>
      <c r="D16" s="860" t="s">
        <v>302</v>
      </c>
      <c r="E16" s="859">
        <v>2.8049999999999999E-2</v>
      </c>
      <c r="F16" s="858"/>
      <c r="G16" s="857"/>
      <c r="H16" s="848"/>
      <c r="J16" s="816"/>
      <c r="K16" s="856"/>
    </row>
    <row r="17" spans="1:19">
      <c r="A17" s="819">
        <f t="shared" si="0"/>
        <v>10</v>
      </c>
      <c r="B17" s="833" t="s">
        <v>303</v>
      </c>
      <c r="C17" s="836"/>
      <c r="D17" s="836"/>
      <c r="E17" s="837"/>
      <c r="F17" s="817"/>
      <c r="J17" s="816"/>
      <c r="K17" s="838"/>
      <c r="L17" s="845"/>
      <c r="N17" s="845"/>
      <c r="P17" s="855"/>
      <c r="R17" s="845"/>
    </row>
    <row r="18" spans="1:19">
      <c r="A18" s="819">
        <f t="shared" si="0"/>
        <v>11</v>
      </c>
      <c r="B18" s="831" t="s">
        <v>298</v>
      </c>
      <c r="C18" s="836">
        <f>+D50</f>
        <v>9.3330505175301035E-4</v>
      </c>
      <c r="D18" s="843">
        <f>+C18/C16</f>
        <v>3.1882826909130413E-2</v>
      </c>
      <c r="E18" s="837">
        <f>TRUNC(+E16*D18,5)</f>
        <v>8.8999999999999995E-4</v>
      </c>
      <c r="F18" s="817"/>
      <c r="G18" s="854"/>
      <c r="H18" s="828"/>
      <c r="J18" s="816"/>
      <c r="K18" s="844"/>
      <c r="L18" s="841"/>
      <c r="M18" s="840"/>
      <c r="N18" s="841"/>
      <c r="O18" s="840"/>
      <c r="P18" s="841"/>
      <c r="Q18" s="840"/>
      <c r="R18" s="832"/>
      <c r="S18" s="840"/>
    </row>
    <row r="19" spans="1:19">
      <c r="A19" s="819">
        <f t="shared" si="0"/>
        <v>12</v>
      </c>
      <c r="B19" s="825" t="s">
        <v>299</v>
      </c>
      <c r="C19" s="836">
        <f>+D51</f>
        <v>2.3781945871738416E-2</v>
      </c>
      <c r="D19" s="843">
        <f>+C19/C16</f>
        <v>0.81241997176246283</v>
      </c>
      <c r="E19" s="837">
        <f>TRUNC(+E16*D19,5)</f>
        <v>2.2780000000000002E-2</v>
      </c>
      <c r="F19" s="817"/>
      <c r="G19" s="854"/>
      <c r="H19" s="828"/>
      <c r="J19" s="816"/>
      <c r="L19" s="841"/>
      <c r="M19" s="840"/>
      <c r="N19" s="841"/>
      <c r="O19" s="840"/>
      <c r="P19" s="841"/>
      <c r="Q19" s="840"/>
      <c r="R19" s="832"/>
      <c r="S19" s="840"/>
    </row>
    <row r="20" spans="1:19">
      <c r="A20" s="819">
        <f t="shared" si="0"/>
        <v>13</v>
      </c>
      <c r="B20" s="825" t="s">
        <v>300</v>
      </c>
      <c r="C20" s="836">
        <f>+D52</f>
        <v>0.12533337336080003</v>
      </c>
      <c r="D20" s="843">
        <f>+C20/C16</f>
        <v>4.2815392901755134</v>
      </c>
      <c r="E20" s="837">
        <f>TRUNC(+E16*D20,5)</f>
        <v>0.12009</v>
      </c>
      <c r="F20" s="817"/>
      <c r="G20" s="854"/>
      <c r="H20" s="828"/>
      <c r="J20" s="816"/>
      <c r="L20" s="841"/>
      <c r="M20" s="840"/>
      <c r="N20" s="841"/>
      <c r="O20" s="840"/>
      <c r="P20" s="841"/>
      <c r="Q20" s="840"/>
      <c r="R20" s="832"/>
      <c r="S20" s="840"/>
    </row>
    <row r="21" spans="1:19">
      <c r="A21" s="819">
        <f t="shared" si="0"/>
        <v>14</v>
      </c>
      <c r="B21" s="825"/>
      <c r="C21" s="836"/>
      <c r="D21" s="836"/>
      <c r="E21" s="837"/>
      <c r="F21" s="817"/>
      <c r="J21" s="816"/>
      <c r="K21" s="853"/>
    </row>
    <row r="22" spans="1:19">
      <c r="A22" s="819">
        <f t="shared" si="0"/>
        <v>15</v>
      </c>
      <c r="B22" s="851" t="s">
        <v>304</v>
      </c>
      <c r="C22" s="852">
        <f>+E53</f>
        <v>7.1841872234640988E-2</v>
      </c>
      <c r="D22" s="851" t="s">
        <v>305</v>
      </c>
      <c r="E22" s="850">
        <v>0.18326000000000001</v>
      </c>
      <c r="F22" s="849"/>
      <c r="G22" s="846"/>
      <c r="H22" s="848"/>
      <c r="I22" s="847"/>
      <c r="J22" s="816"/>
      <c r="K22" s="846"/>
    </row>
    <row r="23" spans="1:19">
      <c r="A23" s="819">
        <f t="shared" si="0"/>
        <v>16</v>
      </c>
      <c r="B23" s="833" t="s">
        <v>306</v>
      </c>
      <c r="C23" s="836"/>
      <c r="D23" s="836"/>
      <c r="E23" s="837"/>
      <c r="F23" s="836"/>
      <c r="J23" s="816"/>
      <c r="K23" s="838"/>
      <c r="L23" s="845"/>
      <c r="N23" s="845"/>
      <c r="P23" s="845"/>
      <c r="R23" s="845"/>
    </row>
    <row r="24" spans="1:19">
      <c r="A24" s="819">
        <f t="shared" si="0"/>
        <v>17</v>
      </c>
      <c r="B24" s="831" t="s">
        <v>298</v>
      </c>
      <c r="C24" s="836">
        <f>+E50</f>
        <v>6.5730004106614559E-2</v>
      </c>
      <c r="D24" s="843">
        <f>+C24/C22</f>
        <v>0.91492610175769629</v>
      </c>
      <c r="E24" s="837">
        <f>TRUNC(+E22*D24,5)</f>
        <v>0.16766</v>
      </c>
      <c r="F24" s="836"/>
      <c r="G24" s="842"/>
      <c r="H24" s="832"/>
      <c r="I24" s="813"/>
      <c r="J24" s="816"/>
      <c r="K24" s="844"/>
      <c r="L24" s="841"/>
      <c r="M24" s="840"/>
      <c r="N24" s="841"/>
      <c r="O24" s="840"/>
      <c r="P24" s="841"/>
      <c r="Q24" s="840"/>
      <c r="R24" s="832"/>
      <c r="S24" s="840"/>
    </row>
    <row r="25" spans="1:19">
      <c r="A25" s="819">
        <f t="shared" si="0"/>
        <v>18</v>
      </c>
      <c r="B25" s="825" t="s">
        <v>299</v>
      </c>
      <c r="C25" s="836">
        <f>+E51</f>
        <v>7.4945616667283152E-2</v>
      </c>
      <c r="D25" s="843">
        <f>+C25/C22</f>
        <v>1.0432024435903493</v>
      </c>
      <c r="E25" s="837">
        <f>TRUNC(+E22*D25,5)</f>
        <v>0.19117000000000001</v>
      </c>
      <c r="F25" s="836"/>
      <c r="G25" s="842"/>
      <c r="H25" s="832"/>
      <c r="I25" s="813"/>
      <c r="J25" s="816"/>
      <c r="L25" s="841"/>
      <c r="M25" s="840"/>
      <c r="N25" s="841"/>
      <c r="O25" s="840"/>
      <c r="P25" s="841"/>
      <c r="Q25" s="840"/>
      <c r="R25" s="832"/>
      <c r="S25" s="840"/>
    </row>
    <row r="26" spans="1:19">
      <c r="A26" s="819">
        <f t="shared" si="0"/>
        <v>19</v>
      </c>
      <c r="B26" s="825" t="s">
        <v>300</v>
      </c>
      <c r="C26" s="836">
        <f>+E52</f>
        <v>8.7063574333028762E-2</v>
      </c>
      <c r="D26" s="843">
        <f>+C26/C22</f>
        <v>1.2118778593168138</v>
      </c>
      <c r="E26" s="837">
        <f>TRUNC(+E22*D26,5)</f>
        <v>0.22208</v>
      </c>
      <c r="F26" s="836"/>
      <c r="G26" s="842"/>
      <c r="H26" s="832"/>
      <c r="I26" s="813"/>
      <c r="J26" s="816"/>
      <c r="L26" s="841"/>
      <c r="M26" s="840"/>
      <c r="N26" s="841"/>
      <c r="O26" s="840"/>
      <c r="P26" s="841"/>
      <c r="Q26" s="840"/>
      <c r="R26" s="832"/>
      <c r="S26" s="840"/>
    </row>
    <row r="27" spans="1:19">
      <c r="A27" s="819">
        <f t="shared" si="0"/>
        <v>20</v>
      </c>
      <c r="B27" s="825" t="s">
        <v>307</v>
      </c>
      <c r="C27" s="836"/>
      <c r="D27" s="843"/>
      <c r="E27" s="830">
        <v>2.3869999999999999E-2</v>
      </c>
      <c r="F27" s="836"/>
      <c r="G27" s="842"/>
      <c r="H27" s="829"/>
      <c r="J27" s="816"/>
      <c r="L27" s="841"/>
      <c r="M27" s="840"/>
      <c r="N27" s="841"/>
      <c r="O27" s="840"/>
      <c r="P27" s="841"/>
      <c r="Q27" s="840"/>
      <c r="R27" s="832"/>
      <c r="S27" s="840"/>
    </row>
    <row r="28" spans="1:19">
      <c r="A28" s="819">
        <f t="shared" si="0"/>
        <v>21</v>
      </c>
      <c r="B28" s="825" t="s">
        <v>308</v>
      </c>
      <c r="C28" s="836"/>
      <c r="D28" s="843"/>
      <c r="E28" s="830">
        <v>4.9300000000000004E-3</v>
      </c>
      <c r="F28" s="836"/>
      <c r="G28" s="842"/>
      <c r="H28" s="829"/>
      <c r="J28" s="816"/>
      <c r="L28" s="841"/>
      <c r="M28" s="840"/>
      <c r="N28" s="841"/>
      <c r="O28" s="840"/>
      <c r="P28" s="841"/>
      <c r="Q28" s="840"/>
      <c r="R28" s="832"/>
      <c r="S28" s="840"/>
    </row>
    <row r="29" spans="1:19">
      <c r="A29" s="819">
        <f t="shared" si="0"/>
        <v>22</v>
      </c>
      <c r="B29" s="825"/>
      <c r="C29" s="836"/>
      <c r="D29" s="836"/>
      <c r="E29" s="837"/>
      <c r="F29" s="836"/>
      <c r="J29" s="816"/>
    </row>
    <row r="30" spans="1:19">
      <c r="A30" s="819">
        <f t="shared" si="0"/>
        <v>23</v>
      </c>
      <c r="B30" s="833" t="s">
        <v>309</v>
      </c>
      <c r="C30" s="836"/>
      <c r="D30" s="836"/>
      <c r="E30" s="837">
        <v>8.3750000000000005E-2</v>
      </c>
      <c r="F30" s="836"/>
      <c r="H30" s="832"/>
      <c r="J30" s="816"/>
    </row>
    <row r="31" spans="1:19">
      <c r="A31" s="819">
        <f t="shared" si="0"/>
        <v>24</v>
      </c>
      <c r="B31" s="833" t="s">
        <v>310</v>
      </c>
      <c r="C31" s="836"/>
      <c r="D31" s="836"/>
      <c r="E31" s="837">
        <f>0.00394+0.00158</f>
        <v>5.5199999999999997E-3</v>
      </c>
      <c r="F31" s="836"/>
      <c r="H31" s="832"/>
    </row>
    <row r="32" spans="1:19">
      <c r="A32" s="819">
        <f t="shared" si="0"/>
        <v>25</v>
      </c>
      <c r="B32" s="833" t="s">
        <v>311</v>
      </c>
      <c r="C32" s="836"/>
      <c r="D32" s="836"/>
      <c r="E32" s="830">
        <v>5.0000000000000001E-4</v>
      </c>
      <c r="F32" s="836"/>
      <c r="H32" s="829"/>
      <c r="I32" s="839"/>
    </row>
    <row r="33" spans="1:12">
      <c r="A33" s="819">
        <f t="shared" si="0"/>
        <v>26</v>
      </c>
      <c r="B33" s="833" t="s">
        <v>312</v>
      </c>
      <c r="C33" s="836"/>
      <c r="D33" s="836"/>
      <c r="E33" s="830">
        <v>2.5000000000000001E-3</v>
      </c>
      <c r="F33" s="836"/>
      <c r="H33" s="829"/>
      <c r="I33" s="839"/>
    </row>
    <row r="34" spans="1:12">
      <c r="A34" s="819">
        <f t="shared" si="0"/>
        <v>27</v>
      </c>
      <c r="B34" s="833" t="s">
        <v>313</v>
      </c>
      <c r="C34" s="836"/>
      <c r="D34" s="836"/>
      <c r="E34" s="837">
        <v>5.6699999999999997E-3</v>
      </c>
      <c r="F34" s="836"/>
      <c r="H34" s="832"/>
      <c r="K34" s="838"/>
    </row>
    <row r="35" spans="1:12">
      <c r="A35" s="819">
        <f t="shared" si="0"/>
        <v>28</v>
      </c>
      <c r="B35" s="833"/>
      <c r="C35" s="836"/>
      <c r="D35" s="836"/>
      <c r="E35" s="837"/>
      <c r="F35" s="836"/>
      <c r="L35" s="813"/>
    </row>
    <row r="36" spans="1:12" ht="16.2">
      <c r="A36" s="819">
        <f t="shared" si="0"/>
        <v>29</v>
      </c>
      <c r="B36" s="833" t="s">
        <v>314</v>
      </c>
      <c r="C36" s="815"/>
      <c r="D36" s="815"/>
      <c r="E36" s="832"/>
      <c r="F36" s="815"/>
      <c r="K36" s="814"/>
      <c r="L36" s="827"/>
    </row>
    <row r="37" spans="1:12">
      <c r="A37" s="819">
        <f t="shared" si="0"/>
        <v>30</v>
      </c>
      <c r="B37" s="831" t="s">
        <v>315</v>
      </c>
      <c r="C37" s="830"/>
      <c r="D37" s="817"/>
      <c r="E37" s="830">
        <f>+E12+E18+E24+E27+E28</f>
        <v>0.25026999999999999</v>
      </c>
      <c r="F37" s="829"/>
      <c r="H37" s="832"/>
      <c r="I37" s="834"/>
      <c r="K37" s="835"/>
      <c r="L37" s="813"/>
    </row>
    <row r="38" spans="1:12">
      <c r="A38" s="819">
        <f t="shared" si="0"/>
        <v>31</v>
      </c>
      <c r="B38" s="825" t="s">
        <v>316</v>
      </c>
      <c r="C38" s="830"/>
      <c r="D38" s="817"/>
      <c r="E38" s="830">
        <f>+E13+E19+E25+E27+E28</f>
        <v>0.38621999999999995</v>
      </c>
      <c r="F38" s="829"/>
      <c r="H38" s="832"/>
      <c r="I38" s="834"/>
      <c r="K38" s="813"/>
    </row>
    <row r="39" spans="1:12">
      <c r="A39" s="819">
        <f t="shared" si="0"/>
        <v>32</v>
      </c>
      <c r="B39" s="825" t="s">
        <v>317</v>
      </c>
      <c r="C39" s="830"/>
      <c r="D39" s="817"/>
      <c r="E39" s="830">
        <f>+E14+E20+E26+E27+E28</f>
        <v>0.5946499999999999</v>
      </c>
      <c r="F39" s="829"/>
      <c r="H39" s="832"/>
      <c r="I39" s="834"/>
      <c r="K39" s="813"/>
    </row>
    <row r="40" spans="1:12">
      <c r="A40" s="819">
        <f t="shared" si="0"/>
        <v>33</v>
      </c>
      <c r="B40" s="825" t="s">
        <v>318</v>
      </c>
      <c r="C40" s="830"/>
      <c r="D40" s="817"/>
      <c r="E40" s="830">
        <f>+E30+E31+E32+E33+E34</f>
        <v>9.7939999999999999E-2</v>
      </c>
      <c r="F40" s="828"/>
      <c r="H40" s="832"/>
      <c r="L40" s="813"/>
    </row>
    <row r="41" spans="1:12">
      <c r="A41" s="819">
        <f t="shared" si="0"/>
        <v>34</v>
      </c>
      <c r="B41" s="825"/>
      <c r="C41" s="830"/>
      <c r="D41" s="817"/>
      <c r="E41" s="830"/>
      <c r="F41" s="828"/>
      <c r="H41" s="832"/>
      <c r="L41" s="813"/>
    </row>
    <row r="42" spans="1:12">
      <c r="A42" s="819">
        <f t="shared" si="0"/>
        <v>35</v>
      </c>
      <c r="B42" s="833" t="s">
        <v>319</v>
      </c>
      <c r="C42" s="830"/>
      <c r="D42" s="817"/>
      <c r="E42" s="830"/>
      <c r="F42" s="828"/>
      <c r="H42" s="832"/>
      <c r="L42" s="813"/>
    </row>
    <row r="43" spans="1:12">
      <c r="A43" s="819">
        <f t="shared" si="0"/>
        <v>36</v>
      </c>
      <c r="B43" s="831" t="s">
        <v>315</v>
      </c>
      <c r="C43" s="830"/>
      <c r="D43" s="817"/>
      <c r="E43" s="830">
        <f>+E37+E40</f>
        <v>0.34821000000000002</v>
      </c>
      <c r="F43" s="828"/>
      <c r="L43" s="813"/>
    </row>
    <row r="44" spans="1:12">
      <c r="A44" s="819">
        <f t="shared" si="0"/>
        <v>37</v>
      </c>
      <c r="B44" s="825" t="s">
        <v>316</v>
      </c>
      <c r="C44" s="830"/>
      <c r="D44" s="817"/>
      <c r="E44" s="830">
        <f>+E38+E40</f>
        <v>0.48415999999999992</v>
      </c>
      <c r="F44" s="828"/>
      <c r="L44" s="813"/>
    </row>
    <row r="45" spans="1:12">
      <c r="A45" s="819">
        <f t="shared" si="0"/>
        <v>38</v>
      </c>
      <c r="B45" s="825" t="s">
        <v>317</v>
      </c>
      <c r="C45" s="830"/>
      <c r="D45" s="817"/>
      <c r="E45" s="830">
        <f>+E39+E40</f>
        <v>0.69258999999999993</v>
      </c>
      <c r="F45" s="828"/>
      <c r="L45" s="813"/>
    </row>
    <row r="46" spans="1:12" ht="16.2">
      <c r="A46" s="819">
        <f t="shared" si="0"/>
        <v>39</v>
      </c>
      <c r="C46" s="828"/>
      <c r="D46" s="828"/>
      <c r="E46" s="829"/>
      <c r="F46" s="828"/>
      <c r="L46" s="827"/>
    </row>
    <row r="47" spans="1:12">
      <c r="A47" s="819">
        <f t="shared" si="0"/>
        <v>40</v>
      </c>
      <c r="B47" s="818" t="s">
        <v>320</v>
      </c>
      <c r="C47" s="817"/>
      <c r="D47" s="817"/>
      <c r="E47" s="817"/>
      <c r="F47" s="817"/>
      <c r="L47" s="813"/>
    </row>
    <row r="48" spans="1:12">
      <c r="A48" s="819">
        <f t="shared" si="0"/>
        <v>41</v>
      </c>
      <c r="B48" s="826"/>
      <c r="C48" s="825"/>
      <c r="D48" s="825"/>
      <c r="E48" s="825"/>
      <c r="F48" s="817"/>
    </row>
    <row r="49" spans="1:6" ht="27">
      <c r="A49" s="819">
        <f t="shared" si="0"/>
        <v>42</v>
      </c>
      <c r="B49" s="824" t="s">
        <v>321</v>
      </c>
      <c r="C49" s="823" t="s">
        <v>322</v>
      </c>
      <c r="D49" s="823" t="s">
        <v>323</v>
      </c>
      <c r="E49" s="823" t="s">
        <v>324</v>
      </c>
      <c r="F49" s="817"/>
    </row>
    <row r="50" spans="1:6">
      <c r="A50" s="819">
        <f t="shared" si="0"/>
        <v>43</v>
      </c>
      <c r="B50" s="822" t="s">
        <v>325</v>
      </c>
      <c r="C50" s="874">
        <f>'EV-RES Rate'!K28</f>
        <v>3.8760000000000003E-2</v>
      </c>
      <c r="D50" s="874">
        <f>'EV-RES Rate'!G28</f>
        <v>9.3330505175301035E-4</v>
      </c>
      <c r="E50" s="874">
        <f>'EV-RES Rate'!C28</f>
        <v>6.5730004106614559E-2</v>
      </c>
      <c r="F50" s="817"/>
    </row>
    <row r="51" spans="1:6">
      <c r="A51" s="819">
        <f t="shared" si="0"/>
        <v>44</v>
      </c>
      <c r="B51" s="822" t="s">
        <v>284</v>
      </c>
      <c r="C51" s="874">
        <f>'EV-RES Rate'!K29</f>
        <v>0.1050773772189071</v>
      </c>
      <c r="D51" s="874">
        <f>'EV-RES Rate'!G29</f>
        <v>2.3781945871738416E-2</v>
      </c>
      <c r="E51" s="874">
        <f>'EV-RES Rate'!C29</f>
        <v>7.4945616667283152E-2</v>
      </c>
      <c r="F51" s="817"/>
    </row>
    <row r="52" spans="1:6">
      <c r="A52" s="819">
        <f t="shared" si="0"/>
        <v>45</v>
      </c>
      <c r="B52" s="822" t="s">
        <v>282</v>
      </c>
      <c r="C52" s="874">
        <f>'EV-RES Rate'!K27</f>
        <v>0.16381916465339763</v>
      </c>
      <c r="D52" s="874">
        <f>'EV-RES Rate'!G27</f>
        <v>0.12533337336080003</v>
      </c>
      <c r="E52" s="874">
        <f>'EV-RES Rate'!C27</f>
        <v>8.7063574333028762E-2</v>
      </c>
      <c r="F52" s="817"/>
    </row>
    <row r="53" spans="1:6">
      <c r="A53" s="819">
        <f t="shared" si="0"/>
        <v>46</v>
      </c>
      <c r="B53" s="822" t="s">
        <v>326</v>
      </c>
      <c r="C53" s="874">
        <f>'EV-RES Rate'!K30</f>
        <v>7.7520000000000006E-2</v>
      </c>
      <c r="D53" s="874">
        <f>'EV-RES Rate'!G30</f>
        <v>2.9272970505815968E-2</v>
      </c>
      <c r="E53" s="874">
        <f>'EV-RES Rate'!C30</f>
        <v>7.1841872234640988E-2</v>
      </c>
      <c r="F53" s="817"/>
    </row>
    <row r="54" spans="1:6">
      <c r="A54" s="819">
        <f t="shared" si="0"/>
        <v>47</v>
      </c>
      <c r="B54" s="821"/>
      <c r="C54" s="820"/>
      <c r="D54" s="820"/>
      <c r="E54" s="820"/>
      <c r="F54" s="817"/>
    </row>
    <row r="55" spans="1:6">
      <c r="A55" s="819">
        <f t="shared" si="0"/>
        <v>48</v>
      </c>
      <c r="B55" s="818" t="s">
        <v>327</v>
      </c>
      <c r="C55" s="815"/>
      <c r="D55" s="815"/>
      <c r="E55" s="815"/>
      <c r="F55" s="817"/>
    </row>
    <row r="56" spans="1:6">
      <c r="A56" s="816"/>
      <c r="C56" s="815"/>
      <c r="D56" s="815"/>
      <c r="E56" s="815"/>
    </row>
    <row r="58" spans="1:6">
      <c r="E58" s="813"/>
    </row>
    <row r="59" spans="1:6">
      <c r="E59" s="813"/>
    </row>
    <row r="60" spans="1:6">
      <c r="E60" s="813"/>
    </row>
    <row r="62" spans="1:6">
      <c r="D62" s="814"/>
      <c r="E62" s="813"/>
    </row>
    <row r="63" spans="1:6">
      <c r="D63" s="814"/>
      <c r="E63" s="813"/>
    </row>
    <row r="64" spans="1:6">
      <c r="D64" s="814"/>
      <c r="E64" s="813"/>
    </row>
    <row r="65" spans="5:5">
      <c r="E65" s="813"/>
    </row>
  </sheetData>
  <mergeCells count="3">
    <mergeCell ref="B1:E1"/>
    <mergeCell ref="B2:E2"/>
    <mergeCell ref="B3:E3"/>
  </mergeCells>
  <pageMargins left="0.7" right="0.7" top="0.25" bottom="0.25" header="0.05" footer="0.05"/>
  <pageSetup scale="68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9316-3671-49F6-BC99-0E234C42F224}">
  <sheetPr codeName="Sheet29">
    <pageSetUpPr fitToPage="1"/>
  </sheetPr>
  <dimension ref="A1:M59"/>
  <sheetViews>
    <sheetView workbookViewId="0"/>
  </sheetViews>
  <sheetFormatPr defaultColWidth="8.77734375" defaultRowHeight="13.8"/>
  <cols>
    <col min="1" max="1" width="7.77734375" style="682" customWidth="1"/>
    <col min="2" max="2" width="31.21875" style="682" customWidth="1"/>
    <col min="3" max="3" width="14.77734375" style="682" customWidth="1"/>
    <col min="4" max="4" width="13.5546875" style="682" customWidth="1"/>
    <col min="5" max="12" width="14.77734375" style="682" customWidth="1"/>
    <col min="13" max="13" width="12.77734375" style="682" bestFit="1" customWidth="1"/>
    <col min="14" max="16384" width="8.77734375" style="682"/>
  </cols>
  <sheetData>
    <row r="1" spans="1:13" ht="15.6">
      <c r="L1" s="500" t="s">
        <v>328</v>
      </c>
    </row>
    <row r="2" spans="1:13" ht="15.6">
      <c r="L2" s="500" t="s">
        <v>329</v>
      </c>
    </row>
    <row r="3" spans="1:13" ht="15.6">
      <c r="L3" s="455" t="s">
        <v>29</v>
      </c>
    </row>
    <row r="4" spans="1:13" ht="15.6">
      <c r="L4" s="500" t="s">
        <v>330</v>
      </c>
    </row>
    <row r="5" spans="1:13" ht="15.6">
      <c r="A5" s="30" t="s">
        <v>0</v>
      </c>
      <c r="L5" s="500"/>
    </row>
    <row r="6" spans="1:13" ht="14.4">
      <c r="A6" s="4" t="s">
        <v>29</v>
      </c>
      <c r="B6" s="621"/>
      <c r="C6" s="621"/>
      <c r="D6" s="621"/>
      <c r="E6" s="621"/>
      <c r="F6" s="621"/>
      <c r="G6" s="621"/>
      <c r="H6" s="621"/>
      <c r="I6" s="621"/>
      <c r="J6" s="621"/>
      <c r="K6" s="621"/>
      <c r="L6" s="621"/>
      <c r="M6" s="621"/>
    </row>
    <row r="7" spans="1:13" ht="14.4">
      <c r="A7" s="36" t="s">
        <v>30</v>
      </c>
      <c r="K7" s="621"/>
      <c r="L7" s="621"/>
    </row>
    <row r="8" spans="1:13">
      <c r="E8" s="634" t="s">
        <v>331</v>
      </c>
      <c r="F8" s="633"/>
      <c r="G8" s="634" t="s">
        <v>332</v>
      </c>
      <c r="H8" s="633"/>
      <c r="I8" s="634" t="s">
        <v>333</v>
      </c>
      <c r="J8" s="633"/>
      <c r="K8" s="683" t="s">
        <v>334</v>
      </c>
      <c r="L8" s="633"/>
    </row>
    <row r="9" spans="1:13">
      <c r="B9" s="684"/>
      <c r="C9" s="685"/>
      <c r="D9" s="686" t="s">
        <v>335</v>
      </c>
      <c r="E9" s="632" t="s">
        <v>336</v>
      </c>
      <c r="F9" s="633"/>
      <c r="G9" s="634" t="s">
        <v>337</v>
      </c>
      <c r="H9" s="633"/>
      <c r="I9" s="634" t="s">
        <v>338</v>
      </c>
      <c r="J9" s="633"/>
      <c r="K9" s="683" t="s">
        <v>339</v>
      </c>
      <c r="L9" s="633"/>
    </row>
    <row r="10" spans="1:13">
      <c r="A10" s="621"/>
      <c r="B10" s="635"/>
      <c r="C10" s="621"/>
      <c r="D10" s="622"/>
      <c r="E10" s="748" t="s">
        <v>340</v>
      </c>
      <c r="F10" s="687" t="s">
        <v>340</v>
      </c>
      <c r="G10" s="688" t="s">
        <v>340</v>
      </c>
      <c r="H10" s="687" t="s">
        <v>340</v>
      </c>
      <c r="I10" s="688" t="s">
        <v>340</v>
      </c>
      <c r="J10" s="687" t="s">
        <v>340</v>
      </c>
      <c r="K10" s="688" t="s">
        <v>340</v>
      </c>
      <c r="L10" s="687" t="s">
        <v>340</v>
      </c>
    </row>
    <row r="11" spans="1:13">
      <c r="A11" s="621"/>
      <c r="B11" s="635"/>
      <c r="C11" s="621"/>
      <c r="D11" s="622" t="s">
        <v>341</v>
      </c>
      <c r="E11" s="748" t="s">
        <v>262</v>
      </c>
      <c r="F11" s="622" t="s">
        <v>262</v>
      </c>
      <c r="G11" s="688" t="s">
        <v>262</v>
      </c>
      <c r="H11" s="622" t="s">
        <v>262</v>
      </c>
      <c r="I11" s="688" t="s">
        <v>262</v>
      </c>
      <c r="J11" s="622" t="s">
        <v>262</v>
      </c>
      <c r="K11" s="688" t="s">
        <v>262</v>
      </c>
      <c r="L11" s="622" t="s">
        <v>262</v>
      </c>
    </row>
    <row r="12" spans="1:13">
      <c r="A12" s="619"/>
      <c r="B12" s="635"/>
      <c r="C12" s="621"/>
      <c r="D12" s="620" t="s">
        <v>342</v>
      </c>
      <c r="E12" s="749" t="s">
        <v>20</v>
      </c>
      <c r="F12" s="620" t="s">
        <v>162</v>
      </c>
      <c r="G12" s="689" t="s">
        <v>20</v>
      </c>
      <c r="H12" s="620" t="s">
        <v>162</v>
      </c>
      <c r="I12" s="689" t="s">
        <v>20</v>
      </c>
      <c r="J12" s="620" t="s">
        <v>162</v>
      </c>
      <c r="K12" s="689" t="s">
        <v>20</v>
      </c>
      <c r="L12" s="620" t="s">
        <v>162</v>
      </c>
    </row>
    <row r="13" spans="1:13">
      <c r="A13" s="619"/>
      <c r="B13" s="701"/>
      <c r="C13" s="750"/>
      <c r="D13" s="751" t="s">
        <v>343</v>
      </c>
      <c r="E13" s="752" t="s">
        <v>344</v>
      </c>
      <c r="F13" s="751" t="s">
        <v>345</v>
      </c>
      <c r="G13" s="753" t="s">
        <v>346</v>
      </c>
      <c r="H13" s="751" t="s">
        <v>347</v>
      </c>
      <c r="I13" s="753" t="s">
        <v>348</v>
      </c>
      <c r="J13" s="751" t="s">
        <v>349</v>
      </c>
      <c r="K13" s="752" t="s">
        <v>350</v>
      </c>
      <c r="L13" s="751" t="s">
        <v>351</v>
      </c>
    </row>
    <row r="14" spans="1:13">
      <c r="A14" s="619"/>
      <c r="B14" s="636" t="s">
        <v>144</v>
      </c>
      <c r="C14" s="637"/>
      <c r="D14" s="617"/>
      <c r="E14" s="638"/>
      <c r="F14" s="617"/>
      <c r="G14" s="638"/>
      <c r="H14" s="617"/>
      <c r="I14" s="638"/>
      <c r="J14" s="617"/>
      <c r="K14" s="618"/>
      <c r="L14" s="617"/>
    </row>
    <row r="15" spans="1:13">
      <c r="A15" s="619"/>
      <c r="B15" s="639"/>
      <c r="C15" s="637"/>
      <c r="D15" s="616"/>
      <c r="E15" s="638"/>
      <c r="F15" s="617"/>
      <c r="G15" s="638"/>
      <c r="H15" s="617"/>
      <c r="I15" s="638"/>
      <c r="J15" s="617"/>
      <c r="K15" s="618"/>
      <c r="L15" s="617"/>
    </row>
    <row r="16" spans="1:13">
      <c r="A16" s="606">
        <v>1</v>
      </c>
      <c r="B16" s="639" t="s">
        <v>352</v>
      </c>
      <c r="C16" s="637"/>
      <c r="D16" s="616"/>
      <c r="E16" s="640"/>
      <c r="F16" s="607">
        <f>+L16</f>
        <v>6262145.2762599997</v>
      </c>
      <c r="G16" s="640"/>
      <c r="H16" s="607">
        <f>+F16</f>
        <v>6262145.2762599997</v>
      </c>
      <c r="I16" s="640"/>
      <c r="J16" s="607">
        <f>+H16</f>
        <v>6262145.2762599997</v>
      </c>
      <c r="K16" s="690"/>
      <c r="L16" s="607">
        <f>SUM(L18:L22)</f>
        <v>6262145.2762599997</v>
      </c>
    </row>
    <row r="17" spans="1:13">
      <c r="A17" s="606"/>
      <c r="B17" s="639"/>
      <c r="C17" s="637"/>
      <c r="D17" s="616"/>
      <c r="E17" s="641"/>
      <c r="F17" s="614"/>
      <c r="G17" s="641"/>
      <c r="H17" s="614"/>
      <c r="I17" s="641"/>
      <c r="J17" s="614"/>
      <c r="K17" s="615"/>
      <c r="L17" s="614"/>
    </row>
    <row r="18" spans="1:13">
      <c r="A18" s="606">
        <f>A16+1</f>
        <v>2</v>
      </c>
      <c r="B18" s="639" t="s">
        <v>134</v>
      </c>
      <c r="C18" s="637" t="s">
        <v>353</v>
      </c>
      <c r="D18" s="611">
        <f>'Rate Design'!C34</f>
        <v>18164.620999999999</v>
      </c>
      <c r="E18" s="642">
        <f>+K18</f>
        <v>12</v>
      </c>
      <c r="F18" s="609">
        <f>$D18*E18</f>
        <v>217975.45199999999</v>
      </c>
      <c r="G18" s="642">
        <f>+E18</f>
        <v>12</v>
      </c>
      <c r="H18" s="609">
        <f>$D18*G18</f>
        <v>217975.45199999999</v>
      </c>
      <c r="I18" s="642">
        <f>+G18</f>
        <v>12</v>
      </c>
      <c r="J18" s="609">
        <f>$D18*I18</f>
        <v>217975.45199999999</v>
      </c>
      <c r="K18" s="691">
        <f>'Rate Design'!G34</f>
        <v>12</v>
      </c>
      <c r="L18" s="609">
        <f>D18*K18</f>
        <v>217975.45199999999</v>
      </c>
      <c r="M18" s="692"/>
    </row>
    <row r="19" spans="1:13">
      <c r="A19" s="606"/>
      <c r="B19" s="639"/>
      <c r="C19" s="637"/>
      <c r="D19" s="611"/>
      <c r="E19" s="643"/>
      <c r="F19" s="613"/>
      <c r="G19" s="643"/>
      <c r="H19" s="613"/>
      <c r="I19" s="643"/>
      <c r="J19" s="613"/>
      <c r="K19" s="693"/>
      <c r="L19" s="613"/>
    </row>
    <row r="20" spans="1:13">
      <c r="A20" s="606">
        <f t="shared" ref="A20" si="0">A18+1</f>
        <v>3</v>
      </c>
      <c r="B20" s="639" t="s">
        <v>354</v>
      </c>
      <c r="C20" s="612" t="s">
        <v>355</v>
      </c>
      <c r="D20" s="611">
        <f>'Rate Design'!C36</f>
        <v>86826989</v>
      </c>
      <c r="E20" s="644">
        <f>+K20</f>
        <v>3.2340000000000001E-2</v>
      </c>
      <c r="F20" s="609">
        <f>$D20*E20</f>
        <v>2807984.8242600001</v>
      </c>
      <c r="G20" s="644">
        <f>+E20</f>
        <v>3.2340000000000001E-2</v>
      </c>
      <c r="H20" s="609">
        <f>$D20*G20</f>
        <v>2807984.8242600001</v>
      </c>
      <c r="I20" s="644">
        <f>+G20</f>
        <v>3.2340000000000001E-2</v>
      </c>
      <c r="J20" s="609">
        <f>$D20*I20</f>
        <v>2807984.8242600001</v>
      </c>
      <c r="K20" s="694">
        <f>'Rate Design'!G36</f>
        <v>3.2340000000000001E-2</v>
      </c>
      <c r="L20" s="609">
        <f>K20*D20</f>
        <v>2807984.8242600001</v>
      </c>
    </row>
    <row r="21" spans="1:13">
      <c r="A21" s="606"/>
      <c r="B21" s="639"/>
      <c r="C21" s="637"/>
      <c r="D21" s="611"/>
      <c r="E21" s="643"/>
      <c r="F21" s="609"/>
      <c r="G21" s="643"/>
      <c r="H21" s="609"/>
      <c r="I21" s="643"/>
      <c r="J21" s="609"/>
      <c r="K21" s="610"/>
      <c r="L21" s="609"/>
    </row>
    <row r="22" spans="1:13">
      <c r="A22" s="606">
        <f t="shared" ref="A22" si="1">A20+1</f>
        <v>4</v>
      </c>
      <c r="B22" s="639" t="s">
        <v>356</v>
      </c>
      <c r="C22" s="645" t="s">
        <v>357</v>
      </c>
      <c r="D22" s="611">
        <f>'Rate Design'!C35</f>
        <v>323618.5</v>
      </c>
      <c r="E22" s="646">
        <v>0</v>
      </c>
      <c r="F22" s="609">
        <f>($D22*E22)</f>
        <v>0</v>
      </c>
      <c r="G22" s="642">
        <f>TRUNC($K22*0.25,2)</f>
        <v>2.5</v>
      </c>
      <c r="H22" s="609">
        <f>($D22*G22)</f>
        <v>809046.25</v>
      </c>
      <c r="I22" s="642">
        <f>TRUNC($K22*0.5,2)</f>
        <v>5</v>
      </c>
      <c r="J22" s="609">
        <f>($D22*I22)</f>
        <v>1618092.5</v>
      </c>
      <c r="K22" s="691">
        <f>'Rate Design'!G35</f>
        <v>10</v>
      </c>
      <c r="L22" s="609">
        <f>D22*K22</f>
        <v>3236185</v>
      </c>
    </row>
    <row r="23" spans="1:13">
      <c r="A23" s="606"/>
      <c r="B23" s="639"/>
      <c r="C23" s="637"/>
      <c r="D23" s="611"/>
      <c r="E23" s="643"/>
      <c r="F23" s="609"/>
      <c r="G23" s="643"/>
      <c r="H23" s="609"/>
      <c r="I23" s="643"/>
      <c r="J23" s="609"/>
      <c r="K23" s="610"/>
      <c r="L23" s="609"/>
    </row>
    <row r="24" spans="1:13">
      <c r="A24" s="606">
        <f t="shared" ref="A24" si="2">A22+1</f>
        <v>5</v>
      </c>
      <c r="B24" s="695" t="s">
        <v>358</v>
      </c>
      <c r="C24" s="682" t="s">
        <v>355</v>
      </c>
      <c r="D24" s="696">
        <f>+D20</f>
        <v>86826989</v>
      </c>
      <c r="E24" s="644">
        <f>TRUNC((L22)/D24,5)</f>
        <v>3.7269999999999998E-2</v>
      </c>
      <c r="F24" s="609">
        <f>($D24*E24)</f>
        <v>3236041.8800299997</v>
      </c>
      <c r="G24" s="644">
        <f>TRUNC((L22-H22)/$D24,5)</f>
        <v>2.7949999999999999E-2</v>
      </c>
      <c r="H24" s="609">
        <f>($D24*G24)</f>
        <v>2426814.3425499997</v>
      </c>
      <c r="I24" s="644">
        <f>TRUNC((L22-J22)/$D24,5)</f>
        <v>1.8630000000000001E-2</v>
      </c>
      <c r="J24" s="609">
        <f>($D24*I24)</f>
        <v>1617586.80507</v>
      </c>
      <c r="L24" s="697"/>
    </row>
    <row r="25" spans="1:13">
      <c r="A25" s="606"/>
      <c r="B25" s="639"/>
      <c r="C25" s="645"/>
      <c r="D25" s="611"/>
      <c r="E25" s="643"/>
      <c r="F25" s="609"/>
      <c r="G25" s="643"/>
      <c r="H25" s="609"/>
      <c r="I25" s="643"/>
      <c r="J25" s="609"/>
      <c r="K25" s="610"/>
      <c r="L25" s="609"/>
    </row>
    <row r="26" spans="1:13">
      <c r="A26" s="606">
        <f t="shared" ref="A26" si="3">A24+1</f>
        <v>6</v>
      </c>
      <c r="B26" s="647" t="s">
        <v>210</v>
      </c>
      <c r="C26" s="648"/>
      <c r="D26" s="605"/>
      <c r="E26" s="644"/>
      <c r="F26" s="607">
        <f>SUM(F18:F25)</f>
        <v>6262002.1562900003</v>
      </c>
      <c r="G26" s="644"/>
      <c r="H26" s="607">
        <f>SUM(H18:H25)</f>
        <v>6261820.8688099999</v>
      </c>
      <c r="I26" s="644"/>
      <c r="J26" s="607">
        <f>SUM(J18:J25)</f>
        <v>6261639.5813299995</v>
      </c>
      <c r="K26" s="608"/>
      <c r="L26" s="607">
        <f>SUM(L18:L25)</f>
        <v>6262145.2762599997</v>
      </c>
    </row>
    <row r="27" spans="1:13">
      <c r="A27" s="606"/>
      <c r="B27" s="647"/>
      <c r="C27" s="648"/>
      <c r="D27" s="605"/>
      <c r="E27" s="604"/>
      <c r="F27" s="602"/>
      <c r="G27" s="604"/>
      <c r="H27" s="602"/>
      <c r="I27" s="604"/>
      <c r="J27" s="602"/>
      <c r="K27" s="603"/>
      <c r="L27" s="602"/>
    </row>
    <row r="28" spans="1:13">
      <c r="A28" s="606">
        <f t="shared" ref="A28" si="4">A26+1</f>
        <v>7</v>
      </c>
      <c r="B28" s="647" t="s">
        <v>359</v>
      </c>
      <c r="C28" s="648"/>
      <c r="D28" s="605"/>
      <c r="E28" s="604"/>
      <c r="F28" s="602">
        <f>F26-F16</f>
        <v>-143.11996999941766</v>
      </c>
      <c r="G28" s="604"/>
      <c r="H28" s="602">
        <f>H26-H16</f>
        <v>-324.40744999982417</v>
      </c>
      <c r="I28" s="604"/>
      <c r="J28" s="602">
        <f>J26-J16</f>
        <v>-505.69493000023067</v>
      </c>
      <c r="K28" s="603"/>
      <c r="L28" s="602">
        <f>L26-L16</f>
        <v>0</v>
      </c>
    </row>
    <row r="29" spans="1:13">
      <c r="A29" s="606"/>
      <c r="B29" s="695"/>
      <c r="D29" s="697"/>
      <c r="F29" s="697"/>
      <c r="G29" s="695"/>
      <c r="H29" s="697"/>
      <c r="I29" s="695"/>
      <c r="J29" s="697"/>
      <c r="K29" s="695"/>
      <c r="L29" s="697"/>
    </row>
    <row r="30" spans="1:13">
      <c r="B30" s="698" t="s">
        <v>360</v>
      </c>
      <c r="C30" s="699"/>
      <c r="D30" s="700"/>
      <c r="E30" s="699"/>
      <c r="F30" s="700"/>
      <c r="G30" s="701"/>
      <c r="H30" s="700"/>
      <c r="I30" s="701"/>
      <c r="J30" s="700"/>
      <c r="K30" s="701"/>
      <c r="L30" s="700"/>
    </row>
    <row r="31" spans="1:13">
      <c r="A31" s="606">
        <f>A28+1</f>
        <v>8</v>
      </c>
      <c r="B31" s="695" t="s">
        <v>134</v>
      </c>
      <c r="D31" s="697"/>
      <c r="E31" s="702">
        <f>+E18</f>
        <v>12</v>
      </c>
      <c r="F31" s="697"/>
      <c r="G31" s="703">
        <f>+G18</f>
        <v>12</v>
      </c>
      <c r="H31" s="697"/>
      <c r="I31" s="703">
        <f>+I18</f>
        <v>12</v>
      </c>
      <c r="J31" s="697"/>
      <c r="K31" s="703">
        <f>+K18</f>
        <v>12</v>
      </c>
      <c r="L31" s="697"/>
    </row>
    <row r="32" spans="1:13">
      <c r="A32" s="606">
        <f>A31+1</f>
        <v>9</v>
      </c>
      <c r="B32" s="695" t="s">
        <v>354</v>
      </c>
      <c r="C32" s="682" t="s">
        <v>355</v>
      </c>
      <c r="D32" s="697"/>
      <c r="E32" s="704">
        <f>+E20+E24</f>
        <v>6.9610000000000005E-2</v>
      </c>
      <c r="F32" s="697"/>
      <c r="G32" s="705">
        <f>+G20+G24</f>
        <v>6.0289999999999996E-2</v>
      </c>
      <c r="H32" s="697"/>
      <c r="I32" s="705">
        <f>+I20+I24</f>
        <v>5.0970000000000001E-2</v>
      </c>
      <c r="J32" s="697"/>
      <c r="K32" s="705">
        <f>+K20</f>
        <v>3.2340000000000001E-2</v>
      </c>
      <c r="L32" s="697"/>
    </row>
    <row r="33" spans="1:12">
      <c r="A33" s="606">
        <f>A32+1</f>
        <v>10</v>
      </c>
      <c r="B33" s="701" t="s">
        <v>356</v>
      </c>
      <c r="C33" s="699" t="s">
        <v>357</v>
      </c>
      <c r="D33" s="700"/>
      <c r="E33" s="706">
        <f>+E22</f>
        <v>0</v>
      </c>
      <c r="F33" s="700"/>
      <c r="G33" s="707">
        <f>+G22</f>
        <v>2.5</v>
      </c>
      <c r="H33" s="700"/>
      <c r="I33" s="707">
        <f>+I22</f>
        <v>5</v>
      </c>
      <c r="J33" s="700"/>
      <c r="K33" s="707">
        <f>+K22</f>
        <v>10</v>
      </c>
      <c r="L33" s="700"/>
    </row>
    <row r="34" spans="1:12">
      <c r="A34" s="708"/>
      <c r="D34" s="697"/>
      <c r="E34" s="702"/>
      <c r="F34" s="697"/>
      <c r="G34" s="702"/>
      <c r="H34" s="697"/>
      <c r="I34" s="702"/>
      <c r="J34" s="697"/>
      <c r="K34" s="703"/>
      <c r="L34" s="697"/>
    </row>
    <row r="35" spans="1:12">
      <c r="A35" s="619"/>
      <c r="B35" s="649" t="s">
        <v>147</v>
      </c>
      <c r="C35" s="650"/>
      <c r="D35" s="651"/>
      <c r="E35" s="685"/>
      <c r="F35" s="709"/>
      <c r="G35" s="685"/>
      <c r="H35" s="709"/>
      <c r="I35" s="685"/>
      <c r="J35" s="709"/>
      <c r="K35" s="652"/>
      <c r="L35" s="653"/>
    </row>
    <row r="36" spans="1:12">
      <c r="A36" s="619"/>
      <c r="B36" s="639"/>
      <c r="C36" s="637"/>
      <c r="D36" s="616"/>
      <c r="F36" s="697"/>
      <c r="H36" s="697"/>
      <c r="J36" s="697"/>
      <c r="K36" s="618"/>
      <c r="L36" s="617"/>
    </row>
    <row r="37" spans="1:12">
      <c r="A37" s="631">
        <f>A33+1</f>
        <v>11</v>
      </c>
      <c r="B37" s="639" t="s">
        <v>352</v>
      </c>
      <c r="C37" s="637"/>
      <c r="D37" s="616"/>
      <c r="F37" s="710">
        <f>L37</f>
        <v>4245756.1868799999</v>
      </c>
      <c r="H37" s="710">
        <f>F37</f>
        <v>4245756.1868799999</v>
      </c>
      <c r="J37" s="710">
        <f>H37</f>
        <v>4245756.1868799999</v>
      </c>
      <c r="K37" s="630"/>
      <c r="L37" s="607">
        <f>SUM(L39, L43:L45)</f>
        <v>4245756.1868799999</v>
      </c>
    </row>
    <row r="38" spans="1:12">
      <c r="A38" s="606"/>
      <c r="B38" s="654"/>
      <c r="C38" s="655"/>
      <c r="D38" s="626"/>
      <c r="F38" s="697"/>
      <c r="H38" s="697"/>
      <c r="J38" s="697"/>
      <c r="K38" s="630"/>
      <c r="L38" s="613"/>
    </row>
    <row r="39" spans="1:12">
      <c r="A39" s="631">
        <f>A37+1</f>
        <v>12</v>
      </c>
      <c r="B39" s="639" t="s">
        <v>134</v>
      </c>
      <c r="C39" s="637" t="s">
        <v>353</v>
      </c>
      <c r="D39" s="611">
        <f>'Rate Design'!C44</f>
        <v>339</v>
      </c>
      <c r="E39" s="702">
        <f>K39</f>
        <v>338.75</v>
      </c>
      <c r="F39" s="711">
        <f>($D39*E39)</f>
        <v>114836.25</v>
      </c>
      <c r="G39" s="702">
        <f>E39</f>
        <v>338.75</v>
      </c>
      <c r="H39" s="711">
        <f>($D39*G39)</f>
        <v>114836.25</v>
      </c>
      <c r="I39" s="702">
        <f>G39</f>
        <v>338.75</v>
      </c>
      <c r="J39" s="711">
        <f>($D39*I39)</f>
        <v>114836.25</v>
      </c>
      <c r="K39" s="691">
        <f>'Rate Design'!G44</f>
        <v>338.75</v>
      </c>
      <c r="L39" s="609">
        <f>(D39*K39)</f>
        <v>114836.25</v>
      </c>
    </row>
    <row r="40" spans="1:12">
      <c r="A40" s="606"/>
      <c r="B40" s="639"/>
      <c r="C40" s="637"/>
      <c r="D40" s="611"/>
      <c r="F40" s="697"/>
      <c r="H40" s="697"/>
      <c r="J40" s="697"/>
      <c r="K40" s="625"/>
      <c r="L40" s="609"/>
    </row>
    <row r="41" spans="1:12">
      <c r="A41" s="631">
        <f>A39+1</f>
        <v>13</v>
      </c>
      <c r="B41" s="639" t="s">
        <v>361</v>
      </c>
      <c r="C41" s="637" t="s">
        <v>362</v>
      </c>
      <c r="D41" s="611">
        <f>'Rate Design'!C50</f>
        <v>50297243</v>
      </c>
      <c r="E41" s="644">
        <f>K41</f>
        <v>1.8280000000000001E-2</v>
      </c>
      <c r="F41" s="711">
        <f>$D41*E41</f>
        <v>919433.60204000003</v>
      </c>
      <c r="G41" s="644">
        <f>E41</f>
        <v>1.8280000000000001E-2</v>
      </c>
      <c r="H41" s="711">
        <f>($D41*G41)</f>
        <v>919433.60204000003</v>
      </c>
      <c r="I41" s="644">
        <f>G41</f>
        <v>1.8280000000000001E-2</v>
      </c>
      <c r="J41" s="711">
        <f>$D41*I41</f>
        <v>919433.60204000003</v>
      </c>
      <c r="K41" s="694">
        <f>'Rate Design'!G50</f>
        <v>1.8280000000000001E-2</v>
      </c>
      <c r="L41" s="609">
        <f>(D41*K41)</f>
        <v>919433.60204000003</v>
      </c>
    </row>
    <row r="42" spans="1:12">
      <c r="A42" s="606">
        <f>A41+1</f>
        <v>14</v>
      </c>
      <c r="B42" s="639" t="s">
        <v>363</v>
      </c>
      <c r="C42" s="637" t="s">
        <v>364</v>
      </c>
      <c r="D42" s="712">
        <f>'Rate Design'!C51</f>
        <v>77729812</v>
      </c>
      <c r="E42" s="644">
        <f>K42</f>
        <v>4.0699999999999998E-3</v>
      </c>
      <c r="F42" s="713">
        <f>($D42*E42)</f>
        <v>316360.33483999997</v>
      </c>
      <c r="G42" s="644">
        <f>E42</f>
        <v>4.0699999999999998E-3</v>
      </c>
      <c r="H42" s="713">
        <f>($D42*G42)</f>
        <v>316360.33483999997</v>
      </c>
      <c r="I42" s="644">
        <f>G42</f>
        <v>4.0699999999999998E-3</v>
      </c>
      <c r="J42" s="713">
        <f>($D42*I42)</f>
        <v>316360.33483999997</v>
      </c>
      <c r="K42" s="694">
        <f>'Rate Design'!G51</f>
        <v>4.0699999999999998E-3</v>
      </c>
      <c r="L42" s="629">
        <f>(D42*K42)</f>
        <v>316360.33483999997</v>
      </c>
    </row>
    <row r="43" spans="1:12">
      <c r="A43" s="606">
        <f>A42+1</f>
        <v>15</v>
      </c>
      <c r="B43" s="656" t="s">
        <v>365</v>
      </c>
      <c r="C43" s="637"/>
      <c r="D43" s="611">
        <f>D41+D42</f>
        <v>128027055</v>
      </c>
      <c r="F43" s="628">
        <f>F41+F42</f>
        <v>1235793.9368799999</v>
      </c>
      <c r="H43" s="628">
        <f>H41+H42</f>
        <v>1235793.9368799999</v>
      </c>
      <c r="J43" s="628">
        <f>J41+J42</f>
        <v>1235793.9368799999</v>
      </c>
      <c r="K43" s="625"/>
      <c r="L43" s="628">
        <f>L41+L42</f>
        <v>1235793.9368799999</v>
      </c>
    </row>
    <row r="44" spans="1:12">
      <c r="A44" s="606"/>
      <c r="B44" s="639"/>
      <c r="C44" s="657"/>
      <c r="D44" s="611"/>
      <c r="F44" s="697"/>
      <c r="H44" s="697"/>
      <c r="J44" s="697"/>
      <c r="K44" s="625"/>
      <c r="L44" s="609"/>
    </row>
    <row r="45" spans="1:12">
      <c r="A45" s="631">
        <f>A43+1</f>
        <v>16</v>
      </c>
      <c r="B45" s="639" t="s">
        <v>366</v>
      </c>
      <c r="C45" s="637" t="s">
        <v>367</v>
      </c>
      <c r="D45" s="611">
        <f>'Rate Design'!C45</f>
        <v>296936</v>
      </c>
      <c r="E45" s="714">
        <v>0</v>
      </c>
      <c r="F45" s="711">
        <f>($D45*E45)</f>
        <v>0</v>
      </c>
      <c r="G45" s="714">
        <f>TRUNC($K45*0.25,2)</f>
        <v>2.4300000000000002</v>
      </c>
      <c r="H45" s="711">
        <f>($D45*G45)</f>
        <v>721554.4800000001</v>
      </c>
      <c r="I45" s="714">
        <f>TRUNC($K45*0.5,2)</f>
        <v>4.87</v>
      </c>
      <c r="J45" s="711">
        <f>($D45*I45)</f>
        <v>1446078.32</v>
      </c>
      <c r="K45" s="691">
        <f>'Rate Design'!G45</f>
        <v>9.75</v>
      </c>
      <c r="L45" s="609">
        <f>(K45*D45)</f>
        <v>2895126</v>
      </c>
    </row>
    <row r="46" spans="1:12">
      <c r="A46" s="606"/>
      <c r="B46" s="639"/>
      <c r="C46" s="637"/>
      <c r="D46" s="611"/>
      <c r="F46" s="697"/>
      <c r="H46" s="697"/>
      <c r="J46" s="697"/>
      <c r="K46" s="625"/>
      <c r="L46" s="609"/>
    </row>
    <row r="47" spans="1:12">
      <c r="A47" s="631">
        <f>A45+1</f>
        <v>17</v>
      </c>
      <c r="B47" s="695" t="s">
        <v>358</v>
      </c>
      <c r="C47" s="637" t="s">
        <v>362</v>
      </c>
      <c r="D47" s="611">
        <f>+D41</f>
        <v>50297243</v>
      </c>
      <c r="E47" s="704">
        <f>TRUNC((L45)/$D49,5)</f>
        <v>2.2610000000000002E-2</v>
      </c>
      <c r="F47" s="711">
        <f>($D47*E47)</f>
        <v>1137220.66423</v>
      </c>
      <c r="G47" s="704">
        <f>TRUNC((L45-H45)/$D49,5)</f>
        <v>1.6969999999999999E-2</v>
      </c>
      <c r="H47" s="711">
        <f>($D47*G47)</f>
        <v>853544.21370999992</v>
      </c>
      <c r="I47" s="704">
        <f>TRUNC((L45-J45)/$D49,5)</f>
        <v>1.1310000000000001E-2</v>
      </c>
      <c r="J47" s="711">
        <f>($D47*I47)</f>
        <v>568861.81833000004</v>
      </c>
      <c r="K47" s="625"/>
      <c r="L47" s="609"/>
    </row>
    <row r="48" spans="1:12">
      <c r="A48" s="606">
        <f>A47+1</f>
        <v>18</v>
      </c>
      <c r="B48" s="695" t="s">
        <v>358</v>
      </c>
      <c r="C48" s="637" t="s">
        <v>364</v>
      </c>
      <c r="D48" s="712">
        <f>+D42</f>
        <v>77729812</v>
      </c>
      <c r="E48" s="704">
        <f>E47</f>
        <v>2.2610000000000002E-2</v>
      </c>
      <c r="F48" s="711">
        <f>($D48*E48)</f>
        <v>1757471.0493200002</v>
      </c>
      <c r="G48" s="704">
        <f>G47</f>
        <v>1.6969999999999999E-2</v>
      </c>
      <c r="H48" s="711">
        <f>($D48*G48)</f>
        <v>1319074.90964</v>
      </c>
      <c r="I48" s="704">
        <f>I47</f>
        <v>1.1310000000000001E-2</v>
      </c>
      <c r="J48" s="711">
        <f>($D48*I48)</f>
        <v>879124.17372000008</v>
      </c>
      <c r="K48" s="625"/>
      <c r="L48" s="609"/>
    </row>
    <row r="49" spans="1:12">
      <c r="A49" s="606">
        <f>A48+1</f>
        <v>19</v>
      </c>
      <c r="B49" s="656" t="s">
        <v>365</v>
      </c>
      <c r="C49" s="637" t="s">
        <v>355</v>
      </c>
      <c r="D49" s="611">
        <f>D47+D48</f>
        <v>128027055</v>
      </c>
      <c r="E49" s="704"/>
      <c r="F49" s="711"/>
      <c r="G49" s="704"/>
      <c r="H49" s="711"/>
      <c r="I49" s="704"/>
      <c r="J49" s="711"/>
      <c r="K49" s="625"/>
      <c r="L49" s="609"/>
    </row>
    <row r="50" spans="1:12">
      <c r="B50" s="639"/>
      <c r="C50" s="637"/>
      <c r="D50" s="611"/>
      <c r="F50" s="697"/>
      <c r="H50" s="697"/>
      <c r="J50" s="697"/>
      <c r="K50" s="625"/>
      <c r="L50" s="609"/>
    </row>
    <row r="51" spans="1:12">
      <c r="A51" s="631">
        <f>A49+1</f>
        <v>20</v>
      </c>
      <c r="B51" s="639" t="s">
        <v>210</v>
      </c>
      <c r="C51" s="637"/>
      <c r="D51" s="616"/>
      <c r="F51" s="607">
        <f>SUM(F39:F40)+SUM(F43:F50)</f>
        <v>4245321.9004300004</v>
      </c>
      <c r="H51" s="607">
        <f>SUM(H39:H40)+SUM(H43:H50)</f>
        <v>4244803.7902299995</v>
      </c>
      <c r="J51" s="607">
        <f>SUM(J39:J40)+SUM(J43:J50)</f>
        <v>4244694.4989300007</v>
      </c>
      <c r="K51" s="625"/>
      <c r="L51" s="607">
        <f>SUM(L43:L45, L39)</f>
        <v>4245756.1868799999</v>
      </c>
    </row>
    <row r="52" spans="1:12">
      <c r="A52" s="627"/>
      <c r="B52" s="654"/>
      <c r="C52" s="655"/>
      <c r="D52" s="626"/>
      <c r="F52" s="609"/>
      <c r="H52" s="609"/>
      <c r="J52" s="609"/>
      <c r="K52" s="625"/>
      <c r="L52" s="609"/>
    </row>
    <row r="53" spans="1:12">
      <c r="A53" s="631">
        <f>A51+1</f>
        <v>21</v>
      </c>
      <c r="B53" s="647" t="s">
        <v>359</v>
      </c>
      <c r="C53" s="648"/>
      <c r="D53" s="605"/>
      <c r="F53" s="623">
        <f>F51-F37</f>
        <v>-434.28644999954849</v>
      </c>
      <c r="H53" s="623">
        <f>H51-H37</f>
        <v>-952.39665000047535</v>
      </c>
      <c r="J53" s="623">
        <f>J51-J37</f>
        <v>-1061.6879499992356</v>
      </c>
      <c r="K53" s="624"/>
      <c r="L53" s="623">
        <f>L51-L37</f>
        <v>0</v>
      </c>
    </row>
    <row r="54" spans="1:12">
      <c r="B54" s="695"/>
      <c r="D54" s="697"/>
      <c r="F54" s="697"/>
      <c r="G54" s="695"/>
      <c r="H54" s="697"/>
      <c r="I54" s="695"/>
      <c r="J54" s="697"/>
      <c r="K54" s="695"/>
      <c r="L54" s="697"/>
    </row>
    <row r="55" spans="1:12">
      <c r="B55" s="698" t="s">
        <v>368</v>
      </c>
      <c r="C55" s="699"/>
      <c r="D55" s="700"/>
      <c r="E55" s="699"/>
      <c r="F55" s="700"/>
      <c r="G55" s="701"/>
      <c r="H55" s="700"/>
      <c r="I55" s="701"/>
      <c r="J55" s="700"/>
      <c r="K55" s="701"/>
      <c r="L55" s="700"/>
    </row>
    <row r="56" spans="1:12">
      <c r="A56" s="631">
        <f>A53+1</f>
        <v>22</v>
      </c>
      <c r="B56" s="695" t="s">
        <v>134</v>
      </c>
      <c r="D56" s="697"/>
      <c r="E56" s="702">
        <f>+E39</f>
        <v>338.75</v>
      </c>
      <c r="F56" s="697"/>
      <c r="G56" s="703">
        <f>+G39</f>
        <v>338.75</v>
      </c>
      <c r="H56" s="697"/>
      <c r="I56" s="703">
        <f>+I39</f>
        <v>338.75</v>
      </c>
      <c r="J56" s="697"/>
      <c r="K56" s="703">
        <f>+K39</f>
        <v>338.75</v>
      </c>
      <c r="L56" s="697"/>
    </row>
    <row r="57" spans="1:12">
      <c r="A57" s="606">
        <f>A56+1</f>
        <v>23</v>
      </c>
      <c r="B57" s="695" t="s">
        <v>354</v>
      </c>
      <c r="C57" s="637" t="s">
        <v>362</v>
      </c>
      <c r="D57" s="697"/>
      <c r="E57" s="704">
        <f>+E41+E47</f>
        <v>4.0890000000000003E-2</v>
      </c>
      <c r="F57" s="697"/>
      <c r="G57" s="705">
        <f>+G41+G47</f>
        <v>3.5250000000000004E-2</v>
      </c>
      <c r="H57" s="697"/>
      <c r="I57" s="705">
        <f>+I41+I47</f>
        <v>2.9590000000000002E-2</v>
      </c>
      <c r="J57" s="697"/>
      <c r="K57" s="705">
        <f>+K41</f>
        <v>1.8280000000000001E-2</v>
      </c>
      <c r="L57" s="697"/>
    </row>
    <row r="58" spans="1:12">
      <c r="A58" s="606">
        <f t="shared" ref="A58:A59" si="5">A57+1</f>
        <v>24</v>
      </c>
      <c r="B58" s="695" t="s">
        <v>354</v>
      </c>
      <c r="C58" s="637" t="s">
        <v>364</v>
      </c>
      <c r="D58" s="697"/>
      <c r="E58" s="704">
        <f>+E42+E48</f>
        <v>2.6680000000000002E-2</v>
      </c>
      <c r="F58" s="697"/>
      <c r="G58" s="705">
        <f>+G42+G48</f>
        <v>2.104E-2</v>
      </c>
      <c r="H58" s="697"/>
      <c r="I58" s="705">
        <f>+I42+I48</f>
        <v>1.5380000000000001E-2</v>
      </c>
      <c r="J58" s="697"/>
      <c r="K58" s="705">
        <f>+K42</f>
        <v>4.0699999999999998E-3</v>
      </c>
      <c r="L58" s="697"/>
    </row>
    <row r="59" spans="1:12">
      <c r="A59" s="606">
        <f t="shared" si="5"/>
        <v>25</v>
      </c>
      <c r="B59" s="701" t="s">
        <v>356</v>
      </c>
      <c r="C59" s="699" t="s">
        <v>357</v>
      </c>
      <c r="D59" s="700"/>
      <c r="E59" s="706">
        <f>+E45</f>
        <v>0</v>
      </c>
      <c r="F59" s="700"/>
      <c r="G59" s="707">
        <f>+G45</f>
        <v>2.4300000000000002</v>
      </c>
      <c r="H59" s="700"/>
      <c r="I59" s="707">
        <f>+I45</f>
        <v>4.87</v>
      </c>
      <c r="J59" s="700"/>
      <c r="K59" s="707">
        <f>+K45</f>
        <v>9.75</v>
      </c>
      <c r="L59" s="700"/>
    </row>
  </sheetData>
  <pageMargins left="0.5" right="0.5" top="0.5" bottom="0.5" header="0.3" footer="0.3"/>
  <pageSetup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83FB-A528-4178-9E01-232962F1B35B}">
  <sheetPr codeName="Sheet30">
    <pageSetUpPr fitToPage="1"/>
  </sheetPr>
  <dimension ref="A1:U43"/>
  <sheetViews>
    <sheetView workbookViewId="0">
      <selection activeCell="C23" sqref="C23"/>
    </sheetView>
  </sheetViews>
  <sheetFormatPr defaultColWidth="8.77734375" defaultRowHeight="15.6"/>
  <cols>
    <col min="1" max="1" width="8.109375" style="452" customWidth="1"/>
    <col min="2" max="2" width="25.21875" style="452" customWidth="1"/>
    <col min="3" max="3" width="24.21875" style="452" customWidth="1"/>
    <col min="4" max="4" width="4.77734375" style="452" customWidth="1"/>
    <col min="5" max="5" width="24.21875" style="452" customWidth="1"/>
    <col min="6" max="6" width="14.77734375" style="452" customWidth="1"/>
    <col min="7" max="7" width="11.21875" style="452" bestFit="1" customWidth="1"/>
    <col min="8" max="8" width="12.109375" style="452" customWidth="1"/>
    <col min="9" max="9" width="11.44140625" style="452" customWidth="1"/>
    <col min="10" max="10" width="12.21875" style="452" customWidth="1"/>
    <col min="11" max="11" width="12.77734375" style="452" customWidth="1"/>
    <col min="12" max="14" width="11.44140625" style="452" customWidth="1"/>
    <col min="15" max="15" width="12.44140625" style="452" customWidth="1"/>
    <col min="16" max="18" width="12.77734375" style="452" customWidth="1"/>
    <col min="19" max="19" width="11.21875" style="452" customWidth="1"/>
    <col min="20" max="20" width="10.44140625" style="452" customWidth="1"/>
    <col min="21" max="21" width="10.5546875" style="452" customWidth="1"/>
    <col min="22" max="16384" width="8.77734375" style="452"/>
  </cols>
  <sheetData>
    <row r="1" spans="1:21">
      <c r="C1" s="455"/>
      <c r="D1" s="455"/>
      <c r="E1" s="455"/>
      <c r="G1" s="500" t="s">
        <v>328</v>
      </c>
      <c r="H1" s="455"/>
    </row>
    <row r="2" spans="1:21">
      <c r="C2" s="500"/>
      <c r="D2" s="500"/>
      <c r="E2" s="500"/>
      <c r="G2" s="500" t="s">
        <v>329</v>
      </c>
    </row>
    <row r="3" spans="1:21">
      <c r="C3" s="500"/>
      <c r="D3" s="500"/>
      <c r="E3" s="500"/>
      <c r="G3" s="500" t="s">
        <v>32</v>
      </c>
    </row>
    <row r="4" spans="1:21">
      <c r="C4" s="500"/>
      <c r="D4" s="500"/>
      <c r="E4" s="500"/>
      <c r="G4" s="500" t="s">
        <v>330</v>
      </c>
    </row>
    <row r="5" spans="1:21">
      <c r="C5" s="455"/>
      <c r="D5" s="455"/>
      <c r="E5" s="455"/>
    </row>
    <row r="6" spans="1:21">
      <c r="A6" s="499" t="s">
        <v>328</v>
      </c>
      <c r="B6" s="499"/>
      <c r="C6" s="498"/>
      <c r="D6" s="498"/>
      <c r="E6" s="498"/>
      <c r="F6" s="498"/>
      <c r="G6" s="498"/>
    </row>
    <row r="7" spans="1:21">
      <c r="A7" s="498" t="s">
        <v>329</v>
      </c>
      <c r="B7" s="498"/>
      <c r="C7" s="498"/>
      <c r="D7" s="498"/>
      <c r="E7" s="498"/>
      <c r="F7" s="498"/>
      <c r="G7" s="498"/>
      <c r="H7" s="453"/>
      <c r="I7" s="453"/>
      <c r="J7" s="453"/>
      <c r="K7" s="453"/>
      <c r="M7" s="494"/>
    </row>
    <row r="8" spans="1:21">
      <c r="A8" s="497" t="s">
        <v>370</v>
      </c>
      <c r="B8" s="497"/>
      <c r="C8" s="497"/>
      <c r="D8" s="497"/>
      <c r="E8" s="497"/>
      <c r="F8" s="496"/>
      <c r="G8" s="496"/>
      <c r="H8" s="495"/>
      <c r="I8" s="495"/>
      <c r="J8" s="495"/>
      <c r="K8" s="495"/>
      <c r="M8" s="494"/>
    </row>
    <row r="9" spans="1:21">
      <c r="A9" s="497" t="s">
        <v>371</v>
      </c>
      <c r="B9" s="497"/>
      <c r="C9" s="497"/>
      <c r="D9" s="497"/>
      <c r="E9" s="497"/>
      <c r="F9" s="496"/>
      <c r="G9" s="496"/>
      <c r="H9" s="495"/>
      <c r="I9" s="495"/>
      <c r="J9" s="495"/>
      <c r="K9" s="495"/>
      <c r="M9" s="494"/>
    </row>
    <row r="10" spans="1:21">
      <c r="H10" s="493"/>
    </row>
    <row r="11" spans="1:21" ht="29.7" customHeight="1">
      <c r="A11" s="486"/>
      <c r="B11" s="492" t="s">
        <v>90</v>
      </c>
      <c r="C11" s="491" t="s">
        <v>372</v>
      </c>
      <c r="D11" s="490"/>
      <c r="E11" s="489" t="s">
        <v>373</v>
      </c>
      <c r="F11" s="488" t="s">
        <v>374</v>
      </c>
      <c r="G11" s="488" t="s">
        <v>375</v>
      </c>
      <c r="H11" s="170"/>
      <c r="I11" s="170"/>
      <c r="J11" s="170"/>
      <c r="K11" s="170"/>
      <c r="L11" s="471"/>
      <c r="M11" s="471"/>
      <c r="N11" s="471"/>
      <c r="O11" s="487"/>
      <c r="P11" s="170"/>
      <c r="Q11" s="487"/>
      <c r="R11" s="487"/>
      <c r="S11" s="487"/>
      <c r="T11" s="487"/>
      <c r="U11" s="487"/>
    </row>
    <row r="12" spans="1:21">
      <c r="A12" s="486"/>
      <c r="B12" s="471"/>
      <c r="C12" s="485"/>
      <c r="D12" s="485"/>
      <c r="E12" s="485"/>
      <c r="F12" s="484"/>
      <c r="G12" s="484"/>
      <c r="H12" s="484"/>
      <c r="I12" s="484"/>
      <c r="J12" s="453"/>
      <c r="K12" s="484"/>
      <c r="L12" s="471"/>
      <c r="M12" s="471"/>
      <c r="N12" s="471"/>
      <c r="O12" s="170"/>
      <c r="P12" s="170"/>
      <c r="Q12" s="170"/>
      <c r="R12" s="170"/>
      <c r="S12" s="170"/>
      <c r="T12" s="170"/>
      <c r="U12" s="170"/>
    </row>
    <row r="13" spans="1:21">
      <c r="A13" s="453">
        <v>1</v>
      </c>
      <c r="B13" s="478" t="s">
        <v>376</v>
      </c>
      <c r="C13" s="456">
        <f>'Revenue Apportionment'!N10</f>
        <v>20932921.196261521</v>
      </c>
      <c r="D13" s="459"/>
      <c r="E13" s="476"/>
      <c r="F13" s="479"/>
      <c r="G13" s="475"/>
      <c r="H13" s="483"/>
      <c r="I13" s="467"/>
      <c r="J13" s="477">
        <f>C13/$C$27</f>
        <v>0.62280091817790262</v>
      </c>
      <c r="L13" s="467"/>
      <c r="M13" s="467"/>
      <c r="N13" s="467"/>
      <c r="O13" s="467"/>
      <c r="P13" s="467"/>
    </row>
    <row r="14" spans="1:21">
      <c r="A14" s="453">
        <f>+A13+1</f>
        <v>2</v>
      </c>
      <c r="B14" s="471" t="s">
        <v>377</v>
      </c>
      <c r="C14" s="459">
        <f>SUM(C13:C13)</f>
        <v>20932921.196261521</v>
      </c>
      <c r="D14" s="459"/>
      <c r="E14" s="476" t="s">
        <v>105</v>
      </c>
      <c r="F14" s="479">
        <f>C14</f>
        <v>20932921.196261521</v>
      </c>
      <c r="G14" s="475">
        <f>F14/$F$27</f>
        <v>0.62585559009879133</v>
      </c>
      <c r="H14" s="473"/>
      <c r="I14" s="474"/>
      <c r="J14" s="473"/>
      <c r="K14" s="463"/>
      <c r="N14" s="463"/>
      <c r="O14" s="472"/>
    </row>
    <row r="15" spans="1:21">
      <c r="A15" s="453">
        <f>+MAX(A$13:A14)+1</f>
        <v>3</v>
      </c>
      <c r="B15" s="471"/>
      <c r="C15" s="459"/>
      <c r="D15" s="459"/>
      <c r="E15" s="476"/>
      <c r="F15" s="479"/>
      <c r="G15" s="475"/>
      <c r="H15" s="473"/>
      <c r="I15" s="474"/>
      <c r="J15" s="473"/>
      <c r="K15" s="463"/>
      <c r="N15" s="463"/>
      <c r="O15" s="472"/>
    </row>
    <row r="16" spans="1:21">
      <c r="A16" s="453">
        <f>+MAX(A$13:A15)+1</f>
        <v>4</v>
      </c>
      <c r="B16" s="471" t="s">
        <v>43</v>
      </c>
      <c r="C16" s="459">
        <f>'Revenue Apportionment'!N11</f>
        <v>991010.59897016676</v>
      </c>
      <c r="D16" s="459"/>
      <c r="E16" s="476"/>
      <c r="F16" s="479"/>
      <c r="G16" s="475"/>
      <c r="H16" s="473"/>
      <c r="I16" s="472"/>
      <c r="J16" s="477">
        <f>C16/$C$27</f>
        <v>2.9484767327786113E-2</v>
      </c>
      <c r="K16" s="463"/>
      <c r="N16" s="463"/>
      <c r="O16" s="472"/>
    </row>
    <row r="17" spans="1:20">
      <c r="A17" s="453">
        <f>+MAX(A$13:A16)+1</f>
        <v>5</v>
      </c>
      <c r="B17" s="471"/>
      <c r="C17" s="459"/>
      <c r="D17" s="459"/>
      <c r="E17" s="476"/>
      <c r="F17" s="479"/>
      <c r="G17" s="475"/>
      <c r="H17" s="473"/>
      <c r="I17" s="472"/>
      <c r="J17" s="473"/>
      <c r="K17" s="463"/>
      <c r="N17" s="463"/>
      <c r="O17" s="472"/>
    </row>
    <row r="18" spans="1:20">
      <c r="A18" s="453">
        <f>+MAX(A$13:A17)+1</f>
        <v>6</v>
      </c>
      <c r="B18" s="471" t="s">
        <v>44</v>
      </c>
      <c r="C18" s="459">
        <f>'Revenue Apportionment'!N12</f>
        <v>6258272.3933231039</v>
      </c>
      <c r="D18" s="459"/>
      <c r="E18" s="476"/>
      <c r="F18" s="479"/>
      <c r="G18" s="475"/>
      <c r="H18" s="473"/>
      <c r="I18" s="472"/>
      <c r="J18" s="477">
        <f>C18/$C$27</f>
        <v>0.18619750947446095</v>
      </c>
      <c r="K18" s="463"/>
      <c r="N18" s="463"/>
      <c r="O18" s="472"/>
    </row>
    <row r="19" spans="1:20">
      <c r="A19" s="453">
        <f>+MAX(A$13:A18)+1</f>
        <v>7</v>
      </c>
      <c r="B19" s="471" t="s">
        <v>46</v>
      </c>
      <c r="C19" s="459">
        <f>'Revenue Apportionment'!N14</f>
        <v>9037.3223007435954</v>
      </c>
      <c r="D19" s="459"/>
      <c r="E19" s="476"/>
      <c r="F19" s="479"/>
      <c r="G19" s="475"/>
      <c r="H19" s="473"/>
      <c r="I19" s="473"/>
      <c r="J19" s="477">
        <f>C19/$C$27</f>
        <v>2.6888041922108562E-4</v>
      </c>
      <c r="K19" s="463"/>
      <c r="N19" s="463"/>
      <c r="O19" s="472"/>
    </row>
    <row r="20" spans="1:20">
      <c r="A20" s="453">
        <f>+MAX(A$13:A19)+1</f>
        <v>8</v>
      </c>
      <c r="B20" s="471" t="s">
        <v>47</v>
      </c>
      <c r="C20" s="456">
        <f>'Revenue Apportionment'!N15</f>
        <v>24153.842495361263</v>
      </c>
      <c r="D20" s="459"/>
      <c r="E20" s="476"/>
      <c r="F20" s="479"/>
      <c r="G20" s="475"/>
      <c r="H20" s="473"/>
      <c r="I20" s="472"/>
      <c r="J20" s="477">
        <f>C20/$C$27</f>
        <v>7.1863048365758051E-4</v>
      </c>
      <c r="K20" s="463"/>
      <c r="N20" s="463"/>
      <c r="O20" s="472"/>
    </row>
    <row r="21" spans="1:20">
      <c r="A21" s="453">
        <f>+MAX(A$13:A20)+1</f>
        <v>9</v>
      </c>
      <c r="B21" s="471" t="s">
        <v>378</v>
      </c>
      <c r="C21" s="482">
        <f>SUM(C18:C20)</f>
        <v>6291463.5581192086</v>
      </c>
      <c r="D21" s="482"/>
      <c r="E21" s="481" t="s">
        <v>379</v>
      </c>
      <c r="F21" s="479">
        <f>C21+C16</f>
        <v>7282474.157089375</v>
      </c>
      <c r="G21" s="475">
        <f>F21/$F$27</f>
        <v>0.21773249506038159</v>
      </c>
      <c r="H21" s="473"/>
      <c r="I21" s="472"/>
      <c r="J21" s="473"/>
      <c r="K21" s="463"/>
      <c r="N21" s="463"/>
      <c r="O21" s="472"/>
    </row>
    <row r="22" spans="1:20">
      <c r="A22" s="453">
        <f>+MAX(A$13:A21)+1</f>
        <v>10</v>
      </c>
      <c r="B22" s="471"/>
      <c r="C22" s="482"/>
      <c r="D22" s="482"/>
      <c r="E22" s="481"/>
      <c r="F22" s="479"/>
      <c r="G22" s="475"/>
      <c r="H22" s="473"/>
      <c r="I22" s="472"/>
      <c r="J22" s="473"/>
      <c r="K22" s="463"/>
      <c r="N22" s="463"/>
      <c r="O22" s="472"/>
    </row>
    <row r="23" spans="1:20">
      <c r="A23" s="453">
        <f>+MAX(A$13:A22)+1</f>
        <v>11</v>
      </c>
      <c r="B23" s="476" t="s">
        <v>380</v>
      </c>
      <c r="C23" s="459">
        <v>5020870.6549494239</v>
      </c>
      <c r="D23" s="459"/>
      <c r="E23" s="476" t="s">
        <v>380</v>
      </c>
      <c r="F23" s="479">
        <f>C23</f>
        <v>5020870.6549494239</v>
      </c>
      <c r="G23" s="475">
        <f>F23/$F$27</f>
        <v>0.15011473731264402</v>
      </c>
      <c r="H23" s="473"/>
      <c r="I23" s="472"/>
      <c r="J23" s="477">
        <f>C23/$C$27</f>
        <v>0.14938205827256684</v>
      </c>
      <c r="K23" s="463"/>
      <c r="N23" s="463"/>
      <c r="O23" s="472"/>
    </row>
    <row r="24" spans="1:20">
      <c r="A24" s="453">
        <f>+MAX(A$13:A23)+1</f>
        <v>12</v>
      </c>
      <c r="B24" s="480"/>
      <c r="C24" s="459"/>
      <c r="D24" s="459"/>
      <c r="E24" s="476"/>
      <c r="F24" s="479"/>
      <c r="G24" s="475"/>
      <c r="H24" s="473"/>
      <c r="I24" s="472"/>
      <c r="J24" s="473"/>
      <c r="K24" s="463"/>
      <c r="N24" s="463"/>
      <c r="O24" s="472"/>
    </row>
    <row r="25" spans="1:20">
      <c r="A25" s="453">
        <f>+MAX(A$13:A24)+1</f>
        <v>13</v>
      </c>
      <c r="B25" s="471" t="s">
        <v>381</v>
      </c>
      <c r="C25" s="459">
        <f>'Revenue Apportionment'!N16+'Revenue Apportionment'!N17</f>
        <v>374669.01970818086</v>
      </c>
      <c r="D25" s="459"/>
      <c r="E25" s="478" t="s">
        <v>382</v>
      </c>
      <c r="F25" s="476">
        <f>+F42</f>
        <v>210620.98516291589</v>
      </c>
      <c r="G25" s="475">
        <f>F25/$F$27</f>
        <v>6.2971775281830877E-3</v>
      </c>
      <c r="H25" s="472"/>
      <c r="I25" s="474"/>
      <c r="J25" s="477">
        <f>C25/$C$27</f>
        <v>1.1147235844404909E-2</v>
      </c>
      <c r="K25" s="463"/>
      <c r="N25" s="463"/>
      <c r="O25" s="472"/>
    </row>
    <row r="26" spans="1:20">
      <c r="A26" s="453">
        <f>+MAX(A$13:A25)+1</f>
        <v>14</v>
      </c>
      <c r="B26" s="471"/>
      <c r="C26" s="459"/>
      <c r="D26" s="459"/>
      <c r="E26" s="476"/>
      <c r="F26" s="461"/>
      <c r="G26" s="475"/>
      <c r="H26" s="472"/>
      <c r="I26" s="474"/>
      <c r="J26" s="473"/>
      <c r="K26" s="463"/>
      <c r="N26" s="463"/>
      <c r="O26" s="472"/>
    </row>
    <row r="27" spans="1:20">
      <c r="A27" s="453">
        <f>+MAX(A$13:A26)+1</f>
        <v>15</v>
      </c>
      <c r="B27" s="471" t="s">
        <v>383</v>
      </c>
      <c r="C27" s="459">
        <f>SUM(C25,C23,C21,C14,C16)</f>
        <v>33610935.028008498</v>
      </c>
      <c r="D27" s="459"/>
      <c r="E27" s="471" t="s">
        <v>383</v>
      </c>
      <c r="F27" s="1032">
        <f>F25+F23+F21+F14</f>
        <v>33446886.993463237</v>
      </c>
      <c r="G27" s="470">
        <f>G25+G23+G21+G14</f>
        <v>1</v>
      </c>
      <c r="H27" s="453"/>
      <c r="I27" s="469"/>
      <c r="J27" s="468">
        <f>SUM(J13:J25)</f>
        <v>1.0000000000000002</v>
      </c>
      <c r="N27" s="463"/>
      <c r="O27" s="467"/>
      <c r="P27" s="467"/>
      <c r="Q27" s="467"/>
      <c r="R27" s="467"/>
      <c r="S27" s="467"/>
      <c r="T27" s="467"/>
    </row>
    <row r="28" spans="1:20">
      <c r="A28" s="453">
        <f>+MAX(A$13:A27)+1</f>
        <v>16</v>
      </c>
      <c r="C28" s="466"/>
      <c r="D28" s="466"/>
      <c r="E28" s="466"/>
      <c r="F28" s="465"/>
      <c r="G28" s="453"/>
      <c r="H28" s="463"/>
      <c r="I28" s="463"/>
      <c r="J28" s="463"/>
    </row>
    <row r="29" spans="1:20" ht="28.2" customHeight="1">
      <c r="A29" s="453">
        <f>+MAX(A$13:A28)+1</f>
        <v>17</v>
      </c>
      <c r="B29" s="1044" t="s">
        <v>384</v>
      </c>
      <c r="C29" s="1044"/>
      <c r="D29" s="464"/>
      <c r="E29" s="1044" t="s">
        <v>385</v>
      </c>
      <c r="F29" s="1044"/>
      <c r="G29" s="1044"/>
      <c r="H29" s="463"/>
      <c r="I29" s="463"/>
      <c r="J29" s="463"/>
    </row>
    <row r="30" spans="1:20">
      <c r="A30" s="453">
        <f>+MAX(A$13:A29)+1</f>
        <v>18</v>
      </c>
    </row>
    <row r="31" spans="1:20">
      <c r="A31" s="453">
        <f>+MAX(A$13:A30)+1</f>
        <v>19</v>
      </c>
      <c r="B31" s="462" t="s">
        <v>386</v>
      </c>
      <c r="C31" s="462"/>
    </row>
    <row r="32" spans="1:20">
      <c r="A32" s="453">
        <f>+MAX(A$13:A31)+1</f>
        <v>20</v>
      </c>
      <c r="B32" s="452" t="s">
        <v>387</v>
      </c>
      <c r="F32" s="459">
        <f>'Revenue Apportionment'!N16</f>
        <v>319067.58375545836</v>
      </c>
    </row>
    <row r="33" spans="1:7">
      <c r="A33" s="453">
        <f>+MAX(A$13:A32)+1</f>
        <v>21</v>
      </c>
    </row>
    <row r="34" spans="1:7">
      <c r="A34" s="453">
        <f>+MAX(A$13:A33)+1</f>
        <v>22</v>
      </c>
      <c r="B34" s="452" t="s">
        <v>388</v>
      </c>
      <c r="E34" s="459">
        <v>221382.85009893571</v>
      </c>
      <c r="F34" s="457">
        <f>+E34/E36</f>
        <v>0.51414823346954486</v>
      </c>
      <c r="G34" s="573" t="s">
        <v>389</v>
      </c>
    </row>
    <row r="35" spans="1:7">
      <c r="A35" s="453">
        <f>+MAX(A$13:A34)+1</f>
        <v>23</v>
      </c>
      <c r="B35" s="452" t="s">
        <v>390</v>
      </c>
      <c r="E35" s="460">
        <f>+E36-E34</f>
        <v>209198.90762687224</v>
      </c>
      <c r="F35" s="457">
        <f>+E35/E36</f>
        <v>0.48585176653045514</v>
      </c>
    </row>
    <row r="36" spans="1:7">
      <c r="A36" s="453">
        <f>+MAX(A$13:A35)+1</f>
        <v>24</v>
      </c>
      <c r="B36" s="452" t="s">
        <v>391</v>
      </c>
      <c r="E36" s="459">
        <v>430581.75772580795</v>
      </c>
      <c r="F36" s="458"/>
      <c r="G36" s="573" t="s">
        <v>389</v>
      </c>
    </row>
    <row r="37" spans="1:7">
      <c r="A37" s="453">
        <f>+MAX(A$13:A36)+1</f>
        <v>25</v>
      </c>
      <c r="F37" s="457"/>
    </row>
    <row r="38" spans="1:7">
      <c r="A38" s="453">
        <f>+MAX(A$13:A37)+1</f>
        <v>26</v>
      </c>
      <c r="B38" s="452" t="s">
        <v>392</v>
      </c>
      <c r="E38" s="455" t="s">
        <v>393</v>
      </c>
      <c r="F38" s="454">
        <f>+F32*F35</f>
        <v>155019.54921019339</v>
      </c>
    </row>
    <row r="39" spans="1:7">
      <c r="A39" s="453">
        <f>+MAX(A$13:A38)+1</f>
        <v>27</v>
      </c>
    </row>
    <row r="40" spans="1:7">
      <c r="A40" s="453">
        <f>+MAX(A$13:A39)+1</f>
        <v>28</v>
      </c>
      <c r="B40" s="452" t="s">
        <v>394</v>
      </c>
      <c r="F40" s="456">
        <f>'Revenue Apportionment'!N17</f>
        <v>55601.435952722502</v>
      </c>
    </row>
    <row r="41" spans="1:7">
      <c r="A41" s="453">
        <f>+MAX(A$13:A40)+1</f>
        <v>29</v>
      </c>
    </row>
    <row r="42" spans="1:7">
      <c r="A42" s="453">
        <f>+MAX(A$13:A41)+1</f>
        <v>30</v>
      </c>
      <c r="B42" s="452" t="s">
        <v>395</v>
      </c>
      <c r="E42" s="455" t="s">
        <v>396</v>
      </c>
      <c r="F42" s="454">
        <f>+F38+F40</f>
        <v>210620.98516291589</v>
      </c>
    </row>
    <row r="43" spans="1:7">
      <c r="A43" s="453"/>
    </row>
  </sheetData>
  <mergeCells count="2">
    <mergeCell ref="B29:C29"/>
    <mergeCell ref="E29:G29"/>
  </mergeCells>
  <pageMargins left="0.75" right="0.75" top="1" bottom="0.75" header="0.46" footer="0.3"/>
  <pageSetup scale="7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8F0B-93BA-4F90-A52E-218B23FC951D}">
  <sheetPr>
    <tabColor rgb="FFFFFF00"/>
  </sheetPr>
  <dimension ref="A1"/>
  <sheetViews>
    <sheetView workbookViewId="0"/>
  </sheetViews>
  <sheetFormatPr defaultRowHeight="13.8"/>
  <cols>
    <col min="1" max="1" width="53.77734375" bestFit="1" customWidth="1"/>
  </cols>
  <sheetData>
    <row r="1" spans="1:1" ht="14.4">
      <c r="A1" s="988" t="s">
        <v>397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/>
  <dimension ref="A1:N43"/>
  <sheetViews>
    <sheetView workbookViewId="0"/>
  </sheetViews>
  <sheetFormatPr defaultColWidth="9.109375" defaultRowHeight="14.4"/>
  <cols>
    <col min="1" max="1" width="5.5546875" style="369" customWidth="1"/>
    <col min="2" max="2" width="37.77734375" style="369" bestFit="1" customWidth="1"/>
    <col min="3" max="3" width="14.21875" style="369" bestFit="1" customWidth="1"/>
    <col min="4" max="4" width="14.77734375" style="369" bestFit="1" customWidth="1"/>
    <col min="5" max="5" width="14.77734375" style="369" customWidth="1"/>
    <col min="6" max="6" width="30.44140625" style="369" customWidth="1"/>
    <col min="7" max="7" width="10.109375" style="369" customWidth="1"/>
    <col min="8" max="8" width="11.77734375" style="369" bestFit="1" customWidth="1"/>
    <col min="9" max="9" width="10" style="369" customWidth="1"/>
    <col min="10" max="10" width="10.109375" style="369" bestFit="1" customWidth="1"/>
    <col min="11" max="11" width="9.21875" style="369" bestFit="1" customWidth="1"/>
    <col min="12" max="12" width="11.77734375" style="369" customWidth="1"/>
    <col min="13" max="13" width="9.21875" style="369" bestFit="1" customWidth="1"/>
    <col min="14" max="14" width="10" style="369" bestFit="1" customWidth="1"/>
    <col min="15" max="16384" width="9.109375" style="369"/>
  </cols>
  <sheetData>
    <row r="1" spans="1:14">
      <c r="A1" s="6" t="str">
        <f>'Rate Design Lighting'!A1</f>
        <v>Fitchburg Gas and Electric Light Company</v>
      </c>
      <c r="D1" s="4"/>
      <c r="E1" s="4"/>
    </row>
    <row r="2" spans="1:14">
      <c r="A2" s="4" t="s">
        <v>21</v>
      </c>
    </row>
    <row r="3" spans="1:14">
      <c r="A3" s="893" t="s">
        <v>804</v>
      </c>
    </row>
    <row r="4" spans="1:14">
      <c r="B4" s="894"/>
      <c r="C4" s="894"/>
      <c r="D4" s="894"/>
      <c r="E4" s="894"/>
    </row>
    <row r="5" spans="1:14" ht="9" customHeight="1">
      <c r="B5" s="9"/>
      <c r="C5" s="9"/>
      <c r="D5" s="9"/>
      <c r="E5" s="9"/>
    </row>
    <row r="6" spans="1:14" ht="28.8">
      <c r="A6" s="995" t="s">
        <v>3</v>
      </c>
      <c r="B6" s="995" t="s">
        <v>125</v>
      </c>
      <c r="C6" s="995" t="s">
        <v>127</v>
      </c>
      <c r="D6" s="995" t="s">
        <v>129</v>
      </c>
      <c r="E6" s="895"/>
      <c r="F6" s="896"/>
      <c r="G6" s="896"/>
      <c r="H6" s="1045" t="s">
        <v>398</v>
      </c>
      <c r="I6" s="1045" t="s">
        <v>127</v>
      </c>
      <c r="J6" s="1045" t="s">
        <v>399</v>
      </c>
      <c r="K6" s="1045" t="s">
        <v>400</v>
      </c>
      <c r="L6" s="1045" t="s">
        <v>401</v>
      </c>
      <c r="M6" s="1045" t="s">
        <v>402</v>
      </c>
      <c r="N6" s="897" t="s">
        <v>403</v>
      </c>
    </row>
    <row r="7" spans="1:14">
      <c r="A7" s="9">
        <v>1</v>
      </c>
      <c r="B7" s="898" t="str">
        <f>'Rate Design'!B7</f>
        <v>RD-1: Residential</v>
      </c>
      <c r="C7" s="899"/>
      <c r="D7" s="899"/>
      <c r="F7" s="900" t="s">
        <v>404</v>
      </c>
      <c r="G7" s="900" t="s">
        <v>405</v>
      </c>
      <c r="H7" s="1045"/>
      <c r="I7" s="1045"/>
      <c r="J7" s="1045"/>
      <c r="K7" s="1045"/>
      <c r="L7" s="1045"/>
      <c r="M7" s="1045"/>
    </row>
    <row r="8" spans="1:14">
      <c r="A8" s="9">
        <f>A7+1</f>
        <v>2</v>
      </c>
      <c r="B8" s="899" t="s">
        <v>134</v>
      </c>
      <c r="C8" s="901">
        <f>INDEX('Rates and Eff Dates'!$C$39:$C$47,MATCH(LEFT($B7,4),'Rates and Eff Dates'!$A$39:$A$47,0))</f>
        <v>7</v>
      </c>
      <c r="D8" s="901">
        <f>'Rate Design'!G8</f>
        <v>8.5</v>
      </c>
      <c r="E8" s="48"/>
      <c r="F8" s="899" t="s">
        <v>406</v>
      </c>
      <c r="G8" s="899" t="s">
        <v>407</v>
      </c>
      <c r="H8" s="902">
        <v>26.680410367722274</v>
      </c>
      <c r="I8" s="902">
        <f>C8</f>
        <v>7</v>
      </c>
      <c r="J8" s="902">
        <f>I8*(1+('Revenue Apportionment'!$H$21))</f>
        <v>8.4239542098738234</v>
      </c>
      <c r="K8" s="903">
        <f t="shared" ref="K8:K13" si="0">J8/H8</f>
        <v>0.31573555630407579</v>
      </c>
      <c r="L8" s="901">
        <f>ROUND(IF(K8&gt;25%, J8, H8/4), 2)</f>
        <v>8.42</v>
      </c>
      <c r="M8" s="901">
        <v>8.5</v>
      </c>
      <c r="N8" s="904">
        <f>(M8-I8)/I8</f>
        <v>0.21428571428571427</v>
      </c>
    </row>
    <row r="9" spans="1:14">
      <c r="A9" s="9">
        <f t="shared" ref="A9:A43" si="1">A8+1</f>
        <v>3</v>
      </c>
      <c r="B9" s="899" t="s">
        <v>135</v>
      </c>
      <c r="C9" s="905">
        <f>INDEX('Rates and Eff Dates'!$D$39:$D$47,MATCH(LEFT($B7,4),'Rates and Eff Dates'!$A$39:$A$47,0))</f>
        <v>7.9030000000000003E-2</v>
      </c>
      <c r="D9" s="905">
        <f>'Rate Design'!G9</f>
        <v>0.10585</v>
      </c>
      <c r="E9" s="906"/>
      <c r="F9" s="899" t="str">
        <f>B15</f>
        <v>GD-1: Small General</v>
      </c>
      <c r="G9" s="899" t="s">
        <v>407</v>
      </c>
      <c r="H9" s="902">
        <v>23.263773980665341</v>
      </c>
      <c r="I9" s="902">
        <f>C16</f>
        <v>10</v>
      </c>
      <c r="J9" s="902">
        <f>I9*(1+('Revenue Apportionment'!$H$21))</f>
        <v>12.034220299819747</v>
      </c>
      <c r="K9" s="903">
        <f t="shared" si="0"/>
        <v>0.51729441275613575</v>
      </c>
      <c r="L9" s="901">
        <f t="shared" ref="L9:L13" si="2">ROUND(IF(K9&gt;25%, J9, H9/4), 2)</f>
        <v>12.03</v>
      </c>
      <c r="M9" s="901">
        <v>12</v>
      </c>
      <c r="N9" s="904">
        <f>(M9-I9)/I9</f>
        <v>0.2</v>
      </c>
    </row>
    <row r="10" spans="1:14">
      <c r="A10" s="9">
        <f t="shared" si="1"/>
        <v>4</v>
      </c>
      <c r="B10" s="899"/>
      <c r="C10" s="899"/>
      <c r="D10" s="899"/>
      <c r="E10" s="906"/>
      <c r="F10" s="899" t="str">
        <f>B19</f>
        <v>GD-2: Regular General</v>
      </c>
      <c r="G10" s="899" t="s">
        <v>407</v>
      </c>
      <c r="H10" s="902">
        <v>47.966259219486673</v>
      </c>
      <c r="I10" s="902">
        <f>C20</f>
        <v>10</v>
      </c>
      <c r="J10" s="902">
        <f>I10*(1+('Revenue Apportionment'!$H$21))</f>
        <v>12.034220299819747</v>
      </c>
      <c r="K10" s="903">
        <f t="shared" si="0"/>
        <v>0.25088928124982385</v>
      </c>
      <c r="L10" s="901">
        <f t="shared" si="2"/>
        <v>12.03</v>
      </c>
      <c r="M10" s="901">
        <v>12</v>
      </c>
      <c r="N10" s="904">
        <f t="shared" ref="N10:N15" si="3">(M10-I10)/I10</f>
        <v>0.2</v>
      </c>
    </row>
    <row r="11" spans="1:14">
      <c r="A11" s="9">
        <f t="shared" si="1"/>
        <v>5</v>
      </c>
      <c r="B11" s="898" t="str">
        <f>'Rate Design'!B12</f>
        <v>RD-2: Residential, Low Income</v>
      </c>
      <c r="C11" s="899"/>
      <c r="D11" s="899"/>
      <c r="E11" s="906"/>
      <c r="F11" s="899" t="str">
        <f>F10</f>
        <v>GD-2: Regular General</v>
      </c>
      <c r="G11" s="899" t="s">
        <v>408</v>
      </c>
      <c r="H11" s="902">
        <v>9.9352660425738719</v>
      </c>
      <c r="I11" s="902">
        <f>C21</f>
        <v>9.81</v>
      </c>
      <c r="J11" s="902">
        <f>I11*(1+('Revenue Apportionment'!$H$21))</f>
        <v>11.805570114123173</v>
      </c>
      <c r="K11" s="903">
        <f t="shared" si="0"/>
        <v>1.1882490175436482</v>
      </c>
      <c r="L11" s="901">
        <f t="shared" si="2"/>
        <v>11.81</v>
      </c>
      <c r="M11" s="901">
        <v>10</v>
      </c>
      <c r="N11" s="904">
        <f t="shared" si="3"/>
        <v>1.9367991845056012E-2</v>
      </c>
    </row>
    <row r="12" spans="1:14">
      <c r="A12" s="9">
        <f t="shared" si="1"/>
        <v>6</v>
      </c>
      <c r="B12" s="899" t="s">
        <v>134</v>
      </c>
      <c r="C12" s="901">
        <f>INDEX('Rates and Eff Dates'!$C$39:$C$47,MATCH(LEFT($B11,4),'Rates and Eff Dates'!$A$39:$A$47,0))</f>
        <v>7</v>
      </c>
      <c r="D12" s="901">
        <f>'Rate Design'!G13</f>
        <v>8.5</v>
      </c>
      <c r="E12" s="48"/>
      <c r="F12" s="899" t="str">
        <f>B25</f>
        <v>GD-3: Large General</v>
      </c>
      <c r="G12" s="899" t="s">
        <v>407</v>
      </c>
      <c r="H12" s="902">
        <v>1548.481977925923</v>
      </c>
      <c r="I12" s="902">
        <f>C26</f>
        <v>300</v>
      </c>
      <c r="J12" s="902">
        <f>I12*(1+('Revenue Apportionment'!$H$21))</f>
        <v>361.02660899459238</v>
      </c>
      <c r="K12" s="903">
        <f t="shared" si="0"/>
        <v>0.23314873155847818</v>
      </c>
      <c r="L12" s="901">
        <f t="shared" si="2"/>
        <v>387.12</v>
      </c>
      <c r="M12" s="901">
        <v>338.75</v>
      </c>
      <c r="N12" s="904">
        <f t="shared" si="3"/>
        <v>0.12916666666666668</v>
      </c>
    </row>
    <row r="13" spans="1:14">
      <c r="A13" s="9">
        <f t="shared" si="1"/>
        <v>7</v>
      </c>
      <c r="B13" s="899" t="s">
        <v>135</v>
      </c>
      <c r="C13" s="905">
        <f>INDEX('Rates and Eff Dates'!$D$39:$D$47,MATCH(LEFT($B11,4),'Rates and Eff Dates'!$A$39:$A$47,0))</f>
        <v>7.9030000000000003E-2</v>
      </c>
      <c r="D13" s="905">
        <f>'Rate Design'!G14</f>
        <v>0.10585</v>
      </c>
      <c r="E13" s="906"/>
      <c r="F13" s="899" t="str">
        <f>F12</f>
        <v>GD-3: Large General</v>
      </c>
      <c r="G13" s="899" t="s">
        <v>408</v>
      </c>
      <c r="H13" s="902">
        <v>10.972259816292212</v>
      </c>
      <c r="I13" s="902">
        <f>C27</f>
        <v>8.07</v>
      </c>
      <c r="J13" s="902">
        <f>I13*(1+('Revenue Apportionment'!$H$21))</f>
        <v>9.7116157819545368</v>
      </c>
      <c r="K13" s="903">
        <f t="shared" si="0"/>
        <v>0.8851062538214961</v>
      </c>
      <c r="L13" s="901">
        <f t="shared" si="2"/>
        <v>9.7100000000000009</v>
      </c>
      <c r="M13" s="901">
        <v>9.75</v>
      </c>
      <c r="N13" s="904">
        <f t="shared" si="3"/>
        <v>0.20817843866170999</v>
      </c>
    </row>
    <row r="14" spans="1:14">
      <c r="A14" s="9">
        <f t="shared" si="1"/>
        <v>8</v>
      </c>
      <c r="B14" s="899"/>
      <c r="C14" s="899"/>
      <c r="D14" s="899"/>
      <c r="E14" s="906"/>
      <c r="F14" s="899" t="str">
        <f>B33</f>
        <v>GD-4: Regular General Optional TOU</v>
      </c>
      <c r="G14" s="899" t="s">
        <v>407</v>
      </c>
      <c r="H14" s="902">
        <f>H10</f>
        <v>47.966259219486673</v>
      </c>
      <c r="I14" s="902">
        <f>C34</f>
        <v>10</v>
      </c>
      <c r="J14" s="902">
        <f>I14*(1+('Revenue Apportionment'!$H$21))</f>
        <v>12.034220299819747</v>
      </c>
      <c r="K14" s="903">
        <f t="shared" ref="K14:K15" si="4">J14/H14</f>
        <v>0.25088928124982385</v>
      </c>
      <c r="L14" s="901">
        <f t="shared" ref="L14:L15" si="5">ROUND(IF(K14&gt;25%, J14, H14/4), 2)</f>
        <v>12.03</v>
      </c>
      <c r="M14" s="901">
        <v>12</v>
      </c>
      <c r="N14" s="904">
        <f t="shared" si="3"/>
        <v>0.2</v>
      </c>
    </row>
    <row r="15" spans="1:14">
      <c r="A15" s="9">
        <f t="shared" si="1"/>
        <v>9</v>
      </c>
      <c r="B15" s="898" t="str">
        <f>'Rate Design'!B25</f>
        <v>GD-1: Small General</v>
      </c>
      <c r="C15" s="905"/>
      <c r="D15" s="905"/>
      <c r="E15" s="906"/>
      <c r="F15" s="899" t="str">
        <f>F14</f>
        <v>GD-4: Regular General Optional TOU</v>
      </c>
      <c r="G15" s="899" t="s">
        <v>408</v>
      </c>
      <c r="H15" s="902">
        <f>H11</f>
        <v>9.9352660425738719</v>
      </c>
      <c r="I15" s="902">
        <f>C35</f>
        <v>3.92</v>
      </c>
      <c r="J15" s="902">
        <f>I15*(1+('Revenue Apportionment'!$H$21))</f>
        <v>4.717414357529341</v>
      </c>
      <c r="K15" s="903">
        <f t="shared" si="4"/>
        <v>0.47481510181152914</v>
      </c>
      <c r="L15" s="901">
        <f t="shared" si="5"/>
        <v>4.72</v>
      </c>
      <c r="M15" s="901">
        <v>4.75</v>
      </c>
      <c r="N15" s="904">
        <f t="shared" si="3"/>
        <v>0.21173469387755103</v>
      </c>
    </row>
    <row r="16" spans="1:14">
      <c r="A16" s="9">
        <f t="shared" si="1"/>
        <v>10</v>
      </c>
      <c r="B16" s="899" t="s">
        <v>134</v>
      </c>
      <c r="C16" s="901">
        <f>INDEX('Rates and Eff Dates'!$C$39:$C$47,MATCH(LEFT($B15,4),'Rates and Eff Dates'!$A$39:$A$47,0))</f>
        <v>10</v>
      </c>
      <c r="D16" s="901">
        <f>'Rate Design'!G26</f>
        <v>12</v>
      </c>
      <c r="E16" s="48"/>
    </row>
    <row r="17" spans="1:13">
      <c r="A17" s="9">
        <f t="shared" si="1"/>
        <v>11</v>
      </c>
      <c r="B17" s="899" t="s">
        <v>135</v>
      </c>
      <c r="C17" s="905">
        <f>INDEX('Rates and Eff Dates'!$D$39:$D$47,MATCH(LEFT($B15,4),'Rates and Eff Dates'!$A$39:$A$47,0))</f>
        <v>7.85E-2</v>
      </c>
      <c r="D17" s="905">
        <f>'Rate Design'!G27</f>
        <v>0.10571999999999999</v>
      </c>
      <c r="E17" s="48"/>
      <c r="H17" s="907"/>
      <c r="J17" s="448"/>
      <c r="M17" s="907"/>
    </row>
    <row r="18" spans="1:13" ht="12.75" customHeight="1">
      <c r="A18" s="9">
        <f t="shared" si="1"/>
        <v>12</v>
      </c>
      <c r="B18" s="899"/>
      <c r="C18" s="905"/>
      <c r="D18" s="905"/>
      <c r="E18" s="906"/>
    </row>
    <row r="19" spans="1:13" ht="12.75" customHeight="1">
      <c r="A19" s="9">
        <f t="shared" si="1"/>
        <v>13</v>
      </c>
      <c r="B19" s="898" t="str">
        <f>'Rate Design'!B33</f>
        <v>GD-2: Regular General</v>
      </c>
      <c r="C19" s="905"/>
      <c r="D19" s="905"/>
      <c r="M19" s="907"/>
    </row>
    <row r="20" spans="1:13" ht="12.75" customHeight="1">
      <c r="A20" s="9">
        <f t="shared" si="1"/>
        <v>14</v>
      </c>
      <c r="B20" s="899" t="s">
        <v>134</v>
      </c>
      <c r="C20" s="901">
        <f>INDEX('Rates and Eff Dates'!$C$39:$C$47,MATCH(LEFT($B19,4),'Rates and Eff Dates'!$A$39:$A$47,0))</f>
        <v>10</v>
      </c>
      <c r="D20" s="901">
        <f>'Rate Design'!G34</f>
        <v>12</v>
      </c>
      <c r="E20" s="48"/>
      <c r="H20" s="907"/>
      <c r="I20" s="907"/>
      <c r="J20" s="907"/>
    </row>
    <row r="21" spans="1:13" ht="12.75" customHeight="1">
      <c r="A21" s="9">
        <f t="shared" si="1"/>
        <v>15</v>
      </c>
      <c r="B21" s="899" t="s">
        <v>145</v>
      </c>
      <c r="C21" s="908">
        <f>INDEX('Rates and Eff Dates'!$F$39:$F$47,MATCH(LEFT($B19,4),'Rates and Eff Dates'!$A$39:$A$47,0))</f>
        <v>9.81</v>
      </c>
      <c r="D21" s="901">
        <f>'Rate Design'!G35</f>
        <v>10</v>
      </c>
      <c r="E21" s="48"/>
      <c r="H21" s="907"/>
      <c r="I21" s="907"/>
    </row>
    <row r="22" spans="1:13" ht="12.75" customHeight="1">
      <c r="A22" s="9">
        <f t="shared" si="1"/>
        <v>16</v>
      </c>
      <c r="B22" s="899" t="s">
        <v>135</v>
      </c>
      <c r="C22" s="905">
        <f>INDEX('Rates and Eff Dates'!$D$39:$D$47,MATCH(LEFT($B19,4),'Rates and Eff Dates'!$A$39:$A$47,0))</f>
        <v>2.3769999999999999E-2</v>
      </c>
      <c r="D22" s="905">
        <f>'Rate Design'!G36</f>
        <v>3.2340000000000001E-2</v>
      </c>
      <c r="E22" s="48"/>
    </row>
    <row r="23" spans="1:13" ht="12.75" customHeight="1">
      <c r="A23" s="9">
        <f t="shared" si="1"/>
        <v>17</v>
      </c>
      <c r="B23" s="899" t="s">
        <v>146</v>
      </c>
      <c r="C23" s="905">
        <v>0</v>
      </c>
      <c r="D23" s="905">
        <f>'Rate Design'!G37</f>
        <v>-0.19</v>
      </c>
      <c r="E23" s="907"/>
    </row>
    <row r="24" spans="1:13" ht="12.75" customHeight="1">
      <c r="A24" s="9">
        <f t="shared" si="1"/>
        <v>18</v>
      </c>
      <c r="B24" s="899"/>
      <c r="C24" s="905"/>
      <c r="D24" s="905"/>
      <c r="E24" s="906"/>
    </row>
    <row r="25" spans="1:13" ht="12.75" customHeight="1">
      <c r="A25" s="9">
        <f t="shared" si="1"/>
        <v>19</v>
      </c>
      <c r="B25" s="898" t="str">
        <f>'Rate Design'!B43</f>
        <v>GD-3: Large General</v>
      </c>
      <c r="C25" s="905"/>
      <c r="D25" s="905"/>
      <c r="E25" s="906"/>
    </row>
    <row r="26" spans="1:13" ht="12.75" customHeight="1">
      <c r="A26" s="9">
        <f t="shared" si="1"/>
        <v>20</v>
      </c>
      <c r="B26" s="899" t="s">
        <v>134</v>
      </c>
      <c r="C26" s="901">
        <f>INDEX('Rates and Eff Dates'!$C$39:$C$47,MATCH(LEFT($B25,4),'Rates and Eff Dates'!$A$39:$A$47,0))</f>
        <v>300</v>
      </c>
      <c r="D26" s="901">
        <f>'Rate Design'!G44</f>
        <v>338.75</v>
      </c>
      <c r="E26" s="48"/>
    </row>
    <row r="27" spans="1:13" ht="12.75" customHeight="1">
      <c r="A27" s="9">
        <f t="shared" si="1"/>
        <v>21</v>
      </c>
      <c r="B27" s="899" t="s">
        <v>145</v>
      </c>
      <c r="C27" s="908">
        <f>INDEX('Rates and Eff Dates'!$F$39:$F$47,MATCH(LEFT($B25,4),'Rates and Eff Dates'!$A$39:$A$47,0))</f>
        <v>8.07</v>
      </c>
      <c r="D27" s="902">
        <f>'Rate Design'!G45</f>
        <v>9.75</v>
      </c>
      <c r="E27" s="48"/>
    </row>
    <row r="28" spans="1:13" ht="12.75" customHeight="1">
      <c r="A28" s="9">
        <f t="shared" si="1"/>
        <v>22</v>
      </c>
      <c r="B28" s="899" t="s">
        <v>135</v>
      </c>
      <c r="C28" s="905"/>
      <c r="D28" s="905"/>
      <c r="E28" s="906"/>
    </row>
    <row r="29" spans="1:13" ht="12.75" customHeight="1">
      <c r="A29" s="9">
        <f t="shared" si="1"/>
        <v>23</v>
      </c>
      <c r="B29" s="909" t="s">
        <v>148</v>
      </c>
      <c r="C29" s="905">
        <f>INDEX('Rates and Eff Dates'!$D$39:$D$47,MATCH(LEFT($B25,4),'Rates and Eff Dates'!$A$39:$A$47,0))</f>
        <v>1.9519999999999999E-2</v>
      </c>
      <c r="D29" s="905">
        <f>'Rate Design'!G50</f>
        <v>1.8280000000000001E-2</v>
      </c>
      <c r="E29" s="906"/>
    </row>
    <row r="30" spans="1:13">
      <c r="A30" s="9">
        <f t="shared" si="1"/>
        <v>24</v>
      </c>
      <c r="B30" s="909" t="s">
        <v>149</v>
      </c>
      <c r="C30" s="905">
        <f>INDEX('Rates and Eff Dates'!$E$39:$E$47,MATCH(LEFT($B25,4),'Rates and Eff Dates'!$A$39:$A$47,0))</f>
        <v>4.3499999999999997E-3</v>
      </c>
      <c r="D30" s="905">
        <f>'Rate Design'!G51</f>
        <v>4.0699999999999998E-3</v>
      </c>
      <c r="E30" s="48"/>
    </row>
    <row r="31" spans="1:13">
      <c r="A31" s="9">
        <f t="shared" si="1"/>
        <v>25</v>
      </c>
      <c r="B31" s="899" t="s">
        <v>135</v>
      </c>
      <c r="C31" s="905"/>
      <c r="D31" s="901"/>
      <c r="E31" s="48"/>
    </row>
    <row r="32" spans="1:13">
      <c r="A32" s="9">
        <f t="shared" si="1"/>
        <v>26</v>
      </c>
      <c r="B32" s="899"/>
      <c r="C32" s="905"/>
      <c r="D32" s="905"/>
      <c r="E32" s="906"/>
    </row>
    <row r="33" spans="1:7">
      <c r="A33" s="9">
        <f t="shared" si="1"/>
        <v>27</v>
      </c>
      <c r="B33" s="898" t="str">
        <f>'Rate Design'!B56</f>
        <v>GD-4: Regular General Optional TOU</v>
      </c>
      <c r="C33" s="905"/>
      <c r="D33" s="905"/>
      <c r="E33" s="906"/>
    </row>
    <row r="34" spans="1:7">
      <c r="A34" s="9">
        <f t="shared" si="1"/>
        <v>28</v>
      </c>
      <c r="B34" s="899" t="s">
        <v>134</v>
      </c>
      <c r="C34" s="901">
        <f>INDEX('Rates and Eff Dates'!$C$39:$C$47,MATCH(LEFT($B33,4),'Rates and Eff Dates'!$A$39:$A$47,0))</f>
        <v>10</v>
      </c>
      <c r="D34" s="901">
        <f>'Rate Design'!G57</f>
        <v>12</v>
      </c>
      <c r="E34" s="48"/>
    </row>
    <row r="35" spans="1:7">
      <c r="A35" s="9">
        <f t="shared" si="1"/>
        <v>29</v>
      </c>
      <c r="B35" s="899" t="s">
        <v>145</v>
      </c>
      <c r="C35" s="908">
        <f>INDEX('Rates and Eff Dates'!$F$39:$F$47,MATCH(LEFT($B33,4),'Rates and Eff Dates'!$A$39:$A$47,0))</f>
        <v>3.92</v>
      </c>
      <c r="D35" s="901">
        <f>'Rate Design'!G58</f>
        <v>4.75</v>
      </c>
      <c r="E35" s="48"/>
    </row>
    <row r="36" spans="1:7">
      <c r="A36" s="9">
        <f t="shared" si="1"/>
        <v>30</v>
      </c>
      <c r="B36" s="899" t="s">
        <v>135</v>
      </c>
      <c r="C36" s="905"/>
      <c r="D36" s="905"/>
      <c r="E36" s="906"/>
    </row>
    <row r="37" spans="1:7">
      <c r="A37" s="9">
        <f t="shared" si="1"/>
        <v>31</v>
      </c>
      <c r="B37" s="909" t="s">
        <v>148</v>
      </c>
      <c r="C37" s="905">
        <f>INDEX('Rates and Eff Dates'!$D$39:$D$47,MATCH(LEFT($B33,4),'Rates and Eff Dates'!$A$39:$A$47,0))</f>
        <v>1.027E-2</v>
      </c>
      <c r="D37" s="905">
        <f>'Rate Design'!G64</f>
        <v>2.3820000000000001E-2</v>
      </c>
      <c r="E37" s="906"/>
    </row>
    <row r="38" spans="1:7">
      <c r="A38" s="9">
        <f t="shared" si="1"/>
        <v>32</v>
      </c>
      <c r="B38" s="909" t="s">
        <v>149</v>
      </c>
      <c r="C38" s="905">
        <f>INDEX('Rates and Eff Dates'!$E$39:$E$47,MATCH(LEFT($B33,4),'Rates and Eff Dates'!$A$39:$A$47,0))</f>
        <v>2.2300000000000002E-3</v>
      </c>
      <c r="D38" s="905">
        <f>'Rate Design'!G65</f>
        <v>5.1700000000000001E-3</v>
      </c>
      <c r="E38" s="48"/>
    </row>
    <row r="39" spans="1:7">
      <c r="A39" s="9">
        <f t="shared" si="1"/>
        <v>33</v>
      </c>
      <c r="B39" s="899" t="s">
        <v>146</v>
      </c>
      <c r="C39" s="905">
        <v>0</v>
      </c>
      <c r="D39" s="905">
        <f>'Rate Design'!G60</f>
        <v>-0.19</v>
      </c>
      <c r="E39" s="906"/>
    </row>
    <row r="40" spans="1:7">
      <c r="A40" s="9">
        <f t="shared" si="1"/>
        <v>34</v>
      </c>
      <c r="B40" s="899"/>
      <c r="C40" s="905"/>
      <c r="D40" s="905"/>
      <c r="F40" s="910"/>
      <c r="G40" s="910"/>
    </row>
    <row r="41" spans="1:7">
      <c r="A41" s="9">
        <f t="shared" si="1"/>
        <v>35</v>
      </c>
      <c r="B41" s="898" t="str">
        <f>'Rate Design'!B70</f>
        <v>GD-5: Water and/or Space Heating Rider</v>
      </c>
      <c r="C41" s="905"/>
      <c r="D41" s="905"/>
    </row>
    <row r="42" spans="1:7">
      <c r="A42" s="9">
        <f t="shared" si="1"/>
        <v>36</v>
      </c>
      <c r="B42" s="899" t="s">
        <v>134</v>
      </c>
      <c r="C42" s="901">
        <f>INDEX('Rates and Eff Dates'!$C$39:$C$47,MATCH(LEFT($B41,4),'Rates and Eff Dates'!$A$39:$A$47,0))</f>
        <v>0</v>
      </c>
      <c r="D42" s="901">
        <f>'Rate Design'!G71</f>
        <v>0</v>
      </c>
      <c r="E42" s="48"/>
    </row>
    <row r="43" spans="1:7">
      <c r="A43" s="9">
        <f t="shared" si="1"/>
        <v>37</v>
      </c>
      <c r="B43" s="899" t="s">
        <v>135</v>
      </c>
      <c r="C43" s="905">
        <f>INDEX('Rates and Eff Dates'!$D$39:$D$47,MATCH(LEFT($B41,4),'Rates and Eff Dates'!$A$39:$A$47,0))</f>
        <v>6.071E-2</v>
      </c>
      <c r="D43" s="905">
        <f>'Rate Design'!G72</f>
        <v>7.0370000000000002E-2</v>
      </c>
    </row>
  </sheetData>
  <mergeCells count="6">
    <mergeCell ref="M6:M7"/>
    <mergeCell ref="J6:J7"/>
    <mergeCell ref="K6:K7"/>
    <mergeCell ref="L6:L7"/>
    <mergeCell ref="H6:H7"/>
    <mergeCell ref="I6:I7"/>
  </mergeCells>
  <printOptions horizontalCentered="1"/>
  <pageMargins left="0.5" right="0.5" top="0.5" bottom="0.5" header="0.5" footer="0.5"/>
  <pageSetup scale="70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803E5-C518-4DE1-92EB-FCE04C06E764}">
  <sheetPr codeName="Sheet9">
    <tabColor theme="8"/>
  </sheetPr>
  <dimension ref="A1"/>
  <sheetViews>
    <sheetView workbookViewId="0"/>
  </sheetViews>
  <sheetFormatPr defaultColWidth="9.109375" defaultRowHeight="14.4"/>
  <cols>
    <col min="1" max="16384" width="9.109375" style="50"/>
  </cols>
  <sheetData>
    <row r="1" spans="1:1">
      <c r="A1" s="991" t="s">
        <v>409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E741-6550-4F91-8005-6D726137BE5B}">
  <sheetPr>
    <pageSetUpPr fitToPage="1"/>
  </sheetPr>
  <dimension ref="A1:Z79"/>
  <sheetViews>
    <sheetView topLeftCell="A30" workbookViewId="0"/>
  </sheetViews>
  <sheetFormatPr defaultColWidth="9.109375" defaultRowHeight="13.2"/>
  <cols>
    <col min="1" max="2" width="3.77734375" style="54" customWidth="1"/>
    <col min="3" max="3" width="11.77734375" style="54" customWidth="1"/>
    <col min="4" max="4" width="3.77734375" style="54" customWidth="1"/>
    <col min="5" max="5" width="10.77734375" style="54" customWidth="1"/>
    <col min="6" max="6" width="3.77734375" style="54" customWidth="1"/>
    <col min="7" max="7" width="12.5546875" style="54" customWidth="1"/>
    <col min="8" max="8" width="3.77734375" style="54" customWidth="1"/>
    <col min="9" max="9" width="14.109375" style="54" customWidth="1"/>
    <col min="10" max="10" width="3.77734375" style="54" customWidth="1"/>
    <col min="11" max="11" width="13.77734375" style="54" customWidth="1"/>
    <col min="12" max="12" width="3.77734375" style="54" customWidth="1"/>
    <col min="13" max="13" width="10.77734375" style="54" customWidth="1"/>
    <col min="14" max="14" width="3.77734375" style="54" customWidth="1"/>
    <col min="15" max="15" width="9.109375" style="54" customWidth="1"/>
    <col min="16" max="16" width="12.44140625" style="54" customWidth="1"/>
    <col min="17" max="17" width="1.77734375" style="54" customWidth="1"/>
    <col min="18" max="18" width="10.77734375" style="54" customWidth="1"/>
    <col min="19" max="19" width="1.77734375" style="54" customWidth="1"/>
    <col min="20" max="20" width="9.77734375" style="54" customWidth="1"/>
    <col min="21" max="21" width="9.44140625" style="54" bestFit="1" customWidth="1"/>
    <col min="22" max="16384" width="9.109375" style="54"/>
  </cols>
  <sheetData>
    <row r="1" spans="1:26" ht="12.45" customHeight="1">
      <c r="A1" s="51"/>
      <c r="B1" s="51"/>
      <c r="C1" s="51"/>
      <c r="D1" s="51"/>
      <c r="E1" s="51"/>
      <c r="F1" s="51"/>
      <c r="G1" s="51"/>
      <c r="H1" s="52"/>
      <c r="I1" s="53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2.45" customHeigh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2.45" customHeight="1">
      <c r="A3" s="51"/>
      <c r="B3" s="55" t="s">
        <v>285</v>
      </c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8"/>
      <c r="T3" s="59"/>
      <c r="U3" s="59"/>
      <c r="V3" s="59"/>
      <c r="W3" s="51"/>
      <c r="X3" s="51"/>
      <c r="Y3" s="51"/>
      <c r="Z3" s="51"/>
    </row>
    <row r="4" spans="1:26" ht="12.45" customHeight="1">
      <c r="A4" s="51"/>
      <c r="B4" s="60" t="s">
        <v>410</v>
      </c>
      <c r="C4" s="61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59"/>
      <c r="U4" s="59"/>
      <c r="V4" s="59"/>
      <c r="W4" s="51"/>
      <c r="X4" s="51"/>
      <c r="Y4" s="51"/>
      <c r="Z4" s="51"/>
    </row>
    <row r="5" spans="1:26" ht="12.45" customHeight="1">
      <c r="A5" s="51"/>
      <c r="B5" s="64" t="s">
        <v>411</v>
      </c>
      <c r="C5" s="65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7"/>
      <c r="T5" s="59"/>
      <c r="U5" s="59"/>
      <c r="V5" s="59"/>
      <c r="W5" s="51"/>
      <c r="X5" s="51"/>
      <c r="Y5" s="51"/>
      <c r="Z5" s="51"/>
    </row>
    <row r="6" spans="1:26" ht="12.45" customHeight="1">
      <c r="A6" s="51"/>
      <c r="B6" s="68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2.45" customHeight="1">
      <c r="A7" s="51"/>
      <c r="B7" s="69"/>
      <c r="C7" s="70"/>
      <c r="D7" s="70"/>
      <c r="E7" s="71" t="s">
        <v>412</v>
      </c>
      <c r="F7" s="72"/>
      <c r="G7" s="73"/>
      <c r="H7" s="73"/>
      <c r="I7" s="73"/>
      <c r="J7" s="73"/>
      <c r="K7" s="73"/>
      <c r="L7" s="73"/>
      <c r="M7" s="73"/>
      <c r="N7" s="74"/>
      <c r="O7" s="73"/>
      <c r="P7" s="73"/>
      <c r="Q7" s="73"/>
      <c r="R7" s="73"/>
      <c r="S7" s="75"/>
      <c r="T7" s="51"/>
      <c r="U7" s="51"/>
      <c r="V7" s="51"/>
      <c r="W7" s="51"/>
      <c r="X7" s="51"/>
      <c r="Y7" s="51"/>
      <c r="Z7" s="51"/>
    </row>
    <row r="8" spans="1:26" ht="12.45" customHeight="1">
      <c r="A8" s="52"/>
      <c r="B8" s="68"/>
      <c r="C8" s="51"/>
      <c r="D8" s="52"/>
      <c r="E8" s="76" t="s">
        <v>413</v>
      </c>
      <c r="F8" s="76"/>
      <c r="G8" s="76" t="s">
        <v>414</v>
      </c>
      <c r="H8" s="76"/>
      <c r="I8" s="76" t="s">
        <v>415</v>
      </c>
      <c r="J8" s="76"/>
      <c r="K8" s="77"/>
      <c r="L8" s="78"/>
      <c r="M8" s="76" t="s">
        <v>416</v>
      </c>
      <c r="N8" s="52"/>
      <c r="O8" s="79"/>
      <c r="P8" s="76" t="s">
        <v>417</v>
      </c>
      <c r="Q8" s="78"/>
      <c r="R8" s="76" t="s">
        <v>416</v>
      </c>
      <c r="S8" s="80"/>
      <c r="T8" s="52"/>
      <c r="U8" s="52"/>
      <c r="V8" s="52"/>
      <c r="W8" s="52"/>
      <c r="X8" s="81"/>
      <c r="Y8" s="82"/>
      <c r="Z8" s="51"/>
    </row>
    <row r="9" spans="1:26" ht="12.45" customHeight="1">
      <c r="A9" s="52"/>
      <c r="B9" s="68"/>
      <c r="C9" s="83"/>
      <c r="D9" s="52"/>
      <c r="E9" s="76" t="s">
        <v>418</v>
      </c>
      <c r="F9" s="76"/>
      <c r="G9" s="76" t="s">
        <v>326</v>
      </c>
      <c r="H9" s="76"/>
      <c r="I9" s="76" t="s">
        <v>326</v>
      </c>
      <c r="J9" s="76"/>
      <c r="K9" s="76" t="s">
        <v>279</v>
      </c>
      <c r="L9" s="84"/>
      <c r="M9" s="76" t="s">
        <v>279</v>
      </c>
      <c r="N9" s="52"/>
      <c r="O9" s="85"/>
      <c r="P9" s="76" t="s">
        <v>419</v>
      </c>
      <c r="Q9" s="84"/>
      <c r="R9" s="76" t="s">
        <v>419</v>
      </c>
      <c r="S9" s="80"/>
      <c r="T9" s="52"/>
      <c r="U9" s="52"/>
      <c r="V9" s="52"/>
      <c r="W9" s="52"/>
      <c r="X9" s="52"/>
      <c r="Y9" s="52"/>
      <c r="Z9" s="52"/>
    </row>
    <row r="10" spans="1:26" ht="12.45" customHeight="1">
      <c r="A10" s="86"/>
      <c r="B10" s="68"/>
      <c r="C10" s="87" t="s">
        <v>420</v>
      </c>
      <c r="D10" s="86"/>
      <c r="E10" s="88" t="s">
        <v>421</v>
      </c>
      <c r="F10" s="88"/>
      <c r="G10" s="88" t="s">
        <v>162</v>
      </c>
      <c r="H10" s="88"/>
      <c r="I10" s="88" t="s">
        <v>162</v>
      </c>
      <c r="J10" s="88"/>
      <c r="K10" s="88" t="s">
        <v>142</v>
      </c>
      <c r="L10" s="84"/>
      <c r="M10" s="88" t="s">
        <v>142</v>
      </c>
      <c r="N10" s="86"/>
      <c r="O10" s="85"/>
      <c r="P10" s="88" t="s">
        <v>162</v>
      </c>
      <c r="Q10" s="84"/>
      <c r="R10" s="88" t="s">
        <v>142</v>
      </c>
      <c r="S10" s="89"/>
      <c r="T10" s="86"/>
      <c r="U10" s="52"/>
      <c r="V10" s="52"/>
      <c r="W10" s="52"/>
      <c r="X10" s="90"/>
      <c r="Y10" s="86"/>
      <c r="Z10" s="86"/>
    </row>
    <row r="11" spans="1:26" ht="12.45" customHeight="1">
      <c r="A11" s="51"/>
      <c r="B11" s="68"/>
      <c r="C11" s="51"/>
      <c r="D11" s="51"/>
      <c r="E11" s="77"/>
      <c r="F11" s="77"/>
      <c r="G11" s="91"/>
      <c r="H11" s="77"/>
      <c r="I11" s="77"/>
      <c r="J11" s="77"/>
      <c r="K11" s="77"/>
      <c r="L11" s="84"/>
      <c r="M11" s="77"/>
      <c r="N11" s="51"/>
      <c r="O11" s="85"/>
      <c r="P11" s="77"/>
      <c r="Q11" s="84"/>
      <c r="R11" s="77"/>
      <c r="S11" s="92"/>
      <c r="T11" s="51"/>
      <c r="U11" s="52"/>
      <c r="V11" s="52"/>
      <c r="W11" s="52"/>
      <c r="X11" s="90"/>
      <c r="Y11" s="90"/>
      <c r="Z11" s="51"/>
    </row>
    <row r="12" spans="1:26" ht="12.45" customHeight="1">
      <c r="A12" s="51"/>
      <c r="B12" s="68"/>
      <c r="C12" s="93">
        <v>0.1</v>
      </c>
      <c r="D12" s="51"/>
      <c r="E12" s="94">
        <v>70.122988545523754</v>
      </c>
      <c r="F12" s="77"/>
      <c r="G12" s="95">
        <f t="shared" ref="G12:G21" si="0">$I$31+E12*$I$65</f>
        <v>36.246896062567046</v>
      </c>
      <c r="H12" s="77"/>
      <c r="I12" s="95">
        <f t="shared" ref="I12:I21" si="1">$P$31+E12*$P$65</f>
        <v>38.78050891372807</v>
      </c>
      <c r="J12" s="77"/>
      <c r="K12" s="95">
        <f t="shared" ref="K12:K21" si="2">I12-G12</f>
        <v>2.5336128511610241</v>
      </c>
      <c r="L12" s="84"/>
      <c r="M12" s="96">
        <f t="shared" ref="M12:M21" si="3">I12/G12-1</f>
        <v>6.9898753448782713E-2</v>
      </c>
      <c r="N12" s="51"/>
      <c r="O12" s="85"/>
      <c r="P12" s="95">
        <f t="shared" ref="P12:P21" si="4">+$I$31+E12*$I$77</f>
        <v>21.376615111603279</v>
      </c>
      <c r="Q12" s="84"/>
      <c r="R12" s="96">
        <f t="shared" ref="R12:R21" si="5">+K12/P12</f>
        <v>0.11852263971323378</v>
      </c>
      <c r="S12" s="92"/>
      <c r="T12" s="51"/>
      <c r="U12" s="52"/>
      <c r="V12" s="52"/>
      <c r="W12" s="52"/>
      <c r="X12" s="90"/>
      <c r="Y12" s="97"/>
      <c r="Z12" s="51"/>
    </row>
    <row r="13" spans="1:26" ht="12.45" customHeight="1">
      <c r="A13" s="51"/>
      <c r="B13" s="68"/>
      <c r="C13" s="93">
        <v>0.2</v>
      </c>
      <c r="D13" s="51"/>
      <c r="E13" s="94">
        <v>182.93414313399779</v>
      </c>
      <c r="F13" s="77"/>
      <c r="G13" s="95">
        <f t="shared" si="0"/>
        <v>83.298172418327795</v>
      </c>
      <c r="H13" s="77"/>
      <c r="I13" s="95">
        <f t="shared" si="1"/>
        <v>87.494621688122919</v>
      </c>
      <c r="J13" s="77"/>
      <c r="K13" s="95">
        <f t="shared" si="2"/>
        <v>4.1964492697951243</v>
      </c>
      <c r="L13" s="84"/>
      <c r="M13" s="96">
        <f t="shared" si="3"/>
        <v>5.0378647549676581E-2</v>
      </c>
      <c r="N13" s="51"/>
      <c r="O13" s="84"/>
      <c r="P13" s="95">
        <f t="shared" si="4"/>
        <v>44.505158025332221</v>
      </c>
      <c r="Q13" s="84"/>
      <c r="R13" s="96">
        <f t="shared" si="5"/>
        <v>9.4291301412895018E-2</v>
      </c>
      <c r="S13" s="92"/>
      <c r="T13" s="51"/>
      <c r="U13" s="52"/>
      <c r="V13" s="52"/>
      <c r="W13" s="52"/>
      <c r="X13" s="90"/>
      <c r="Y13" s="90"/>
      <c r="Z13" s="51"/>
    </row>
    <row r="14" spans="1:26" ht="12.45" customHeight="1">
      <c r="A14" s="51"/>
      <c r="B14" s="68"/>
      <c r="C14" s="93">
        <v>0.30000000000000004</v>
      </c>
      <c r="D14" s="51"/>
      <c r="E14" s="94">
        <v>262.31338893310726</v>
      </c>
      <c r="F14" s="77"/>
      <c r="G14" s="95">
        <f t="shared" si="0"/>
        <v>116.40566825622037</v>
      </c>
      <c r="H14" s="77"/>
      <c r="I14" s="95">
        <f t="shared" si="1"/>
        <v>121.77216760909437</v>
      </c>
      <c r="J14" s="77"/>
      <c r="K14" s="95">
        <f t="shared" si="2"/>
        <v>5.3664993528740013</v>
      </c>
      <c r="L14" s="84"/>
      <c r="M14" s="96">
        <f t="shared" si="3"/>
        <v>4.6101701345520496E-2</v>
      </c>
      <c r="N14" s="51"/>
      <c r="O14" s="84"/>
      <c r="P14" s="95">
        <f t="shared" si="4"/>
        <v>60.779490999065636</v>
      </c>
      <c r="Q14" s="84"/>
      <c r="R14" s="96">
        <f t="shared" si="5"/>
        <v>8.829457543427767E-2</v>
      </c>
      <c r="S14" s="92"/>
      <c r="T14" s="51"/>
      <c r="U14" s="51"/>
      <c r="V14" s="51"/>
      <c r="W14" s="51"/>
      <c r="X14" s="90"/>
      <c r="Y14" s="90"/>
      <c r="Z14" s="51"/>
    </row>
    <row r="15" spans="1:26" ht="12.45" customHeight="1">
      <c r="A15" s="51"/>
      <c r="B15" s="68"/>
      <c r="C15" s="93">
        <v>0.4</v>
      </c>
      <c r="D15" s="51"/>
      <c r="E15" s="94">
        <v>335.31654900332228</v>
      </c>
      <c r="F15" s="77"/>
      <c r="G15" s="95">
        <f t="shared" si="0"/>
        <v>146.85382625830565</v>
      </c>
      <c r="H15" s="77"/>
      <c r="I15" s="95">
        <f t="shared" si="1"/>
        <v>153.29639219061463</v>
      </c>
      <c r="J15" s="77"/>
      <c r="K15" s="95">
        <f t="shared" si="2"/>
        <v>6.4425659323089803</v>
      </c>
      <c r="L15" s="84"/>
      <c r="M15" s="96">
        <f t="shared" si="3"/>
        <v>4.3870603146403342E-2</v>
      </c>
      <c r="N15" s="51"/>
      <c r="O15" s="84"/>
      <c r="P15" s="95">
        <f t="shared" si="4"/>
        <v>75.746598876661125</v>
      </c>
      <c r="Q15" s="84"/>
      <c r="R15" s="96">
        <f t="shared" si="5"/>
        <v>8.5054194219326848E-2</v>
      </c>
      <c r="S15" s="92"/>
      <c r="T15" s="51"/>
      <c r="U15" s="51"/>
      <c r="V15" s="51"/>
      <c r="W15" s="51"/>
      <c r="X15" s="90"/>
      <c r="Y15" s="90"/>
      <c r="Z15" s="51"/>
    </row>
    <row r="16" spans="1:26" ht="12.45" customHeight="1">
      <c r="A16" s="51"/>
      <c r="B16" s="68"/>
      <c r="C16" s="93">
        <v>0.5</v>
      </c>
      <c r="D16" s="51"/>
      <c r="E16" s="94">
        <v>410.31906426272622</v>
      </c>
      <c r="F16" s="77"/>
      <c r="G16" s="95">
        <f t="shared" si="0"/>
        <v>178.13587532269784</v>
      </c>
      <c r="H16" s="77"/>
      <c r="I16" s="95">
        <f t="shared" si="1"/>
        <v>185.68397832993043</v>
      </c>
      <c r="J16" s="77"/>
      <c r="K16" s="95">
        <f t="shared" si="2"/>
        <v>7.5481030072325836</v>
      </c>
      <c r="L16" s="84"/>
      <c r="M16" s="96">
        <f t="shared" si="3"/>
        <v>4.2372728085002587E-2</v>
      </c>
      <c r="N16" s="51"/>
      <c r="O16" s="84"/>
      <c r="P16" s="95">
        <f t="shared" si="4"/>
        <v>91.123614555144115</v>
      </c>
      <c r="Q16" s="84"/>
      <c r="R16" s="96">
        <f t="shared" si="5"/>
        <v>8.2833665500228748E-2</v>
      </c>
      <c r="S16" s="92"/>
      <c r="T16" s="51"/>
      <c r="U16" s="51"/>
      <c r="V16" s="51"/>
      <c r="W16" s="51"/>
      <c r="X16" s="90"/>
      <c r="Y16" s="90"/>
      <c r="Z16" s="51"/>
    </row>
    <row r="17" spans="1:26" ht="12.45" customHeight="1">
      <c r="A17" s="51"/>
      <c r="B17" s="68"/>
      <c r="C17" s="93">
        <v>0.6</v>
      </c>
      <c r="D17" s="51"/>
      <c r="E17" s="94">
        <v>493.45217331118494</v>
      </c>
      <c r="F17" s="77"/>
      <c r="G17" s="95">
        <f t="shared" si="0"/>
        <v>212.809032444629</v>
      </c>
      <c r="H17" s="77"/>
      <c r="I17" s="95">
        <f t="shared" si="1"/>
        <v>221.58251747923586</v>
      </c>
      <c r="J17" s="77"/>
      <c r="K17" s="95">
        <f t="shared" si="2"/>
        <v>8.773485034606864</v>
      </c>
      <c r="L17" s="84"/>
      <c r="M17" s="96">
        <f t="shared" si="3"/>
        <v>4.1227033147146264E-2</v>
      </c>
      <c r="N17" s="51"/>
      <c r="O17" s="84"/>
      <c r="P17" s="95">
        <f t="shared" si="4"/>
        <v>108.16756457225911</v>
      </c>
      <c r="Q17" s="84"/>
      <c r="R17" s="96">
        <f t="shared" si="5"/>
        <v>8.1110128246863852E-2</v>
      </c>
      <c r="S17" s="92"/>
      <c r="T17" s="51"/>
      <c r="U17" s="51"/>
      <c r="V17" s="51"/>
      <c r="W17" s="51"/>
      <c r="X17" s="90"/>
      <c r="Y17" s="90"/>
      <c r="Z17" s="51"/>
    </row>
    <row r="18" spans="1:26" ht="12.45" customHeight="1">
      <c r="A18" s="51"/>
      <c r="B18" s="68"/>
      <c r="C18" s="93">
        <v>0.7</v>
      </c>
      <c r="D18" s="51"/>
      <c r="E18" s="94">
        <v>593.31134719867111</v>
      </c>
      <c r="F18" s="77"/>
      <c r="G18" s="95">
        <f t="shared" si="0"/>
        <v>254.45829668962173</v>
      </c>
      <c r="H18" s="77"/>
      <c r="I18" s="95">
        <f t="shared" si="1"/>
        <v>264.70370594733015</v>
      </c>
      <c r="J18" s="77"/>
      <c r="K18" s="95">
        <f t="shared" si="2"/>
        <v>10.245409257708417</v>
      </c>
      <c r="L18" s="84"/>
      <c r="M18" s="96">
        <f t="shared" si="3"/>
        <v>4.0263608579465426E-2</v>
      </c>
      <c r="N18" s="51"/>
      <c r="O18" s="84"/>
      <c r="P18" s="95">
        <f t="shared" si="4"/>
        <v>128.6406924026715</v>
      </c>
      <c r="Q18" s="84"/>
      <c r="R18" s="96">
        <f t="shared" si="5"/>
        <v>7.9643610947290333E-2</v>
      </c>
      <c r="S18" s="92"/>
      <c r="T18" s="51"/>
      <c r="U18" s="51"/>
      <c r="V18" s="51"/>
      <c r="W18" s="51"/>
      <c r="X18" s="90"/>
      <c r="Y18" s="90"/>
      <c r="Z18" s="51"/>
    </row>
    <row r="19" spans="1:26" ht="12.45" customHeight="1">
      <c r="A19" s="51"/>
      <c r="B19" s="68"/>
      <c r="C19" s="93">
        <v>0.79999999999999993</v>
      </c>
      <c r="D19" s="51"/>
      <c r="E19" s="94">
        <v>724.63237126245849</v>
      </c>
      <c r="F19" s="77"/>
      <c r="G19" s="95">
        <f t="shared" si="0"/>
        <v>309.22966940614617</v>
      </c>
      <c r="H19" s="77"/>
      <c r="I19" s="95">
        <f t="shared" si="1"/>
        <v>321.41075055855481</v>
      </c>
      <c r="J19" s="77"/>
      <c r="K19" s="95">
        <f t="shared" si="2"/>
        <v>12.181081152408638</v>
      </c>
      <c r="L19" s="84"/>
      <c r="M19" s="96">
        <f t="shared" si="3"/>
        <v>3.9391696067849979E-2</v>
      </c>
      <c r="N19" s="51"/>
      <c r="O19" s="84"/>
      <c r="P19" s="95">
        <f t="shared" si="4"/>
        <v>155.5641287562292</v>
      </c>
      <c r="Q19" s="84"/>
      <c r="R19" s="96">
        <f t="shared" si="5"/>
        <v>7.8302634738478386E-2</v>
      </c>
      <c r="S19" s="92"/>
      <c r="T19" s="51"/>
      <c r="U19" s="51"/>
      <c r="V19" s="51"/>
      <c r="W19" s="51"/>
      <c r="X19" s="90"/>
      <c r="Y19" s="90"/>
      <c r="Z19" s="51"/>
    </row>
    <row r="20" spans="1:26" ht="12.45" customHeight="1">
      <c r="A20" s="51"/>
      <c r="B20" s="68"/>
      <c r="C20" s="93">
        <v>0.89999999999999991</v>
      </c>
      <c r="D20" s="51"/>
      <c r="E20" s="94">
        <v>928.94127418071082</v>
      </c>
      <c r="F20" s="77"/>
      <c r="G20" s="95">
        <f t="shared" si="0"/>
        <v>394.44282663529083</v>
      </c>
      <c r="H20" s="77"/>
      <c r="I20" s="95">
        <f t="shared" si="1"/>
        <v>409.63542101671453</v>
      </c>
      <c r="J20" s="77"/>
      <c r="K20" s="95">
        <f t="shared" si="2"/>
        <v>15.192594381423703</v>
      </c>
      <c r="L20" s="84"/>
      <c r="M20" s="96">
        <f t="shared" si="3"/>
        <v>3.8516594435297202E-2</v>
      </c>
      <c r="N20" s="51"/>
      <c r="O20" s="84"/>
      <c r="P20" s="95">
        <f t="shared" si="4"/>
        <v>197.45154003252929</v>
      </c>
      <c r="Q20" s="84"/>
      <c r="R20" s="96">
        <f t="shared" si="5"/>
        <v>7.6943407880844014E-2</v>
      </c>
      <c r="S20" s="92"/>
      <c r="T20" s="51"/>
      <c r="U20" s="51"/>
      <c r="V20" s="51"/>
      <c r="W20" s="51"/>
      <c r="X20" s="90"/>
      <c r="Y20" s="90"/>
      <c r="Z20" s="51"/>
    </row>
    <row r="21" spans="1:26" ht="12.45" customHeight="1">
      <c r="A21" s="51"/>
      <c r="B21" s="68"/>
      <c r="C21" s="93">
        <v>0.99999999999999989</v>
      </c>
      <c r="D21" s="51"/>
      <c r="E21" s="94">
        <v>1650.9478820598006</v>
      </c>
      <c r="F21" s="77"/>
      <c r="G21" s="95">
        <f t="shared" si="0"/>
        <v>695.57734264950159</v>
      </c>
      <c r="H21" s="77"/>
      <c r="I21" s="95">
        <f t="shared" si="1"/>
        <v>721.41231443106301</v>
      </c>
      <c r="J21" s="77"/>
      <c r="K21" s="95">
        <f t="shared" si="2"/>
        <v>25.834971781561421</v>
      </c>
      <c r="L21" s="84"/>
      <c r="M21" s="96">
        <f t="shared" si="3"/>
        <v>3.7141767273721538E-2</v>
      </c>
      <c r="N21" s="51"/>
      <c r="O21" s="84"/>
      <c r="P21" s="95">
        <f t="shared" si="4"/>
        <v>345.47733477990022</v>
      </c>
      <c r="Q21" s="84"/>
      <c r="R21" s="96">
        <f t="shared" si="5"/>
        <v>7.4780511427820856E-2</v>
      </c>
      <c r="S21" s="92"/>
      <c r="T21" s="51"/>
      <c r="U21" s="51"/>
      <c r="V21" s="51"/>
      <c r="W21" s="51"/>
      <c r="X21" s="90"/>
      <c r="Y21" s="90"/>
      <c r="Z21" s="51"/>
    </row>
    <row r="22" spans="1:26" ht="12.45" customHeight="1">
      <c r="A22" s="51"/>
      <c r="B22" s="68"/>
      <c r="C22" s="98"/>
      <c r="D22" s="51"/>
      <c r="E22" s="94"/>
      <c r="F22" s="77"/>
      <c r="G22" s="95"/>
      <c r="H22" s="77"/>
      <c r="I22" s="95"/>
      <c r="J22" s="77"/>
      <c r="K22" s="95"/>
      <c r="L22" s="84"/>
      <c r="M22" s="96"/>
      <c r="N22" s="51"/>
      <c r="O22" s="84"/>
      <c r="P22" s="95"/>
      <c r="Q22" s="84"/>
      <c r="R22" s="96"/>
      <c r="S22" s="92"/>
      <c r="T22" s="51"/>
      <c r="U22" s="51"/>
      <c r="V22" s="51"/>
      <c r="W22" s="51"/>
      <c r="X22" s="90"/>
      <c r="Y22" s="90"/>
      <c r="Z22" s="51"/>
    </row>
    <row r="23" spans="1:26" ht="12.45" customHeight="1">
      <c r="A23" s="51"/>
      <c r="B23" s="68"/>
      <c r="C23" s="99" t="s">
        <v>413</v>
      </c>
      <c r="D23" s="51"/>
      <c r="E23" s="94">
        <f>AVERAGE(E12:E21)</f>
        <v>565.22911818915031</v>
      </c>
      <c r="F23" s="77"/>
      <c r="G23" s="95">
        <f>$I$31+E23*$I$65</f>
        <v>242.74576061433078</v>
      </c>
      <c r="H23" s="77"/>
      <c r="I23" s="95">
        <f>$P$31+E23*$P$65</f>
        <v>252.57723781643887</v>
      </c>
      <c r="J23" s="77"/>
      <c r="K23" s="95">
        <f>I23-G23</f>
        <v>9.8314772021080898</v>
      </c>
      <c r="L23" s="84"/>
      <c r="M23" s="96">
        <f>I23/G23-1</f>
        <v>4.0501128329603064E-2</v>
      </c>
      <c r="N23" s="51"/>
      <c r="O23" s="84"/>
      <c r="P23" s="95">
        <f>+$I$31+E23*$I$77</f>
        <v>122.88327381113957</v>
      </c>
      <c r="Q23" s="84"/>
      <c r="R23" s="96">
        <f>+K23/P23</f>
        <v>8.0006634728971959E-2</v>
      </c>
      <c r="S23" s="92"/>
      <c r="T23" s="51"/>
      <c r="U23" s="51"/>
      <c r="V23" s="51"/>
      <c r="W23" s="51"/>
      <c r="X23" s="90"/>
      <c r="Y23" s="90"/>
      <c r="Z23" s="51"/>
    </row>
    <row r="24" spans="1:26" ht="12.45" customHeight="1">
      <c r="A24" s="51"/>
      <c r="B24" s="68"/>
      <c r="C24" s="99" t="s">
        <v>422</v>
      </c>
      <c r="D24" s="51"/>
      <c r="E24" s="94">
        <v>600</v>
      </c>
      <c r="F24" s="100"/>
      <c r="G24" s="95">
        <f>$I$31+E24*$I$65</f>
        <v>257.24799999999993</v>
      </c>
      <c r="H24" s="77"/>
      <c r="I24" s="95">
        <f>$P$31+E24*$P$65</f>
        <v>267.59199999999998</v>
      </c>
      <c r="J24" s="77"/>
      <c r="K24" s="95">
        <f>I24-G24</f>
        <v>10.344000000000051</v>
      </c>
      <c r="L24" s="84"/>
      <c r="M24" s="96">
        <f>I24/G24-1</f>
        <v>4.0210225152382373E-2</v>
      </c>
      <c r="N24" s="51"/>
      <c r="O24" s="84"/>
      <c r="P24" s="95">
        <f>+$I$31+E24*$I$77</f>
        <v>130.01199999999997</v>
      </c>
      <c r="Q24" s="84"/>
      <c r="R24" s="96">
        <f>+K24/P24</f>
        <v>7.9561886595083939E-2</v>
      </c>
      <c r="S24" s="92"/>
      <c r="T24" s="51"/>
      <c r="U24" s="51"/>
      <c r="V24" s="51"/>
      <c r="W24" s="51"/>
      <c r="X24" s="90"/>
      <c r="Y24" s="90"/>
      <c r="Z24" s="51"/>
    </row>
    <row r="25" spans="1:26" ht="12.45" customHeight="1">
      <c r="A25" s="51"/>
      <c r="B25" s="101"/>
      <c r="C25" s="102"/>
      <c r="D25" s="103"/>
      <c r="E25" s="104"/>
      <c r="F25" s="105"/>
      <c r="G25" s="106"/>
      <c r="H25" s="104"/>
      <c r="I25" s="107"/>
      <c r="J25" s="104"/>
      <c r="K25" s="107"/>
      <c r="L25" s="104"/>
      <c r="M25" s="107"/>
      <c r="N25" s="108"/>
      <c r="O25" s="104"/>
      <c r="P25" s="104"/>
      <c r="Q25" s="104"/>
      <c r="R25" s="107"/>
      <c r="S25" s="109"/>
      <c r="T25" s="51"/>
      <c r="U25" s="51"/>
      <c r="V25" s="51"/>
      <c r="W25" s="51"/>
      <c r="X25" s="51"/>
      <c r="Y25" s="51"/>
      <c r="Z25" s="51"/>
    </row>
    <row r="26" spans="1:26" ht="12.45" customHeigh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2.45" customHeight="1">
      <c r="A27" s="51"/>
      <c r="B27" s="69"/>
      <c r="C27" s="70"/>
      <c r="D27" s="110"/>
      <c r="E27" s="110"/>
      <c r="F27" s="110"/>
      <c r="G27" s="110"/>
      <c r="H27" s="110"/>
      <c r="I27" s="110"/>
      <c r="J27" s="110"/>
      <c r="K27" s="110"/>
      <c r="L27" s="70"/>
      <c r="M27" s="70"/>
      <c r="N27" s="70"/>
      <c r="O27" s="70"/>
      <c r="P27" s="110"/>
      <c r="Q27" s="110"/>
      <c r="R27" s="110"/>
      <c r="S27" s="111"/>
      <c r="T27" s="51"/>
      <c r="U27" s="51"/>
      <c r="V27" s="51"/>
      <c r="W27" s="51"/>
      <c r="X27" s="51"/>
      <c r="Y27" s="51"/>
      <c r="Z27" s="51"/>
    </row>
    <row r="28" spans="1:26" ht="12.45" customHeight="1">
      <c r="A28" s="51"/>
      <c r="B28" s="533" t="s">
        <v>423</v>
      </c>
      <c r="C28" s="112"/>
      <c r="E28" s="53"/>
      <c r="F28" s="53"/>
      <c r="G28" s="51"/>
      <c r="I28" s="53"/>
      <c r="J28" s="51"/>
      <c r="K28" s="586" t="s">
        <v>424</v>
      </c>
      <c r="L28" s="51"/>
      <c r="N28" s="51"/>
      <c r="P28" s="53"/>
      <c r="Q28" s="53"/>
      <c r="R28" s="53"/>
      <c r="S28" s="80"/>
      <c r="T28" s="51"/>
      <c r="U28" s="51"/>
      <c r="V28" s="51"/>
      <c r="W28" s="51"/>
      <c r="X28" s="51"/>
      <c r="Y28" s="51"/>
      <c r="Z28" s="51"/>
    </row>
    <row r="29" spans="1:26" ht="12.45" customHeight="1">
      <c r="A29" s="51"/>
      <c r="B29" s="113"/>
      <c r="C29" s="59"/>
      <c r="D29" s="114"/>
      <c r="E29" s="114"/>
      <c r="F29" s="114"/>
      <c r="G29" s="51"/>
      <c r="H29" s="114"/>
      <c r="I29" s="83" t="s">
        <v>39</v>
      </c>
      <c r="J29" s="51"/>
      <c r="K29" s="114"/>
      <c r="L29" s="114"/>
      <c r="M29" s="114"/>
      <c r="N29" s="114"/>
      <c r="O29" s="114"/>
      <c r="P29" s="83" t="s">
        <v>39</v>
      </c>
      <c r="Q29" s="83"/>
      <c r="R29" s="115" t="s">
        <v>425</v>
      </c>
      <c r="S29" s="80"/>
      <c r="U29" s="51"/>
      <c r="V29" s="51"/>
      <c r="W29" s="51"/>
      <c r="X29" s="51"/>
      <c r="Y29" s="51"/>
      <c r="Z29" s="51"/>
    </row>
    <row r="30" spans="1:26" ht="12.45" customHeight="1">
      <c r="A30" s="51"/>
      <c r="B30" s="116" t="s">
        <v>426</v>
      </c>
      <c r="C30" s="59"/>
      <c r="D30" s="114"/>
      <c r="E30" s="114"/>
      <c r="F30" s="114"/>
      <c r="G30" s="117"/>
      <c r="H30" s="117"/>
      <c r="I30" s="118"/>
      <c r="J30" s="51"/>
      <c r="K30" s="119" t="s">
        <v>426</v>
      </c>
      <c r="L30" s="114"/>
      <c r="M30" s="114"/>
      <c r="N30" s="114"/>
      <c r="O30" s="117"/>
      <c r="P30" s="118"/>
      <c r="Q30" s="118"/>
      <c r="R30" s="51"/>
      <c r="S30" s="120"/>
      <c r="U30" s="51"/>
      <c r="V30" s="51"/>
      <c r="W30" s="51"/>
      <c r="X30" s="51"/>
      <c r="Y30" s="51"/>
      <c r="Z30" s="51"/>
    </row>
    <row r="31" spans="1:26" ht="12.45" customHeight="1">
      <c r="A31" s="51"/>
      <c r="B31" s="121" t="s">
        <v>134</v>
      </c>
      <c r="C31" s="59"/>
      <c r="D31" s="114"/>
      <c r="E31" s="114"/>
      <c r="F31" s="114"/>
      <c r="G31" s="117"/>
      <c r="H31" s="117"/>
      <c r="I31" s="118">
        <v>7</v>
      </c>
      <c r="J31" s="51"/>
      <c r="K31" s="59" t="s">
        <v>134</v>
      </c>
      <c r="L31" s="114"/>
      <c r="M31" s="114"/>
      <c r="N31" s="114"/>
      <c r="O31" s="117"/>
      <c r="P31" s="118">
        <v>8.5</v>
      </c>
      <c r="Q31" s="118"/>
      <c r="R31" s="118">
        <f>+P31-I31</f>
        <v>1.5</v>
      </c>
      <c r="S31" s="120"/>
      <c r="U31" s="51"/>
      <c r="V31" s="51"/>
      <c r="W31" s="51"/>
      <c r="X31" s="51"/>
      <c r="Y31" s="51"/>
      <c r="Z31" s="51"/>
    </row>
    <row r="32" spans="1:26" ht="12.45" customHeight="1">
      <c r="A32" s="51"/>
      <c r="B32" s="121"/>
      <c r="C32" s="59"/>
      <c r="D32" s="114"/>
      <c r="E32" s="114"/>
      <c r="F32" s="114"/>
      <c r="G32" s="117"/>
      <c r="H32" s="117"/>
      <c r="I32" s="122" t="s">
        <v>421</v>
      </c>
      <c r="J32" s="51"/>
      <c r="K32" s="59"/>
      <c r="L32" s="114"/>
      <c r="M32" s="114"/>
      <c r="N32" s="114"/>
      <c r="O32" s="117"/>
      <c r="P32" s="122" t="s">
        <v>421</v>
      </c>
      <c r="Q32" s="122"/>
      <c r="R32" s="122" t="s">
        <v>421</v>
      </c>
      <c r="S32" s="123"/>
      <c r="U32" s="51"/>
      <c r="V32" s="51"/>
      <c r="W32" s="51"/>
      <c r="X32" s="51"/>
      <c r="Y32" s="51"/>
      <c r="Z32" s="51"/>
    </row>
    <row r="33" spans="1:26" ht="12.45" customHeight="1">
      <c r="A33" s="51"/>
      <c r="B33" s="121" t="s">
        <v>427</v>
      </c>
      <c r="C33" s="59"/>
      <c r="D33" s="51"/>
      <c r="E33" s="51"/>
      <c r="F33" s="51"/>
      <c r="G33" s="124"/>
      <c r="H33" s="124"/>
      <c r="I33" s="125">
        <f>0.00394+0.00158</f>
        <v>5.5199999999999997E-3</v>
      </c>
      <c r="J33" s="51"/>
      <c r="K33" s="98" t="s">
        <v>427</v>
      </c>
      <c r="L33" s="51"/>
      <c r="M33" s="51"/>
      <c r="N33" s="51"/>
      <c r="O33" s="124"/>
      <c r="P33" s="125">
        <f>0.00394+0.00158</f>
        <v>5.5199999999999997E-3</v>
      </c>
      <c r="Q33" s="125"/>
      <c r="R33" s="125">
        <f>+P33-I33</f>
        <v>0</v>
      </c>
      <c r="S33" s="126"/>
      <c r="U33" s="51"/>
      <c r="V33" s="51"/>
      <c r="W33" s="51"/>
      <c r="X33" s="51"/>
      <c r="Y33" s="51"/>
      <c r="Z33" s="51"/>
    </row>
    <row r="34" spans="1:26" ht="12.45" customHeight="1">
      <c r="A34" s="51"/>
      <c r="B34" s="68" t="s">
        <v>428</v>
      </c>
      <c r="C34" s="51"/>
      <c r="D34" s="51"/>
      <c r="E34" s="51"/>
      <c r="F34" s="51"/>
      <c r="G34" s="51"/>
      <c r="H34" s="51"/>
      <c r="I34" s="127">
        <v>2.8049999999999999E-2</v>
      </c>
      <c r="J34" s="51"/>
      <c r="K34" s="51" t="s">
        <v>428</v>
      </c>
      <c r="L34" s="51"/>
      <c r="M34" s="51"/>
      <c r="N34" s="51"/>
      <c r="O34" s="51"/>
      <c r="P34" s="127">
        <v>2.7959999999999999E-2</v>
      </c>
      <c r="Q34" s="127"/>
      <c r="R34" s="127">
        <f>+P34-I34</f>
        <v>-8.9999999999999802E-5</v>
      </c>
      <c r="S34" s="128"/>
      <c r="U34" s="51"/>
      <c r="V34" s="51"/>
      <c r="W34" s="51"/>
      <c r="X34" s="51"/>
      <c r="Y34" s="51"/>
      <c r="Z34" s="51"/>
    </row>
    <row r="35" spans="1:26" ht="12.45" customHeight="1">
      <c r="A35" s="51"/>
      <c r="B35" s="68"/>
      <c r="C35" s="51"/>
      <c r="D35" s="51"/>
      <c r="E35" s="51"/>
      <c r="F35" s="51"/>
      <c r="G35" s="51"/>
      <c r="H35" s="81" t="s">
        <v>429</v>
      </c>
      <c r="I35" s="125">
        <f>+I34+I33</f>
        <v>3.3569999999999996E-2</v>
      </c>
      <c r="J35" s="51"/>
      <c r="K35" s="51"/>
      <c r="L35" s="51"/>
      <c r="M35" s="51"/>
      <c r="N35" s="51"/>
      <c r="O35" s="81" t="s">
        <v>429</v>
      </c>
      <c r="P35" s="125">
        <f>+P34+P33</f>
        <v>3.3479999999999996E-2</v>
      </c>
      <c r="Q35" s="125"/>
      <c r="R35" s="125">
        <f>+P35-I35</f>
        <v>-8.9999999999999802E-5</v>
      </c>
      <c r="S35" s="126"/>
      <c r="U35" s="51"/>
      <c r="V35" s="51"/>
      <c r="W35" s="51"/>
      <c r="X35" s="51"/>
      <c r="Y35" s="51"/>
      <c r="Z35" s="51"/>
    </row>
    <row r="36" spans="1:26" ht="12.45" customHeight="1">
      <c r="A36" s="51"/>
      <c r="B36" s="68"/>
      <c r="C36" s="51"/>
      <c r="D36" s="51"/>
      <c r="E36" s="51"/>
      <c r="F36" s="51"/>
      <c r="G36" s="51"/>
      <c r="H36" s="51"/>
      <c r="I36" s="125"/>
      <c r="J36" s="51"/>
      <c r="K36" s="51"/>
      <c r="L36" s="51"/>
      <c r="M36" s="51"/>
      <c r="N36" s="51"/>
      <c r="O36" s="51"/>
      <c r="P36" s="125"/>
      <c r="Q36" s="125"/>
      <c r="R36" s="125"/>
      <c r="S36" s="126"/>
      <c r="U36" s="51"/>
      <c r="V36" s="51"/>
      <c r="W36" s="51"/>
      <c r="X36" s="51"/>
      <c r="Y36" s="51"/>
      <c r="Z36" s="51"/>
    </row>
    <row r="37" spans="1:26" ht="12.45" customHeight="1">
      <c r="A37" s="51"/>
      <c r="B37" s="129" t="s">
        <v>430</v>
      </c>
      <c r="C37" s="59"/>
      <c r="D37" s="51"/>
      <c r="E37" s="51"/>
      <c r="F37" s="51"/>
      <c r="G37" s="124"/>
      <c r="H37" s="124"/>
      <c r="I37" s="125">
        <v>7.9030000000000003E-2</v>
      </c>
      <c r="J37" s="51"/>
      <c r="K37" s="98" t="s">
        <v>262</v>
      </c>
      <c r="L37" s="51"/>
      <c r="M37" s="51"/>
      <c r="N37" s="51"/>
      <c r="O37" s="130"/>
      <c r="P37" s="125">
        <v>0.10585</v>
      </c>
      <c r="Q37" s="125"/>
      <c r="R37" s="125">
        <f>+P37-I37</f>
        <v>2.6819999999999997E-2</v>
      </c>
      <c r="S37" s="126"/>
      <c r="U37" s="51"/>
      <c r="V37" s="130"/>
      <c r="W37" s="51"/>
      <c r="X37" s="51"/>
      <c r="Y37" s="51"/>
      <c r="Z37" s="51"/>
    </row>
    <row r="38" spans="1:26" ht="12.45" customHeight="1">
      <c r="A38" s="51"/>
      <c r="B38" s="129"/>
      <c r="C38" s="59"/>
      <c r="D38" s="51"/>
      <c r="E38" s="51"/>
      <c r="F38" s="51"/>
      <c r="G38" s="124"/>
      <c r="H38" s="124"/>
      <c r="I38" s="125"/>
      <c r="J38" s="51"/>
      <c r="K38" s="98"/>
      <c r="L38" s="51"/>
      <c r="M38" s="51"/>
      <c r="N38" s="51"/>
      <c r="O38" s="130"/>
      <c r="P38" s="125"/>
      <c r="Q38" s="125"/>
      <c r="R38" s="125"/>
      <c r="S38" s="126"/>
      <c r="U38" s="51"/>
      <c r="V38" s="51"/>
      <c r="W38" s="51"/>
      <c r="X38" s="51"/>
      <c r="Y38" s="51"/>
      <c r="Z38" s="51"/>
    </row>
    <row r="39" spans="1:26" ht="12.45" customHeight="1">
      <c r="A39" s="51"/>
      <c r="B39" s="129" t="s">
        <v>431</v>
      </c>
      <c r="C39" s="59"/>
      <c r="D39" s="51"/>
      <c r="E39" s="51"/>
      <c r="F39" s="51"/>
      <c r="G39" s="124"/>
      <c r="H39" s="124"/>
      <c r="I39" s="125">
        <v>3.3300000000000001E-3</v>
      </c>
      <c r="J39" s="51"/>
      <c r="K39" s="98" t="s">
        <v>431</v>
      </c>
      <c r="L39" s="51"/>
      <c r="M39" s="51"/>
      <c r="N39" s="51"/>
      <c r="O39" s="130"/>
      <c r="P39" s="125">
        <v>3.3300000000000001E-3</v>
      </c>
      <c r="Q39" s="125"/>
      <c r="R39" s="125">
        <f t="shared" ref="R39:R51" si="6">+P39-I39</f>
        <v>0</v>
      </c>
      <c r="S39" s="126"/>
      <c r="U39" s="51"/>
      <c r="V39" s="51"/>
      <c r="W39" s="51"/>
      <c r="X39" s="51"/>
      <c r="Y39" s="51"/>
      <c r="Z39" s="51"/>
    </row>
    <row r="40" spans="1:26" ht="12.45" customHeight="1">
      <c r="A40" s="51"/>
      <c r="B40" s="129" t="s">
        <v>432</v>
      </c>
      <c r="C40" s="59"/>
      <c r="D40" s="51"/>
      <c r="E40" s="51"/>
      <c r="F40" s="51"/>
      <c r="G40" s="124"/>
      <c r="H40" s="124"/>
      <c r="I40" s="125">
        <v>2.4979999999999999E-2</v>
      </c>
      <c r="J40" s="51"/>
      <c r="K40" s="98" t="s">
        <v>432</v>
      </c>
      <c r="L40" s="51"/>
      <c r="M40" s="51"/>
      <c r="N40" s="51"/>
      <c r="O40" s="130"/>
      <c r="P40" s="125">
        <v>2.8139999999999998E-2</v>
      </c>
      <c r="Q40" s="125"/>
      <c r="R40" s="125">
        <f t="shared" si="6"/>
        <v>3.1599999999999996E-3</v>
      </c>
      <c r="S40" s="126"/>
      <c r="U40" s="51"/>
      <c r="V40" s="51"/>
      <c r="W40" s="51"/>
      <c r="X40" s="51"/>
      <c r="Y40" s="51"/>
      <c r="Z40" s="51"/>
    </row>
    <row r="41" spans="1:26" ht="12.45" customHeight="1">
      <c r="A41" s="51"/>
      <c r="B41" s="121" t="s">
        <v>433</v>
      </c>
      <c r="C41" s="59"/>
      <c r="D41" s="51"/>
      <c r="E41" s="51"/>
      <c r="F41" s="51"/>
      <c r="G41" s="124"/>
      <c r="H41" s="124"/>
      <c r="I41" s="125">
        <v>1.508E-2</v>
      </c>
      <c r="J41" s="51"/>
      <c r="K41" s="59" t="s">
        <v>433</v>
      </c>
      <c r="L41" s="51"/>
      <c r="M41" s="51"/>
      <c r="N41" s="51"/>
      <c r="O41" s="130"/>
      <c r="P41" s="125">
        <v>1.508E-2</v>
      </c>
      <c r="Q41" s="125"/>
      <c r="R41" s="125">
        <f t="shared" si="6"/>
        <v>0</v>
      </c>
      <c r="S41" s="126"/>
      <c r="U41" s="51"/>
      <c r="V41" s="51"/>
      <c r="W41" s="51"/>
      <c r="X41" s="51"/>
      <c r="Y41" s="51"/>
      <c r="Z41" s="51"/>
    </row>
    <row r="42" spans="1:26" ht="12.45" customHeight="1">
      <c r="A42" s="51"/>
      <c r="B42" s="121" t="s">
        <v>434</v>
      </c>
      <c r="C42" s="59"/>
      <c r="D42" s="51"/>
      <c r="E42" s="51"/>
      <c r="F42" s="51"/>
      <c r="G42" s="124"/>
      <c r="H42" s="124"/>
      <c r="I42" s="125">
        <v>1.72E-3</v>
      </c>
      <c r="J42" s="51"/>
      <c r="K42" s="59" t="s">
        <v>434</v>
      </c>
      <c r="L42" s="51"/>
      <c r="M42" s="51"/>
      <c r="N42" s="51"/>
      <c r="O42" s="130"/>
      <c r="P42" s="125">
        <v>1.72E-3</v>
      </c>
      <c r="Q42" s="125"/>
      <c r="R42" s="125">
        <f t="shared" si="6"/>
        <v>0</v>
      </c>
      <c r="S42" s="126"/>
      <c r="U42" s="51"/>
      <c r="V42" s="51"/>
      <c r="W42" s="51"/>
      <c r="X42" s="51"/>
      <c r="Y42" s="51"/>
      <c r="Z42" s="51"/>
    </row>
    <row r="43" spans="1:26" ht="12.45" customHeight="1">
      <c r="A43" s="51"/>
      <c r="B43" s="121" t="s">
        <v>435</v>
      </c>
      <c r="C43" s="59"/>
      <c r="D43" s="51"/>
      <c r="E43" s="51"/>
      <c r="F43" s="51"/>
      <c r="G43" s="124"/>
      <c r="H43" s="124"/>
      <c r="I43" s="125">
        <v>5.1999999999999995E-4</v>
      </c>
      <c r="J43" s="51"/>
      <c r="K43" s="59" t="s">
        <v>435</v>
      </c>
      <c r="L43" s="51"/>
      <c r="M43" s="51"/>
      <c r="N43" s="51"/>
      <c r="O43" s="130"/>
      <c r="P43" s="125">
        <v>5.1999999999999995E-4</v>
      </c>
      <c r="Q43" s="125"/>
      <c r="R43" s="125">
        <f t="shared" si="6"/>
        <v>0</v>
      </c>
      <c r="S43" s="126"/>
      <c r="U43" s="51"/>
      <c r="V43" s="51"/>
      <c r="W43" s="51"/>
      <c r="X43" s="51"/>
      <c r="Y43" s="51"/>
      <c r="Z43" s="51"/>
    </row>
    <row r="44" spans="1:26" ht="12.45" customHeight="1">
      <c r="A44" s="51"/>
      <c r="B44" s="68" t="s">
        <v>436</v>
      </c>
      <c r="C44" s="59"/>
      <c r="D44" s="51"/>
      <c r="E44" s="51"/>
      <c r="F44" s="51"/>
      <c r="G44" s="124"/>
      <c r="H44" s="124"/>
      <c r="I44" s="125">
        <v>-2.7499999999999998E-3</v>
      </c>
      <c r="J44" s="51"/>
      <c r="K44" s="51" t="s">
        <v>436</v>
      </c>
      <c r="L44" s="51"/>
      <c r="M44" s="51"/>
      <c r="N44" s="51"/>
      <c r="O44" s="130"/>
      <c r="P44" s="125">
        <v>-2.7499999999999998E-3</v>
      </c>
      <c r="Q44" s="125"/>
      <c r="R44" s="125">
        <f t="shared" si="6"/>
        <v>0</v>
      </c>
      <c r="S44" s="126"/>
      <c r="U44" s="51"/>
      <c r="V44" s="51"/>
      <c r="W44" s="51"/>
      <c r="X44" s="51"/>
      <c r="Y44" s="51"/>
      <c r="Z44" s="51"/>
    </row>
    <row r="45" spans="1:26" ht="12.45" customHeight="1">
      <c r="A45" s="51"/>
      <c r="B45" s="68" t="s">
        <v>437</v>
      </c>
      <c r="C45" s="59"/>
      <c r="D45" s="51"/>
      <c r="E45" s="51"/>
      <c r="F45" s="51"/>
      <c r="G45" s="124"/>
      <c r="H45" s="124"/>
      <c r="I45" s="125">
        <v>9.9699999999999997E-3</v>
      </c>
      <c r="J45" s="51"/>
      <c r="K45" s="51" t="s">
        <v>437</v>
      </c>
      <c r="L45" s="51"/>
      <c r="M45" s="51"/>
      <c r="N45" s="51"/>
      <c r="O45" s="130"/>
      <c r="P45" s="125">
        <v>2.9899999999999996E-3</v>
      </c>
      <c r="Q45" s="125"/>
      <c r="R45" s="125">
        <f t="shared" si="6"/>
        <v>-6.9800000000000001E-3</v>
      </c>
      <c r="S45" s="126"/>
      <c r="U45" s="51"/>
      <c r="V45" s="51"/>
      <c r="W45" s="51"/>
      <c r="X45" s="51"/>
      <c r="Y45" s="51"/>
      <c r="Z45" s="51"/>
    </row>
    <row r="46" spans="1:26" ht="12.45" customHeight="1">
      <c r="A46" s="51"/>
      <c r="B46" s="129" t="s">
        <v>438</v>
      </c>
      <c r="C46" s="59"/>
      <c r="D46" s="51"/>
      <c r="E46" s="51"/>
      <c r="F46" s="51"/>
      <c r="G46" s="124"/>
      <c r="H46" s="124"/>
      <c r="I46" s="125">
        <v>-1.7000000000000001E-4</v>
      </c>
      <c r="J46" s="51"/>
      <c r="K46" s="98" t="s">
        <v>438</v>
      </c>
      <c r="L46" s="51"/>
      <c r="M46" s="51"/>
      <c r="N46" s="51"/>
      <c r="O46" s="130"/>
      <c r="P46" s="125">
        <v>-1.15E-3</v>
      </c>
      <c r="Q46" s="125"/>
      <c r="R46" s="125">
        <f t="shared" si="6"/>
        <v>-9.7999999999999997E-4</v>
      </c>
      <c r="S46" s="126"/>
      <c r="U46" s="51"/>
      <c r="V46" s="51"/>
      <c r="W46" s="51"/>
      <c r="X46" s="51"/>
      <c r="Y46" s="51"/>
      <c r="Z46" s="51"/>
    </row>
    <row r="47" spans="1:26" ht="12.45" customHeight="1">
      <c r="A47" s="51"/>
      <c r="B47" s="68" t="s">
        <v>439</v>
      </c>
      <c r="C47" s="51"/>
      <c r="D47" s="51"/>
      <c r="E47" s="51"/>
      <c r="F47" s="51"/>
      <c r="G47" s="51"/>
      <c r="H47" s="51"/>
      <c r="I47" s="125">
        <v>3.6800000000000001E-3</v>
      </c>
      <c r="J47" s="51"/>
      <c r="K47" s="51" t="s">
        <v>439</v>
      </c>
      <c r="L47" s="51"/>
      <c r="M47" s="51"/>
      <c r="N47" s="51"/>
      <c r="O47" s="51"/>
      <c r="P47" s="125">
        <v>3.6800000000000001E-3</v>
      </c>
      <c r="Q47" s="125"/>
      <c r="R47" s="125">
        <f t="shared" si="6"/>
        <v>0</v>
      </c>
      <c r="S47" s="126"/>
      <c r="U47" s="51"/>
      <c r="V47" s="51"/>
      <c r="W47" s="51"/>
      <c r="X47" s="51"/>
      <c r="Y47" s="51"/>
      <c r="Z47" s="51"/>
    </row>
    <row r="48" spans="1:26" ht="12.45" customHeight="1">
      <c r="A48" s="51"/>
      <c r="B48" s="121" t="s">
        <v>440</v>
      </c>
      <c r="C48" s="59"/>
      <c r="D48" s="51"/>
      <c r="E48" s="51"/>
      <c r="F48" s="51"/>
      <c r="G48" s="124"/>
      <c r="H48" s="124"/>
      <c r="I48" s="125">
        <v>-4.0000000000000002E-4</v>
      </c>
      <c r="J48" s="51"/>
      <c r="K48" s="59" t="s">
        <v>440</v>
      </c>
      <c r="L48" s="51"/>
      <c r="M48" s="51"/>
      <c r="N48" s="51"/>
      <c r="O48" s="130"/>
      <c r="P48" s="125">
        <f>+I48</f>
        <v>-4.0000000000000002E-4</v>
      </c>
      <c r="Q48" s="125"/>
      <c r="R48" s="125">
        <f t="shared" si="6"/>
        <v>0</v>
      </c>
      <c r="S48" s="128"/>
      <c r="U48" s="51"/>
      <c r="V48" s="51"/>
      <c r="W48" s="51"/>
      <c r="X48" s="51"/>
      <c r="Y48" s="51"/>
      <c r="Z48" s="51"/>
    </row>
    <row r="49" spans="1:26" ht="12.45" customHeight="1">
      <c r="A49" s="51"/>
      <c r="B49" s="68" t="s">
        <v>441</v>
      </c>
      <c r="C49" s="51"/>
      <c r="D49" s="51"/>
      <c r="E49" s="51"/>
      <c r="F49" s="51"/>
      <c r="G49" s="51"/>
      <c r="H49" s="51"/>
      <c r="I49" s="125">
        <v>5.1000000000000004E-4</v>
      </c>
      <c r="J49" s="51"/>
      <c r="K49" s="51" t="s">
        <v>441</v>
      </c>
      <c r="L49" s="51"/>
      <c r="M49" s="51"/>
      <c r="N49" s="51"/>
      <c r="O49" s="51"/>
      <c r="P49" s="125">
        <v>5.1000000000000004E-4</v>
      </c>
      <c r="Q49" s="127"/>
      <c r="R49" s="125">
        <f t="shared" si="6"/>
        <v>0</v>
      </c>
      <c r="S49" s="128"/>
      <c r="U49" s="51"/>
      <c r="V49" s="51"/>
      <c r="W49" s="51"/>
      <c r="X49" s="51"/>
      <c r="Y49" s="51"/>
      <c r="Z49" s="51"/>
    </row>
    <row r="50" spans="1:26" ht="12.45" customHeight="1">
      <c r="A50" s="51"/>
      <c r="B50" s="68" t="s">
        <v>442</v>
      </c>
      <c r="C50" s="51"/>
      <c r="D50" s="51"/>
      <c r="E50" s="51"/>
      <c r="F50" s="51"/>
      <c r="G50" s="51"/>
      <c r="H50" s="51"/>
      <c r="I50" s="127">
        <v>1.89E-3</v>
      </c>
      <c r="J50" s="51"/>
      <c r="K50" s="51" t="s">
        <v>442</v>
      </c>
      <c r="L50" s="51"/>
      <c r="M50" s="51"/>
      <c r="N50" s="51"/>
      <c r="O50" s="51"/>
      <c r="P50" s="127">
        <v>1.89E-3</v>
      </c>
      <c r="Q50" s="127"/>
      <c r="R50" s="125">
        <f t="shared" si="6"/>
        <v>0</v>
      </c>
      <c r="S50" s="128"/>
      <c r="U50" s="51"/>
      <c r="V50" s="51"/>
      <c r="W50" s="51"/>
      <c r="X50" s="51"/>
      <c r="Y50" s="51"/>
      <c r="Z50" s="51"/>
    </row>
    <row r="51" spans="1:26" ht="12.45" customHeight="1">
      <c r="A51" s="51"/>
      <c r="B51" s="68"/>
      <c r="C51" s="59"/>
      <c r="D51" s="51"/>
      <c r="E51" s="51"/>
      <c r="F51" s="51"/>
      <c r="G51" s="124"/>
      <c r="H51" s="131" t="s">
        <v>443</v>
      </c>
      <c r="I51" s="125">
        <f>SUM(I37,I39:I50)</f>
        <v>0.13738999999999998</v>
      </c>
      <c r="J51" s="51"/>
      <c r="K51" s="51"/>
      <c r="L51" s="51"/>
      <c r="M51" s="51"/>
      <c r="N51" s="51"/>
      <c r="O51" s="131" t="s">
        <v>443</v>
      </c>
      <c r="P51" s="125">
        <f>SUM(P37,P39:P50)</f>
        <v>0.15940999999999997</v>
      </c>
      <c r="Q51" s="125"/>
      <c r="R51" s="125">
        <f t="shared" si="6"/>
        <v>2.2019999999999984E-2</v>
      </c>
      <c r="S51" s="126"/>
      <c r="U51" s="51"/>
      <c r="V51" s="51"/>
      <c r="W51" s="51"/>
      <c r="X51" s="51"/>
      <c r="Y51" s="51"/>
      <c r="Z51" s="51"/>
    </row>
    <row r="52" spans="1:26" ht="12.45" customHeight="1">
      <c r="A52" s="51"/>
      <c r="B52" s="68"/>
      <c r="C52" s="59"/>
      <c r="D52" s="51"/>
      <c r="E52" s="51"/>
      <c r="F52" s="51"/>
      <c r="G52" s="124"/>
      <c r="H52" s="124"/>
      <c r="I52" s="125"/>
      <c r="J52" s="51"/>
      <c r="K52" s="51"/>
      <c r="L52" s="51"/>
      <c r="M52" s="51"/>
      <c r="N52" s="51"/>
      <c r="O52" s="131"/>
      <c r="P52" s="125"/>
      <c r="Q52" s="125"/>
      <c r="R52" s="125"/>
      <c r="S52" s="126"/>
      <c r="U52" s="51"/>
      <c r="V52" s="51"/>
      <c r="W52" s="51"/>
      <c r="X52" s="51"/>
      <c r="Y52" s="51"/>
      <c r="Z52" s="51"/>
    </row>
    <row r="53" spans="1:26" ht="12.45" customHeight="1">
      <c r="A53" s="51"/>
      <c r="B53" s="121" t="s">
        <v>444</v>
      </c>
      <c r="C53" s="59"/>
      <c r="D53" s="51"/>
      <c r="E53" s="51"/>
      <c r="F53" s="51"/>
      <c r="G53" s="124"/>
      <c r="H53" s="124"/>
      <c r="I53" s="125">
        <v>5.0000000000000001E-4</v>
      </c>
      <c r="J53" s="51"/>
      <c r="K53" s="59" t="s">
        <v>444</v>
      </c>
      <c r="L53" s="51"/>
      <c r="M53" s="51"/>
      <c r="N53" s="51"/>
      <c r="O53" s="130"/>
      <c r="P53" s="125">
        <v>5.0000000000000001E-4</v>
      </c>
      <c r="Q53" s="125"/>
      <c r="R53" s="125">
        <f>+P53-I53</f>
        <v>0</v>
      </c>
      <c r="S53" s="126"/>
      <c r="U53" s="51"/>
      <c r="V53" s="51"/>
      <c r="W53" s="51"/>
      <c r="X53" s="51"/>
      <c r="Y53" s="51"/>
      <c r="Z53" s="51"/>
    </row>
    <row r="54" spans="1:26" ht="12.45" customHeight="1">
      <c r="A54" s="51"/>
      <c r="B54" s="121"/>
      <c r="C54" s="59"/>
      <c r="D54" s="51"/>
      <c r="E54" s="51"/>
      <c r="F54" s="51"/>
      <c r="G54" s="124"/>
      <c r="H54" s="124"/>
      <c r="I54" s="125"/>
      <c r="J54" s="51"/>
      <c r="K54" s="59"/>
      <c r="L54" s="51"/>
      <c r="M54" s="51"/>
      <c r="N54" s="51"/>
      <c r="O54" s="130"/>
      <c r="P54" s="125"/>
      <c r="Q54" s="125"/>
      <c r="R54" s="125"/>
      <c r="S54" s="126"/>
      <c r="U54" s="51"/>
      <c r="V54" s="51"/>
      <c r="W54" s="51"/>
      <c r="X54" s="51"/>
      <c r="Y54" s="51"/>
      <c r="Z54" s="51"/>
    </row>
    <row r="55" spans="1:26" ht="12.45" customHeight="1">
      <c r="A55" s="51"/>
      <c r="B55" s="121" t="s">
        <v>445</v>
      </c>
      <c r="C55" s="51"/>
      <c r="D55" s="51"/>
      <c r="E55" s="51"/>
      <c r="F55" s="51"/>
      <c r="G55" s="51"/>
      <c r="H55" s="124"/>
      <c r="I55" s="125">
        <v>2.5000000000000001E-3</v>
      </c>
      <c r="J55" s="51"/>
      <c r="K55" s="59" t="s">
        <v>445</v>
      </c>
      <c r="L55" s="51"/>
      <c r="M55" s="51"/>
      <c r="N55" s="51"/>
      <c r="O55" s="51"/>
      <c r="P55" s="125">
        <v>2.5000000000000001E-3</v>
      </c>
      <c r="Q55" s="125"/>
      <c r="R55" s="125">
        <f>+P55-I55</f>
        <v>0</v>
      </c>
      <c r="S55" s="126"/>
      <c r="U55" s="51"/>
      <c r="V55" s="51"/>
      <c r="W55" s="51"/>
      <c r="X55" s="51"/>
      <c r="Y55" s="51"/>
      <c r="Z55" s="51"/>
    </row>
    <row r="56" spans="1:26" ht="12.45" customHeight="1">
      <c r="A56" s="51"/>
      <c r="B56" s="129" t="s">
        <v>446</v>
      </c>
      <c r="C56" s="59"/>
      <c r="D56" s="51"/>
      <c r="E56" s="51"/>
      <c r="F56" s="51"/>
      <c r="G56" s="124"/>
      <c r="H56" s="124"/>
      <c r="I56" s="127">
        <v>2.5389999999999999E-2</v>
      </c>
      <c r="J56" s="51"/>
      <c r="K56" s="98" t="s">
        <v>447</v>
      </c>
      <c r="L56" s="51"/>
      <c r="M56" s="51"/>
      <c r="N56" s="51"/>
      <c r="O56" s="130"/>
      <c r="P56" s="127">
        <v>2.0969999999999999E-2</v>
      </c>
      <c r="R56" s="125">
        <f>+P56-I56</f>
        <v>-4.4200000000000003E-3</v>
      </c>
      <c r="S56" s="126"/>
      <c r="U56" s="51"/>
      <c r="V56" s="51"/>
      <c r="W56" s="51"/>
      <c r="X56" s="51"/>
      <c r="Y56" s="51"/>
      <c r="Z56" s="51"/>
    </row>
    <row r="57" spans="1:26" ht="12.45" customHeight="1">
      <c r="A57" s="51"/>
      <c r="B57" s="129"/>
      <c r="H57" s="124" t="s">
        <v>448</v>
      </c>
      <c r="I57" s="125">
        <f>SUM(I55:I56)</f>
        <v>2.7889999999999998E-2</v>
      </c>
      <c r="O57" s="124" t="s">
        <v>448</v>
      </c>
      <c r="P57" s="125">
        <f>SUM(P55:P56)</f>
        <v>2.3469999999999998E-2</v>
      </c>
      <c r="Q57" s="125"/>
      <c r="R57" s="125">
        <f>+P57-I57</f>
        <v>-4.4200000000000003E-3</v>
      </c>
      <c r="S57" s="126"/>
      <c r="U57" s="51"/>
      <c r="V57" s="51"/>
      <c r="W57" s="51"/>
      <c r="X57" s="51"/>
      <c r="Y57" s="51"/>
      <c r="Z57" s="51"/>
    </row>
    <row r="58" spans="1:26" ht="12.45" customHeight="1">
      <c r="A58" s="51"/>
      <c r="B58" s="129"/>
      <c r="H58" s="124"/>
      <c r="I58" s="127"/>
      <c r="O58" s="124"/>
      <c r="P58" s="127"/>
      <c r="Q58" s="125"/>
      <c r="R58" s="125"/>
      <c r="S58" s="126"/>
      <c r="U58" s="51"/>
      <c r="V58" s="51"/>
      <c r="W58" s="51"/>
      <c r="X58" s="51"/>
      <c r="Y58" s="51"/>
      <c r="Z58" s="51"/>
    </row>
    <row r="59" spans="1:26" ht="12.45" customHeight="1">
      <c r="A59" s="51"/>
      <c r="B59" s="129" t="s">
        <v>449</v>
      </c>
      <c r="C59" s="51"/>
      <c r="D59" s="51"/>
      <c r="E59" s="51"/>
      <c r="F59" s="51"/>
      <c r="G59" s="51"/>
      <c r="H59" s="124"/>
      <c r="I59" s="125">
        <v>5.6699999999999997E-3</v>
      </c>
      <c r="J59" s="51"/>
      <c r="K59" s="98" t="s">
        <v>449</v>
      </c>
      <c r="L59" s="51"/>
      <c r="M59" s="51"/>
      <c r="N59" s="51"/>
      <c r="O59" s="51"/>
      <c r="P59" s="125">
        <v>4.9099999999999994E-3</v>
      </c>
      <c r="Q59" s="125"/>
      <c r="R59" s="125">
        <f>+P59-I59</f>
        <v>-7.6000000000000026E-4</v>
      </c>
      <c r="S59" s="126"/>
      <c r="U59" s="51"/>
      <c r="V59" s="51"/>
      <c r="W59" s="51"/>
      <c r="X59" s="51"/>
      <c r="Y59" s="51"/>
      <c r="Z59" s="51"/>
    </row>
    <row r="60" spans="1:26" ht="12.45" customHeight="1">
      <c r="A60" s="51"/>
      <c r="B60" s="129"/>
      <c r="C60" s="51"/>
      <c r="D60" s="51"/>
      <c r="E60" s="51"/>
      <c r="F60" s="51"/>
      <c r="G60" s="51"/>
      <c r="H60" s="124"/>
      <c r="I60" s="125"/>
      <c r="J60" s="51"/>
      <c r="K60" s="51"/>
      <c r="L60" s="51"/>
      <c r="M60" s="51"/>
      <c r="N60" s="51"/>
      <c r="O60" s="130"/>
      <c r="P60" s="125"/>
      <c r="Q60" s="125"/>
      <c r="R60" s="125"/>
      <c r="S60" s="126"/>
      <c r="U60" s="51"/>
      <c r="V60" s="51"/>
      <c r="W60" s="51"/>
      <c r="X60" s="51"/>
      <c r="Y60" s="51"/>
      <c r="Z60" s="51"/>
    </row>
    <row r="61" spans="1:26" ht="12.45" customHeight="1">
      <c r="A61" s="51"/>
      <c r="B61" s="129"/>
      <c r="C61" s="51"/>
      <c r="D61" s="51"/>
      <c r="E61" s="51"/>
      <c r="F61" s="51"/>
      <c r="G61" s="51"/>
      <c r="H61" s="124"/>
      <c r="I61" s="125"/>
      <c r="J61" s="51"/>
      <c r="K61" s="51"/>
      <c r="L61" s="51"/>
      <c r="M61" s="51"/>
      <c r="N61" s="51"/>
      <c r="O61" s="130"/>
      <c r="P61" s="125"/>
      <c r="Q61" s="125"/>
      <c r="R61" s="125"/>
      <c r="S61" s="126"/>
      <c r="U61" s="51"/>
      <c r="V61" s="51"/>
      <c r="W61" s="51"/>
      <c r="X61" s="51"/>
      <c r="Y61" s="51"/>
      <c r="Z61" s="51"/>
    </row>
    <row r="62" spans="1:26" ht="12.45" customHeight="1">
      <c r="A62" s="51"/>
      <c r="B62" s="132" t="s">
        <v>450</v>
      </c>
      <c r="C62" s="51"/>
      <c r="D62" s="51"/>
      <c r="E62" s="51"/>
      <c r="F62" s="51"/>
      <c r="G62" s="124"/>
      <c r="H62" s="124"/>
      <c r="I62" s="125"/>
      <c r="J62" s="51"/>
      <c r="K62" s="86" t="s">
        <v>450</v>
      </c>
      <c r="L62" s="51"/>
      <c r="M62" s="51"/>
      <c r="N62" s="51"/>
      <c r="O62" s="130"/>
      <c r="P62" s="125"/>
      <c r="Q62" s="125"/>
      <c r="R62" s="125"/>
      <c r="S62" s="126"/>
      <c r="U62" s="51"/>
      <c r="V62" s="51"/>
      <c r="W62" s="51"/>
      <c r="X62" s="51"/>
      <c r="Y62" s="51"/>
      <c r="Z62" s="51"/>
    </row>
    <row r="63" spans="1:26" ht="12.45" customHeight="1">
      <c r="A63" s="51"/>
      <c r="B63" s="68" t="s">
        <v>451</v>
      </c>
      <c r="C63" s="51"/>
      <c r="D63" s="51"/>
      <c r="E63" s="51"/>
      <c r="F63" s="51"/>
      <c r="G63" s="117"/>
      <c r="H63" s="124"/>
      <c r="I63" s="133">
        <v>0.21206</v>
      </c>
      <c r="J63" s="51"/>
      <c r="K63" s="51" t="s">
        <v>451</v>
      </c>
      <c r="L63" s="51"/>
      <c r="M63" s="51"/>
      <c r="N63" s="51"/>
      <c r="O63" s="117"/>
      <c r="P63" s="133">
        <v>0.21004999999999999</v>
      </c>
      <c r="Q63" s="134"/>
      <c r="R63" s="127">
        <f>+P63-I63</f>
        <v>-2.0100000000000118E-3</v>
      </c>
      <c r="S63" s="126"/>
      <c r="U63" s="51"/>
      <c r="V63" s="51"/>
      <c r="W63" s="51"/>
      <c r="X63" s="51"/>
      <c r="Y63" s="51"/>
      <c r="Z63" s="51"/>
    </row>
    <row r="64" spans="1:26" ht="12.45" customHeight="1">
      <c r="A64" s="51"/>
      <c r="B64" s="135"/>
      <c r="C64" s="51"/>
      <c r="D64" s="51"/>
      <c r="E64" s="51"/>
      <c r="F64" s="51"/>
      <c r="G64" s="136"/>
      <c r="H64" s="51"/>
      <c r="I64" s="118"/>
      <c r="J64" s="51"/>
      <c r="K64" s="51"/>
      <c r="L64" s="51"/>
      <c r="M64" s="51"/>
      <c r="N64" s="51"/>
      <c r="O64" s="137"/>
      <c r="P64" s="118"/>
      <c r="Q64" s="118"/>
      <c r="R64" s="118"/>
      <c r="S64" s="138"/>
      <c r="U64" s="51"/>
      <c r="V64" s="51"/>
      <c r="W64" s="51"/>
      <c r="X64" s="51"/>
      <c r="Y64" s="51"/>
      <c r="Z64" s="51"/>
    </row>
    <row r="65" spans="1:26" ht="12.45" customHeight="1">
      <c r="A65" s="51"/>
      <c r="B65" s="68"/>
      <c r="D65" s="51"/>
      <c r="E65" s="51"/>
      <c r="F65" s="51"/>
      <c r="G65" s="51"/>
      <c r="H65" s="137" t="s">
        <v>279</v>
      </c>
      <c r="I65" s="125">
        <f>SUM(I63,I57,I59,I51,I35,I53)</f>
        <v>0.41707999999999995</v>
      </c>
      <c r="J65" s="51"/>
      <c r="K65" s="51"/>
      <c r="L65" s="51"/>
      <c r="M65" s="51"/>
      <c r="N65" s="51"/>
      <c r="O65" s="137" t="s">
        <v>279</v>
      </c>
      <c r="P65" s="125">
        <f>SUM(P63,P57,P59,P51,P35,P53)</f>
        <v>0.43181999999999998</v>
      </c>
      <c r="Q65" s="125"/>
      <c r="R65" s="125">
        <f>+P65-I65</f>
        <v>1.4740000000000031E-2</v>
      </c>
      <c r="S65" s="126"/>
      <c r="U65" s="51"/>
      <c r="V65" s="51"/>
      <c r="W65" s="51"/>
      <c r="X65" s="51"/>
      <c r="Y65" s="51"/>
      <c r="Z65" s="51"/>
    </row>
    <row r="66" spans="1:26" ht="12.45" customHeight="1">
      <c r="A66" s="51"/>
      <c r="B66" s="139"/>
      <c r="C66" s="140"/>
      <c r="D66" s="140"/>
      <c r="E66" s="140"/>
      <c r="F66" s="140"/>
      <c r="G66" s="141"/>
      <c r="H66" s="141"/>
      <c r="I66" s="142"/>
      <c r="J66" s="140"/>
      <c r="K66" s="143"/>
      <c r="L66" s="140"/>
      <c r="M66" s="140"/>
      <c r="N66" s="140"/>
      <c r="O66" s="141"/>
      <c r="P66" s="142"/>
      <c r="Q66" s="142"/>
      <c r="R66" s="142"/>
      <c r="S66" s="144"/>
      <c r="T66" s="51"/>
      <c r="U66" s="51"/>
      <c r="V66" s="51"/>
      <c r="W66" s="51"/>
      <c r="X66" s="51"/>
      <c r="Y66" s="51"/>
      <c r="Z66" s="51"/>
    </row>
    <row r="67" spans="1:26" ht="12.45" customHeight="1">
      <c r="A67" s="51"/>
      <c r="B67" s="98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125"/>
      <c r="S67" s="51"/>
      <c r="T67" s="51"/>
      <c r="U67" s="51"/>
      <c r="V67" s="51"/>
      <c r="W67" s="51"/>
      <c r="X67" s="51"/>
      <c r="Y67" s="51"/>
      <c r="Z67" s="51"/>
    </row>
    <row r="68" spans="1:26" ht="12.45" hidden="1" customHeight="1">
      <c r="A68" s="51"/>
      <c r="B68" s="145" t="s">
        <v>168</v>
      </c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125"/>
      <c r="S68" s="51"/>
      <c r="T68" s="51"/>
      <c r="U68" s="51"/>
      <c r="V68" s="51"/>
      <c r="W68" s="51"/>
      <c r="X68" s="51"/>
      <c r="Y68" s="51"/>
      <c r="Z68" s="51"/>
    </row>
    <row r="69" spans="1:26" ht="12.45" hidden="1" customHeight="1">
      <c r="A69" s="51"/>
      <c r="B69" s="98" t="s">
        <v>168</v>
      </c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125"/>
      <c r="S69" s="51"/>
      <c r="T69" s="51"/>
      <c r="U69" s="51"/>
      <c r="V69" s="51"/>
      <c r="W69" s="51"/>
      <c r="X69" s="51"/>
      <c r="Y69" s="51"/>
      <c r="Z69" s="51"/>
    </row>
    <row r="70" spans="1:26" ht="12.45" hidden="1" customHeight="1">
      <c r="A70" s="51"/>
      <c r="B70" s="98" t="s">
        <v>168</v>
      </c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125"/>
      <c r="S70" s="51"/>
      <c r="T70" s="51"/>
      <c r="U70" s="51"/>
      <c r="V70" s="51"/>
      <c r="W70" s="51"/>
      <c r="X70" s="51"/>
      <c r="Y70" s="51"/>
      <c r="Z70" s="51"/>
    </row>
    <row r="71" spans="1:26">
      <c r="A71" s="51"/>
      <c r="B71" s="1046" t="s">
        <v>452</v>
      </c>
      <c r="C71" s="1047"/>
      <c r="D71" s="1047"/>
      <c r="E71" s="1047"/>
      <c r="F71" s="1047"/>
      <c r="G71" s="1047"/>
      <c r="H71" s="1047"/>
      <c r="I71" s="1047"/>
      <c r="J71" s="1047"/>
      <c r="K71" s="1047"/>
      <c r="L71" s="1047"/>
      <c r="M71" s="1047"/>
      <c r="N71" s="1047"/>
      <c r="O71" s="1047"/>
      <c r="P71" s="1047"/>
      <c r="Q71" s="146"/>
      <c r="S71" s="51"/>
      <c r="T71" s="51"/>
      <c r="U71" s="51"/>
      <c r="V71" s="51"/>
      <c r="W71" s="51"/>
      <c r="X71" s="51"/>
      <c r="Y71" s="51"/>
      <c r="Z71" s="51"/>
    </row>
    <row r="72" spans="1:26">
      <c r="A72" s="51"/>
      <c r="B72" s="1047"/>
      <c r="C72" s="1047"/>
      <c r="D72" s="1047"/>
      <c r="E72" s="1047"/>
      <c r="F72" s="1047"/>
      <c r="G72" s="1047"/>
      <c r="H72" s="1047"/>
      <c r="I72" s="1047"/>
      <c r="J72" s="1047"/>
      <c r="K72" s="1047"/>
      <c r="L72" s="1047"/>
      <c r="M72" s="1047"/>
      <c r="N72" s="1047"/>
      <c r="O72" s="1047"/>
      <c r="P72" s="1047"/>
      <c r="Q72" s="146"/>
      <c r="R72" s="125"/>
      <c r="S72" s="51"/>
      <c r="T72" s="51"/>
      <c r="U72" s="51"/>
      <c r="V72" s="51"/>
      <c r="W72" s="51"/>
      <c r="X72" s="51"/>
      <c r="Y72" s="51"/>
      <c r="Z72" s="51"/>
    </row>
    <row r="73" spans="1:26">
      <c r="A73" s="51"/>
      <c r="B73" s="147" t="s">
        <v>453</v>
      </c>
      <c r="R73" s="125"/>
      <c r="S73" s="130"/>
      <c r="T73" s="51"/>
      <c r="U73" s="51"/>
      <c r="V73" s="51"/>
      <c r="W73" s="51"/>
      <c r="X73" s="51"/>
      <c r="Y73" s="51"/>
      <c r="Z73" s="51"/>
    </row>
    <row r="74" spans="1:26" ht="7.2" customHeight="1">
      <c r="A74" s="51"/>
      <c r="R74" s="125"/>
      <c r="S74" s="51"/>
      <c r="T74" s="51"/>
      <c r="U74" s="51"/>
      <c r="V74" s="51"/>
      <c r="W74" s="51"/>
      <c r="X74" s="51"/>
      <c r="Y74" s="51"/>
      <c r="Z74" s="51"/>
    </row>
    <row r="75" spans="1:26" ht="7.2" customHeight="1">
      <c r="A75" s="51"/>
      <c r="R75" s="125"/>
      <c r="S75" s="51"/>
      <c r="T75" s="51"/>
      <c r="U75" s="51"/>
      <c r="V75" s="51"/>
      <c r="W75" s="51"/>
      <c r="X75" s="51"/>
      <c r="Y75" s="51"/>
      <c r="Z75" s="51"/>
    </row>
    <row r="76" spans="1:26">
      <c r="A76" s="51"/>
      <c r="Q76" s="148"/>
      <c r="R76" s="51"/>
      <c r="S76" s="51"/>
      <c r="T76" s="51"/>
      <c r="U76" s="51"/>
      <c r="V76" s="51"/>
      <c r="W76" s="51"/>
      <c r="X76" s="51"/>
      <c r="Y76" s="51"/>
      <c r="Z76" s="51"/>
    </row>
    <row r="77" spans="1:26">
      <c r="A77" s="51"/>
      <c r="B77" s="51"/>
      <c r="C77" s="51"/>
      <c r="D77" s="51"/>
      <c r="E77" s="51"/>
      <c r="F77" s="51"/>
      <c r="G77" s="51"/>
      <c r="H77" s="81" t="s">
        <v>454</v>
      </c>
      <c r="I77" s="130">
        <f>+I65-I63</f>
        <v>0.20501999999999995</v>
      </c>
      <c r="J77" s="51"/>
      <c r="K77" s="51"/>
      <c r="L77" s="51"/>
      <c r="M77" s="51"/>
      <c r="N77" s="51"/>
      <c r="O77" s="81" t="s">
        <v>454</v>
      </c>
      <c r="P77" s="130">
        <f>+P65-P63</f>
        <v>0.22176999999999999</v>
      </c>
      <c r="Q77" s="130"/>
      <c r="R77" s="51"/>
      <c r="S77" s="51"/>
      <c r="T77" s="51"/>
      <c r="U77" s="51"/>
      <c r="V77" s="51"/>
      <c r="W77" s="51"/>
      <c r="X77" s="51"/>
      <c r="Y77" s="51"/>
      <c r="Z77" s="51"/>
    </row>
    <row r="78" spans="1:26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>
      <c r="A79" s="51"/>
      <c r="B79" s="51"/>
      <c r="C79" s="51"/>
      <c r="D79" s="51"/>
      <c r="E79" s="51"/>
      <c r="F79" s="51"/>
      <c r="G79" s="51"/>
      <c r="H79" s="51"/>
      <c r="I79" s="117"/>
      <c r="J79" s="51"/>
      <c r="K79" s="51"/>
      <c r="L79" s="51"/>
      <c r="M79" s="51"/>
      <c r="N79" s="51"/>
      <c r="O79" s="51"/>
      <c r="P79" s="117"/>
      <c r="Q79" s="117"/>
      <c r="S79" s="51"/>
      <c r="T79" s="51"/>
      <c r="U79" s="51"/>
      <c r="V79" s="51"/>
      <c r="W79" s="51"/>
      <c r="X79" s="51"/>
      <c r="Y79" s="51"/>
      <c r="Z79" s="51"/>
    </row>
  </sheetData>
  <mergeCells count="1">
    <mergeCell ref="B71:P72"/>
  </mergeCells>
  <printOptions horizontalCentered="1"/>
  <pageMargins left="0.5" right="0.5" top="0.75" bottom="0.25" header="0.5" footer="0.5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42BC-5FE9-4991-8903-AD0CAB04AE9D}">
  <sheetPr>
    <pageSetUpPr fitToPage="1"/>
  </sheetPr>
  <dimension ref="B1:AA82"/>
  <sheetViews>
    <sheetView topLeftCell="A5" workbookViewId="0">
      <selection activeCell="P15" sqref="P15"/>
    </sheetView>
  </sheetViews>
  <sheetFormatPr defaultColWidth="8.77734375" defaultRowHeight="11.4"/>
  <cols>
    <col min="1" max="2" width="3.77734375" style="51" customWidth="1"/>
    <col min="3" max="3" width="11.77734375" style="51" customWidth="1"/>
    <col min="4" max="4" width="3.77734375" style="51" customWidth="1"/>
    <col min="5" max="5" width="10.44140625" style="51" customWidth="1"/>
    <col min="6" max="6" width="3.77734375" style="51" customWidth="1"/>
    <col min="7" max="7" width="12.21875" style="51" customWidth="1"/>
    <col min="8" max="8" width="3.77734375" style="51" customWidth="1"/>
    <col min="9" max="9" width="13.5546875" style="51" customWidth="1"/>
    <col min="10" max="10" width="3.77734375" style="51" customWidth="1"/>
    <col min="11" max="11" width="13.77734375" style="51" customWidth="1"/>
    <col min="12" max="12" width="3.77734375" style="51" customWidth="1"/>
    <col min="13" max="13" width="10.77734375" style="51" customWidth="1"/>
    <col min="14" max="14" width="3.77734375" style="51" customWidth="1"/>
    <col min="15" max="15" width="9.109375" style="51" customWidth="1"/>
    <col min="16" max="16" width="10.77734375" style="51" customWidth="1"/>
    <col min="17" max="17" width="1.77734375" style="51" customWidth="1"/>
    <col min="18" max="18" width="10.77734375" style="51" customWidth="1"/>
    <col min="19" max="19" width="1.77734375" style="51" customWidth="1"/>
    <col min="20" max="20" width="8.77734375" style="51" customWidth="1"/>
    <col min="21" max="21" width="9.5546875" style="51" customWidth="1"/>
    <col min="22" max="22" width="8.77734375" style="51" customWidth="1"/>
    <col min="23" max="24" width="9.5546875" style="51" customWidth="1"/>
    <col min="25" max="25" width="8.44140625" style="51" customWidth="1"/>
    <col min="26" max="26" width="11" style="51" customWidth="1"/>
    <col min="27" max="16384" width="8.77734375" style="51"/>
  </cols>
  <sheetData>
    <row r="1" spans="2:27" ht="12.45" customHeight="1">
      <c r="H1" s="52"/>
      <c r="I1" s="53"/>
    </row>
    <row r="2" spans="2:27" ht="12.45" customHeight="1">
      <c r="U2" s="51" t="s">
        <v>158</v>
      </c>
      <c r="X2" s="51" t="s">
        <v>159</v>
      </c>
    </row>
    <row r="3" spans="2:27" ht="12.45" customHeight="1">
      <c r="B3" s="55" t="s">
        <v>285</v>
      </c>
      <c r="C3" s="56"/>
      <c r="D3" s="56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8"/>
      <c r="S3" s="58"/>
      <c r="T3" s="59"/>
      <c r="U3" s="98" t="s">
        <v>455</v>
      </c>
      <c r="W3" s="59"/>
      <c r="X3" s="98" t="s">
        <v>455</v>
      </c>
    </row>
    <row r="4" spans="2:27" ht="12.45" customHeight="1">
      <c r="B4" s="171" t="s">
        <v>410</v>
      </c>
      <c r="C4" s="61"/>
      <c r="D4" s="61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3"/>
      <c r="S4" s="63"/>
      <c r="T4" s="59"/>
      <c r="U4" s="98" t="s">
        <v>456</v>
      </c>
      <c r="V4" s="52"/>
      <c r="W4" s="59"/>
      <c r="X4" s="98" t="s">
        <v>456</v>
      </c>
      <c r="Y4" s="52"/>
    </row>
    <row r="5" spans="2:27" ht="12.45" customHeight="1">
      <c r="B5" s="64" t="s">
        <v>457</v>
      </c>
      <c r="C5" s="65"/>
      <c r="D5" s="65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7"/>
      <c r="S5" s="67"/>
      <c r="T5" s="59"/>
      <c r="U5" s="152" t="s">
        <v>407</v>
      </c>
      <c r="V5" s="152" t="s">
        <v>421</v>
      </c>
      <c r="W5" s="59"/>
      <c r="X5" s="152" t="s">
        <v>407</v>
      </c>
      <c r="Y5" s="152" t="s">
        <v>421</v>
      </c>
    </row>
    <row r="6" spans="2:27" ht="12.45" customHeight="1">
      <c r="U6" s="153">
        <v>7</v>
      </c>
      <c r="V6" s="154">
        <v>0.20501999999999995</v>
      </c>
      <c r="X6" s="153">
        <v>8.5</v>
      </c>
      <c r="Y6" s="154">
        <v>0.22176999999999999</v>
      </c>
    </row>
    <row r="7" spans="2:27" ht="12.45" customHeight="1">
      <c r="B7" s="69"/>
      <c r="C7" s="70"/>
      <c r="D7" s="70"/>
      <c r="E7" s="71" t="s">
        <v>412</v>
      </c>
      <c r="F7" s="70"/>
      <c r="G7" s="73"/>
      <c r="H7" s="73"/>
      <c r="I7" s="73"/>
      <c r="J7" s="73"/>
      <c r="K7" s="73"/>
      <c r="L7" s="73"/>
      <c r="M7" s="73"/>
      <c r="N7" s="74"/>
      <c r="O7" s="70"/>
      <c r="P7" s="73"/>
      <c r="Q7" s="70"/>
      <c r="R7" s="73"/>
      <c r="S7" s="75"/>
      <c r="V7" s="154"/>
      <c r="Y7" s="154"/>
    </row>
    <row r="8" spans="2:27" s="52" customFormat="1" ht="12.45" customHeight="1">
      <c r="B8" s="68"/>
      <c r="C8" s="51"/>
      <c r="E8" s="76" t="s">
        <v>413</v>
      </c>
      <c r="F8" s="76"/>
      <c r="G8" s="76" t="s">
        <v>414</v>
      </c>
      <c r="H8" s="76"/>
      <c r="I8" s="76" t="s">
        <v>415</v>
      </c>
      <c r="J8" s="76"/>
      <c r="K8" s="77"/>
      <c r="L8" s="76"/>
      <c r="M8" s="76" t="s">
        <v>416</v>
      </c>
      <c r="O8" s="51"/>
      <c r="P8" s="76" t="s">
        <v>417</v>
      </c>
      <c r="Q8" s="78"/>
      <c r="R8" s="76" t="s">
        <v>416</v>
      </c>
      <c r="S8" s="80"/>
    </row>
    <row r="9" spans="2:27" s="52" customFormat="1" ht="12.45" customHeight="1">
      <c r="B9" s="68"/>
      <c r="C9" s="83"/>
      <c r="E9" s="76" t="s">
        <v>418</v>
      </c>
      <c r="F9" s="76"/>
      <c r="G9" s="76" t="s">
        <v>326</v>
      </c>
      <c r="H9" s="76"/>
      <c r="I9" s="76" t="s">
        <v>326</v>
      </c>
      <c r="J9" s="76"/>
      <c r="K9" s="76" t="s">
        <v>279</v>
      </c>
      <c r="L9" s="77"/>
      <c r="M9" s="76" t="s">
        <v>279</v>
      </c>
      <c r="O9" s="83"/>
      <c r="P9" s="76" t="s">
        <v>419</v>
      </c>
      <c r="Q9" s="84"/>
      <c r="R9" s="76" t="s">
        <v>419</v>
      </c>
      <c r="S9" s="80"/>
      <c r="Y9" s="81"/>
      <c r="Z9" s="82"/>
      <c r="AA9" s="51"/>
    </row>
    <row r="10" spans="2:27" s="86" customFormat="1" ht="12.45" customHeight="1">
      <c r="B10" s="68"/>
      <c r="C10" s="87" t="s">
        <v>420</v>
      </c>
      <c r="E10" s="155" t="s">
        <v>421</v>
      </c>
      <c r="F10" s="88"/>
      <c r="G10" s="88" t="s">
        <v>162</v>
      </c>
      <c r="H10" s="88"/>
      <c r="I10" s="88" t="s">
        <v>162</v>
      </c>
      <c r="J10" s="88"/>
      <c r="K10" s="88" t="s">
        <v>142</v>
      </c>
      <c r="L10" s="77"/>
      <c r="M10" s="88" t="s">
        <v>142</v>
      </c>
      <c r="O10" s="87"/>
      <c r="P10" s="88" t="s">
        <v>162</v>
      </c>
      <c r="Q10" s="84"/>
      <c r="R10" s="88" t="s">
        <v>142</v>
      </c>
      <c r="S10" s="89"/>
      <c r="Y10" s="90"/>
    </row>
    <row r="11" spans="2:27" ht="12.45" customHeight="1">
      <c r="B11" s="68"/>
      <c r="E11" s="77"/>
      <c r="F11" s="77"/>
      <c r="G11" s="91"/>
      <c r="H11" s="77"/>
      <c r="I11" s="77"/>
      <c r="J11" s="77"/>
      <c r="K11" s="77"/>
      <c r="L11" s="77"/>
      <c r="M11" s="77"/>
      <c r="P11" s="91"/>
      <c r="R11" s="77"/>
      <c r="S11" s="92"/>
      <c r="Y11" s="90"/>
      <c r="Z11" s="90"/>
    </row>
    <row r="12" spans="2:27" ht="12.45" customHeight="1">
      <c r="B12" s="68"/>
      <c r="C12" s="93">
        <v>0.1</v>
      </c>
      <c r="E12" s="94">
        <v>70.122988545523754</v>
      </c>
      <c r="F12" s="77"/>
      <c r="G12" s="95">
        <f t="shared" ref="G12:G21" si="0">$I$31+$I$67+E12*$I$70</f>
        <v>23.736899240751633</v>
      </c>
      <c r="H12" s="77"/>
      <c r="I12" s="95">
        <f t="shared" ref="I12:I21" si="1">+$P$31+$P$67+ E12*$P$70</f>
        <v>23.268165102259751</v>
      </c>
      <c r="J12" s="77"/>
      <c r="K12" s="95">
        <f t="shared" ref="K12:K21" si="2">I12-G12</f>
        <v>-0.46873413849188239</v>
      </c>
      <c r="L12" s="77"/>
      <c r="M12" s="96">
        <f t="shared" ref="M12:M21" si="3">I12/G12-1</f>
        <v>-1.9747066949972858E-2</v>
      </c>
      <c r="P12" s="95">
        <f>+$I$31+$I$67+E12*$I$80</f>
        <v>8.866618289787862</v>
      </c>
      <c r="R12" s="96">
        <f t="shared" ref="R12:R21" si="4">+K12/P12</f>
        <v>-5.2865040895213398E-2</v>
      </c>
      <c r="S12" s="92"/>
      <c r="U12" s="156">
        <v>-0.34513291290436199</v>
      </c>
      <c r="V12" s="156"/>
      <c r="W12" s="156">
        <v>-0.40000361640373017</v>
      </c>
      <c r="Y12" s="156"/>
      <c r="Z12" s="90"/>
    </row>
    <row r="13" spans="2:27" ht="12.45" customHeight="1">
      <c r="B13" s="68"/>
      <c r="C13" s="93">
        <v>0.2</v>
      </c>
      <c r="E13" s="94">
        <v>182.93414313399779</v>
      </c>
      <c r="F13" s="77"/>
      <c r="G13" s="95">
        <f t="shared" si="0"/>
        <v>54.555778562776844</v>
      </c>
      <c r="H13" s="77"/>
      <c r="I13" s="95">
        <f t="shared" si="1"/>
        <v>52.496407144587486</v>
      </c>
      <c r="J13" s="77"/>
      <c r="K13" s="95">
        <f t="shared" si="2"/>
        <v>-2.0593714181893574</v>
      </c>
      <c r="L13" s="77"/>
      <c r="M13" s="96">
        <f t="shared" si="3"/>
        <v>-3.7747997965415503E-2</v>
      </c>
      <c r="P13" s="95">
        <f t="shared" ref="P13:P24" si="5">+$I$31+$I$67+E13*$I$80</f>
        <v>15.762764169781272</v>
      </c>
      <c r="R13" s="96">
        <f t="shared" si="4"/>
        <v>-0.13064786074369936</v>
      </c>
      <c r="S13" s="92"/>
      <c r="U13" s="156">
        <v>-0.34505431537207254</v>
      </c>
      <c r="V13" s="156"/>
      <c r="W13" s="156">
        <v>-0.40000418160887152</v>
      </c>
      <c r="Y13" s="156"/>
      <c r="Z13" s="90"/>
    </row>
    <row r="14" spans="2:27" ht="12.45" customHeight="1">
      <c r="B14" s="68"/>
      <c r="C14" s="93">
        <v>0.30000000000000004</v>
      </c>
      <c r="E14" s="94">
        <v>262.31338893310726</v>
      </c>
      <c r="F14" s="77"/>
      <c r="G14" s="95">
        <f t="shared" si="0"/>
        <v>76.241394722635548</v>
      </c>
      <c r="H14" s="77"/>
      <c r="I14" s="95">
        <f t="shared" si="1"/>
        <v>73.062775938678755</v>
      </c>
      <c r="J14" s="77"/>
      <c r="K14" s="95">
        <f t="shared" si="2"/>
        <v>-3.178618783956793</v>
      </c>
      <c r="L14" s="77"/>
      <c r="M14" s="96">
        <f t="shared" si="3"/>
        <v>-4.1691508864974636E-2</v>
      </c>
      <c r="P14" s="95">
        <f t="shared" si="5"/>
        <v>20.615217465480832</v>
      </c>
      <c r="R14" s="96">
        <f t="shared" si="4"/>
        <v>-0.15418798221649779</v>
      </c>
      <c r="S14" s="92"/>
      <c r="U14" s="156">
        <v>-0.34503709428633056</v>
      </c>
      <c r="V14" s="156"/>
      <c r="W14" s="156">
        <v>-0.4000043082650836</v>
      </c>
      <c r="Y14" s="156"/>
      <c r="Z14" s="90"/>
    </row>
    <row r="15" spans="2:27" ht="12.45" customHeight="1">
      <c r="B15" s="68"/>
      <c r="C15" s="93">
        <v>0.4</v>
      </c>
      <c r="E15" s="94">
        <v>335.31654900332228</v>
      </c>
      <c r="F15" s="77"/>
      <c r="G15" s="95">
        <f t="shared" si="0"/>
        <v>96.185128022217583</v>
      </c>
      <c r="H15" s="77"/>
      <c r="I15" s="95">
        <f t="shared" si="1"/>
        <v>91.977164681270764</v>
      </c>
      <c r="J15" s="77"/>
      <c r="K15" s="95">
        <f t="shared" si="2"/>
        <v>-4.2079633409468187</v>
      </c>
      <c r="L15" s="77"/>
      <c r="M15" s="96">
        <f t="shared" si="3"/>
        <v>-4.3748585955770913E-2</v>
      </c>
      <c r="P15" s="95">
        <f t="shared" si="5"/>
        <v>25.07790064057307</v>
      </c>
      <c r="R15" s="96">
        <f t="shared" si="4"/>
        <v>-0.16779567800579101</v>
      </c>
      <c r="S15" s="92"/>
      <c r="U15" s="156">
        <v>-0.34502811078933249</v>
      </c>
      <c r="V15" s="156"/>
      <c r="W15" s="156">
        <v>-0.40000437474808392</v>
      </c>
      <c r="Y15" s="156"/>
      <c r="Z15" s="90"/>
    </row>
    <row r="16" spans="2:27" ht="12.45" customHeight="1">
      <c r="B16" s="68"/>
      <c r="C16" s="93">
        <v>0.5</v>
      </c>
      <c r="E16" s="94">
        <v>410.31906426272622</v>
      </c>
      <c r="F16" s="77"/>
      <c r="G16" s="95">
        <f t="shared" si="0"/>
        <v>116.67506516593414</v>
      </c>
      <c r="H16" s="77"/>
      <c r="I16" s="95">
        <f t="shared" si="1"/>
        <v>111.40956635982973</v>
      </c>
      <c r="J16" s="77"/>
      <c r="K16" s="95">
        <f t="shared" si="2"/>
        <v>-5.2654988061044179</v>
      </c>
      <c r="L16" s="77"/>
      <c r="M16" s="96">
        <f t="shared" si="3"/>
        <v>-4.5129598158920037E-2</v>
      </c>
      <c r="O16" s="98"/>
      <c r="P16" s="95">
        <f t="shared" si="5"/>
        <v>29.662804398380423</v>
      </c>
      <c r="Q16" s="98"/>
      <c r="R16" s="96">
        <f t="shared" si="4"/>
        <v>-0.17751183385721656</v>
      </c>
      <c r="S16" s="92"/>
      <c r="U16" s="156">
        <v>-0.3450220796087583</v>
      </c>
      <c r="V16" s="156"/>
      <c r="W16" s="156">
        <v>-0.40000441954193311</v>
      </c>
      <c r="Y16" s="156"/>
      <c r="Z16" s="90"/>
    </row>
    <row r="17" spans="2:26" ht="12.45" customHeight="1">
      <c r="B17" s="68"/>
      <c r="C17" s="93">
        <v>0.6</v>
      </c>
      <c r="E17" s="94">
        <v>493.45217331118494</v>
      </c>
      <c r="F17" s="77"/>
      <c r="G17" s="95">
        <f t="shared" si="0"/>
        <v>139.38619922688258</v>
      </c>
      <c r="H17" s="77"/>
      <c r="I17" s="95">
        <f t="shared" si="1"/>
        <v>132.94852358319491</v>
      </c>
      <c r="J17" s="77"/>
      <c r="K17" s="95">
        <f t="shared" si="2"/>
        <v>-6.437675643687669</v>
      </c>
      <c r="L17" s="77"/>
      <c r="M17" s="96">
        <f t="shared" si="3"/>
        <v>-4.6185889847020656E-2</v>
      </c>
      <c r="P17" s="95">
        <f t="shared" si="5"/>
        <v>34.744731354512702</v>
      </c>
      <c r="R17" s="96">
        <f t="shared" si="4"/>
        <v>-0.18528494516195282</v>
      </c>
      <c r="S17" s="92"/>
      <c r="U17" s="156">
        <v>-0.34501746647831022</v>
      </c>
      <c r="V17" s="156"/>
      <c r="W17" s="156">
        <v>-0.40000445389084771</v>
      </c>
      <c r="Y17" s="156"/>
      <c r="Z17" s="90"/>
    </row>
    <row r="18" spans="2:26" ht="12.45" customHeight="1">
      <c r="B18" s="68"/>
      <c r="C18" s="93">
        <v>0.7</v>
      </c>
      <c r="E18" s="94">
        <v>593.31134719867111</v>
      </c>
      <c r="F18" s="77"/>
      <c r="G18" s="95">
        <f t="shared" si="0"/>
        <v>166.66672694120493</v>
      </c>
      <c r="H18" s="77"/>
      <c r="I18" s="95">
        <f t="shared" si="1"/>
        <v>158.8210369457037</v>
      </c>
      <c r="J18" s="77"/>
      <c r="K18" s="95">
        <f t="shared" si="2"/>
        <v>-7.8456899955012318</v>
      </c>
      <c r="L18" s="77"/>
      <c r="M18" s="96">
        <f t="shared" si="3"/>
        <v>-4.7074122948781216E-2</v>
      </c>
      <c r="P18" s="95">
        <f t="shared" si="5"/>
        <v>40.849122654254728</v>
      </c>
      <c r="R18" s="96">
        <f t="shared" si="4"/>
        <v>-0.19206507963235403</v>
      </c>
      <c r="S18" s="92"/>
      <c r="U18" s="156">
        <v>-0.34501358725788189</v>
      </c>
      <c r="V18" s="156"/>
      <c r="W18" s="156">
        <v>-0.40000448283370327</v>
      </c>
      <c r="Y18" s="156"/>
      <c r="Z18" s="90"/>
    </row>
    <row r="19" spans="2:26" ht="12.45" customHeight="1">
      <c r="B19" s="68"/>
      <c r="C19" s="93">
        <v>0.79999999999999993</v>
      </c>
      <c r="E19" s="94">
        <v>724.63237126245849</v>
      </c>
      <c r="F19" s="77"/>
      <c r="G19" s="95">
        <f t="shared" si="0"/>
        <v>202.54231750519099</v>
      </c>
      <c r="H19" s="77"/>
      <c r="I19" s="95">
        <f t="shared" si="1"/>
        <v>192.84500107039037</v>
      </c>
      <c r="J19" s="77"/>
      <c r="K19" s="95">
        <f t="shared" si="2"/>
        <v>-9.6973164348006264</v>
      </c>
      <c r="L19" s="77"/>
      <c r="M19" s="96">
        <f t="shared" si="3"/>
        <v>-4.7877977077812828E-2</v>
      </c>
      <c r="P19" s="95">
        <f t="shared" si="5"/>
        <v>48.876776855274038</v>
      </c>
      <c r="R19" s="96">
        <f t="shared" si="4"/>
        <v>-0.19840335346814589</v>
      </c>
      <c r="S19" s="92"/>
      <c r="U19" s="156">
        <v>-0.3450100765099311</v>
      </c>
      <c r="V19" s="156"/>
      <c r="W19" s="156">
        <v>-0.4000045090736386</v>
      </c>
      <c r="Y19" s="156"/>
      <c r="Z19" s="90"/>
    </row>
    <row r="20" spans="2:26" ht="12.45" customHeight="1">
      <c r="B20" s="68"/>
      <c r="C20" s="93">
        <v>0.89999999999999991</v>
      </c>
      <c r="E20" s="94">
        <v>928.94127418071082</v>
      </c>
      <c r="F20" s="77"/>
      <c r="G20" s="95">
        <f t="shared" si="0"/>
        <v>258.35746669342831</v>
      </c>
      <c r="H20" s="77"/>
      <c r="I20" s="95">
        <f t="shared" si="1"/>
        <v>245.77939472748034</v>
      </c>
      <c r="J20" s="77"/>
      <c r="K20" s="95">
        <f t="shared" si="2"/>
        <v>-12.57807196594797</v>
      </c>
      <c r="L20" s="77"/>
      <c r="M20" s="96">
        <f t="shared" si="3"/>
        <v>-4.8684762731759368E-2</v>
      </c>
      <c r="P20" s="95">
        <f t="shared" si="5"/>
        <v>61.366180090666788</v>
      </c>
      <c r="R20" s="96">
        <f t="shared" si="4"/>
        <v>-0.20496749100830824</v>
      </c>
      <c r="S20" s="92"/>
      <c r="U20" s="156">
        <v>-0.34500655292101323</v>
      </c>
      <c r="V20" s="156"/>
      <c r="W20" s="156">
        <v>-0.40000453545385251</v>
      </c>
      <c r="Y20" s="156"/>
      <c r="Z20" s="90"/>
    </row>
    <row r="21" spans="2:26" ht="12.45" customHeight="1">
      <c r="B21" s="68"/>
      <c r="C21" s="93">
        <v>0.99999999999999989</v>
      </c>
      <c r="E21" s="94">
        <v>1650.9478820598006</v>
      </c>
      <c r="F21" s="77"/>
      <c r="G21" s="95">
        <f t="shared" si="0"/>
        <v>455.60245189991679</v>
      </c>
      <c r="H21" s="77"/>
      <c r="I21" s="95">
        <f t="shared" si="1"/>
        <v>432.84408676287376</v>
      </c>
      <c r="J21" s="77"/>
      <c r="K21" s="95">
        <f t="shared" si="2"/>
        <v>-22.758365137043029</v>
      </c>
      <c r="L21" s="77"/>
      <c r="M21" s="96">
        <f t="shared" si="3"/>
        <v>-4.9952244642534116E-2</v>
      </c>
      <c r="P21" s="95">
        <f t="shared" si="5"/>
        <v>105.5024440303155</v>
      </c>
      <c r="R21" s="96">
        <f t="shared" si="4"/>
        <v>-0.21571410355672468</v>
      </c>
      <c r="S21" s="92"/>
      <c r="U21" s="156">
        <v>-0.34500101719171017</v>
      </c>
      <c r="V21" s="156"/>
      <c r="W21" s="156">
        <v>-0.40000457698835745</v>
      </c>
      <c r="Y21" s="156"/>
      <c r="Z21" s="90"/>
    </row>
    <row r="22" spans="2:26" ht="12.45" customHeight="1">
      <c r="B22" s="68"/>
      <c r="E22" s="94"/>
      <c r="F22" s="77"/>
      <c r="G22" s="95"/>
      <c r="H22" s="77"/>
      <c r="I22" s="95"/>
      <c r="J22" s="77"/>
      <c r="K22" s="95"/>
      <c r="L22" s="77"/>
      <c r="M22" s="96"/>
      <c r="P22" s="95"/>
      <c r="R22" s="96"/>
      <c r="S22" s="92"/>
      <c r="U22" s="156"/>
      <c r="V22" s="156"/>
      <c r="W22" s="156"/>
      <c r="Y22" s="156"/>
      <c r="Z22" s="90"/>
    </row>
    <row r="23" spans="2:26" ht="12.45" customHeight="1">
      <c r="B23" s="68"/>
      <c r="C23" s="114" t="s">
        <v>413</v>
      </c>
      <c r="E23" s="94">
        <f>AVERAGE(E12:E21)</f>
        <v>565.22911818915031</v>
      </c>
      <c r="F23" s="77"/>
      <c r="G23" s="95">
        <f>$I$31+$I$67+E23*$I$70</f>
        <v>158.99494279809394</v>
      </c>
      <c r="H23" s="77"/>
      <c r="I23" s="95">
        <f>+$P$31+$P$67+ E23*$P$70</f>
        <v>151.54521223162695</v>
      </c>
      <c r="J23" s="77"/>
      <c r="K23" s="95">
        <f>I23-G23</f>
        <v>-7.4497305664669966</v>
      </c>
      <c r="L23" s="77"/>
      <c r="M23" s="96">
        <f>I23/G23-1</f>
        <v>-4.6855141650180232E-2</v>
      </c>
      <c r="P23" s="95">
        <f t="shared" si="5"/>
        <v>39.13245599490272</v>
      </c>
      <c r="R23" s="96">
        <f>+K23/P23</f>
        <v>-0.19037217003291018</v>
      </c>
      <c r="S23" s="92"/>
      <c r="U23" s="156">
        <v>-0.34501454362903716</v>
      </c>
      <c r="V23" s="156"/>
      <c r="W23" s="156">
        <v>-0.40000447569324193</v>
      </c>
      <c r="Y23" s="156"/>
      <c r="Z23" s="90"/>
    </row>
    <row r="24" spans="2:26" ht="12.45" customHeight="1">
      <c r="B24" s="68"/>
      <c r="C24" s="99" t="s">
        <v>422</v>
      </c>
      <c r="E24" s="94">
        <v>600</v>
      </c>
      <c r="F24" s="114"/>
      <c r="G24" s="95">
        <f>$I$31+$I$67+E24*$I$70</f>
        <v>168.49399999999997</v>
      </c>
      <c r="H24" s="77"/>
      <c r="I24" s="95">
        <f>+$P$31+$P$67+ E24*$P$70</f>
        <v>160.55399999999997</v>
      </c>
      <c r="J24" s="77"/>
      <c r="K24" s="95">
        <f>I24-G24</f>
        <v>-7.9399999999999977</v>
      </c>
      <c r="L24" s="77"/>
      <c r="M24" s="96">
        <f>I24/G24-1</f>
        <v>-4.7123339703490918E-2</v>
      </c>
      <c r="P24" s="95">
        <f t="shared" si="5"/>
        <v>41.25799999999996</v>
      </c>
      <c r="R24" s="96">
        <f>+K24/P24</f>
        <v>-0.1924475253284213</v>
      </c>
      <c r="S24" s="92"/>
      <c r="U24" s="156"/>
      <c r="V24" s="156"/>
      <c r="W24" s="156"/>
      <c r="Y24" s="156"/>
      <c r="Z24" s="90"/>
    </row>
    <row r="25" spans="2:26" ht="12.45" customHeight="1">
      <c r="B25" s="101"/>
      <c r="C25" s="140"/>
      <c r="D25" s="140"/>
      <c r="E25" s="157"/>
      <c r="F25" s="140"/>
      <c r="G25" s="157"/>
      <c r="H25" s="157"/>
      <c r="I25" s="157"/>
      <c r="J25" s="157"/>
      <c r="K25" s="157"/>
      <c r="L25" s="157"/>
      <c r="M25" s="157"/>
      <c r="N25" s="158"/>
      <c r="O25" s="140"/>
      <c r="P25" s="157"/>
      <c r="Q25" s="140"/>
      <c r="R25" s="157"/>
      <c r="S25" s="109"/>
    </row>
    <row r="26" spans="2:26" ht="12.45" customHeight="1"/>
    <row r="27" spans="2:26" ht="12.45" customHeight="1">
      <c r="B27" s="69"/>
      <c r="C27" s="70"/>
      <c r="D27" s="70"/>
      <c r="E27" s="110"/>
      <c r="F27" s="110"/>
      <c r="G27" s="110"/>
      <c r="H27" s="110"/>
      <c r="I27" s="110"/>
      <c r="J27" s="110"/>
      <c r="K27" s="110"/>
      <c r="L27" s="70"/>
      <c r="M27" s="70"/>
      <c r="N27" s="70"/>
      <c r="O27" s="70"/>
      <c r="P27" s="70"/>
      <c r="Q27" s="70"/>
      <c r="R27" s="110"/>
      <c r="S27" s="111"/>
    </row>
    <row r="28" spans="2:26" ht="12.45" customHeight="1">
      <c r="B28" s="159" t="s">
        <v>423</v>
      </c>
      <c r="C28" s="160"/>
      <c r="D28" s="112"/>
      <c r="E28" s="54"/>
      <c r="F28" s="53"/>
      <c r="I28" s="53"/>
      <c r="J28" s="81"/>
      <c r="K28" s="160" t="s">
        <v>424</v>
      </c>
      <c r="M28" s="54"/>
      <c r="R28" s="53"/>
      <c r="S28" s="80"/>
    </row>
    <row r="29" spans="2:26" ht="12.45" customHeight="1">
      <c r="B29" s="161"/>
      <c r="C29" s="112"/>
      <c r="D29" s="112"/>
      <c r="E29" s="112"/>
      <c r="F29" s="53"/>
      <c r="I29" s="83" t="s">
        <v>42</v>
      </c>
      <c r="K29" s="112"/>
      <c r="M29" s="112"/>
      <c r="P29" s="53" t="s">
        <v>42</v>
      </c>
      <c r="Q29" s="53"/>
      <c r="R29" s="115" t="s">
        <v>425</v>
      </c>
      <c r="S29" s="80"/>
      <c r="W29" s="83"/>
      <c r="X29" s="83"/>
    </row>
    <row r="30" spans="2:26" ht="12.45" customHeight="1">
      <c r="B30" s="116" t="s">
        <v>426</v>
      </c>
      <c r="C30" s="119"/>
      <c r="D30" s="59"/>
      <c r="E30" s="114"/>
      <c r="F30" s="114"/>
      <c r="G30" s="117"/>
      <c r="H30" s="117"/>
      <c r="I30" s="118"/>
      <c r="K30" s="119" t="s">
        <v>426</v>
      </c>
      <c r="L30" s="114"/>
      <c r="M30" s="114"/>
      <c r="N30" s="114"/>
      <c r="O30" s="117"/>
      <c r="P30" s="118"/>
      <c r="Q30" s="118"/>
      <c r="S30" s="120"/>
      <c r="W30" s="118"/>
      <c r="X30" s="118"/>
    </row>
    <row r="31" spans="2:26" ht="12.45" customHeight="1">
      <c r="B31" s="121" t="s">
        <v>134</v>
      </c>
      <c r="C31" s="59"/>
      <c r="D31" s="114"/>
      <c r="E31" s="114"/>
      <c r="F31" s="114"/>
      <c r="G31" s="117"/>
      <c r="H31" s="117"/>
      <c r="I31" s="118">
        <v>7</v>
      </c>
      <c r="K31" s="59" t="s">
        <v>134</v>
      </c>
      <c r="L31" s="114"/>
      <c r="M31" s="114"/>
      <c r="N31" s="114"/>
      <c r="O31" s="117"/>
      <c r="P31" s="118">
        <v>8.5</v>
      </c>
      <c r="Q31" s="118"/>
      <c r="R31" s="118">
        <f>+P31-I31</f>
        <v>1.5</v>
      </c>
      <c r="S31" s="120"/>
      <c r="W31" s="118"/>
      <c r="X31" s="118"/>
    </row>
    <row r="32" spans="2:26" ht="12.45" customHeight="1">
      <c r="B32" s="121"/>
      <c r="C32" s="59"/>
      <c r="D32" s="114"/>
      <c r="E32" s="114"/>
      <c r="F32" s="114"/>
      <c r="G32" s="117"/>
      <c r="H32" s="117"/>
      <c r="I32" s="122" t="s">
        <v>421</v>
      </c>
      <c r="K32" s="59"/>
      <c r="L32" s="114"/>
      <c r="M32" s="114"/>
      <c r="N32" s="114"/>
      <c r="O32" s="117"/>
      <c r="P32" s="122" t="s">
        <v>421</v>
      </c>
      <c r="Q32" s="122"/>
      <c r="R32" s="122" t="s">
        <v>421</v>
      </c>
      <c r="S32" s="123"/>
      <c r="W32" s="122"/>
      <c r="X32" s="122"/>
    </row>
    <row r="33" spans="2:24" ht="12.45" customHeight="1">
      <c r="B33" s="121" t="s">
        <v>427</v>
      </c>
      <c r="C33" s="59"/>
      <c r="G33" s="124"/>
      <c r="H33" s="124"/>
      <c r="I33" s="125">
        <f>0.00394+0.00158</f>
        <v>5.5199999999999997E-3</v>
      </c>
      <c r="K33" s="98" t="s">
        <v>427</v>
      </c>
      <c r="O33" s="124"/>
      <c r="P33" s="125">
        <v>5.5199999999999997E-3</v>
      </c>
      <c r="Q33" s="125"/>
      <c r="R33" s="125">
        <f>+P33-I33</f>
        <v>0</v>
      </c>
      <c r="S33" s="126"/>
      <c r="W33" s="125"/>
      <c r="X33" s="125"/>
    </row>
    <row r="34" spans="2:24" ht="12.45" customHeight="1">
      <c r="B34" s="68" t="s">
        <v>428</v>
      </c>
      <c r="I34" s="127">
        <v>2.8049999999999999E-2</v>
      </c>
      <c r="K34" s="51" t="s">
        <v>428</v>
      </c>
      <c r="P34" s="127">
        <v>2.7959999999999999E-2</v>
      </c>
      <c r="Q34" s="127"/>
      <c r="R34" s="127">
        <f>+P34-I34</f>
        <v>-8.9999999999999802E-5</v>
      </c>
      <c r="S34" s="128"/>
      <c r="W34" s="127"/>
      <c r="X34" s="127"/>
    </row>
    <row r="35" spans="2:24" ht="12.45" customHeight="1">
      <c r="B35" s="68"/>
      <c r="H35" s="81" t="s">
        <v>429</v>
      </c>
      <c r="I35" s="125">
        <f>+I34+I33</f>
        <v>3.3569999999999996E-2</v>
      </c>
      <c r="O35" s="81" t="s">
        <v>429</v>
      </c>
      <c r="P35" s="125">
        <f>+P34+P33</f>
        <v>3.3479999999999996E-2</v>
      </c>
      <c r="Q35" s="125"/>
      <c r="R35" s="125">
        <f>+P35-I35</f>
        <v>-8.9999999999999802E-5</v>
      </c>
      <c r="S35" s="126"/>
      <c r="W35" s="125"/>
      <c r="X35" s="125"/>
    </row>
    <row r="36" spans="2:24" ht="12.45" customHeight="1">
      <c r="B36" s="68"/>
      <c r="I36" s="125"/>
      <c r="P36" s="125"/>
      <c r="Q36" s="125"/>
      <c r="R36" s="125"/>
      <c r="S36" s="126"/>
      <c r="W36" s="125"/>
      <c r="X36" s="125"/>
    </row>
    <row r="37" spans="2:24" ht="12.45" customHeight="1">
      <c r="B37" s="129" t="s">
        <v>430</v>
      </c>
      <c r="C37" s="59"/>
      <c r="G37" s="124"/>
      <c r="H37" s="124"/>
      <c r="I37" s="125">
        <v>7.9030000000000003E-2</v>
      </c>
      <c r="K37" s="98" t="s">
        <v>262</v>
      </c>
      <c r="O37" s="130"/>
      <c r="P37" s="125">
        <v>0.10585</v>
      </c>
      <c r="Q37" s="125"/>
      <c r="R37" s="125">
        <f>+P37-I37</f>
        <v>2.6819999999999997E-2</v>
      </c>
      <c r="S37" s="126"/>
      <c r="W37" s="125"/>
      <c r="X37" s="125"/>
    </row>
    <row r="38" spans="2:24" ht="12.45" customHeight="1">
      <c r="B38" s="129"/>
      <c r="C38" s="59"/>
      <c r="G38" s="124"/>
      <c r="H38" s="124"/>
      <c r="I38" s="125"/>
      <c r="K38" s="98"/>
      <c r="O38" s="130"/>
      <c r="P38" s="125"/>
      <c r="Q38" s="125"/>
      <c r="R38" s="125"/>
      <c r="S38" s="126"/>
      <c r="W38" s="125"/>
      <c r="X38" s="125"/>
    </row>
    <row r="39" spans="2:24" ht="12.45" customHeight="1">
      <c r="B39" s="129" t="s">
        <v>431</v>
      </c>
      <c r="C39" s="59"/>
      <c r="G39" s="124"/>
      <c r="H39" s="124"/>
      <c r="I39" s="125">
        <v>3.3300000000000001E-3</v>
      </c>
      <c r="K39" s="98" t="s">
        <v>431</v>
      </c>
      <c r="O39" s="130"/>
      <c r="P39" s="125">
        <v>3.3300000000000001E-3</v>
      </c>
      <c r="Q39" s="125"/>
      <c r="R39" s="125">
        <f t="shared" ref="R39:R51" si="6">+P39-I39</f>
        <v>0</v>
      </c>
      <c r="S39" s="126"/>
      <c r="W39" s="125"/>
      <c r="X39" s="125"/>
    </row>
    <row r="40" spans="2:24" ht="12.45" customHeight="1">
      <c r="B40" s="129" t="s">
        <v>432</v>
      </c>
      <c r="C40" s="59"/>
      <c r="G40" s="124"/>
      <c r="H40" s="124"/>
      <c r="I40" s="125">
        <v>2.4979999999999999E-2</v>
      </c>
      <c r="K40" s="98" t="s">
        <v>432</v>
      </c>
      <c r="O40" s="130"/>
      <c r="P40" s="125">
        <v>2.8139999999999998E-2</v>
      </c>
      <c r="Q40" s="125"/>
      <c r="R40" s="125">
        <f t="shared" si="6"/>
        <v>3.1599999999999996E-3</v>
      </c>
      <c r="S40" s="126"/>
      <c r="W40" s="125"/>
      <c r="X40" s="125"/>
    </row>
    <row r="41" spans="2:24" ht="12.45" customHeight="1">
      <c r="B41" s="121" t="s">
        <v>433</v>
      </c>
      <c r="C41" s="59"/>
      <c r="G41" s="124"/>
      <c r="H41" s="124"/>
      <c r="I41" s="125">
        <v>1.508E-2</v>
      </c>
      <c r="K41" s="59" t="s">
        <v>433</v>
      </c>
      <c r="O41" s="130"/>
      <c r="P41" s="125">
        <v>1.508E-2</v>
      </c>
      <c r="Q41" s="125"/>
      <c r="R41" s="125">
        <f t="shared" si="6"/>
        <v>0</v>
      </c>
      <c r="S41" s="126"/>
      <c r="W41" s="125"/>
      <c r="X41" s="125"/>
    </row>
    <row r="42" spans="2:24" ht="12.45" customHeight="1">
      <c r="B42" s="121" t="s">
        <v>434</v>
      </c>
      <c r="C42" s="59"/>
      <c r="G42" s="124"/>
      <c r="H42" s="124"/>
      <c r="I42" s="125">
        <v>1.72E-3</v>
      </c>
      <c r="K42" s="59" t="s">
        <v>434</v>
      </c>
      <c r="O42" s="130"/>
      <c r="P42" s="125">
        <v>1.72E-3</v>
      </c>
      <c r="Q42" s="125"/>
      <c r="R42" s="125">
        <f t="shared" si="6"/>
        <v>0</v>
      </c>
      <c r="S42" s="126"/>
      <c r="W42" s="125"/>
      <c r="X42" s="125"/>
    </row>
    <row r="43" spans="2:24" ht="12.45" customHeight="1">
      <c r="B43" s="121" t="s">
        <v>435</v>
      </c>
      <c r="C43" s="59"/>
      <c r="G43" s="124"/>
      <c r="H43" s="124"/>
      <c r="I43" s="125">
        <v>5.1999999999999995E-4</v>
      </c>
      <c r="K43" s="59" t="s">
        <v>435</v>
      </c>
      <c r="O43" s="130"/>
      <c r="P43" s="125">
        <v>5.1999999999999995E-4</v>
      </c>
      <c r="Q43" s="125"/>
      <c r="R43" s="125">
        <f t="shared" si="6"/>
        <v>0</v>
      </c>
      <c r="S43" s="126"/>
      <c r="W43" s="125"/>
      <c r="X43" s="125"/>
    </row>
    <row r="44" spans="2:24" ht="12.45" customHeight="1">
      <c r="B44" s="68" t="s">
        <v>436</v>
      </c>
      <c r="C44" s="59"/>
      <c r="G44" s="124"/>
      <c r="H44" s="124"/>
      <c r="I44" s="125">
        <v>-2.7499999999999998E-3</v>
      </c>
      <c r="K44" s="51" t="s">
        <v>436</v>
      </c>
      <c r="O44" s="130"/>
      <c r="P44" s="125">
        <v>-2.7499999999999998E-3</v>
      </c>
      <c r="Q44" s="125"/>
      <c r="R44" s="125">
        <f t="shared" si="6"/>
        <v>0</v>
      </c>
      <c r="S44" s="126"/>
      <c r="W44" s="125"/>
      <c r="X44" s="125"/>
    </row>
    <row r="45" spans="2:24" ht="12.45" customHeight="1">
      <c r="B45" s="68" t="s">
        <v>437</v>
      </c>
      <c r="C45" s="59"/>
      <c r="G45" s="124"/>
      <c r="H45" s="124"/>
      <c r="I45" s="125">
        <v>9.9699999999999997E-3</v>
      </c>
      <c r="K45" s="51" t="s">
        <v>437</v>
      </c>
      <c r="O45" s="130"/>
      <c r="P45" s="125">
        <v>2.9899999999999996E-3</v>
      </c>
      <c r="Q45" s="125"/>
      <c r="R45" s="125">
        <f t="shared" si="6"/>
        <v>-6.9800000000000001E-3</v>
      </c>
      <c r="S45" s="126"/>
      <c r="W45" s="125"/>
      <c r="X45" s="125"/>
    </row>
    <row r="46" spans="2:24" ht="12.45" customHeight="1">
      <c r="B46" s="129" t="s">
        <v>438</v>
      </c>
      <c r="C46" s="59"/>
      <c r="G46" s="124"/>
      <c r="H46" s="124"/>
      <c r="I46" s="125">
        <v>-1.7000000000000001E-4</v>
      </c>
      <c r="K46" s="98" t="s">
        <v>438</v>
      </c>
      <c r="O46" s="130"/>
      <c r="P46" s="125">
        <v>-1.15E-3</v>
      </c>
      <c r="Q46" s="125"/>
      <c r="R46" s="125">
        <f t="shared" si="6"/>
        <v>-9.7999999999999997E-4</v>
      </c>
      <c r="S46" s="126"/>
      <c r="W46" s="125"/>
      <c r="X46" s="125"/>
    </row>
    <row r="47" spans="2:24" ht="12.45" customHeight="1">
      <c r="B47" s="68" t="s">
        <v>439</v>
      </c>
      <c r="I47" s="125">
        <v>3.6800000000000001E-3</v>
      </c>
      <c r="K47" s="51" t="s">
        <v>439</v>
      </c>
      <c r="P47" s="125">
        <v>3.6800000000000001E-3</v>
      </c>
      <c r="Q47" s="125"/>
      <c r="R47" s="125">
        <f t="shared" si="6"/>
        <v>0</v>
      </c>
      <c r="S47" s="126"/>
      <c r="W47" s="125"/>
      <c r="X47" s="125"/>
    </row>
    <row r="48" spans="2:24" ht="12.45" customHeight="1">
      <c r="B48" s="121" t="s">
        <v>440</v>
      </c>
      <c r="C48" s="59"/>
      <c r="G48" s="124"/>
      <c r="H48" s="124"/>
      <c r="I48" s="125">
        <v>-4.0000000000000002E-4</v>
      </c>
      <c r="K48" s="59" t="s">
        <v>440</v>
      </c>
      <c r="O48" s="130"/>
      <c r="P48" s="125">
        <f>+I48</f>
        <v>-4.0000000000000002E-4</v>
      </c>
      <c r="Q48" s="125"/>
      <c r="R48" s="125">
        <f t="shared" si="6"/>
        <v>0</v>
      </c>
      <c r="S48" s="126"/>
      <c r="W48" s="125"/>
      <c r="X48" s="125"/>
    </row>
    <row r="49" spans="2:24" ht="12.45" customHeight="1">
      <c r="B49" s="68" t="s">
        <v>441</v>
      </c>
      <c r="I49" s="125">
        <v>5.1000000000000004E-4</v>
      </c>
      <c r="K49" s="51" t="s">
        <v>441</v>
      </c>
      <c r="P49" s="125">
        <v>5.1000000000000004E-4</v>
      </c>
      <c r="Q49" s="125"/>
      <c r="R49" s="125">
        <f t="shared" si="6"/>
        <v>0</v>
      </c>
      <c r="S49" s="126"/>
      <c r="W49" s="125"/>
      <c r="X49" s="125"/>
    </row>
    <row r="50" spans="2:24" ht="12.45" customHeight="1">
      <c r="B50" s="68" t="s">
        <v>442</v>
      </c>
      <c r="I50" s="127">
        <v>1.89E-3</v>
      </c>
      <c r="K50" s="51" t="s">
        <v>442</v>
      </c>
      <c r="P50" s="127">
        <v>1.89E-3</v>
      </c>
      <c r="Q50" s="125"/>
      <c r="R50" s="125">
        <f t="shared" si="6"/>
        <v>0</v>
      </c>
      <c r="S50" s="128"/>
      <c r="W50" s="127"/>
      <c r="X50" s="127"/>
    </row>
    <row r="51" spans="2:24" ht="12.45" customHeight="1">
      <c r="B51" s="68"/>
      <c r="C51" s="59"/>
      <c r="G51" s="124"/>
      <c r="H51" s="131" t="s">
        <v>443</v>
      </c>
      <c r="I51" s="125">
        <f>SUM(I37,I39:I50)</f>
        <v>0.13738999999999998</v>
      </c>
      <c r="O51" s="131" t="s">
        <v>443</v>
      </c>
      <c r="P51" s="125">
        <f>SUM(P37,P39:P50)</f>
        <v>0.15940999999999997</v>
      </c>
      <c r="Q51" s="127"/>
      <c r="R51" s="125">
        <f t="shared" si="6"/>
        <v>2.2019999999999984E-2</v>
      </c>
      <c r="S51" s="128"/>
      <c r="W51" s="127"/>
      <c r="X51" s="127"/>
    </row>
    <row r="52" spans="2:24" ht="12.45" customHeight="1">
      <c r="B52" s="68"/>
      <c r="C52" s="59"/>
      <c r="G52" s="124"/>
      <c r="H52" s="124"/>
      <c r="I52" s="125"/>
      <c r="O52" s="131"/>
      <c r="P52" s="125"/>
      <c r="Q52" s="127"/>
      <c r="S52" s="128"/>
      <c r="W52" s="127"/>
      <c r="X52" s="127"/>
    </row>
    <row r="53" spans="2:24" ht="12.45" customHeight="1">
      <c r="B53" s="121" t="s">
        <v>444</v>
      </c>
      <c r="C53" s="59"/>
      <c r="G53" s="124"/>
      <c r="H53" s="124"/>
      <c r="I53" s="125">
        <v>5.0000000000000001E-4</v>
      </c>
      <c r="K53" s="59" t="s">
        <v>444</v>
      </c>
      <c r="O53" s="130"/>
      <c r="P53" s="125">
        <v>5.0000000000000001E-4</v>
      </c>
      <c r="Q53" s="125"/>
      <c r="R53" s="125">
        <f>+P53-I53</f>
        <v>0</v>
      </c>
      <c r="S53" s="126"/>
      <c r="W53" s="125"/>
      <c r="X53" s="125"/>
    </row>
    <row r="54" spans="2:24" ht="12.45" customHeight="1">
      <c r="B54" s="121"/>
      <c r="C54" s="59"/>
      <c r="G54" s="124"/>
      <c r="H54" s="124"/>
      <c r="I54" s="125"/>
      <c r="K54" s="59"/>
      <c r="O54" s="130"/>
      <c r="P54" s="125"/>
      <c r="Q54" s="125"/>
      <c r="R54" s="125"/>
      <c r="S54" s="126"/>
      <c r="W54" s="125"/>
      <c r="X54" s="125"/>
    </row>
    <row r="55" spans="2:24" ht="12.45" customHeight="1">
      <c r="B55" s="121" t="s">
        <v>445</v>
      </c>
      <c r="H55" s="124"/>
      <c r="I55" s="125">
        <v>2.5000000000000001E-3</v>
      </c>
      <c r="K55" s="59" t="s">
        <v>445</v>
      </c>
      <c r="P55" s="125">
        <v>2.5000000000000001E-3</v>
      </c>
      <c r="Q55" s="125"/>
      <c r="R55" s="125">
        <f>+P55-I55</f>
        <v>0</v>
      </c>
      <c r="S55" s="126"/>
      <c r="W55" s="125"/>
      <c r="X55" s="125"/>
    </row>
    <row r="56" spans="2:24" ht="12.45" customHeight="1">
      <c r="B56" s="129" t="s">
        <v>446</v>
      </c>
      <c r="C56" s="59"/>
      <c r="G56" s="124"/>
      <c r="H56" s="124"/>
      <c r="I56" s="127">
        <v>3.64E-3</v>
      </c>
      <c r="K56" s="98" t="s">
        <v>447</v>
      </c>
      <c r="O56" s="130"/>
      <c r="P56" s="127">
        <v>2.0969999999999999E-2</v>
      </c>
      <c r="Q56" s="125"/>
      <c r="R56" s="125">
        <f>+P56-I56</f>
        <v>1.7329999999999998E-2</v>
      </c>
      <c r="S56" s="126"/>
      <c r="W56" s="125"/>
      <c r="X56" s="125"/>
    </row>
    <row r="57" spans="2:24" ht="12.45" customHeight="1">
      <c r="B57" s="129"/>
      <c r="C57" s="54"/>
      <c r="D57" s="54"/>
      <c r="E57" s="54"/>
      <c r="F57" s="54"/>
      <c r="G57" s="54"/>
      <c r="H57" s="124" t="s">
        <v>448</v>
      </c>
      <c r="I57" s="125">
        <f>SUM(I55:I56)</f>
        <v>6.1399999999999996E-3</v>
      </c>
      <c r="J57" s="54"/>
      <c r="K57" s="54"/>
      <c r="L57" s="54"/>
      <c r="M57" s="54"/>
      <c r="N57" s="54"/>
      <c r="O57" s="124" t="s">
        <v>448</v>
      </c>
      <c r="P57" s="125">
        <f>SUM(P55:P56)</f>
        <v>2.3469999999999998E-2</v>
      </c>
      <c r="Q57" s="125"/>
      <c r="R57" s="125">
        <f>+P57-I57</f>
        <v>1.7329999999999998E-2</v>
      </c>
      <c r="S57" s="126"/>
      <c r="W57" s="125"/>
      <c r="X57" s="125"/>
    </row>
    <row r="58" spans="2:24" ht="12.45" customHeight="1">
      <c r="B58" s="129"/>
      <c r="C58" s="54"/>
      <c r="D58" s="54"/>
      <c r="E58" s="54"/>
      <c r="F58" s="54"/>
      <c r="G58" s="54"/>
      <c r="H58" s="124"/>
      <c r="I58" s="127"/>
      <c r="J58" s="54"/>
      <c r="K58" s="54"/>
      <c r="L58" s="54"/>
      <c r="M58" s="54"/>
      <c r="N58" s="54"/>
      <c r="O58" s="124"/>
      <c r="P58" s="127"/>
      <c r="Q58" s="125"/>
      <c r="R58" s="125"/>
      <c r="S58" s="126"/>
      <c r="W58" s="125"/>
      <c r="X58" s="125"/>
    </row>
    <row r="59" spans="2:24" ht="12.45" customHeight="1">
      <c r="B59" s="129" t="s">
        <v>449</v>
      </c>
      <c r="H59" s="124"/>
      <c r="I59" s="125">
        <v>5.6699999999999997E-3</v>
      </c>
      <c r="K59" s="98" t="s">
        <v>449</v>
      </c>
      <c r="P59" s="125">
        <v>4.9099999999999994E-3</v>
      </c>
      <c r="Q59" s="125"/>
      <c r="R59" s="125">
        <f>+P59-I59</f>
        <v>-7.6000000000000026E-4</v>
      </c>
      <c r="S59" s="126"/>
      <c r="W59" s="125"/>
      <c r="X59" s="125"/>
    </row>
    <row r="60" spans="2:24" ht="12.45" customHeight="1">
      <c r="B60" s="129"/>
      <c r="H60" s="124"/>
      <c r="I60" s="125"/>
      <c r="O60" s="130"/>
      <c r="P60" s="125"/>
      <c r="Q60" s="125"/>
      <c r="S60" s="126"/>
      <c r="W60" s="125"/>
      <c r="X60" s="125"/>
    </row>
    <row r="61" spans="2:24" ht="12.45" hidden="1" customHeight="1">
      <c r="B61" s="129"/>
      <c r="H61" s="124"/>
      <c r="I61" s="125"/>
      <c r="O61" s="130"/>
      <c r="P61" s="125"/>
      <c r="Q61" s="125"/>
      <c r="R61" s="125">
        <f>+P61-I61</f>
        <v>0</v>
      </c>
      <c r="S61" s="126"/>
      <c r="W61" s="125"/>
      <c r="X61" s="125"/>
    </row>
    <row r="62" spans="2:24" ht="12.45" customHeight="1">
      <c r="B62" s="132" t="s">
        <v>450</v>
      </c>
      <c r="G62" s="124"/>
      <c r="H62" s="124"/>
      <c r="I62" s="125"/>
      <c r="K62" s="86" t="s">
        <v>450</v>
      </c>
      <c r="O62" s="130"/>
      <c r="P62" s="125"/>
      <c r="Q62" s="125"/>
      <c r="R62" s="125"/>
      <c r="S62" s="126"/>
      <c r="W62" s="125"/>
      <c r="X62" s="125"/>
    </row>
    <row r="63" spans="2:24" ht="12.45" customHeight="1">
      <c r="B63" s="68" t="s">
        <v>451</v>
      </c>
      <c r="G63" s="117"/>
      <c r="H63" s="124"/>
      <c r="I63" s="127">
        <v>0.21206</v>
      </c>
      <c r="K63" s="51" t="s">
        <v>451</v>
      </c>
      <c r="O63" s="117"/>
      <c r="P63" s="127">
        <v>0.21004999999999999</v>
      </c>
      <c r="Q63" s="125"/>
      <c r="R63" s="127">
        <f>+P63-I63</f>
        <v>-2.0100000000000118E-3</v>
      </c>
      <c r="S63" s="126"/>
      <c r="W63" s="125"/>
      <c r="X63" s="125"/>
    </row>
    <row r="64" spans="2:24" s="54" customFormat="1" ht="12.45" customHeight="1">
      <c r="B64" s="135"/>
      <c r="C64" s="51"/>
      <c r="D64" s="51"/>
      <c r="E64" s="51"/>
      <c r="F64" s="51"/>
      <c r="G64" s="136"/>
      <c r="H64" s="51"/>
      <c r="I64" s="118"/>
      <c r="J64" s="51"/>
      <c r="K64" s="51"/>
      <c r="L64" s="51"/>
      <c r="M64" s="51"/>
      <c r="N64" s="51"/>
      <c r="O64" s="137"/>
      <c r="P64" s="118"/>
      <c r="Q64" s="125"/>
      <c r="S64" s="126"/>
      <c r="W64" s="134"/>
      <c r="X64" s="134"/>
    </row>
    <row r="65" spans="2:24" ht="12.45" customHeight="1">
      <c r="B65" s="68"/>
      <c r="C65" s="54"/>
      <c r="H65" s="137" t="s">
        <v>279</v>
      </c>
      <c r="I65" s="125">
        <f>SUM(I63,I57,I59,I51,I35,I53)</f>
        <v>0.39533000000000001</v>
      </c>
      <c r="O65" s="137" t="s">
        <v>279</v>
      </c>
      <c r="P65" s="125">
        <f>SUM(P63,P57,P59,P51,P35,P53)</f>
        <v>0.43181999999999998</v>
      </c>
      <c r="Q65" s="54"/>
      <c r="R65" s="125">
        <f>+P65-I65</f>
        <v>3.6489999999999967E-2</v>
      </c>
      <c r="S65" s="138"/>
      <c r="V65" s="162"/>
      <c r="W65" s="162"/>
      <c r="X65" s="162"/>
    </row>
    <row r="66" spans="2:24" ht="12.45" customHeight="1">
      <c r="B66" s="163" t="s">
        <v>458</v>
      </c>
      <c r="G66" s="124"/>
      <c r="H66" s="125"/>
      <c r="I66" s="54"/>
      <c r="J66" s="53"/>
      <c r="K66" s="164" t="s">
        <v>459</v>
      </c>
      <c r="O66" s="124"/>
      <c r="P66" s="125"/>
      <c r="Q66" s="125"/>
      <c r="R66" s="125"/>
      <c r="S66" s="126"/>
      <c r="V66" s="165"/>
      <c r="W66" s="165"/>
      <c r="X66" s="165"/>
    </row>
    <row r="67" spans="2:24" ht="12.45" customHeight="1">
      <c r="B67" s="129" t="s">
        <v>460</v>
      </c>
      <c r="G67" s="124"/>
      <c r="H67" s="118"/>
      <c r="I67" s="118">
        <f>ROUND(U6*-0.345,2)</f>
        <v>-2.42</v>
      </c>
      <c r="J67" s="53"/>
      <c r="K67" s="59" t="s">
        <v>460</v>
      </c>
      <c r="O67" s="124"/>
      <c r="P67" s="118">
        <f>ROUND(X6*-0.4,2)</f>
        <v>-3.4</v>
      </c>
      <c r="Q67" s="118"/>
      <c r="R67" s="118">
        <f>+P67-I67</f>
        <v>-0.98</v>
      </c>
      <c r="S67" s="120"/>
      <c r="V67" s="156"/>
      <c r="W67" s="156"/>
      <c r="X67" s="156"/>
    </row>
    <row r="68" spans="2:24" ht="10.5" customHeight="1">
      <c r="B68" s="129" t="s">
        <v>461</v>
      </c>
      <c r="G68" s="124"/>
      <c r="H68" s="125"/>
      <c r="I68" s="1066">
        <f>ROUND(V6*-0.345,5)-I56+'RD-1'!I56+ROUND(I63*-0.345,5)</f>
        <v>-0.12214000000000001</v>
      </c>
      <c r="J68" s="53"/>
      <c r="K68" s="98" t="s">
        <v>461</v>
      </c>
      <c r="O68" s="124"/>
      <c r="P68" s="125">
        <f>ROUND(Y6*-0.4,5)+ROUND(P63*-0.4,5)</f>
        <v>-0.17272999999999999</v>
      </c>
      <c r="Q68" s="125"/>
      <c r="R68" s="125">
        <f>+P68-I68</f>
        <v>-5.0589999999999982E-2</v>
      </c>
      <c r="S68" s="126"/>
      <c r="V68" s="166"/>
      <c r="W68" s="166"/>
    </row>
    <row r="69" spans="2:24" ht="16.5" customHeight="1">
      <c r="B69" s="135"/>
      <c r="G69" s="81"/>
      <c r="H69" s="125"/>
      <c r="I69" s="125"/>
      <c r="J69" s="53"/>
      <c r="K69" s="54"/>
      <c r="L69" s="54"/>
      <c r="M69" s="54"/>
      <c r="N69" s="54"/>
      <c r="O69" s="54"/>
      <c r="P69" s="54"/>
      <c r="Q69" s="54"/>
      <c r="R69" s="54"/>
      <c r="S69" s="138"/>
      <c r="V69" s="167"/>
      <c r="W69" s="167"/>
      <c r="X69" s="165"/>
    </row>
    <row r="70" spans="2:24" ht="16.5" customHeight="1">
      <c r="B70" s="135"/>
      <c r="C70" s="52"/>
      <c r="H70" s="81" t="s">
        <v>279</v>
      </c>
      <c r="I70" s="125">
        <f>SUM(I68,I63,I57,I59,I53,I51,I35)</f>
        <v>0.27318999999999993</v>
      </c>
      <c r="J70" s="53"/>
      <c r="K70" s="52"/>
      <c r="O70" s="81" t="s">
        <v>279</v>
      </c>
      <c r="P70" s="125">
        <f>SUM(P68,P63,P57,P59,P53,P51,P35)</f>
        <v>0.25908999999999999</v>
      </c>
      <c r="Q70" s="125"/>
      <c r="R70" s="125">
        <f>+P70-I70</f>
        <v>-1.4099999999999946E-2</v>
      </c>
      <c r="S70" s="126"/>
      <c r="U70" s="130"/>
      <c r="V70" s="156"/>
      <c r="W70" s="156"/>
      <c r="X70" s="156"/>
    </row>
    <row r="71" spans="2:24" ht="9" customHeight="1">
      <c r="B71" s="139"/>
      <c r="C71" s="143"/>
      <c r="D71" s="140"/>
      <c r="E71" s="140"/>
      <c r="F71" s="140"/>
      <c r="G71" s="140"/>
      <c r="H71" s="168"/>
      <c r="I71" s="142"/>
      <c r="J71" s="150"/>
      <c r="K71" s="143"/>
      <c r="L71" s="140"/>
      <c r="M71" s="140"/>
      <c r="N71" s="140"/>
      <c r="O71" s="168"/>
      <c r="P71" s="168"/>
      <c r="Q71" s="168"/>
      <c r="R71" s="142"/>
      <c r="S71" s="144"/>
      <c r="V71" s="166"/>
      <c r="W71" s="166"/>
    </row>
    <row r="72" spans="2:24" ht="19.5" customHeight="1">
      <c r="S72" s="54"/>
    </row>
    <row r="73" spans="2:24" ht="13.2">
      <c r="S73" s="54"/>
    </row>
    <row r="74" spans="2:24" ht="13.2" hidden="1" customHeight="1">
      <c r="B74" s="169" t="s">
        <v>168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170"/>
    </row>
    <row r="75" spans="2:24" hidden="1">
      <c r="B75" s="169" t="s">
        <v>168</v>
      </c>
      <c r="R75" s="130"/>
      <c r="S75" s="130"/>
    </row>
    <row r="76" spans="2:24" ht="13.2" hidden="1">
      <c r="B76" s="169" t="s">
        <v>168</v>
      </c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</row>
    <row r="77" spans="2:24">
      <c r="B77" s="1048" t="s">
        <v>452</v>
      </c>
      <c r="C77" s="1048"/>
      <c r="D77" s="1048"/>
      <c r="E77" s="1048"/>
      <c r="F77" s="1048"/>
      <c r="G77" s="1048"/>
      <c r="H77" s="1048"/>
      <c r="I77" s="1048"/>
      <c r="J77" s="1048"/>
      <c r="K77" s="1048"/>
      <c r="L77" s="1048"/>
      <c r="M77" s="1048"/>
      <c r="N77" s="1048"/>
      <c r="O77" s="1048"/>
      <c r="P77" s="1048"/>
      <c r="Q77" s="1048"/>
      <c r="R77" s="1048"/>
      <c r="S77" s="130"/>
    </row>
    <row r="78" spans="2:24">
      <c r="B78" s="1048"/>
      <c r="C78" s="1048"/>
      <c r="D78" s="1048"/>
      <c r="E78" s="1048"/>
      <c r="F78" s="1048"/>
      <c r="G78" s="1048"/>
      <c r="H78" s="1048"/>
      <c r="I78" s="1048"/>
      <c r="J78" s="1048"/>
      <c r="K78" s="1048"/>
      <c r="L78" s="1048"/>
      <c r="M78" s="1048"/>
      <c r="N78" s="1048"/>
      <c r="O78" s="1048"/>
      <c r="P78" s="1048"/>
      <c r="Q78" s="1048"/>
      <c r="R78" s="1048"/>
    </row>
    <row r="79" spans="2:24">
      <c r="B79" s="51" t="s">
        <v>453</v>
      </c>
      <c r="I79" s="130"/>
      <c r="R79" s="130"/>
      <c r="S79" s="130"/>
    </row>
    <row r="80" spans="2:24">
      <c r="I80" s="130">
        <f>+I70-I63</f>
        <v>6.1129999999999934E-2</v>
      </c>
      <c r="P80" s="130">
        <f>+P70-P63</f>
        <v>4.904E-2</v>
      </c>
    </row>
    <row r="82" spans="9:16">
      <c r="I82" s="130">
        <f>+I70-I68-I63</f>
        <v>0.18326999999999996</v>
      </c>
      <c r="P82" s="130">
        <f>+P70-P68-P63</f>
        <v>0.22176999999999999</v>
      </c>
    </row>
  </sheetData>
  <mergeCells count="1">
    <mergeCell ref="B77:R78"/>
  </mergeCells>
  <printOptions horizontalCentered="1"/>
  <pageMargins left="0.5" right="0.5" top="0.75" bottom="0.25" header="0.5" footer="0.5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7912-DFE3-4E1E-BFA3-21216976713C}">
  <sheetPr>
    <pageSetUpPr fitToPage="1"/>
  </sheetPr>
  <dimension ref="B1:AA74"/>
  <sheetViews>
    <sheetView workbookViewId="0"/>
  </sheetViews>
  <sheetFormatPr defaultColWidth="8.77734375" defaultRowHeight="11.4"/>
  <cols>
    <col min="1" max="2" width="3.77734375" style="51" customWidth="1"/>
    <col min="3" max="3" width="8.77734375" style="51" customWidth="1"/>
    <col min="4" max="4" width="3.77734375" style="51" customWidth="1"/>
    <col min="5" max="5" width="10.44140625" style="51" customWidth="1"/>
    <col min="6" max="6" width="3.77734375" style="51" customWidth="1"/>
    <col min="7" max="7" width="12.109375" style="51" customWidth="1"/>
    <col min="8" max="8" width="3.44140625" style="51" customWidth="1"/>
    <col min="9" max="9" width="13.5546875" style="51" customWidth="1"/>
    <col min="10" max="10" width="4.109375" style="51" customWidth="1"/>
    <col min="11" max="11" width="13.77734375" style="51" customWidth="1"/>
    <col min="12" max="12" width="3.5546875" style="51" customWidth="1"/>
    <col min="13" max="13" width="10.77734375" style="51" customWidth="1"/>
    <col min="14" max="14" width="4.109375" style="51" customWidth="1"/>
    <col min="15" max="15" width="9.109375" style="51" customWidth="1"/>
    <col min="16" max="16" width="10.77734375" style="51" customWidth="1"/>
    <col min="17" max="17" width="1.77734375" style="51" customWidth="1"/>
    <col min="18" max="18" width="10.77734375" style="51" customWidth="1"/>
    <col min="19" max="19" width="1.77734375" style="51" customWidth="1"/>
    <col min="20" max="20" width="8.77734375" style="51" customWidth="1"/>
    <col min="21" max="21" width="9.5546875" style="51" customWidth="1"/>
    <col min="22" max="16384" width="8.77734375" style="51"/>
  </cols>
  <sheetData>
    <row r="1" spans="2:27" ht="12.45" customHeight="1">
      <c r="H1" s="52"/>
      <c r="I1" s="53"/>
    </row>
    <row r="2" spans="2:27" ht="12.45" customHeight="1"/>
    <row r="3" spans="2:27" ht="12.45" customHeight="1">
      <c r="B3" s="55" t="s">
        <v>285</v>
      </c>
      <c r="C3" s="56"/>
      <c r="D3" s="56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8"/>
      <c r="S3" s="58"/>
      <c r="T3" s="59"/>
      <c r="U3" s="59"/>
      <c r="V3" s="59"/>
      <c r="W3" s="59"/>
    </row>
    <row r="4" spans="2:27" ht="12.45" customHeight="1">
      <c r="B4" s="171" t="s">
        <v>410</v>
      </c>
      <c r="C4" s="61"/>
      <c r="D4" s="61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3"/>
      <c r="S4" s="63"/>
      <c r="T4" s="59"/>
      <c r="U4" s="59"/>
      <c r="V4" s="59"/>
      <c r="W4" s="59"/>
    </row>
    <row r="5" spans="2:27" ht="12.45" customHeight="1">
      <c r="B5" s="64" t="s">
        <v>462</v>
      </c>
      <c r="C5" s="65"/>
      <c r="D5" s="65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7"/>
      <c r="S5" s="67"/>
      <c r="T5" s="59"/>
      <c r="U5" s="59"/>
      <c r="V5" s="59"/>
      <c r="W5" s="59"/>
    </row>
    <row r="6" spans="2:27" ht="12.45" customHeight="1"/>
    <row r="7" spans="2:27" ht="12.45" customHeight="1">
      <c r="B7" s="69"/>
      <c r="C7" s="70"/>
      <c r="D7" s="70"/>
      <c r="E7" s="73"/>
      <c r="F7" s="73"/>
      <c r="G7" s="73"/>
      <c r="H7" s="73"/>
      <c r="I7" s="73"/>
      <c r="J7" s="73"/>
      <c r="K7" s="73"/>
      <c r="L7" s="73"/>
      <c r="M7" s="73"/>
      <c r="N7" s="74"/>
      <c r="O7" s="70"/>
      <c r="P7" s="73"/>
      <c r="Q7" s="70"/>
      <c r="R7" s="73"/>
      <c r="S7" s="75"/>
    </row>
    <row r="8" spans="2:27" s="52" customFormat="1" ht="12.45" customHeight="1">
      <c r="B8" s="149"/>
      <c r="C8" s="51"/>
      <c r="E8" s="76" t="s">
        <v>413</v>
      </c>
      <c r="F8" s="76"/>
      <c r="G8" s="76" t="s">
        <v>414</v>
      </c>
      <c r="H8" s="76"/>
      <c r="I8" s="76" t="s">
        <v>415</v>
      </c>
      <c r="J8" s="76"/>
      <c r="K8" s="172"/>
      <c r="L8" s="76"/>
      <c r="M8" s="76" t="s">
        <v>416</v>
      </c>
      <c r="O8" s="51"/>
      <c r="P8" s="76" t="s">
        <v>417</v>
      </c>
      <c r="Q8" s="78"/>
      <c r="R8" s="76" t="s">
        <v>416</v>
      </c>
      <c r="S8" s="80"/>
      <c r="Y8" s="81"/>
      <c r="Z8" s="82"/>
      <c r="AA8" s="51"/>
    </row>
    <row r="9" spans="2:27" s="52" customFormat="1" ht="12.45" customHeight="1">
      <c r="B9" s="149"/>
      <c r="C9" s="83"/>
      <c r="E9" s="76" t="s">
        <v>418</v>
      </c>
      <c r="F9" s="76"/>
      <c r="G9" s="76" t="s">
        <v>326</v>
      </c>
      <c r="H9" s="76"/>
      <c r="I9" s="76" t="s">
        <v>326</v>
      </c>
      <c r="J9" s="76"/>
      <c r="K9" s="76" t="s">
        <v>279</v>
      </c>
      <c r="L9" s="172"/>
      <c r="M9" s="76" t="s">
        <v>279</v>
      </c>
      <c r="O9" s="83"/>
      <c r="P9" s="76" t="s">
        <v>419</v>
      </c>
      <c r="Q9" s="84"/>
      <c r="R9" s="76" t="s">
        <v>419</v>
      </c>
      <c r="S9" s="80"/>
    </row>
    <row r="10" spans="2:27" s="86" customFormat="1" ht="12.45" customHeight="1">
      <c r="B10" s="173"/>
      <c r="C10" s="87" t="s">
        <v>420</v>
      </c>
      <c r="E10" s="88" t="s">
        <v>421</v>
      </c>
      <c r="F10" s="88"/>
      <c r="G10" s="88" t="s">
        <v>162</v>
      </c>
      <c r="H10" s="88"/>
      <c r="I10" s="88" t="s">
        <v>162</v>
      </c>
      <c r="J10" s="88"/>
      <c r="K10" s="88" t="s">
        <v>142</v>
      </c>
      <c r="L10" s="172"/>
      <c r="M10" s="88" t="s">
        <v>142</v>
      </c>
      <c r="O10" s="87"/>
      <c r="P10" s="88" t="s">
        <v>162</v>
      </c>
      <c r="Q10" s="84"/>
      <c r="R10" s="88" t="s">
        <v>142</v>
      </c>
      <c r="S10" s="89"/>
      <c r="Y10" s="90"/>
    </row>
    <row r="11" spans="2:27" ht="12.45" customHeight="1">
      <c r="B11" s="68"/>
      <c r="E11" s="172"/>
      <c r="F11" s="172"/>
      <c r="G11" s="91"/>
      <c r="H11" s="77"/>
      <c r="I11" s="77"/>
      <c r="J11" s="77"/>
      <c r="K11" s="77"/>
      <c r="L11" s="77"/>
      <c r="M11" s="77"/>
      <c r="P11" s="91"/>
      <c r="R11" s="77"/>
      <c r="S11" s="92"/>
      <c r="Y11" s="90"/>
      <c r="Z11" s="90"/>
    </row>
    <row r="12" spans="2:27" ht="12.45" customHeight="1">
      <c r="B12" s="113"/>
      <c r="C12" s="93">
        <v>0.1</v>
      </c>
      <c r="E12" s="94">
        <v>0</v>
      </c>
      <c r="F12" s="77"/>
      <c r="G12" s="95">
        <f t="shared" ref="G12:G21" si="0">$I$30+E12*$I$65</f>
        <v>10</v>
      </c>
      <c r="H12" s="77"/>
      <c r="I12" s="95">
        <f t="shared" ref="I12:I21" si="1">+$P$30+E12*$P$65</f>
        <v>12</v>
      </c>
      <c r="J12" s="77"/>
      <c r="K12" s="95">
        <f t="shared" ref="K12:K21" si="2">I12-G12</f>
        <v>2</v>
      </c>
      <c r="L12" s="77"/>
      <c r="M12" s="96">
        <f t="shared" ref="M12:M21" si="3">I12/G12-1</f>
        <v>0.19999999999999996</v>
      </c>
      <c r="P12" s="95">
        <f t="shared" ref="P12:P21" si="4">+$I$30+E12*$I$74</f>
        <v>10</v>
      </c>
      <c r="R12" s="96">
        <f t="shared" ref="R12:R21" si="5">+K12/P12</f>
        <v>0.2</v>
      </c>
      <c r="S12" s="92"/>
    </row>
    <row r="13" spans="2:27" ht="12.45" customHeight="1">
      <c r="B13" s="113"/>
      <c r="C13" s="93">
        <v>0.2</v>
      </c>
      <c r="E13" s="94">
        <v>4.2945454545454549</v>
      </c>
      <c r="F13" s="77"/>
      <c r="G13" s="95">
        <f t="shared" si="0"/>
        <v>11.6633204</v>
      </c>
      <c r="H13" s="77"/>
      <c r="I13" s="95">
        <f t="shared" si="1"/>
        <v>13.743800181818182</v>
      </c>
      <c r="J13" s="77"/>
      <c r="K13" s="95">
        <f t="shared" si="2"/>
        <v>2.0804797818181822</v>
      </c>
      <c r="L13" s="77"/>
      <c r="M13" s="96">
        <f t="shared" si="3"/>
        <v>0.17837800132955128</v>
      </c>
      <c r="P13" s="95">
        <f t="shared" si="4"/>
        <v>10.752619090909091</v>
      </c>
      <c r="R13" s="96">
        <f t="shared" si="5"/>
        <v>0.1934858627678111</v>
      </c>
      <c r="S13" s="92"/>
    </row>
    <row r="14" spans="2:27" ht="12.45" customHeight="1">
      <c r="B14" s="113"/>
      <c r="C14" s="93">
        <v>0.30000000000000004</v>
      </c>
      <c r="E14" s="94">
        <v>17.237764550264551</v>
      </c>
      <c r="F14" s="77"/>
      <c r="G14" s="95">
        <f t="shared" si="0"/>
        <v>16.676358587962966</v>
      </c>
      <c r="H14" s="77"/>
      <c r="I14" s="95">
        <f t="shared" si="1"/>
        <v>18.999394295634922</v>
      </c>
      <c r="J14" s="77"/>
      <c r="K14" s="95">
        <f t="shared" si="2"/>
        <v>2.3230357076719557</v>
      </c>
      <c r="L14" s="77"/>
      <c r="M14" s="96">
        <f t="shared" si="3"/>
        <v>0.13930113672110211</v>
      </c>
      <c r="P14" s="95">
        <f t="shared" si="4"/>
        <v>13.020918237433863</v>
      </c>
      <c r="R14" s="96">
        <f t="shared" si="5"/>
        <v>0.1784079790159081</v>
      </c>
      <c r="S14" s="92"/>
    </row>
    <row r="15" spans="2:27" ht="12.45" customHeight="1">
      <c r="B15" s="113"/>
      <c r="C15" s="93">
        <v>0.4</v>
      </c>
      <c r="E15" s="94">
        <v>35.155702479338842</v>
      </c>
      <c r="F15" s="77"/>
      <c r="G15" s="95">
        <f t="shared" si="0"/>
        <v>23.616155127272727</v>
      </c>
      <c r="H15" s="77"/>
      <c r="I15" s="95">
        <f t="shared" si="1"/>
        <v>26.274972991735538</v>
      </c>
      <c r="J15" s="77"/>
      <c r="K15" s="95">
        <f t="shared" si="2"/>
        <v>2.6588178644628115</v>
      </c>
      <c r="L15" s="77"/>
      <c r="M15" s="96">
        <f t="shared" si="3"/>
        <v>0.11258470526357267</v>
      </c>
      <c r="P15" s="95">
        <f t="shared" si="4"/>
        <v>16.161036859504133</v>
      </c>
      <c r="R15" s="96">
        <f t="shared" si="5"/>
        <v>0.1645202524799137</v>
      </c>
      <c r="S15" s="92"/>
    </row>
    <row r="16" spans="2:27" ht="12.45" customHeight="1">
      <c r="B16" s="113"/>
      <c r="C16" s="93">
        <v>0.5</v>
      </c>
      <c r="E16" s="94">
        <v>60.272156084656082</v>
      </c>
      <c r="F16" s="77"/>
      <c r="G16" s="95">
        <f t="shared" si="0"/>
        <v>33.344008773148147</v>
      </c>
      <c r="H16" s="77"/>
      <c r="I16" s="95">
        <f t="shared" si="1"/>
        <v>36.473508978174607</v>
      </c>
      <c r="J16" s="77"/>
      <c r="K16" s="95">
        <f t="shared" si="2"/>
        <v>3.12950020502646</v>
      </c>
      <c r="L16" s="77"/>
      <c r="M16" s="96">
        <f t="shared" si="3"/>
        <v>9.385494786537607E-2</v>
      </c>
      <c r="O16" s="98"/>
      <c r="P16" s="95">
        <f t="shared" si="4"/>
        <v>20.562695353835981</v>
      </c>
      <c r="Q16" s="98"/>
      <c r="R16" s="96">
        <f t="shared" si="5"/>
        <v>0.15219309293723746</v>
      </c>
      <c r="S16" s="92"/>
    </row>
    <row r="17" spans="2:19" ht="12.45" customHeight="1">
      <c r="B17" s="113"/>
      <c r="C17" s="93">
        <v>0.6</v>
      </c>
      <c r="E17" s="94">
        <v>96.965939153439152</v>
      </c>
      <c r="F17" s="77"/>
      <c r="G17" s="95">
        <f t="shared" si="0"/>
        <v>47.55587789351852</v>
      </c>
      <c r="H17" s="77"/>
      <c r="I17" s="95">
        <f t="shared" si="1"/>
        <v>51.373019593253971</v>
      </c>
      <c r="J17" s="77"/>
      <c r="K17" s="95">
        <f t="shared" si="2"/>
        <v>3.8171416997354513</v>
      </c>
      <c r="L17" s="77"/>
      <c r="M17" s="96">
        <f t="shared" si="3"/>
        <v>8.0266454302081014E-2</v>
      </c>
      <c r="P17" s="95">
        <f t="shared" si="4"/>
        <v>26.993280836640217</v>
      </c>
      <c r="R17" s="96">
        <f t="shared" si="5"/>
        <v>0.14141080970617431</v>
      </c>
      <c r="S17" s="92"/>
    </row>
    <row r="18" spans="2:19" ht="12.45" customHeight="1">
      <c r="B18" s="113"/>
      <c r="C18" s="93">
        <v>0.7</v>
      </c>
      <c r="E18" s="94">
        <v>156.92429752066116</v>
      </c>
      <c r="F18" s="77"/>
      <c r="G18" s="95">
        <f t="shared" si="0"/>
        <v>70.778349672727273</v>
      </c>
      <c r="H18" s="77"/>
      <c r="I18" s="95">
        <f t="shared" si="1"/>
        <v>75.719111008264463</v>
      </c>
      <c r="J18" s="77"/>
      <c r="K18" s="95">
        <f t="shared" si="2"/>
        <v>4.9407613355371893</v>
      </c>
      <c r="L18" s="77"/>
      <c r="M18" s="96">
        <f t="shared" si="3"/>
        <v>6.9806111026646134E-2</v>
      </c>
      <c r="P18" s="95">
        <f t="shared" si="4"/>
        <v>37.500983140495876</v>
      </c>
      <c r="R18" s="96">
        <f t="shared" si="5"/>
        <v>0.13175018150929088</v>
      </c>
      <c r="S18" s="92"/>
    </row>
    <row r="19" spans="2:19" ht="12.45" customHeight="1">
      <c r="B19" s="113"/>
      <c r="C19" s="93">
        <v>0.79999999999999993</v>
      </c>
      <c r="E19" s="94">
        <v>260.9537037037037</v>
      </c>
      <c r="F19" s="77"/>
      <c r="G19" s="95">
        <f t="shared" si="0"/>
        <v>111.06997898148148</v>
      </c>
      <c r="H19" s="77"/>
      <c r="I19" s="95">
        <f t="shared" si="1"/>
        <v>117.96025138888889</v>
      </c>
      <c r="J19" s="77"/>
      <c r="K19" s="95">
        <f t="shared" si="2"/>
        <v>6.8902724074074087</v>
      </c>
      <c r="L19" s="77"/>
      <c r="M19" s="96">
        <f t="shared" si="3"/>
        <v>6.2035416505806795E-2</v>
      </c>
      <c r="P19" s="95">
        <f t="shared" si="4"/>
        <v>55.732136574074083</v>
      </c>
      <c r="R19" s="96">
        <f t="shared" si="5"/>
        <v>0.12363194434954931</v>
      </c>
      <c r="S19" s="92"/>
    </row>
    <row r="20" spans="2:19" ht="12.45" customHeight="1">
      <c r="B20" s="113"/>
      <c r="C20" s="93">
        <v>0.89999999999999991</v>
      </c>
      <c r="E20" s="94">
        <v>437.32892561983471</v>
      </c>
      <c r="F20" s="77"/>
      <c r="G20" s="95">
        <f t="shared" si="0"/>
        <v>179.3818661818182</v>
      </c>
      <c r="H20" s="77"/>
      <c r="I20" s="95">
        <f t="shared" si="1"/>
        <v>189.5774102479339</v>
      </c>
      <c r="J20" s="77"/>
      <c r="K20" s="95">
        <f t="shared" si="2"/>
        <v>10.195544066115701</v>
      </c>
      <c r="L20" s="77"/>
      <c r="M20" s="96">
        <f t="shared" si="3"/>
        <v>5.6837094423924039E-2</v>
      </c>
      <c r="P20" s="95">
        <f t="shared" si="4"/>
        <v>86.641894214876046</v>
      </c>
      <c r="R20" s="96">
        <f t="shared" si="5"/>
        <v>0.11767452868505233</v>
      </c>
      <c r="S20" s="92"/>
    </row>
    <row r="21" spans="2:19" ht="12.45" customHeight="1">
      <c r="B21" s="113"/>
      <c r="C21" s="93">
        <v>0.99999999999999989</v>
      </c>
      <c r="E21" s="94">
        <v>891.58498677248679</v>
      </c>
      <c r="F21" s="77"/>
      <c r="G21" s="95">
        <f t="shared" si="0"/>
        <v>355.31978122685189</v>
      </c>
      <c r="H21" s="77"/>
      <c r="I21" s="95">
        <f t="shared" si="1"/>
        <v>374.02808387896829</v>
      </c>
      <c r="J21" s="77"/>
      <c r="K21" s="95">
        <f t="shared" si="2"/>
        <v>18.708302652116402</v>
      </c>
      <c r="L21" s="77"/>
      <c r="M21" s="96">
        <f t="shared" si="3"/>
        <v>5.2652015566147625E-2</v>
      </c>
      <c r="P21" s="95">
        <f t="shared" si="4"/>
        <v>166.25026893187834</v>
      </c>
      <c r="R21" s="96">
        <f t="shared" si="5"/>
        <v>0.11253096173806611</v>
      </c>
      <c r="S21" s="92"/>
    </row>
    <row r="22" spans="2:19" ht="12.45" customHeight="1">
      <c r="B22" s="113"/>
      <c r="E22" s="94"/>
      <c r="F22" s="77"/>
      <c r="G22" s="95"/>
      <c r="H22" s="77"/>
      <c r="I22" s="95"/>
      <c r="J22" s="77"/>
      <c r="K22" s="95"/>
      <c r="L22" s="77"/>
      <c r="M22" s="96"/>
      <c r="P22" s="95"/>
      <c r="R22" s="96"/>
      <c r="S22" s="92"/>
    </row>
    <row r="23" spans="2:19" ht="12.45" customHeight="1">
      <c r="B23" s="113"/>
      <c r="C23" s="114" t="s">
        <v>413</v>
      </c>
      <c r="E23" s="94">
        <f>AVERAGE(E12:E21)</f>
        <v>196.07180213389307</v>
      </c>
      <c r="F23" s="77"/>
      <c r="G23" s="95">
        <f>$I$30+E23*$I$65</f>
        <v>85.940569684478135</v>
      </c>
      <c r="H23" s="77"/>
      <c r="I23" s="95">
        <f>+$P$30+E23*$P$65</f>
        <v>91.614955256467283</v>
      </c>
      <c r="J23" s="77"/>
      <c r="K23" s="95">
        <f>I23-G23</f>
        <v>5.6743855719891485</v>
      </c>
      <c r="L23" s="77"/>
      <c r="M23" s="96">
        <f>I23/G23-1</f>
        <v>6.6026855451646105E-2</v>
      </c>
      <c r="P23" s="95">
        <f>+$I$30+E23*$I$74</f>
        <v>44.361583323964773</v>
      </c>
      <c r="R23" s="96">
        <f>+K23/P23</f>
        <v>0.12791215161438485</v>
      </c>
      <c r="S23" s="92"/>
    </row>
    <row r="24" spans="2:19" ht="12.45" customHeight="1">
      <c r="B24" s="174"/>
      <c r="C24" s="140"/>
      <c r="D24" s="175"/>
      <c r="E24" s="176"/>
      <c r="F24" s="176"/>
      <c r="G24" s="176"/>
      <c r="H24" s="176"/>
      <c r="I24" s="177"/>
      <c r="J24" s="157"/>
      <c r="K24" s="177"/>
      <c r="L24" s="157"/>
      <c r="M24" s="177"/>
      <c r="N24" s="158"/>
      <c r="O24" s="140"/>
      <c r="P24" s="176"/>
      <c r="Q24" s="140"/>
      <c r="R24" s="177"/>
      <c r="S24" s="109"/>
    </row>
    <row r="25" spans="2:19" ht="12.45" customHeight="1"/>
    <row r="26" spans="2:19" ht="12.45" customHeight="1">
      <c r="B26" s="69"/>
      <c r="C26" s="70"/>
      <c r="D26" s="70"/>
      <c r="E26" s="110"/>
      <c r="F26" s="110"/>
      <c r="G26" s="110"/>
      <c r="H26" s="110"/>
      <c r="I26" s="110"/>
      <c r="J26" s="110"/>
      <c r="K26" s="110"/>
      <c r="L26" s="70"/>
      <c r="M26" s="178"/>
      <c r="N26" s="70"/>
      <c r="O26" s="70"/>
      <c r="P26" s="70"/>
      <c r="Q26" s="70"/>
      <c r="R26" s="110"/>
      <c r="S26" s="111"/>
    </row>
    <row r="27" spans="2:19" ht="12.45" customHeight="1">
      <c r="B27" s="159" t="s">
        <v>423</v>
      </c>
      <c r="C27" s="112"/>
      <c r="D27" s="112"/>
      <c r="E27" s="54"/>
      <c r="F27" s="53"/>
      <c r="I27" s="53"/>
      <c r="K27" s="160" t="s">
        <v>424</v>
      </c>
      <c r="M27" s="54"/>
      <c r="R27" s="53"/>
      <c r="S27" s="80"/>
    </row>
    <row r="28" spans="2:19" ht="12.45" customHeight="1">
      <c r="B28" s="121"/>
      <c r="C28" s="59"/>
      <c r="D28" s="59"/>
      <c r="E28" s="114"/>
      <c r="F28" s="114"/>
      <c r="I28" s="53" t="s">
        <v>43</v>
      </c>
      <c r="K28" s="114"/>
      <c r="L28" s="114"/>
      <c r="M28" s="114"/>
      <c r="N28" s="114"/>
      <c r="O28" s="114"/>
      <c r="P28" s="53" t="s">
        <v>43</v>
      </c>
      <c r="Q28" s="114"/>
      <c r="R28" s="115" t="s">
        <v>425</v>
      </c>
      <c r="S28" s="80"/>
    </row>
    <row r="29" spans="2:19" ht="12.45" customHeight="1">
      <c r="B29" s="116" t="s">
        <v>426</v>
      </c>
      <c r="C29" s="59"/>
      <c r="D29" s="59"/>
      <c r="E29" s="114"/>
      <c r="F29" s="114"/>
      <c r="G29" s="117"/>
      <c r="H29" s="117"/>
      <c r="I29" s="118"/>
      <c r="K29" s="119" t="s">
        <v>426</v>
      </c>
      <c r="L29" s="114"/>
      <c r="M29" s="114"/>
      <c r="N29" s="114"/>
      <c r="O29" s="117"/>
      <c r="P29" s="118"/>
      <c r="Q29" s="117"/>
      <c r="S29" s="120"/>
    </row>
    <row r="30" spans="2:19" ht="12.45" customHeight="1">
      <c r="B30" s="121" t="s">
        <v>134</v>
      </c>
      <c r="C30" s="59"/>
      <c r="D30" s="114"/>
      <c r="E30" s="114"/>
      <c r="F30" s="114"/>
      <c r="G30" s="117"/>
      <c r="H30" s="117"/>
      <c r="I30" s="118">
        <v>10</v>
      </c>
      <c r="K30" s="59" t="s">
        <v>134</v>
      </c>
      <c r="L30" s="114"/>
      <c r="M30" s="114"/>
      <c r="N30" s="114"/>
      <c r="O30" s="117"/>
      <c r="P30" s="118">
        <v>12</v>
      </c>
      <c r="Q30" s="117"/>
      <c r="R30" s="118">
        <f>+P30-I30</f>
        <v>2</v>
      </c>
      <c r="S30" s="120"/>
    </row>
    <row r="31" spans="2:19" ht="12.45" customHeight="1">
      <c r="B31" s="121"/>
      <c r="C31" s="59"/>
      <c r="D31" s="114"/>
      <c r="E31" s="114"/>
      <c r="F31" s="114"/>
      <c r="G31" s="117"/>
      <c r="H31" s="117"/>
      <c r="I31" s="122" t="s">
        <v>421</v>
      </c>
      <c r="K31" s="112"/>
      <c r="L31" s="114"/>
      <c r="M31" s="114"/>
      <c r="N31" s="114"/>
      <c r="O31" s="117"/>
      <c r="P31" s="122" t="s">
        <v>421</v>
      </c>
      <c r="Q31" s="117"/>
      <c r="R31" s="122" t="s">
        <v>421</v>
      </c>
      <c r="S31" s="123"/>
    </row>
    <row r="32" spans="2:19" ht="12.45" customHeight="1">
      <c r="B32" s="121" t="s">
        <v>427</v>
      </c>
      <c r="C32" s="59"/>
      <c r="G32" s="124"/>
      <c r="H32" s="124"/>
      <c r="I32" s="125">
        <f>0.00323+0.00147</f>
        <v>4.6999999999999993E-3</v>
      </c>
      <c r="K32" s="98" t="s">
        <v>427</v>
      </c>
      <c r="O32" s="131"/>
      <c r="P32" s="125">
        <f>0.00323+0.00147</f>
        <v>4.6999999999999993E-3</v>
      </c>
      <c r="Q32" s="131"/>
      <c r="R32" s="125">
        <f>+P32-I32</f>
        <v>0</v>
      </c>
      <c r="S32" s="126"/>
    </row>
    <row r="33" spans="2:19" ht="12.45" customHeight="1">
      <c r="B33" s="68" t="s">
        <v>428</v>
      </c>
      <c r="I33" s="127">
        <v>2.6110000000000001E-2</v>
      </c>
      <c r="K33" s="51" t="s">
        <v>428</v>
      </c>
      <c r="P33" s="127">
        <v>2.6020000000000001E-2</v>
      </c>
      <c r="R33" s="127">
        <f>+P33-I33</f>
        <v>-8.9999999999999802E-5</v>
      </c>
      <c r="S33" s="128"/>
    </row>
    <row r="34" spans="2:19" ht="12.45" customHeight="1">
      <c r="B34" s="68"/>
      <c r="H34" s="81" t="s">
        <v>429</v>
      </c>
      <c r="I34" s="125">
        <f>SUM(I32:I33)</f>
        <v>3.0810000000000001E-2</v>
      </c>
      <c r="O34" s="179" t="s">
        <v>429</v>
      </c>
      <c r="P34" s="125">
        <f>SUM(P32:P33)</f>
        <v>3.0720000000000001E-2</v>
      </c>
      <c r="Q34" s="179"/>
      <c r="R34" s="125">
        <f>+P34-I34</f>
        <v>-8.9999999999999802E-5</v>
      </c>
      <c r="S34" s="126"/>
    </row>
    <row r="35" spans="2:19" ht="12.45" customHeight="1">
      <c r="B35" s="68"/>
      <c r="I35" s="125"/>
      <c r="P35" s="125"/>
      <c r="R35" s="125"/>
      <c r="S35" s="126"/>
    </row>
    <row r="36" spans="2:19" ht="12.45" customHeight="1">
      <c r="B36" s="129" t="s">
        <v>430</v>
      </c>
      <c r="C36" s="59"/>
      <c r="G36" s="124"/>
      <c r="H36" s="124"/>
      <c r="I36" s="125">
        <v>7.85E-2</v>
      </c>
      <c r="K36" s="98" t="s">
        <v>262</v>
      </c>
      <c r="O36" s="131"/>
      <c r="P36" s="125">
        <v>0.10571999999999999</v>
      </c>
      <c r="Q36" s="131"/>
      <c r="R36" s="125">
        <f>+P36-I36</f>
        <v>2.7219999999999994E-2</v>
      </c>
      <c r="S36" s="126"/>
    </row>
    <row r="37" spans="2:19" ht="12.45" customHeight="1">
      <c r="B37" s="129"/>
      <c r="C37" s="59"/>
      <c r="G37" s="124"/>
      <c r="H37" s="124"/>
      <c r="I37" s="125"/>
      <c r="K37" s="59"/>
      <c r="O37" s="131"/>
      <c r="P37" s="125"/>
      <c r="Q37" s="131"/>
      <c r="R37" s="125"/>
      <c r="S37" s="126"/>
    </row>
    <row r="38" spans="2:19" ht="12.45" customHeight="1">
      <c r="B38" s="129" t="s">
        <v>431</v>
      </c>
      <c r="C38" s="59"/>
      <c r="G38" s="124"/>
      <c r="H38" s="124"/>
      <c r="I38" s="125">
        <v>2.7499999999999998E-3</v>
      </c>
      <c r="K38" s="98" t="s">
        <v>431</v>
      </c>
      <c r="O38" s="131"/>
      <c r="P38" s="125">
        <v>2.7499999999999998E-3</v>
      </c>
      <c r="Q38" s="131"/>
      <c r="R38" s="125">
        <f t="shared" ref="R38:R50" si="6">+P38-I38</f>
        <v>0</v>
      </c>
      <c r="S38" s="126"/>
    </row>
    <row r="39" spans="2:19" ht="12.45" customHeight="1">
      <c r="B39" s="129" t="s">
        <v>432</v>
      </c>
      <c r="C39" s="59"/>
      <c r="G39" s="124"/>
      <c r="H39" s="124"/>
      <c r="I39" s="125">
        <v>1.983E-2</v>
      </c>
      <c r="K39" s="98" t="s">
        <v>432</v>
      </c>
      <c r="O39" s="131"/>
      <c r="P39" s="125">
        <v>2.2329999999999999E-2</v>
      </c>
      <c r="Q39" s="131"/>
      <c r="R39" s="125">
        <f t="shared" si="6"/>
        <v>2.4999999999999988E-3</v>
      </c>
      <c r="S39" s="126"/>
    </row>
    <row r="40" spans="2:19" ht="12.45" customHeight="1">
      <c r="B40" s="121" t="s">
        <v>433</v>
      </c>
      <c r="C40" s="59"/>
      <c r="G40" s="124"/>
      <c r="H40" s="124"/>
      <c r="I40" s="125">
        <v>1.197E-2</v>
      </c>
      <c r="K40" s="98" t="s">
        <v>433</v>
      </c>
      <c r="O40" s="131"/>
      <c r="P40" s="125">
        <v>1.197E-2</v>
      </c>
      <c r="Q40" s="131"/>
      <c r="R40" s="125">
        <f t="shared" si="6"/>
        <v>0</v>
      </c>
      <c r="S40" s="126"/>
    </row>
    <row r="41" spans="2:19" ht="12.45" customHeight="1">
      <c r="B41" s="121" t="s">
        <v>434</v>
      </c>
      <c r="C41" s="59"/>
      <c r="G41" s="124"/>
      <c r="H41" s="124"/>
      <c r="I41" s="125">
        <v>1.3600000000000001E-3</v>
      </c>
      <c r="K41" s="59" t="s">
        <v>434</v>
      </c>
      <c r="O41" s="131"/>
      <c r="P41" s="125">
        <v>1.3600000000000001E-3</v>
      </c>
      <c r="Q41" s="131"/>
      <c r="R41" s="125">
        <f t="shared" si="6"/>
        <v>0</v>
      </c>
      <c r="S41" s="126"/>
    </row>
    <row r="42" spans="2:19" ht="12.45" customHeight="1">
      <c r="B42" s="121" t="s">
        <v>435</v>
      </c>
      <c r="C42" s="59"/>
      <c r="G42" s="124"/>
      <c r="H42" s="124"/>
      <c r="I42" s="125">
        <v>4.0999999999999999E-4</v>
      </c>
      <c r="K42" s="59" t="s">
        <v>435</v>
      </c>
      <c r="O42" s="131"/>
      <c r="P42" s="125">
        <v>4.0999999999999999E-4</v>
      </c>
      <c r="Q42" s="131"/>
      <c r="R42" s="125">
        <f t="shared" si="6"/>
        <v>0</v>
      </c>
      <c r="S42" s="126"/>
    </row>
    <row r="43" spans="2:19" ht="12.45" customHeight="1">
      <c r="B43" s="68" t="s">
        <v>436</v>
      </c>
      <c r="C43" s="59"/>
      <c r="G43" s="124"/>
      <c r="H43" s="124"/>
      <c r="I43" s="125">
        <v>-2.7499999999999998E-3</v>
      </c>
      <c r="K43" s="59" t="s">
        <v>436</v>
      </c>
      <c r="O43" s="131"/>
      <c r="P43" s="125">
        <v>-2.7499999999999998E-3</v>
      </c>
      <c r="Q43" s="131"/>
      <c r="R43" s="125">
        <f t="shared" si="6"/>
        <v>0</v>
      </c>
      <c r="S43" s="126"/>
    </row>
    <row r="44" spans="2:19" ht="12.45" customHeight="1">
      <c r="B44" s="68" t="s">
        <v>437</v>
      </c>
      <c r="C44" s="59"/>
      <c r="G44" s="124"/>
      <c r="H44" s="124"/>
      <c r="I44" s="125">
        <v>1.072E-2</v>
      </c>
      <c r="K44" s="51" t="s">
        <v>437</v>
      </c>
      <c r="O44" s="131"/>
      <c r="P44" s="125">
        <v>3.2200000000000006E-3</v>
      </c>
      <c r="Q44" s="131"/>
      <c r="R44" s="125">
        <f t="shared" si="6"/>
        <v>-7.4999999999999997E-3</v>
      </c>
      <c r="S44" s="126"/>
    </row>
    <row r="45" spans="2:19" ht="12.45" customHeight="1">
      <c r="B45" s="129" t="s">
        <v>438</v>
      </c>
      <c r="C45" s="59"/>
      <c r="G45" s="124"/>
      <c r="H45" s="124"/>
      <c r="I45" s="125">
        <v>-1.3999999999999999E-4</v>
      </c>
      <c r="K45" s="51" t="s">
        <v>438</v>
      </c>
      <c r="O45" s="131"/>
      <c r="P45" s="125">
        <v>-9.2000000000000003E-4</v>
      </c>
      <c r="Q45" s="131"/>
      <c r="R45" s="125">
        <f t="shared" si="6"/>
        <v>-7.8000000000000009E-4</v>
      </c>
      <c r="S45" s="126"/>
    </row>
    <row r="46" spans="2:19" ht="12.45" customHeight="1">
      <c r="B46" s="68" t="s">
        <v>439</v>
      </c>
      <c r="I46" s="125">
        <v>2.96E-3</v>
      </c>
      <c r="K46" s="98" t="s">
        <v>439</v>
      </c>
      <c r="O46" s="131"/>
      <c r="P46" s="125">
        <v>2.96E-3</v>
      </c>
      <c r="Q46" s="131"/>
      <c r="R46" s="125">
        <f t="shared" si="6"/>
        <v>0</v>
      </c>
      <c r="S46" s="126"/>
    </row>
    <row r="47" spans="2:19" ht="12.45" customHeight="1">
      <c r="B47" s="121" t="s">
        <v>440</v>
      </c>
      <c r="C47" s="59"/>
      <c r="G47" s="124"/>
      <c r="H47" s="124"/>
      <c r="I47" s="125">
        <v>-3.2000000000000003E-4</v>
      </c>
      <c r="K47" s="51" t="s">
        <v>440</v>
      </c>
      <c r="O47" s="131"/>
      <c r="P47" s="125">
        <f>+I47</f>
        <v>-3.2000000000000003E-4</v>
      </c>
      <c r="Q47" s="131"/>
      <c r="R47" s="125">
        <f t="shared" si="6"/>
        <v>0</v>
      </c>
      <c r="S47" s="126"/>
    </row>
    <row r="48" spans="2:19" ht="12.45" customHeight="1">
      <c r="B48" s="68" t="s">
        <v>441</v>
      </c>
      <c r="I48" s="125">
        <v>4.0000000000000002E-4</v>
      </c>
      <c r="K48" s="51" t="s">
        <v>441</v>
      </c>
      <c r="O48" s="131"/>
      <c r="P48" s="125">
        <v>4.0000000000000002E-4</v>
      </c>
      <c r="Q48" s="131"/>
      <c r="R48" s="125">
        <f t="shared" si="6"/>
        <v>0</v>
      </c>
      <c r="S48" s="126"/>
    </row>
    <row r="49" spans="2:21" ht="12.45" customHeight="1">
      <c r="B49" s="68" t="s">
        <v>442</v>
      </c>
      <c r="I49" s="127">
        <v>1.5299999999999999E-3</v>
      </c>
      <c r="K49" s="51" t="s">
        <v>442</v>
      </c>
      <c r="P49" s="127">
        <v>1.5299999999999999E-3</v>
      </c>
      <c r="R49" s="125">
        <f t="shared" si="6"/>
        <v>0</v>
      </c>
      <c r="S49" s="128"/>
    </row>
    <row r="50" spans="2:21" ht="12.45" customHeight="1">
      <c r="B50" s="68"/>
      <c r="C50" s="59"/>
      <c r="G50" s="124"/>
      <c r="H50" s="131" t="s">
        <v>443</v>
      </c>
      <c r="I50" s="125">
        <f>SUM(I36,I38:I49)</f>
        <v>0.12722</v>
      </c>
      <c r="K50" s="98"/>
      <c r="O50" s="131" t="s">
        <v>443</v>
      </c>
      <c r="P50" s="125">
        <f>SUM(P36,P38:P49)</f>
        <v>0.14866000000000001</v>
      </c>
      <c r="R50" s="125">
        <f t="shared" si="6"/>
        <v>2.1440000000000015E-2</v>
      </c>
      <c r="S50" s="128"/>
    </row>
    <row r="51" spans="2:21" ht="12.45" customHeight="1">
      <c r="B51" s="68"/>
      <c r="C51" s="59"/>
      <c r="G51" s="124"/>
      <c r="H51" s="124"/>
      <c r="I51" s="127"/>
      <c r="K51" s="98"/>
      <c r="P51" s="127"/>
      <c r="R51" s="125"/>
      <c r="S51" s="128"/>
    </row>
    <row r="52" spans="2:21" ht="12.45" customHeight="1">
      <c r="B52" s="121" t="s">
        <v>444</v>
      </c>
      <c r="C52" s="59"/>
      <c r="G52" s="124"/>
      <c r="H52" s="124"/>
      <c r="I52" s="125">
        <v>5.0000000000000001E-4</v>
      </c>
      <c r="K52" s="98" t="s">
        <v>444</v>
      </c>
      <c r="P52" s="125">
        <f>I52</f>
        <v>5.0000000000000001E-4</v>
      </c>
      <c r="Q52" s="124"/>
      <c r="R52" s="125">
        <f>+P52-I52</f>
        <v>0</v>
      </c>
      <c r="S52" s="126"/>
    </row>
    <row r="53" spans="2:21" ht="12.45" customHeight="1">
      <c r="B53" s="121"/>
      <c r="C53" s="59"/>
      <c r="G53" s="124"/>
      <c r="H53" s="124"/>
      <c r="I53" s="125"/>
      <c r="K53" s="59"/>
      <c r="P53" s="125"/>
      <c r="Q53" s="124"/>
      <c r="R53" s="125"/>
      <c r="S53" s="126"/>
    </row>
    <row r="54" spans="2:21" ht="12.45" customHeight="1">
      <c r="B54" s="121" t="s">
        <v>445</v>
      </c>
      <c r="H54" s="124"/>
      <c r="I54" s="125">
        <v>2.5000000000000001E-3</v>
      </c>
      <c r="K54" s="59" t="s">
        <v>445</v>
      </c>
      <c r="O54" s="124"/>
      <c r="P54" s="125">
        <f>I54</f>
        <v>2.5000000000000001E-3</v>
      </c>
      <c r="Q54" s="124"/>
      <c r="R54" s="125">
        <f>+P54-I54</f>
        <v>0</v>
      </c>
      <c r="S54" s="126"/>
    </row>
    <row r="55" spans="2:21" ht="12.45" customHeight="1">
      <c r="B55" s="129" t="s">
        <v>446</v>
      </c>
      <c r="C55" s="59"/>
      <c r="G55" s="124"/>
      <c r="H55" s="124"/>
      <c r="I55" s="127">
        <v>9.7199999999999995E-3</v>
      </c>
      <c r="K55" s="59" t="s">
        <v>446</v>
      </c>
      <c r="O55" s="131"/>
      <c r="P55" s="127">
        <v>9.7199999999999995E-3</v>
      </c>
      <c r="Q55" s="131"/>
      <c r="R55" s="125">
        <f>+P55-I55</f>
        <v>0</v>
      </c>
      <c r="S55" s="126"/>
    </row>
    <row r="56" spans="2:21" ht="12.45" customHeight="1">
      <c r="B56" s="129"/>
      <c r="C56" s="54"/>
      <c r="D56" s="54"/>
      <c r="E56" s="54"/>
      <c r="F56" s="54"/>
      <c r="G56" s="54"/>
      <c r="H56" s="124" t="s">
        <v>463</v>
      </c>
      <c r="I56" s="125">
        <f>SUM(I54:I55)</f>
        <v>1.222E-2</v>
      </c>
      <c r="O56" s="124" t="s">
        <v>448</v>
      </c>
      <c r="P56" s="125">
        <f>SUM(P54:P55)</f>
        <v>1.222E-2</v>
      </c>
      <c r="Q56" s="131"/>
      <c r="R56" s="125">
        <f>+P56-I56</f>
        <v>0</v>
      </c>
      <c r="S56" s="126"/>
    </row>
    <row r="57" spans="2:21" ht="12.45" customHeight="1">
      <c r="B57" s="129"/>
      <c r="C57" s="54"/>
      <c r="D57" s="54"/>
      <c r="E57" s="54"/>
      <c r="F57" s="54"/>
      <c r="G57" s="54"/>
      <c r="H57" s="124"/>
      <c r="I57" s="127"/>
      <c r="O57" s="124"/>
      <c r="P57" s="127"/>
      <c r="Q57" s="131"/>
      <c r="R57" s="125"/>
      <c r="S57" s="126"/>
    </row>
    <row r="58" spans="2:21" ht="12.45" customHeight="1">
      <c r="B58" s="129" t="s">
        <v>449</v>
      </c>
      <c r="H58" s="124"/>
      <c r="I58" s="125">
        <v>4.4999999999999997E-3</v>
      </c>
      <c r="K58" s="59" t="s">
        <v>449</v>
      </c>
      <c r="O58" s="131"/>
      <c r="P58" s="125">
        <v>3.8999999999999998E-3</v>
      </c>
      <c r="Q58" s="131"/>
      <c r="R58" s="125">
        <f>+P58-I58</f>
        <v>-5.9999999999999984E-4</v>
      </c>
      <c r="S58" s="126"/>
    </row>
    <row r="59" spans="2:21" ht="12.45" customHeight="1">
      <c r="B59" s="129"/>
      <c r="H59" s="124"/>
      <c r="I59" s="125"/>
      <c r="K59" s="98"/>
      <c r="O59" s="131"/>
      <c r="P59" s="125"/>
      <c r="Q59" s="131"/>
      <c r="R59" s="125"/>
      <c r="S59" s="126"/>
    </row>
    <row r="60" spans="2:21" ht="12.45" hidden="1" customHeight="1">
      <c r="B60" s="129"/>
      <c r="H60" s="124"/>
      <c r="I60" s="125">
        <v>0</v>
      </c>
      <c r="K60" s="98" t="s">
        <v>464</v>
      </c>
      <c r="O60" s="131"/>
      <c r="P60" s="125">
        <v>0</v>
      </c>
      <c r="Q60" s="131"/>
      <c r="R60" s="125">
        <f>+P60-I60</f>
        <v>0</v>
      </c>
      <c r="S60" s="126"/>
    </row>
    <row r="61" spans="2:21" ht="12.45" customHeight="1">
      <c r="B61" s="121"/>
      <c r="C61" s="59"/>
      <c r="D61" s="59"/>
      <c r="G61" s="131"/>
      <c r="H61" s="131"/>
      <c r="I61" s="125"/>
      <c r="K61" s="59"/>
      <c r="O61" s="131"/>
      <c r="P61" s="125"/>
      <c r="Q61" s="131"/>
      <c r="R61" s="125"/>
      <c r="S61" s="126"/>
    </row>
    <row r="62" spans="2:21" ht="12.45" customHeight="1">
      <c r="B62" s="116" t="s">
        <v>450</v>
      </c>
      <c r="G62" s="131"/>
      <c r="H62" s="131"/>
      <c r="I62" s="125"/>
      <c r="K62" s="119" t="s">
        <v>450</v>
      </c>
      <c r="O62" s="131"/>
      <c r="P62" s="125"/>
      <c r="Q62" s="131"/>
      <c r="R62" s="125"/>
      <c r="S62" s="126"/>
    </row>
    <row r="63" spans="2:21" s="54" customFormat="1" ht="12.45" customHeight="1">
      <c r="B63" s="68" t="s">
        <v>451</v>
      </c>
      <c r="C63" s="51"/>
      <c r="D63" s="51"/>
      <c r="E63" s="51"/>
      <c r="F63" s="51"/>
      <c r="G63" s="131"/>
      <c r="H63" s="131"/>
      <c r="I63" s="127">
        <v>0.21206</v>
      </c>
      <c r="J63" s="51"/>
      <c r="K63" s="51" t="s">
        <v>451</v>
      </c>
      <c r="L63" s="51"/>
      <c r="M63" s="51"/>
      <c r="N63" s="51"/>
      <c r="O63" s="131"/>
      <c r="P63" s="127">
        <v>0.21004999999999999</v>
      </c>
      <c r="Q63" s="131"/>
      <c r="R63" s="127">
        <f>+P63-I63</f>
        <v>-2.0100000000000118E-3</v>
      </c>
      <c r="S63" s="180"/>
      <c r="U63" s="51"/>
    </row>
    <row r="64" spans="2:21" s="54" customFormat="1" ht="12.45" customHeight="1">
      <c r="B64" s="68"/>
      <c r="C64" s="51"/>
      <c r="D64" s="51"/>
      <c r="E64" s="51"/>
      <c r="F64" s="51"/>
      <c r="G64" s="131"/>
      <c r="H64" s="131"/>
      <c r="I64" s="125"/>
      <c r="J64" s="51"/>
      <c r="K64" s="51"/>
      <c r="L64" s="51"/>
      <c r="M64" s="51"/>
      <c r="N64" s="51"/>
      <c r="O64" s="131"/>
      <c r="P64" s="125"/>
      <c r="Q64" s="131"/>
      <c r="R64" s="125"/>
      <c r="S64" s="126"/>
      <c r="U64" s="51"/>
    </row>
    <row r="65" spans="2:21" s="54" customFormat="1" ht="12.45" customHeight="1">
      <c r="B65" s="68"/>
      <c r="C65" s="51"/>
      <c r="D65" s="51"/>
      <c r="E65" s="51"/>
      <c r="F65" s="51"/>
      <c r="G65" s="131"/>
      <c r="H65" s="131" t="s">
        <v>279</v>
      </c>
      <c r="I65" s="125">
        <f>SUM(I63,I52,I56,I58,I50,I34)</f>
        <v>0.38731000000000004</v>
      </c>
      <c r="J65" s="51"/>
      <c r="K65" s="51"/>
      <c r="L65" s="51"/>
      <c r="M65" s="51"/>
      <c r="N65" s="51"/>
      <c r="O65" s="131" t="s">
        <v>279</v>
      </c>
      <c r="P65" s="125">
        <f>SUM(P63,P52,P56,P58,P50,P34)</f>
        <v>0.40605000000000002</v>
      </c>
      <c r="Q65" s="131"/>
      <c r="R65" s="125">
        <f>+P65-I65</f>
        <v>1.8739999999999979E-2</v>
      </c>
      <c r="S65" s="126"/>
      <c r="U65" s="51"/>
    </row>
    <row r="66" spans="2:21" ht="12.45" customHeight="1">
      <c r="B66" s="181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3"/>
    </row>
    <row r="67" spans="2:21" ht="13.2" customHeight="1">
      <c r="I67" s="130"/>
    </row>
    <row r="68" spans="2:21" hidden="1">
      <c r="B68" s="169" t="s">
        <v>168</v>
      </c>
      <c r="R68" s="184"/>
      <c r="S68" s="184"/>
    </row>
    <row r="69" spans="2:21" ht="13.2" hidden="1" customHeight="1">
      <c r="B69" s="169" t="s">
        <v>168</v>
      </c>
    </row>
    <row r="70" spans="2:21" hidden="1">
      <c r="B70" s="169" t="s">
        <v>168</v>
      </c>
    </row>
    <row r="71" spans="2:21">
      <c r="B71" s="1048" t="s">
        <v>452</v>
      </c>
      <c r="C71" s="1048"/>
      <c r="D71" s="1049"/>
      <c r="E71" s="1049"/>
      <c r="F71" s="1049"/>
      <c r="G71" s="1049"/>
      <c r="H71" s="1049"/>
      <c r="I71" s="1049"/>
      <c r="J71" s="1049"/>
      <c r="K71" s="1049"/>
      <c r="L71" s="1049"/>
      <c r="M71" s="1049"/>
      <c r="N71" s="1049"/>
      <c r="O71" s="1049"/>
      <c r="P71" s="1049"/>
      <c r="Q71" s="1049"/>
      <c r="R71" s="1049"/>
    </row>
    <row r="72" spans="2:21">
      <c r="B72" s="1049"/>
      <c r="C72" s="1049"/>
      <c r="D72" s="1049"/>
      <c r="E72" s="1049"/>
      <c r="F72" s="1049"/>
      <c r="G72" s="1049"/>
      <c r="H72" s="1049"/>
      <c r="I72" s="1049"/>
      <c r="J72" s="1049"/>
      <c r="K72" s="1049"/>
      <c r="L72" s="1049"/>
      <c r="M72" s="1049"/>
      <c r="N72" s="1049"/>
      <c r="O72" s="1049"/>
      <c r="P72" s="1049"/>
      <c r="Q72" s="1049"/>
      <c r="R72" s="1049"/>
    </row>
    <row r="74" spans="2:21">
      <c r="H74" s="81" t="s">
        <v>454</v>
      </c>
      <c r="I74" s="130">
        <f>+I65-I63</f>
        <v>0.17525000000000004</v>
      </c>
      <c r="O74" s="81" t="s">
        <v>454</v>
      </c>
      <c r="P74" s="81"/>
      <c r="Q74" s="81"/>
      <c r="R74" s="130">
        <f>+P65-P63</f>
        <v>0.19600000000000004</v>
      </c>
      <c r="S74" s="130"/>
    </row>
  </sheetData>
  <mergeCells count="1">
    <mergeCell ref="B71:R72"/>
  </mergeCells>
  <printOptions horizontalCentered="1"/>
  <pageMargins left="0.5" right="0.5" top="0.75" bottom="0.25" header="0.5" footer="0.5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ED80-6C6A-4D69-9E82-FF9709F45F58}">
  <sheetPr>
    <pageSetUpPr fitToPage="1"/>
  </sheetPr>
  <dimension ref="B1:AA77"/>
  <sheetViews>
    <sheetView workbookViewId="0"/>
  </sheetViews>
  <sheetFormatPr defaultColWidth="8.77734375" defaultRowHeight="11.4"/>
  <cols>
    <col min="1" max="1" width="3.77734375" style="51" customWidth="1"/>
    <col min="2" max="2" width="4.77734375" style="51" customWidth="1"/>
    <col min="3" max="3" width="11.77734375" style="51" customWidth="1"/>
    <col min="4" max="4" width="3.77734375" style="51" customWidth="1"/>
    <col min="5" max="5" width="10.77734375" style="51" customWidth="1"/>
    <col min="6" max="6" width="3.77734375" style="51" customWidth="1"/>
    <col min="7" max="7" width="10.109375" style="51" customWidth="1"/>
    <col min="8" max="8" width="4.77734375" style="51" customWidth="1"/>
    <col min="9" max="9" width="12.109375" style="51" customWidth="1"/>
    <col min="10" max="10" width="2.77734375" style="51" customWidth="1"/>
    <col min="11" max="11" width="13.5546875" style="51" customWidth="1"/>
    <col min="12" max="12" width="4.109375" style="51" customWidth="1"/>
    <col min="13" max="13" width="15.77734375" style="51" customWidth="1"/>
    <col min="14" max="14" width="4.77734375" style="51" customWidth="1"/>
    <col min="15" max="15" width="10.21875" style="51" customWidth="1"/>
    <col min="16" max="16" width="4.109375" style="51" customWidth="1"/>
    <col min="17" max="18" width="10.77734375" style="51" customWidth="1"/>
    <col min="19" max="19" width="2.77734375" style="51" customWidth="1"/>
    <col min="20" max="21" width="10.77734375" style="51" customWidth="1"/>
    <col min="22" max="22" width="1.77734375" style="51" customWidth="1"/>
    <col min="23" max="23" width="8.77734375" style="51" customWidth="1"/>
    <col min="24" max="24" width="9.44140625" style="51" bestFit="1" customWidth="1"/>
    <col min="25" max="25" width="9.5546875" style="51" customWidth="1"/>
    <col min="26" max="16384" width="8.77734375" style="51"/>
  </cols>
  <sheetData>
    <row r="1" spans="2:27" ht="12.45" customHeight="1">
      <c r="K1" s="53"/>
    </row>
    <row r="2" spans="2:27" ht="12.45" customHeight="1"/>
    <row r="3" spans="2:27" ht="12.45" customHeight="1">
      <c r="B3" s="55" t="s">
        <v>285</v>
      </c>
      <c r="C3" s="56"/>
      <c r="D3" s="56"/>
      <c r="E3" s="56"/>
      <c r="F3" s="56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8"/>
      <c r="W3" s="59"/>
      <c r="X3" s="59"/>
      <c r="Y3" s="59"/>
      <c r="Z3" s="59"/>
    </row>
    <row r="4" spans="2:27" ht="12.45" customHeight="1">
      <c r="B4" s="171" t="s">
        <v>410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3"/>
      <c r="W4" s="59"/>
      <c r="X4" s="59"/>
      <c r="Y4" s="59"/>
      <c r="Z4" s="59"/>
    </row>
    <row r="5" spans="2:27" ht="12.45" customHeight="1">
      <c r="B5" s="64" t="str">
        <f>"Impact on GD-2 Rate Customers"</f>
        <v>Impact on GD-2 Rate Customers</v>
      </c>
      <c r="C5" s="65"/>
      <c r="D5" s="65"/>
      <c r="E5" s="65"/>
      <c r="F5" s="65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7"/>
      <c r="W5" s="59"/>
      <c r="X5" s="59"/>
      <c r="Y5" s="59"/>
      <c r="Z5" s="59"/>
    </row>
    <row r="6" spans="2:27" ht="12.45" customHeight="1"/>
    <row r="7" spans="2:27" ht="12.45" customHeight="1">
      <c r="B7" s="69"/>
      <c r="C7" s="70"/>
      <c r="D7" s="70"/>
      <c r="E7" s="73"/>
      <c r="F7" s="70"/>
      <c r="G7" s="73"/>
      <c r="H7" s="73"/>
      <c r="I7" s="73"/>
      <c r="J7" s="73"/>
      <c r="K7" s="73"/>
      <c r="L7" s="73"/>
      <c r="M7" s="73"/>
      <c r="N7" s="73"/>
      <c r="O7" s="73"/>
      <c r="P7" s="74"/>
      <c r="Q7" s="70"/>
      <c r="R7" s="73"/>
      <c r="S7" s="70"/>
      <c r="T7" s="73"/>
      <c r="U7" s="70"/>
      <c r="V7" s="75"/>
    </row>
    <row r="8" spans="2:27" s="52" customFormat="1" ht="12.45" customHeight="1">
      <c r="B8" s="68"/>
      <c r="C8" s="51"/>
      <c r="D8" s="51"/>
      <c r="E8" s="76" t="s">
        <v>413</v>
      </c>
      <c r="F8" s="172"/>
      <c r="G8" s="76" t="s">
        <v>413</v>
      </c>
      <c r="H8" s="76"/>
      <c r="I8" s="76" t="s">
        <v>414</v>
      </c>
      <c r="J8" s="76"/>
      <c r="K8" s="76" t="s">
        <v>415</v>
      </c>
      <c r="L8" s="76"/>
      <c r="M8" s="172"/>
      <c r="N8" s="76"/>
      <c r="O8" s="76" t="s">
        <v>416</v>
      </c>
      <c r="Q8" s="51"/>
      <c r="R8" s="76" t="s">
        <v>417</v>
      </c>
      <c r="S8" s="78"/>
      <c r="T8" s="76" t="s">
        <v>416</v>
      </c>
      <c r="U8" s="53"/>
      <c r="V8" s="80"/>
    </row>
    <row r="9" spans="2:27" s="52" customFormat="1" ht="12.45" customHeight="1">
      <c r="B9" s="68"/>
      <c r="C9" s="83"/>
      <c r="D9" s="51"/>
      <c r="E9" s="76" t="s">
        <v>418</v>
      </c>
      <c r="F9" s="172"/>
      <c r="G9" s="76" t="s">
        <v>418</v>
      </c>
      <c r="H9" s="76"/>
      <c r="I9" s="76" t="s">
        <v>326</v>
      </c>
      <c r="J9" s="76"/>
      <c r="K9" s="76" t="s">
        <v>326</v>
      </c>
      <c r="L9" s="76"/>
      <c r="M9" s="76" t="s">
        <v>279</v>
      </c>
      <c r="N9" s="172"/>
      <c r="O9" s="76" t="s">
        <v>279</v>
      </c>
      <c r="Q9" s="83"/>
      <c r="R9" s="76" t="s">
        <v>419</v>
      </c>
      <c r="S9" s="84"/>
      <c r="T9" s="76" t="s">
        <v>419</v>
      </c>
      <c r="U9" s="53"/>
      <c r="V9" s="80"/>
    </row>
    <row r="10" spans="2:27" s="86" customFormat="1" ht="12.45" customHeight="1">
      <c r="B10" s="68"/>
      <c r="C10" s="87" t="s">
        <v>420</v>
      </c>
      <c r="D10" s="51"/>
      <c r="E10" s="88" t="s">
        <v>357</v>
      </c>
      <c r="F10" s="172"/>
      <c r="G10" s="155" t="s">
        <v>421</v>
      </c>
      <c r="H10" s="88"/>
      <c r="I10" s="88" t="s">
        <v>162</v>
      </c>
      <c r="J10" s="88"/>
      <c r="K10" s="88" t="s">
        <v>162</v>
      </c>
      <c r="L10" s="88"/>
      <c r="M10" s="88" t="s">
        <v>142</v>
      </c>
      <c r="N10" s="172"/>
      <c r="O10" s="88" t="s">
        <v>142</v>
      </c>
      <c r="Q10" s="87"/>
      <c r="R10" s="88" t="s">
        <v>162</v>
      </c>
      <c r="S10" s="84"/>
      <c r="T10" s="88" t="s">
        <v>142</v>
      </c>
      <c r="U10" s="87"/>
      <c r="V10" s="89"/>
      <c r="Y10" s="90"/>
    </row>
    <row r="11" spans="2:27" ht="12.45" customHeight="1">
      <c r="B11" s="68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R11" s="172"/>
      <c r="T11" s="172"/>
      <c r="V11" s="92"/>
      <c r="Y11" s="90"/>
      <c r="Z11" s="90"/>
      <c r="AA11" s="185"/>
    </row>
    <row r="12" spans="2:27" ht="12.45" customHeight="1">
      <c r="B12" s="68"/>
      <c r="C12" s="93">
        <v>0.1</v>
      </c>
      <c r="E12" s="186">
        <v>2.9968785471055619</v>
      </c>
      <c r="F12" s="186"/>
      <c r="G12" s="94">
        <v>161.82746878547107</v>
      </c>
      <c r="H12" s="77"/>
      <c r="I12" s="187">
        <f t="shared" ref="I12:I21" si="0">(I$66*E12)+(K$66*G12)+K$31</f>
        <v>92.024053121452908</v>
      </c>
      <c r="J12" s="172"/>
      <c r="K12" s="187">
        <f t="shared" ref="K12:K21" si="1">(Q$66*E12)+(R$66*G12)+R$31</f>
        <v>94.768233711691266</v>
      </c>
      <c r="L12" s="172"/>
      <c r="M12" s="187">
        <f t="shared" ref="M12:M21" si="2">K12-I12</f>
        <v>2.7441805902383578</v>
      </c>
      <c r="N12" s="172"/>
      <c r="O12" s="96">
        <f t="shared" ref="O12:O21" si="3">K12/I12-1</f>
        <v>2.9820253478909597E-2</v>
      </c>
      <c r="R12" s="187">
        <f t="shared" ref="R12:R21" si="4">(I$66*E12)+(K$77*G12)+K$31</f>
        <v>58.673030079455174</v>
      </c>
      <c r="S12" s="188"/>
      <c r="T12" s="96">
        <f t="shared" ref="T12:T21" si="5">+M12/R12</f>
        <v>4.6770732422071623E-2</v>
      </c>
      <c r="U12" s="188"/>
      <c r="V12" s="92"/>
    </row>
    <row r="13" spans="2:27" ht="12.45" customHeight="1">
      <c r="B13" s="68"/>
      <c r="C13" s="93">
        <v>0.2</v>
      </c>
      <c r="E13" s="186">
        <v>4.9404424276800905</v>
      </c>
      <c r="F13" s="186"/>
      <c r="G13" s="94">
        <v>478.94327850255246</v>
      </c>
      <c r="H13" s="77"/>
      <c r="I13" s="187">
        <f t="shared" si="0"/>
        <v>214.21330495178674</v>
      </c>
      <c r="J13" s="172"/>
      <c r="K13" s="187">
        <f t="shared" si="1"/>
        <v>217.6692477538287</v>
      </c>
      <c r="L13" s="172"/>
      <c r="M13" s="187">
        <f t="shared" si="2"/>
        <v>3.4559428020419602</v>
      </c>
      <c r="N13" s="172"/>
      <c r="O13" s="96">
        <f t="shared" si="3"/>
        <v>1.6133184644248733E-2</v>
      </c>
      <c r="R13" s="187">
        <f t="shared" si="4"/>
        <v>115.50788468519571</v>
      </c>
      <c r="S13" s="188"/>
      <c r="T13" s="96">
        <f t="shared" si="5"/>
        <v>2.9919540224122014E-2</v>
      </c>
      <c r="U13" s="188"/>
      <c r="V13" s="92"/>
    </row>
    <row r="14" spans="2:27" ht="12.45" customHeight="1">
      <c r="B14" s="68"/>
      <c r="C14" s="93">
        <v>0.30000000000000004</v>
      </c>
      <c r="E14" s="186">
        <v>6.1274120317820655</v>
      </c>
      <c r="F14" s="186"/>
      <c r="G14" s="94">
        <v>739.97956867196365</v>
      </c>
      <c r="H14" s="77"/>
      <c r="I14" s="187">
        <f t="shared" si="0"/>
        <v>310.74386796821796</v>
      </c>
      <c r="J14" s="172"/>
      <c r="K14" s="187">
        <f t="shared" si="1"/>
        <v>314.70725418842221</v>
      </c>
      <c r="L14" s="172"/>
      <c r="M14" s="187">
        <f t="shared" si="2"/>
        <v>3.9633862202042565</v>
      </c>
      <c r="N14" s="172"/>
      <c r="O14" s="96">
        <f t="shared" si="3"/>
        <v>1.2754511444163397E-2</v>
      </c>
      <c r="R14" s="187">
        <f t="shared" si="4"/>
        <v>158.24147866061296</v>
      </c>
      <c r="S14" s="188"/>
      <c r="T14" s="96">
        <f t="shared" si="5"/>
        <v>2.5046443282451213E-2</v>
      </c>
      <c r="U14" s="188"/>
      <c r="V14" s="92"/>
    </row>
    <row r="15" spans="2:27" ht="12.45" customHeight="1">
      <c r="B15" s="68"/>
      <c r="C15" s="93">
        <v>0.4</v>
      </c>
      <c r="E15" s="186">
        <v>7.129965947786606</v>
      </c>
      <c r="F15" s="186"/>
      <c r="G15" s="94">
        <v>1043.8399545970487</v>
      </c>
      <c r="H15" s="77"/>
      <c r="I15" s="187">
        <f t="shared" si="0"/>
        <v>419.39128078320095</v>
      </c>
      <c r="J15" s="172"/>
      <c r="K15" s="187">
        <f t="shared" si="1"/>
        <v>423.87332146424512</v>
      </c>
      <c r="L15" s="172"/>
      <c r="M15" s="187">
        <f t="shared" si="2"/>
        <v>4.4820406810441682</v>
      </c>
      <c r="N15" s="172"/>
      <c r="O15" s="96">
        <f t="shared" si="3"/>
        <v>1.0687014457415822E-2</v>
      </c>
      <c r="R15" s="187">
        <f t="shared" si="4"/>
        <v>204.26630454029515</v>
      </c>
      <c r="S15" s="188"/>
      <c r="T15" s="96">
        <f t="shared" si="5"/>
        <v>2.1942144061063221E-2</v>
      </c>
      <c r="U15" s="188"/>
      <c r="V15" s="92"/>
    </row>
    <row r="16" spans="2:27" ht="12.45" customHeight="1">
      <c r="B16" s="68"/>
      <c r="C16" s="93">
        <v>0.5</v>
      </c>
      <c r="E16" s="186">
        <v>8.8732274532047644</v>
      </c>
      <c r="F16" s="186"/>
      <c r="G16" s="94">
        <v>1465.7175269427112</v>
      </c>
      <c r="H16" s="77"/>
      <c r="I16" s="187">
        <f t="shared" si="0"/>
        <v>573.68304390243907</v>
      </c>
      <c r="J16" s="172"/>
      <c r="K16" s="187">
        <f t="shared" si="1"/>
        <v>578.95193204764598</v>
      </c>
      <c r="L16" s="172"/>
      <c r="M16" s="187">
        <f t="shared" si="2"/>
        <v>5.2688881452069154</v>
      </c>
      <c r="N16" s="172"/>
      <c r="O16" s="96">
        <f t="shared" si="3"/>
        <v>9.184319113505035E-3</v>
      </c>
      <c r="Q16" s="98"/>
      <c r="R16" s="187">
        <f t="shared" si="4"/>
        <v>271.6133187748157</v>
      </c>
      <c r="S16" s="188"/>
      <c r="T16" s="96">
        <f t="shared" si="5"/>
        <v>1.9398489621104152E-2</v>
      </c>
      <c r="U16" s="188"/>
      <c r="V16" s="92"/>
    </row>
    <row r="17" spans="2:22" ht="12.45" customHeight="1">
      <c r="B17" s="68"/>
      <c r="C17" s="93">
        <v>0.6</v>
      </c>
      <c r="E17" s="186">
        <v>10.264755959137345</v>
      </c>
      <c r="F17" s="186"/>
      <c r="G17" s="94">
        <v>2055.4960272417707</v>
      </c>
      <c r="H17" s="77"/>
      <c r="I17" s="187">
        <f t="shared" si="0"/>
        <v>779.12400905788877</v>
      </c>
      <c r="J17" s="172"/>
      <c r="K17" s="187">
        <f t="shared" si="1"/>
        <v>785.29424839954595</v>
      </c>
      <c r="L17" s="172"/>
      <c r="M17" s="187">
        <f t="shared" si="2"/>
        <v>6.1702393416571795</v>
      </c>
      <c r="N17" s="172"/>
      <c r="O17" s="96">
        <f t="shared" si="3"/>
        <v>7.9194573263352552E-3</v>
      </c>
      <c r="R17" s="187">
        <f t="shared" si="4"/>
        <v>355.50683280363228</v>
      </c>
      <c r="S17" s="188"/>
      <c r="T17" s="96">
        <f t="shared" si="5"/>
        <v>1.735617651283055E-2</v>
      </c>
      <c r="U17" s="188"/>
      <c r="V17" s="92"/>
    </row>
    <row r="18" spans="2:22" ht="12.45" customHeight="1">
      <c r="B18" s="68"/>
      <c r="C18" s="93">
        <v>0.7</v>
      </c>
      <c r="E18" s="186">
        <v>11.772133938706016</v>
      </c>
      <c r="F18" s="186"/>
      <c r="G18" s="94">
        <v>2982.9313280363222</v>
      </c>
      <c r="H18" s="77"/>
      <c r="I18" s="187">
        <f t="shared" si="0"/>
        <v>1095.5040725028377</v>
      </c>
      <c r="J18" s="172"/>
      <c r="K18" s="187">
        <f t="shared" si="1"/>
        <v>1102.9623437854709</v>
      </c>
      <c r="L18" s="172"/>
      <c r="M18" s="187">
        <f t="shared" si="2"/>
        <v>7.4582712826331772</v>
      </c>
      <c r="N18" s="172"/>
      <c r="O18" s="96">
        <f t="shared" si="3"/>
        <v>6.8080726213948228E-3</v>
      </c>
      <c r="R18" s="187">
        <f t="shared" si="4"/>
        <v>480.75175510783208</v>
      </c>
      <c r="S18" s="188"/>
      <c r="T18" s="96">
        <f t="shared" si="5"/>
        <v>1.5513768183665384E-2</v>
      </c>
      <c r="U18" s="188"/>
      <c r="V18" s="92"/>
    </row>
    <row r="19" spans="2:22" ht="12.45" customHeight="1">
      <c r="B19" s="68"/>
      <c r="C19" s="93">
        <v>0.79999999999999993</v>
      </c>
      <c r="E19" s="186">
        <v>16.52894438138479</v>
      </c>
      <c r="F19" s="186"/>
      <c r="G19" s="94">
        <v>4564.0011350737796</v>
      </c>
      <c r="H19" s="77"/>
      <c r="I19" s="187">
        <f t="shared" si="0"/>
        <v>1656.3164734960274</v>
      </c>
      <c r="J19" s="172"/>
      <c r="K19" s="187">
        <f t="shared" si="1"/>
        <v>1666.3860941543699</v>
      </c>
      <c r="L19" s="172"/>
      <c r="M19" s="187">
        <f t="shared" si="2"/>
        <v>10.069620658342501</v>
      </c>
      <c r="N19" s="172"/>
      <c r="O19" s="96">
        <f t="shared" si="3"/>
        <v>6.0795269620717018E-3</v>
      </c>
      <c r="R19" s="187">
        <f t="shared" si="4"/>
        <v>715.72147956867218</v>
      </c>
      <c r="S19" s="188"/>
      <c r="T19" s="96">
        <f t="shared" si="5"/>
        <v>1.4069188847610013E-2</v>
      </c>
      <c r="U19" s="188"/>
      <c r="V19" s="92"/>
    </row>
    <row r="20" spans="2:22" ht="12.45" customHeight="1">
      <c r="B20" s="68"/>
      <c r="C20" s="93">
        <v>0.89999999999999991</v>
      </c>
      <c r="E20" s="186">
        <v>26.484117980714689</v>
      </c>
      <c r="F20" s="186"/>
      <c r="G20" s="94">
        <v>7600.5173000567211</v>
      </c>
      <c r="H20" s="77"/>
      <c r="I20" s="187">
        <f t="shared" si="0"/>
        <v>2741.4214181962566</v>
      </c>
      <c r="J20" s="172"/>
      <c r="K20" s="187">
        <f t="shared" si="1"/>
        <v>2756.6619592966535</v>
      </c>
      <c r="L20" s="172"/>
      <c r="M20" s="187">
        <f t="shared" si="2"/>
        <v>15.240541100396968</v>
      </c>
      <c r="N20" s="172"/>
      <c r="O20" s="96">
        <f t="shared" si="3"/>
        <v>5.5593572732879348E-3</v>
      </c>
      <c r="R20" s="187">
        <f t="shared" si="4"/>
        <v>1175.0308078275668</v>
      </c>
      <c r="S20" s="188"/>
      <c r="T20" s="96">
        <f t="shared" si="5"/>
        <v>1.2970333202219736E-2</v>
      </c>
      <c r="U20" s="188"/>
      <c r="V20" s="92"/>
    </row>
    <row r="21" spans="2:22" ht="12.45" customHeight="1">
      <c r="B21" s="68"/>
      <c r="C21" s="93">
        <v>0.99999999999999989</v>
      </c>
      <c r="E21" s="186">
        <v>76.803916004540298</v>
      </c>
      <c r="F21" s="186"/>
      <c r="G21" s="94">
        <v>26205.95232690125</v>
      </c>
      <c r="H21" s="77"/>
      <c r="I21" s="187">
        <f t="shared" si="0"/>
        <v>9285.360053189559</v>
      </c>
      <c r="J21" s="172"/>
      <c r="K21" s="187">
        <f t="shared" si="1"/>
        <v>9330.2552257434727</v>
      </c>
      <c r="L21" s="172"/>
      <c r="M21" s="187">
        <f t="shared" si="2"/>
        <v>44.895172553913653</v>
      </c>
      <c r="N21" s="172"/>
      <c r="O21" s="96">
        <f t="shared" si="3"/>
        <v>4.8350491846023136E-3</v>
      </c>
      <c r="R21" s="187">
        <f t="shared" si="4"/>
        <v>3884.5753381384802</v>
      </c>
      <c r="S21" s="188"/>
      <c r="T21" s="96">
        <f t="shared" si="5"/>
        <v>1.1557292276748012E-2</v>
      </c>
      <c r="U21" s="188"/>
      <c r="V21" s="92"/>
    </row>
    <row r="22" spans="2:22" ht="12.45" customHeight="1">
      <c r="B22" s="68"/>
      <c r="E22" s="94"/>
      <c r="F22" s="189"/>
      <c r="G22" s="186"/>
      <c r="H22" s="77"/>
      <c r="I22" s="187"/>
      <c r="J22" s="172"/>
      <c r="K22" s="187"/>
      <c r="L22" s="172"/>
      <c r="M22" s="187"/>
      <c r="N22" s="172"/>
      <c r="O22" s="96"/>
      <c r="R22" s="187"/>
      <c r="S22" s="188"/>
      <c r="T22" s="96"/>
      <c r="U22" s="188"/>
      <c r="V22" s="92"/>
    </row>
    <row r="23" spans="2:22" ht="12.45" customHeight="1">
      <c r="B23" s="68"/>
      <c r="C23" s="99" t="s">
        <v>413</v>
      </c>
      <c r="E23" s="94">
        <f>AVERAGE(E12:E21)</f>
        <v>17.19217946720422</v>
      </c>
      <c r="F23" s="189"/>
      <c r="G23" s="94">
        <f>AVERAGE(G12:G21)</f>
        <v>4729.920591480959</v>
      </c>
      <c r="H23" s="77"/>
      <c r="I23" s="187">
        <f>(I$66*E23)+(K$66*G23)+K$31</f>
        <v>1716.7781577169665</v>
      </c>
      <c r="J23" s="172"/>
      <c r="K23" s="187">
        <f>(Q$66*E23)+(R$66*G23)+R$31</f>
        <v>1727.1529860545347</v>
      </c>
      <c r="L23" s="172"/>
      <c r="M23" s="187">
        <f>K23-I23</f>
        <v>10.37482833756826</v>
      </c>
      <c r="N23" s="172"/>
      <c r="O23" s="96">
        <f>K23/I23-1</f>
        <v>6.0431968399254909E-3</v>
      </c>
      <c r="R23" s="187">
        <f>(I$66*E23)+(K$77*G23)+K$31</f>
        <v>741.98882301865581</v>
      </c>
      <c r="S23" s="188"/>
      <c r="T23" s="96">
        <f>+M23/R23</f>
        <v>1.3982459055596053E-2</v>
      </c>
      <c r="U23" s="188"/>
      <c r="V23" s="92"/>
    </row>
    <row r="24" spans="2:22" ht="12.45" customHeight="1">
      <c r="B24" s="101"/>
      <c r="C24" s="140"/>
      <c r="D24" s="140"/>
      <c r="E24" s="176"/>
      <c r="F24" s="140"/>
      <c r="G24" s="176"/>
      <c r="H24" s="157"/>
      <c r="I24" s="176"/>
      <c r="J24" s="176"/>
      <c r="K24" s="177"/>
      <c r="L24" s="157"/>
      <c r="M24" s="177"/>
      <c r="N24" s="157"/>
      <c r="O24" s="177"/>
      <c r="P24" s="158"/>
      <c r="Q24" s="140"/>
      <c r="R24" s="176"/>
      <c r="S24" s="190"/>
      <c r="T24" s="177"/>
      <c r="U24" s="190"/>
      <c r="V24" s="109"/>
    </row>
    <row r="25" spans="2:22" ht="12.45" customHeight="1">
      <c r="G25" s="53"/>
      <c r="H25" s="53"/>
      <c r="I25" s="53"/>
      <c r="J25" s="53"/>
      <c r="K25" s="53"/>
      <c r="L25" s="53"/>
      <c r="M25" s="53"/>
      <c r="V25" s="53"/>
    </row>
    <row r="26" spans="2:22" ht="12.45" customHeight="1">
      <c r="B26" s="69"/>
      <c r="C26" s="70"/>
      <c r="D26" s="70"/>
      <c r="E26" s="70"/>
      <c r="F26" s="70"/>
      <c r="G26" s="110"/>
      <c r="H26" s="110"/>
      <c r="I26" s="110"/>
      <c r="J26" s="110"/>
      <c r="K26" s="110"/>
      <c r="L26" s="110"/>
      <c r="M26" s="110"/>
      <c r="N26" s="70"/>
      <c r="O26" s="70"/>
      <c r="P26" s="70"/>
      <c r="Q26" s="70"/>
      <c r="R26" s="70"/>
      <c r="S26" s="70"/>
      <c r="T26" s="70"/>
      <c r="U26" s="70"/>
      <c r="V26" s="111"/>
    </row>
    <row r="27" spans="2:22" ht="12.45" customHeight="1">
      <c r="B27" s="159" t="s">
        <v>423</v>
      </c>
      <c r="C27" s="160"/>
      <c r="D27" s="160"/>
      <c r="E27" s="112"/>
      <c r="F27" s="112"/>
      <c r="G27" s="54"/>
      <c r="H27" s="53"/>
      <c r="K27" s="53"/>
      <c r="M27" s="160" t="s">
        <v>424</v>
      </c>
      <c r="O27" s="112"/>
      <c r="V27" s="80"/>
    </row>
    <row r="28" spans="2:22" ht="12.45" customHeight="1">
      <c r="B28" s="161"/>
      <c r="C28" s="112"/>
      <c r="D28" s="112"/>
      <c r="E28" s="112"/>
      <c r="F28" s="112"/>
      <c r="G28" s="112"/>
      <c r="H28" s="53"/>
      <c r="K28" s="53" t="s">
        <v>44</v>
      </c>
      <c r="M28" s="112"/>
      <c r="O28" s="112"/>
      <c r="R28" s="53" t="s">
        <v>44</v>
      </c>
      <c r="T28" s="115" t="s">
        <v>142</v>
      </c>
      <c r="U28" s="115" t="s">
        <v>425</v>
      </c>
      <c r="V28" s="80"/>
    </row>
    <row r="29" spans="2:22" ht="12.45" customHeight="1">
      <c r="B29" s="161"/>
      <c r="C29" s="112"/>
      <c r="D29" s="112"/>
      <c r="E29" s="112"/>
      <c r="F29" s="112"/>
      <c r="G29" s="112"/>
      <c r="H29" s="53"/>
      <c r="M29" s="112"/>
      <c r="O29" s="112"/>
      <c r="T29" s="115"/>
      <c r="U29" s="115"/>
      <c r="V29" s="92"/>
    </row>
    <row r="30" spans="2:22" ht="12.45" customHeight="1">
      <c r="B30" s="132" t="s">
        <v>426</v>
      </c>
      <c r="C30" s="86"/>
      <c r="D30" s="86"/>
      <c r="E30" s="59"/>
      <c r="F30" s="59"/>
      <c r="G30" s="114"/>
      <c r="H30" s="114"/>
      <c r="I30" s="114"/>
      <c r="M30" s="87" t="s">
        <v>426</v>
      </c>
      <c r="N30" s="114"/>
      <c r="O30" s="114"/>
      <c r="P30" s="114"/>
      <c r="Q30" s="114"/>
      <c r="V30" s="92"/>
    </row>
    <row r="31" spans="2:22" ht="12.45" customHeight="1">
      <c r="B31" s="68" t="s">
        <v>134</v>
      </c>
      <c r="E31" s="59"/>
      <c r="F31" s="59"/>
      <c r="G31" s="114"/>
      <c r="H31" s="114"/>
      <c r="I31" s="117"/>
      <c r="J31" s="118"/>
      <c r="K31" s="118">
        <v>10</v>
      </c>
      <c r="M31" s="59" t="s">
        <v>134</v>
      </c>
      <c r="N31" s="114"/>
      <c r="O31" s="114"/>
      <c r="P31" s="114"/>
      <c r="Q31" s="117"/>
      <c r="R31" s="118">
        <v>12</v>
      </c>
      <c r="T31" s="117"/>
      <c r="U31" s="118">
        <f>+R31-K31</f>
        <v>2</v>
      </c>
      <c r="V31" s="120"/>
    </row>
    <row r="32" spans="2:22" ht="12.45" customHeight="1">
      <c r="B32" s="68"/>
      <c r="E32" s="59"/>
      <c r="F32" s="59"/>
      <c r="G32" s="114"/>
      <c r="H32" s="114"/>
      <c r="I32" s="122" t="s">
        <v>357</v>
      </c>
      <c r="J32" s="122"/>
      <c r="K32" s="122" t="s">
        <v>421</v>
      </c>
      <c r="M32" s="112"/>
      <c r="N32" s="114"/>
      <c r="O32" s="114"/>
      <c r="P32" s="114"/>
      <c r="Q32" s="122" t="s">
        <v>357</v>
      </c>
      <c r="R32" s="122" t="s">
        <v>421</v>
      </c>
      <c r="T32" s="122" t="s">
        <v>357</v>
      </c>
      <c r="U32" s="122" t="s">
        <v>421</v>
      </c>
      <c r="V32" s="123"/>
    </row>
    <row r="33" spans="2:22" ht="12.45" customHeight="1">
      <c r="B33" s="68" t="s">
        <v>427</v>
      </c>
      <c r="E33" s="59"/>
      <c r="F33" s="59"/>
      <c r="I33" s="118"/>
      <c r="J33" s="125"/>
      <c r="K33" s="125">
        <f>0.00323+0.00147</f>
        <v>4.6999999999999993E-3</v>
      </c>
      <c r="M33" s="98" t="s">
        <v>427</v>
      </c>
      <c r="Q33" s="118"/>
      <c r="R33" s="125">
        <f>0.00323+0.00147</f>
        <v>4.6999999999999993E-3</v>
      </c>
      <c r="T33" s="118"/>
      <c r="U33" s="125">
        <f>+R33-K33</f>
        <v>0</v>
      </c>
      <c r="V33" s="126"/>
    </row>
    <row r="34" spans="2:22" ht="12.45" customHeight="1">
      <c r="B34" s="68" t="s">
        <v>428</v>
      </c>
      <c r="I34" s="191"/>
      <c r="J34" s="127"/>
      <c r="K34" s="127">
        <v>2.6110000000000001E-2</v>
      </c>
      <c r="M34" s="51" t="s">
        <v>428</v>
      </c>
      <c r="Q34" s="191"/>
      <c r="R34" s="127">
        <v>2.6020000000000001E-2</v>
      </c>
      <c r="T34" s="191"/>
      <c r="U34" s="127">
        <f>+R34-K34</f>
        <v>-8.9999999999999802E-5</v>
      </c>
      <c r="V34" s="128"/>
    </row>
    <row r="35" spans="2:22" ht="12.45" customHeight="1">
      <c r="B35" s="68"/>
      <c r="H35" s="81" t="s">
        <v>429</v>
      </c>
      <c r="I35" s="118"/>
      <c r="J35" s="125"/>
      <c r="K35" s="125">
        <f>SUM(K33:K34)</f>
        <v>3.0810000000000001E-2</v>
      </c>
      <c r="P35" s="179" t="s">
        <v>429</v>
      </c>
      <c r="Q35" s="118"/>
      <c r="R35" s="125">
        <f>SUM(R33:R34)</f>
        <v>3.0720000000000001E-2</v>
      </c>
      <c r="T35" s="118"/>
      <c r="U35" s="125">
        <f>+R35-K35</f>
        <v>-8.9999999999999802E-5</v>
      </c>
      <c r="V35" s="126"/>
    </row>
    <row r="36" spans="2:22" ht="12.45" customHeight="1">
      <c r="B36" s="68"/>
      <c r="I36" s="118"/>
      <c r="J36" s="125"/>
      <c r="K36" s="125"/>
      <c r="Q36" s="118"/>
      <c r="R36" s="125"/>
      <c r="T36" s="118"/>
      <c r="U36" s="125"/>
      <c r="V36" s="126"/>
    </row>
    <row r="37" spans="2:22" ht="12.45" customHeight="1">
      <c r="B37" s="129" t="s">
        <v>430</v>
      </c>
      <c r="C37" s="98"/>
      <c r="D37" s="98"/>
      <c r="E37" s="59"/>
      <c r="F37" s="59"/>
      <c r="I37" s="118">
        <v>9.81</v>
      </c>
      <c r="J37" s="125"/>
      <c r="K37" s="125">
        <v>2.3769999999999999E-2</v>
      </c>
      <c r="M37" s="98" t="s">
        <v>262</v>
      </c>
      <c r="Q37" s="118">
        <v>10</v>
      </c>
      <c r="R37" s="125">
        <v>3.2340000000000001E-2</v>
      </c>
      <c r="T37" s="118">
        <f>+Q37-I37</f>
        <v>0.1899999999999995</v>
      </c>
      <c r="U37" s="125">
        <f>+R37-K37</f>
        <v>8.5700000000000012E-3</v>
      </c>
      <c r="V37" s="126"/>
    </row>
    <row r="38" spans="2:22" ht="12.45" customHeight="1">
      <c r="B38" s="129"/>
      <c r="C38" s="98"/>
      <c r="D38" s="98"/>
      <c r="E38" s="59"/>
      <c r="F38" s="59"/>
      <c r="I38" s="118"/>
      <c r="J38" s="125"/>
      <c r="K38" s="125"/>
      <c r="M38" s="59"/>
      <c r="Q38" s="118"/>
      <c r="R38" s="125"/>
      <c r="T38" s="118"/>
      <c r="U38" s="125"/>
      <c r="V38" s="126"/>
    </row>
    <row r="39" spans="2:22" ht="12.45" customHeight="1">
      <c r="B39" s="129" t="s">
        <v>431</v>
      </c>
      <c r="C39" s="98"/>
      <c r="D39" s="98"/>
      <c r="E39" s="59"/>
      <c r="F39" s="59"/>
      <c r="I39" s="118"/>
      <c r="J39" s="125"/>
      <c r="K39" s="125">
        <v>2.7499999999999998E-3</v>
      </c>
      <c r="M39" s="98" t="s">
        <v>431</v>
      </c>
      <c r="Q39" s="118"/>
      <c r="R39" s="125">
        <v>2.7499999999999998E-3</v>
      </c>
      <c r="T39" s="118"/>
      <c r="U39" s="125">
        <f t="shared" ref="U39:U51" si="6">+R39-K39</f>
        <v>0</v>
      </c>
      <c r="V39" s="126"/>
    </row>
    <row r="40" spans="2:22" ht="12.45" customHeight="1">
      <c r="B40" s="129" t="s">
        <v>432</v>
      </c>
      <c r="C40" s="98"/>
      <c r="D40" s="98"/>
      <c r="E40" s="59"/>
      <c r="F40" s="59"/>
      <c r="I40" s="118" t="s">
        <v>465</v>
      </c>
      <c r="J40" s="125"/>
      <c r="K40" s="125">
        <v>1.983E-2</v>
      </c>
      <c r="M40" s="98" t="s">
        <v>432</v>
      </c>
      <c r="Q40" s="118" t="s">
        <v>465</v>
      </c>
      <c r="R40" s="125">
        <v>2.2329999999999999E-2</v>
      </c>
      <c r="T40" s="118"/>
      <c r="U40" s="125">
        <f t="shared" si="6"/>
        <v>2.4999999999999988E-3</v>
      </c>
      <c r="V40" s="126"/>
    </row>
    <row r="41" spans="2:22" ht="12.45" customHeight="1">
      <c r="B41" s="121" t="s">
        <v>433</v>
      </c>
      <c r="C41" s="98"/>
      <c r="D41" s="98"/>
      <c r="E41" s="59"/>
      <c r="F41" s="59"/>
      <c r="I41" s="118"/>
      <c r="J41" s="125"/>
      <c r="K41" s="125">
        <v>1.197E-2</v>
      </c>
      <c r="M41" s="98" t="s">
        <v>433</v>
      </c>
      <c r="Q41" s="118"/>
      <c r="R41" s="125">
        <v>1.197E-2</v>
      </c>
      <c r="T41" s="118"/>
      <c r="U41" s="125">
        <f t="shared" si="6"/>
        <v>0</v>
      </c>
      <c r="V41" s="126"/>
    </row>
    <row r="42" spans="2:22" ht="12.45" customHeight="1">
      <c r="B42" s="121" t="s">
        <v>434</v>
      </c>
      <c r="C42" s="98"/>
      <c r="D42" s="98"/>
      <c r="E42" s="59"/>
      <c r="F42" s="59"/>
      <c r="I42" s="118"/>
      <c r="J42" s="125"/>
      <c r="K42" s="125">
        <v>1.3600000000000001E-3</v>
      </c>
      <c r="M42" s="59" t="s">
        <v>434</v>
      </c>
      <c r="Q42" s="118"/>
      <c r="R42" s="125">
        <v>1.3600000000000001E-3</v>
      </c>
      <c r="T42" s="118"/>
      <c r="U42" s="125">
        <f t="shared" si="6"/>
        <v>0</v>
      </c>
      <c r="V42" s="126"/>
    </row>
    <row r="43" spans="2:22" ht="12.45" customHeight="1">
      <c r="B43" s="121" t="s">
        <v>435</v>
      </c>
      <c r="C43" s="98"/>
      <c r="D43" s="98"/>
      <c r="E43" s="59"/>
      <c r="F43" s="59"/>
      <c r="I43" s="118"/>
      <c r="J43" s="125"/>
      <c r="K43" s="125">
        <v>4.0999999999999999E-4</v>
      </c>
      <c r="M43" s="59" t="s">
        <v>435</v>
      </c>
      <c r="Q43" s="118"/>
      <c r="R43" s="125">
        <v>4.0999999999999999E-4</v>
      </c>
      <c r="T43" s="118"/>
      <c r="U43" s="125">
        <f t="shared" si="6"/>
        <v>0</v>
      </c>
      <c r="V43" s="126"/>
    </row>
    <row r="44" spans="2:22" ht="12.45" customHeight="1">
      <c r="B44" s="68" t="s">
        <v>436</v>
      </c>
      <c r="C44" s="98"/>
      <c r="D44" s="98"/>
      <c r="E44" s="59"/>
      <c r="F44" s="59"/>
      <c r="I44" s="118"/>
      <c r="J44" s="125"/>
      <c r="K44" s="125">
        <v>-2.7499999999999998E-3</v>
      </c>
      <c r="M44" s="59" t="s">
        <v>436</v>
      </c>
      <c r="Q44" s="118"/>
      <c r="R44" s="125">
        <v>-2.7499999999999998E-3</v>
      </c>
      <c r="T44" s="118"/>
      <c r="U44" s="125">
        <f t="shared" si="6"/>
        <v>0</v>
      </c>
      <c r="V44" s="126"/>
    </row>
    <row r="45" spans="2:22" ht="12.45" customHeight="1">
      <c r="B45" s="68" t="s">
        <v>437</v>
      </c>
      <c r="C45" s="98"/>
      <c r="D45" s="98"/>
      <c r="E45" s="59"/>
      <c r="F45" s="59"/>
      <c r="I45" s="118"/>
      <c r="J45" s="125"/>
      <c r="K45" s="125">
        <v>9.2999999999999992E-3</v>
      </c>
      <c r="M45" s="51" t="s">
        <v>437</v>
      </c>
      <c r="Q45" s="118"/>
      <c r="R45" s="125">
        <v>2.7899999999999991E-3</v>
      </c>
      <c r="T45" s="118"/>
      <c r="U45" s="125">
        <f t="shared" si="6"/>
        <v>-6.5100000000000002E-3</v>
      </c>
      <c r="V45" s="126"/>
    </row>
    <row r="46" spans="2:22" ht="12.45" customHeight="1">
      <c r="B46" s="129" t="s">
        <v>438</v>
      </c>
      <c r="C46" s="98"/>
      <c r="D46" s="98"/>
      <c r="E46" s="59"/>
      <c r="F46" s="59"/>
      <c r="I46" s="118"/>
      <c r="J46" s="125"/>
      <c r="K46" s="125">
        <v>-1.3999999999999999E-4</v>
      </c>
      <c r="M46" s="51" t="s">
        <v>438</v>
      </c>
      <c r="Q46" s="118"/>
      <c r="R46" s="125">
        <v>-9.2000000000000003E-4</v>
      </c>
      <c r="T46" s="118"/>
      <c r="U46" s="125">
        <f t="shared" si="6"/>
        <v>-7.8000000000000009E-4</v>
      </c>
      <c r="V46" s="126"/>
    </row>
    <row r="47" spans="2:22" ht="12.45" customHeight="1">
      <c r="B47" s="68" t="s">
        <v>439</v>
      </c>
      <c r="C47" s="98"/>
      <c r="D47" s="98"/>
      <c r="E47" s="59"/>
      <c r="F47" s="59"/>
      <c r="I47" s="118"/>
      <c r="J47" s="125"/>
      <c r="K47" s="125">
        <v>2.96E-3</v>
      </c>
      <c r="M47" s="98" t="s">
        <v>439</v>
      </c>
      <c r="Q47" s="118"/>
      <c r="R47" s="125">
        <v>2.96E-3</v>
      </c>
      <c r="T47" s="118"/>
      <c r="U47" s="125">
        <f t="shared" si="6"/>
        <v>0</v>
      </c>
      <c r="V47" s="126"/>
    </row>
    <row r="48" spans="2:22" ht="12.45" customHeight="1">
      <c r="B48" s="121" t="s">
        <v>440</v>
      </c>
      <c r="C48" s="98"/>
      <c r="D48" s="98"/>
      <c r="E48" s="59"/>
      <c r="F48" s="59"/>
      <c r="I48" s="118"/>
      <c r="J48" s="125"/>
      <c r="K48" s="125">
        <v>-3.2000000000000003E-4</v>
      </c>
      <c r="M48" s="51" t="s">
        <v>440</v>
      </c>
      <c r="Q48" s="118"/>
      <c r="R48" s="125">
        <f>+K48</f>
        <v>-3.2000000000000003E-4</v>
      </c>
      <c r="T48" s="118"/>
      <c r="U48" s="125">
        <f t="shared" si="6"/>
        <v>0</v>
      </c>
      <c r="V48" s="126"/>
    </row>
    <row r="49" spans="2:22" ht="12.45" customHeight="1">
      <c r="B49" s="68" t="s">
        <v>441</v>
      </c>
      <c r="C49" s="98"/>
      <c r="D49" s="98"/>
      <c r="E49" s="59"/>
      <c r="F49" s="59"/>
      <c r="I49" s="118"/>
      <c r="J49" s="125"/>
      <c r="K49" s="125">
        <v>4.0000000000000002E-4</v>
      </c>
      <c r="M49" s="51" t="s">
        <v>441</v>
      </c>
      <c r="Q49" s="118"/>
      <c r="R49" s="125">
        <v>4.0000000000000002E-4</v>
      </c>
      <c r="T49" s="118"/>
      <c r="U49" s="125">
        <f t="shared" si="6"/>
        <v>0</v>
      </c>
      <c r="V49" s="126"/>
    </row>
    <row r="50" spans="2:22" ht="12.45" customHeight="1">
      <c r="B50" s="68" t="s">
        <v>442</v>
      </c>
      <c r="I50" s="118" t="s">
        <v>465</v>
      </c>
      <c r="J50" s="125"/>
      <c r="K50" s="192">
        <v>1.5299999999999999E-3</v>
      </c>
      <c r="M50" s="51" t="s">
        <v>442</v>
      </c>
      <c r="Q50" s="118" t="s">
        <v>465</v>
      </c>
      <c r="R50" s="192">
        <v>1.5299999999999999E-3</v>
      </c>
      <c r="T50" s="193" t="s">
        <v>465</v>
      </c>
      <c r="U50" s="125">
        <f t="shared" si="6"/>
        <v>0</v>
      </c>
      <c r="V50" s="128"/>
    </row>
    <row r="51" spans="2:22" ht="12.45" customHeight="1">
      <c r="B51" s="68"/>
      <c r="H51" s="131" t="s">
        <v>466</v>
      </c>
      <c r="I51" s="194">
        <f>SUM(I37:I50)</f>
        <v>9.81</v>
      </c>
      <c r="J51" s="127"/>
      <c r="K51" s="125">
        <f>SUM(K37,K39:K50)</f>
        <v>7.1070000000000008E-2</v>
      </c>
      <c r="M51" s="98"/>
      <c r="P51" s="124" t="s">
        <v>466</v>
      </c>
      <c r="Q51" s="194">
        <f>SUM(Q37:Q50)</f>
        <v>10</v>
      </c>
      <c r="R51" s="125">
        <f>SUM(R37,R39:R50)</f>
        <v>7.4849999999999986E-2</v>
      </c>
      <c r="T51" s="118">
        <f>+Q51-I51</f>
        <v>0.1899999999999995</v>
      </c>
      <c r="U51" s="125">
        <f t="shared" si="6"/>
        <v>3.7799999999999778E-3</v>
      </c>
      <c r="V51" s="128"/>
    </row>
    <row r="52" spans="2:22" ht="12.45" customHeight="1">
      <c r="B52" s="68"/>
      <c r="I52" s="194"/>
      <c r="J52" s="127"/>
      <c r="K52" s="127"/>
      <c r="M52" s="98"/>
      <c r="Q52" s="194"/>
      <c r="R52" s="127"/>
      <c r="T52" s="194"/>
      <c r="U52" s="125"/>
      <c r="V52" s="128"/>
    </row>
    <row r="53" spans="2:22" ht="12.45" customHeight="1">
      <c r="B53" s="121" t="s">
        <v>444</v>
      </c>
      <c r="E53" s="59"/>
      <c r="F53" s="59"/>
      <c r="J53" s="127"/>
      <c r="K53" s="125">
        <v>5.0000000000000001E-4</v>
      </c>
      <c r="M53" s="98" t="s">
        <v>444</v>
      </c>
      <c r="R53" s="125">
        <v>5.0000000000000001E-4</v>
      </c>
      <c r="T53" s="118"/>
      <c r="U53" s="125">
        <f>+R53-K53</f>
        <v>0</v>
      </c>
      <c r="V53" s="126"/>
    </row>
    <row r="54" spans="2:22" ht="12.45" customHeight="1">
      <c r="B54" s="121"/>
      <c r="E54" s="59"/>
      <c r="F54" s="59"/>
      <c r="H54" s="131"/>
      <c r="I54" s="194"/>
      <c r="J54" s="127"/>
      <c r="K54" s="127"/>
      <c r="M54" s="59"/>
      <c r="P54" s="124"/>
      <c r="Q54" s="194"/>
      <c r="R54" s="127"/>
      <c r="T54" s="118"/>
      <c r="U54" s="125"/>
      <c r="V54" s="126"/>
    </row>
    <row r="55" spans="2:22" ht="12.45" customHeight="1">
      <c r="B55" s="121" t="s">
        <v>445</v>
      </c>
      <c r="E55" s="59"/>
      <c r="F55" s="59"/>
      <c r="H55" s="131"/>
      <c r="I55" s="194"/>
      <c r="J55" s="127"/>
      <c r="K55" s="125">
        <v>2.5000000000000001E-3</v>
      </c>
      <c r="M55" s="59" t="s">
        <v>445</v>
      </c>
      <c r="P55" s="124"/>
      <c r="Q55" s="194"/>
      <c r="R55" s="125">
        <v>2.5000000000000001E-3</v>
      </c>
      <c r="T55" s="118"/>
      <c r="U55" s="125">
        <f>+R55-K55</f>
        <v>0</v>
      </c>
      <c r="V55" s="126"/>
    </row>
    <row r="56" spans="2:22" ht="12.45" customHeight="1">
      <c r="B56" s="129" t="s">
        <v>446</v>
      </c>
      <c r="E56" s="59"/>
      <c r="F56" s="59"/>
      <c r="H56" s="124"/>
      <c r="I56" s="118"/>
      <c r="J56" s="125"/>
      <c r="K56" s="192">
        <v>9.7199999999999995E-3</v>
      </c>
      <c r="M56" s="59" t="s">
        <v>446</v>
      </c>
      <c r="P56" s="124"/>
      <c r="Q56" s="118"/>
      <c r="R56" s="192">
        <v>9.7199999999999995E-3</v>
      </c>
      <c r="T56" s="118"/>
      <c r="U56" s="125">
        <f>+R56-K56</f>
        <v>0</v>
      </c>
      <c r="V56" s="126"/>
    </row>
    <row r="57" spans="2:22" ht="12.45" customHeight="1">
      <c r="B57" s="129"/>
      <c r="E57" s="59"/>
      <c r="F57" s="59"/>
      <c r="H57" s="124" t="s">
        <v>448</v>
      </c>
      <c r="I57" s="118"/>
      <c r="J57" s="125"/>
      <c r="K57" s="125">
        <f>SUM(K55:K56)</f>
        <v>1.222E-2</v>
      </c>
      <c r="Q57" s="118"/>
      <c r="R57" s="125">
        <f>SUM(R55:R56)</f>
        <v>1.222E-2</v>
      </c>
      <c r="T57" s="118"/>
      <c r="U57" s="125">
        <f>+R57-K57</f>
        <v>0</v>
      </c>
      <c r="V57" s="126"/>
    </row>
    <row r="58" spans="2:22" ht="12.45" customHeight="1">
      <c r="B58" s="129"/>
      <c r="E58" s="59"/>
      <c r="F58" s="59"/>
      <c r="I58" s="118"/>
      <c r="J58" s="125"/>
      <c r="K58" s="125"/>
      <c r="Q58" s="118"/>
      <c r="R58" s="125"/>
      <c r="T58" s="118"/>
      <c r="U58" s="125"/>
      <c r="V58" s="126"/>
    </row>
    <row r="59" spans="2:22" ht="12.45" customHeight="1">
      <c r="B59" s="129" t="s">
        <v>449</v>
      </c>
      <c r="E59" s="59"/>
      <c r="F59" s="59"/>
      <c r="I59" s="118"/>
      <c r="J59" s="125"/>
      <c r="K59" s="125">
        <v>4.4999999999999997E-3</v>
      </c>
      <c r="M59" s="59" t="s">
        <v>449</v>
      </c>
      <c r="Q59" s="118"/>
      <c r="R59" s="125">
        <v>3.8999999999999998E-3</v>
      </c>
      <c r="T59" s="118"/>
      <c r="U59" s="125">
        <f>+R59-K59</f>
        <v>-5.9999999999999984E-4</v>
      </c>
      <c r="V59" s="126"/>
    </row>
    <row r="60" spans="2:22" ht="12.45" customHeight="1">
      <c r="B60" s="68"/>
      <c r="E60" s="59"/>
      <c r="F60" s="59"/>
      <c r="I60" s="118"/>
      <c r="J60" s="125"/>
      <c r="K60" s="125"/>
      <c r="M60" s="59"/>
      <c r="Q60" s="118"/>
      <c r="R60" s="125"/>
      <c r="T60" s="118"/>
      <c r="U60" s="125"/>
      <c r="V60" s="126"/>
    </row>
    <row r="61" spans="2:22" ht="12.45" hidden="1" customHeight="1">
      <c r="B61" s="129" t="s">
        <v>464</v>
      </c>
      <c r="C61" s="98"/>
      <c r="D61" s="98"/>
      <c r="E61" s="59"/>
      <c r="F61" s="59"/>
      <c r="I61" s="118"/>
      <c r="K61" s="125">
        <v>0</v>
      </c>
      <c r="M61" s="59" t="s">
        <v>464</v>
      </c>
      <c r="Q61" s="118"/>
      <c r="R61" s="125">
        <v>0</v>
      </c>
      <c r="T61" s="118"/>
      <c r="U61" s="125">
        <f>+R61-K61</f>
        <v>0</v>
      </c>
      <c r="V61" s="126"/>
    </row>
    <row r="62" spans="2:22" ht="12.45" customHeight="1">
      <c r="B62" s="68"/>
      <c r="E62" s="59"/>
      <c r="F62" s="59"/>
      <c r="I62" s="118"/>
      <c r="K62" s="125"/>
      <c r="M62" s="59"/>
      <c r="Q62" s="118"/>
      <c r="R62" s="125"/>
      <c r="T62" s="118"/>
      <c r="U62" s="125"/>
      <c r="V62" s="126"/>
    </row>
    <row r="63" spans="2:22" ht="12.45" customHeight="1">
      <c r="B63" s="132" t="s">
        <v>450</v>
      </c>
      <c r="C63" s="86"/>
      <c r="D63" s="86"/>
      <c r="I63" s="118"/>
      <c r="K63" s="125"/>
      <c r="M63" s="119" t="s">
        <v>450</v>
      </c>
      <c r="Q63" s="118"/>
      <c r="R63" s="125"/>
      <c r="T63" s="118"/>
      <c r="U63" s="125"/>
      <c r="V63" s="126"/>
    </row>
    <row r="64" spans="2:22" ht="12.45" customHeight="1">
      <c r="B64" s="68" t="s">
        <v>451</v>
      </c>
      <c r="I64" s="118"/>
      <c r="K64" s="133">
        <v>0.20609</v>
      </c>
      <c r="M64" s="51" t="s">
        <v>451</v>
      </c>
      <c r="Q64" s="118"/>
      <c r="R64" s="133">
        <v>0.20407999999999998</v>
      </c>
      <c r="T64" s="118"/>
      <c r="U64" s="127">
        <f>+R64-K64</f>
        <v>-2.0100000000000118E-3</v>
      </c>
      <c r="V64" s="180"/>
    </row>
    <row r="65" spans="2:24" ht="12.45" customHeight="1">
      <c r="B65" s="68"/>
      <c r="I65" s="195"/>
      <c r="K65" s="195"/>
      <c r="Q65" s="195"/>
      <c r="R65" s="195"/>
      <c r="T65" s="195"/>
      <c r="U65" s="195"/>
      <c r="V65" s="196"/>
    </row>
    <row r="66" spans="2:24" ht="12.45" customHeight="1">
      <c r="B66" s="197"/>
      <c r="C66" s="198"/>
      <c r="D66" s="198"/>
      <c r="H66" s="81" t="s">
        <v>467</v>
      </c>
      <c r="I66" s="118">
        <f>I51</f>
        <v>9.81</v>
      </c>
      <c r="K66" s="125">
        <f>SUM(K64,K57,K59,K53,K51,K35)</f>
        <v>0.32519000000000003</v>
      </c>
      <c r="P66" s="81" t="s">
        <v>467</v>
      </c>
      <c r="Q66" s="118">
        <f>Q51</f>
        <v>10</v>
      </c>
      <c r="R66" s="125">
        <f>SUM(R64,R57,R59,R53,R51,R35)</f>
        <v>0.32627</v>
      </c>
      <c r="T66" s="118">
        <f>+Q66-I66</f>
        <v>0.1899999999999995</v>
      </c>
      <c r="U66" s="125">
        <f>+R66-K66</f>
        <v>1.0799999999999699E-3</v>
      </c>
      <c r="V66" s="126"/>
      <c r="X66" s="130"/>
    </row>
    <row r="67" spans="2:24" ht="12.45" customHeight="1">
      <c r="B67" s="199"/>
      <c r="C67" s="200"/>
      <c r="D67" s="200"/>
      <c r="E67" s="140"/>
      <c r="F67" s="140"/>
      <c r="G67" s="140"/>
      <c r="H67" s="201"/>
      <c r="I67" s="202"/>
      <c r="J67" s="140"/>
      <c r="K67" s="142"/>
      <c r="L67" s="140"/>
      <c r="M67" s="200"/>
      <c r="N67" s="140"/>
      <c r="O67" s="140"/>
      <c r="P67" s="201"/>
      <c r="Q67" s="202"/>
      <c r="R67" s="202"/>
      <c r="S67" s="202"/>
      <c r="T67" s="202"/>
      <c r="U67" s="202"/>
      <c r="V67" s="144"/>
    </row>
    <row r="68" spans="2:24" ht="12.45" customHeight="1"/>
    <row r="69" spans="2:24" ht="12.45" hidden="1" customHeight="1">
      <c r="B69" s="98"/>
    </row>
    <row r="70" spans="2:24" ht="12.45" hidden="1" customHeight="1">
      <c r="B70" s="169" t="s">
        <v>168</v>
      </c>
      <c r="C70" s="98"/>
      <c r="D70" s="98"/>
    </row>
    <row r="71" spans="2:24" ht="13.2" hidden="1">
      <c r="B71" s="169" t="s">
        <v>168</v>
      </c>
      <c r="V71" s="170"/>
    </row>
    <row r="72" spans="2:24" ht="13.2" hidden="1">
      <c r="B72" s="169" t="s">
        <v>168</v>
      </c>
      <c r="V72" s="170"/>
    </row>
    <row r="73" spans="2:24" ht="13.2">
      <c r="B73" s="1048" t="s">
        <v>452</v>
      </c>
      <c r="C73" s="1048"/>
      <c r="D73" s="1048"/>
      <c r="E73" s="1050"/>
      <c r="F73" s="1050"/>
      <c r="G73" s="1050"/>
      <c r="H73" s="1050"/>
      <c r="I73" s="1050"/>
      <c r="J73" s="1050"/>
      <c r="K73" s="1050"/>
      <c r="L73" s="1050"/>
      <c r="M73" s="1050"/>
      <c r="N73" s="1050"/>
      <c r="O73" s="1050"/>
      <c r="P73" s="1050"/>
      <c r="Q73" s="1050"/>
      <c r="R73" s="1050"/>
      <c r="S73" s="1050"/>
      <c r="T73" s="1050"/>
      <c r="U73" s="1050"/>
      <c r="V73" s="170"/>
    </row>
    <row r="74" spans="2:24" ht="13.2">
      <c r="B74" s="1050"/>
      <c r="C74" s="1050"/>
      <c r="D74" s="1050"/>
      <c r="E74" s="1050"/>
      <c r="F74" s="1050"/>
      <c r="G74" s="1050"/>
      <c r="H74" s="1050"/>
      <c r="I74" s="1050"/>
      <c r="J74" s="1050"/>
      <c r="K74" s="1050"/>
      <c r="L74" s="1050"/>
      <c r="M74" s="1050"/>
      <c r="N74" s="1050"/>
      <c r="O74" s="1050"/>
      <c r="P74" s="1050"/>
      <c r="Q74" s="1050"/>
      <c r="R74" s="1050"/>
      <c r="S74" s="1050"/>
      <c r="T74" s="1050"/>
      <c r="U74" s="1050"/>
      <c r="V74" s="170"/>
    </row>
    <row r="75" spans="2:24">
      <c r="Q75" s="118"/>
      <c r="R75" s="118"/>
      <c r="S75" s="118"/>
      <c r="T75" s="118"/>
      <c r="U75" s="118"/>
      <c r="V75" s="125"/>
    </row>
    <row r="77" spans="2:24">
      <c r="H77" s="81" t="s">
        <v>454</v>
      </c>
      <c r="I77" s="117">
        <f>+I66</f>
        <v>9.81</v>
      </c>
      <c r="K77" s="130">
        <f>+K66-K64</f>
        <v>0.11910000000000004</v>
      </c>
      <c r="P77" s="81" t="s">
        <v>454</v>
      </c>
      <c r="Q77" s="117">
        <f>+Q66</f>
        <v>10</v>
      </c>
      <c r="R77" s="130">
        <f>+R66-R64</f>
        <v>0.12219000000000002</v>
      </c>
      <c r="V77" s="130"/>
    </row>
  </sheetData>
  <mergeCells count="1">
    <mergeCell ref="B73:U74"/>
  </mergeCells>
  <printOptions horizontalCentered="1"/>
  <pageMargins left="0.5" right="0.5" top="0.75" bottom="0.25" header="0.5" footer="0.5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3F11-4721-4C71-A3C5-9B7E7F2DE1DD}">
  <sheetPr>
    <pageSetUpPr fitToPage="1"/>
  </sheetPr>
  <dimension ref="A1:Z142"/>
  <sheetViews>
    <sheetView workbookViewId="0"/>
  </sheetViews>
  <sheetFormatPr defaultColWidth="8.77734375" defaultRowHeight="11.4"/>
  <cols>
    <col min="1" max="1" width="8.77734375" style="51" customWidth="1"/>
    <col min="2" max="2" width="15.77734375" style="51" customWidth="1"/>
    <col min="3" max="3" width="5.77734375" style="51" customWidth="1"/>
    <col min="4" max="4" width="11.77734375" style="51" customWidth="1"/>
    <col min="5" max="5" width="6.77734375" style="51" customWidth="1"/>
    <col min="6" max="6" width="9.77734375" style="51" customWidth="1"/>
    <col min="7" max="7" width="3.21875" style="51" customWidth="1"/>
    <col min="8" max="8" width="12.109375" style="51" customWidth="1"/>
    <col min="9" max="9" width="7.21875" style="51" customWidth="1"/>
    <col min="10" max="10" width="13.77734375" style="51" customWidth="1"/>
    <col min="11" max="11" width="10.77734375" style="51" customWidth="1"/>
    <col min="12" max="12" width="17.77734375" style="51" customWidth="1"/>
    <col min="13" max="13" width="10.77734375" style="51" customWidth="1"/>
    <col min="14" max="14" width="11.21875" style="51" customWidth="1"/>
    <col min="15" max="15" width="1.77734375" style="51" customWidth="1"/>
    <col min="16" max="16" width="12" style="51" customWidth="1"/>
    <col min="17" max="17" width="1.77734375" style="51" customWidth="1"/>
    <col min="18" max="18" width="12" style="51" customWidth="1"/>
    <col min="19" max="19" width="11.77734375" style="51" customWidth="1"/>
    <col min="20" max="21" width="8.77734375" style="51" customWidth="1"/>
    <col min="22" max="22" width="9.44140625" style="51" bestFit="1" customWidth="1"/>
    <col min="23" max="23" width="9.77734375" style="51" customWidth="1"/>
    <col min="24" max="24" width="7.44140625" style="51" customWidth="1"/>
    <col min="25" max="26" width="11.21875" style="51" bestFit="1" customWidth="1"/>
    <col min="27" max="16384" width="8.77734375" style="51"/>
  </cols>
  <sheetData>
    <row r="1" spans="1:26" ht="12.45" customHeight="1"/>
    <row r="2" spans="1:26" ht="12.45" customHeight="1"/>
    <row r="3" spans="1:26" ht="12.45" customHeight="1">
      <c r="B3" s="55" t="s">
        <v>285</v>
      </c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8"/>
      <c r="U3" s="59"/>
      <c r="V3" s="59"/>
      <c r="W3" s="59"/>
      <c r="X3" s="59"/>
    </row>
    <row r="4" spans="1:26" ht="12.45" customHeight="1">
      <c r="B4" s="171" t="s">
        <v>410</v>
      </c>
      <c r="C4" s="61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3"/>
      <c r="U4" s="59"/>
      <c r="V4" s="59"/>
      <c r="W4" s="59"/>
      <c r="X4" s="59"/>
    </row>
    <row r="5" spans="1:26" ht="12.45" customHeight="1">
      <c r="B5" s="64" t="s">
        <v>468</v>
      </c>
      <c r="C5" s="65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7"/>
      <c r="U5" s="59"/>
      <c r="V5" s="59"/>
      <c r="W5" s="59"/>
      <c r="X5" s="59"/>
    </row>
    <row r="6" spans="1:26" ht="12.45" customHeight="1">
      <c r="B6" s="203"/>
    </row>
    <row r="7" spans="1:26" ht="12.45" customHeight="1">
      <c r="B7" s="69"/>
      <c r="C7" s="70"/>
      <c r="D7" s="204">
        <v>2022</v>
      </c>
      <c r="E7" s="204"/>
      <c r="F7" s="204">
        <v>2022</v>
      </c>
      <c r="G7" s="204"/>
      <c r="H7" s="204">
        <v>2022</v>
      </c>
      <c r="I7" s="73"/>
      <c r="J7" s="73"/>
      <c r="K7" s="73"/>
      <c r="L7" s="73"/>
      <c r="M7" s="73"/>
      <c r="N7" s="73"/>
      <c r="O7" s="70"/>
      <c r="P7" s="73"/>
      <c r="Q7" s="70"/>
      <c r="R7" s="73"/>
      <c r="S7" s="73"/>
      <c r="T7" s="75"/>
    </row>
    <row r="8" spans="1:26" s="52" customFormat="1" ht="12.45" customHeight="1">
      <c r="B8" s="68"/>
      <c r="C8" s="51"/>
      <c r="D8" s="76" t="s">
        <v>413</v>
      </c>
      <c r="E8" s="76"/>
      <c r="F8" s="76" t="s">
        <v>413</v>
      </c>
      <c r="G8" s="76"/>
      <c r="H8" s="76" t="s">
        <v>413</v>
      </c>
      <c r="I8" s="51"/>
      <c r="J8" s="76" t="s">
        <v>414</v>
      </c>
      <c r="K8" s="172"/>
      <c r="L8" s="76" t="s">
        <v>415</v>
      </c>
      <c r="M8" s="76"/>
      <c r="N8" s="172"/>
      <c r="O8" s="53"/>
      <c r="P8" s="76" t="s">
        <v>416</v>
      </c>
      <c r="Q8" s="53"/>
      <c r="R8" s="76" t="s">
        <v>417</v>
      </c>
      <c r="S8" s="76" t="s">
        <v>416</v>
      </c>
      <c r="T8" s="205"/>
    </row>
    <row r="9" spans="1:26" s="52" customFormat="1" ht="12.45" customHeight="1">
      <c r="B9" s="68"/>
      <c r="C9" s="51"/>
      <c r="D9" s="76" t="s">
        <v>418</v>
      </c>
      <c r="E9" s="76"/>
      <c r="F9" s="206" t="s">
        <v>469</v>
      </c>
      <c r="G9" s="76"/>
      <c r="H9" s="206" t="s">
        <v>470</v>
      </c>
      <c r="I9" s="51"/>
      <c r="J9" s="76" t="s">
        <v>326</v>
      </c>
      <c r="K9" s="172"/>
      <c r="L9" s="76" t="s">
        <v>326</v>
      </c>
      <c r="M9" s="172"/>
      <c r="N9" s="76" t="s">
        <v>279</v>
      </c>
      <c r="O9" s="53"/>
      <c r="P9" s="76" t="s">
        <v>279</v>
      </c>
      <c r="Q9" s="53"/>
      <c r="R9" s="76" t="s">
        <v>419</v>
      </c>
      <c r="S9" s="76" t="s">
        <v>419</v>
      </c>
      <c r="T9" s="205"/>
      <c r="X9" s="160"/>
    </row>
    <row r="10" spans="1:26" s="86" customFormat="1" ht="12.45" customHeight="1">
      <c r="B10" s="173" t="s">
        <v>471</v>
      </c>
      <c r="C10" s="51"/>
      <c r="D10" s="155" t="s">
        <v>472</v>
      </c>
      <c r="E10" s="76"/>
      <c r="F10" s="155" t="s">
        <v>421</v>
      </c>
      <c r="G10" s="88"/>
      <c r="H10" s="155" t="s">
        <v>421</v>
      </c>
      <c r="I10" s="51"/>
      <c r="J10" s="88" t="s">
        <v>162</v>
      </c>
      <c r="K10" s="172"/>
      <c r="L10" s="88" t="s">
        <v>162</v>
      </c>
      <c r="M10" s="172"/>
      <c r="N10" s="88" t="s">
        <v>142</v>
      </c>
      <c r="O10" s="87"/>
      <c r="P10" s="88" t="s">
        <v>142</v>
      </c>
      <c r="Q10" s="87"/>
      <c r="R10" s="88" t="s">
        <v>162</v>
      </c>
      <c r="S10" s="88" t="s">
        <v>142</v>
      </c>
      <c r="T10" s="207"/>
      <c r="Z10" s="164"/>
    </row>
    <row r="11" spans="1:26" ht="12.45" customHeight="1">
      <c r="B11" s="68"/>
      <c r="D11" s="172"/>
      <c r="E11" s="172"/>
      <c r="F11" s="172"/>
      <c r="G11" s="172"/>
      <c r="H11" s="100"/>
      <c r="J11" s="172" t="s">
        <v>156</v>
      </c>
      <c r="K11" s="172"/>
      <c r="L11" s="172"/>
      <c r="M11" s="172"/>
      <c r="N11" s="172"/>
      <c r="P11" s="172"/>
      <c r="R11" s="172"/>
      <c r="S11" s="172"/>
      <c r="T11" s="92"/>
      <c r="X11" s="208"/>
      <c r="Y11" s="208"/>
      <c r="Z11" s="208"/>
    </row>
    <row r="12" spans="1:26" ht="12.45" customHeight="1">
      <c r="A12" s="209"/>
      <c r="B12" s="68">
        <v>1</v>
      </c>
      <c r="D12" s="210">
        <v>713.54166666666663</v>
      </c>
      <c r="E12" s="211"/>
      <c r="F12" s="212">
        <v>113225</v>
      </c>
      <c r="G12" s="212"/>
      <c r="H12" s="213">
        <v>157675</v>
      </c>
      <c r="J12" s="95">
        <f t="shared" ref="J12:J39" si="0">+D12*$F$81+F12*$H$81+H12*$H$82+$H$46</f>
        <v>44984.019499999995</v>
      </c>
      <c r="K12" s="172"/>
      <c r="L12" s="95">
        <f t="shared" ref="L12:L39" si="1">+D12*$N$81+F12*$P$81+H12*$P$82+$P$46</f>
        <v>45124.038500000002</v>
      </c>
      <c r="M12" s="172"/>
      <c r="N12" s="95">
        <f t="shared" ref="N12:N39" si="2">L12-J12</f>
        <v>140.01900000000751</v>
      </c>
      <c r="O12" s="214"/>
      <c r="P12" s="96">
        <f t="shared" ref="P12:P39" si="3">L12/J12-1</f>
        <v>3.1126387005058209E-3</v>
      </c>
      <c r="Q12" s="214"/>
      <c r="R12" s="95">
        <f t="shared" ref="R12:R39" si="4">+D12*$F$81+F12*$H$94+H12*$H$95+$H$46</f>
        <v>22694.3675</v>
      </c>
      <c r="S12" s="96">
        <f t="shared" ref="S12:S39" si="5">+N12/R12</f>
        <v>6.1697687763277607E-3</v>
      </c>
      <c r="T12" s="92"/>
      <c r="X12" s="215"/>
      <c r="Y12" s="215"/>
      <c r="Z12" s="216"/>
    </row>
    <row r="13" spans="1:26" ht="12.45" customHeight="1">
      <c r="A13" s="209"/>
      <c r="B13" s="68">
        <f t="shared" ref="B13:B39" si="6">+B12+1</f>
        <v>2</v>
      </c>
      <c r="D13" s="210">
        <v>405.5</v>
      </c>
      <c r="E13" s="211"/>
      <c r="F13" s="212">
        <v>73180</v>
      </c>
      <c r="G13" s="212"/>
      <c r="H13" s="213">
        <v>119320</v>
      </c>
      <c r="J13" s="95">
        <f t="shared" si="0"/>
        <v>31122.400600000001</v>
      </c>
      <c r="K13" s="172"/>
      <c r="L13" s="95">
        <f t="shared" si="1"/>
        <v>31069.5128</v>
      </c>
      <c r="M13" s="172"/>
      <c r="N13" s="95">
        <f t="shared" si="2"/>
        <v>-52.887800000000425</v>
      </c>
      <c r="O13" s="214"/>
      <c r="P13" s="96">
        <f t="shared" si="3"/>
        <v>-1.6993483465411741E-3</v>
      </c>
      <c r="Q13" s="214"/>
      <c r="R13" s="95">
        <f t="shared" si="4"/>
        <v>15283.500599999999</v>
      </c>
      <c r="S13" s="96">
        <f t="shared" si="5"/>
        <v>-3.4604506771178083E-3</v>
      </c>
      <c r="T13" s="92"/>
      <c r="X13" s="215"/>
      <c r="Y13" s="215"/>
      <c r="Z13" s="216"/>
    </row>
    <row r="14" spans="1:26" ht="12.45" customHeight="1">
      <c r="A14" s="209"/>
      <c r="B14" s="68">
        <f t="shared" si="6"/>
        <v>3</v>
      </c>
      <c r="D14" s="210">
        <v>1945.375</v>
      </c>
      <c r="E14" s="211"/>
      <c r="F14" s="212">
        <v>317461</v>
      </c>
      <c r="G14" s="212"/>
      <c r="H14" s="213">
        <v>518445.08333333331</v>
      </c>
      <c r="J14" s="95">
        <f t="shared" si="0"/>
        <v>135626.76016583334</v>
      </c>
      <c r="K14" s="172"/>
      <c r="L14" s="95">
        <f t="shared" si="1"/>
        <v>135577.92040166666</v>
      </c>
      <c r="M14" s="172"/>
      <c r="N14" s="95">
        <f t="shared" si="2"/>
        <v>-48.839764166681562</v>
      </c>
      <c r="O14" s="214"/>
      <c r="P14" s="96">
        <f t="shared" si="3"/>
        <v>-3.6010418671772459E-4</v>
      </c>
      <c r="Q14" s="214"/>
      <c r="R14" s="95">
        <f t="shared" si="4"/>
        <v>66848.407629166657</v>
      </c>
      <c r="S14" s="96">
        <f t="shared" si="5"/>
        <v>-7.3060475034220952E-4</v>
      </c>
      <c r="T14" s="92"/>
      <c r="X14" s="215"/>
      <c r="Y14" s="215"/>
      <c r="Z14" s="216"/>
    </row>
    <row r="15" spans="1:26" ht="12.45" customHeight="1">
      <c r="A15" s="209"/>
      <c r="B15" s="68">
        <f t="shared" si="6"/>
        <v>4</v>
      </c>
      <c r="D15" s="210">
        <v>687.58333333333337</v>
      </c>
      <c r="E15" s="211"/>
      <c r="F15" s="212">
        <v>119892</v>
      </c>
      <c r="G15" s="212"/>
      <c r="H15" s="213">
        <v>220772</v>
      </c>
      <c r="J15" s="95">
        <f t="shared" si="0"/>
        <v>54457.759539999999</v>
      </c>
      <c r="K15" s="172"/>
      <c r="L15" s="95">
        <f t="shared" si="1"/>
        <v>54293.12962</v>
      </c>
      <c r="M15" s="172"/>
      <c r="N15" s="95">
        <f t="shared" si="2"/>
        <v>-164.6299199999994</v>
      </c>
      <c r="O15" s="214"/>
      <c r="P15" s="96">
        <f t="shared" si="3"/>
        <v>-3.0230755247849794E-3</v>
      </c>
      <c r="Q15" s="214"/>
      <c r="R15" s="95">
        <f t="shared" si="4"/>
        <v>26427.925619999995</v>
      </c>
      <c r="S15" s="96">
        <f t="shared" si="5"/>
        <v>-6.2293924376498012E-3</v>
      </c>
      <c r="T15" s="92"/>
      <c r="X15" s="215"/>
      <c r="Y15" s="215"/>
      <c r="Z15" s="216"/>
    </row>
    <row r="16" spans="1:26" ht="12.45" customHeight="1">
      <c r="A16" s="209"/>
      <c r="B16" s="68">
        <f t="shared" si="6"/>
        <v>5</v>
      </c>
      <c r="D16" s="210">
        <v>535.25</v>
      </c>
      <c r="E16" s="211"/>
      <c r="F16" s="212">
        <v>95060.083333333328</v>
      </c>
      <c r="G16" s="212"/>
      <c r="H16" s="213">
        <v>147003.75</v>
      </c>
      <c r="J16" s="95">
        <f t="shared" si="0"/>
        <v>39308.996472500003</v>
      </c>
      <c r="K16" s="172"/>
      <c r="L16" s="95">
        <f t="shared" si="1"/>
        <v>39272.175800833335</v>
      </c>
      <c r="M16" s="172"/>
      <c r="N16" s="95">
        <f t="shared" si="2"/>
        <v>-36.820671666668204</v>
      </c>
      <c r="O16" s="214"/>
      <c r="P16" s="96">
        <f t="shared" si="3"/>
        <v>-9.3669833806175884E-4</v>
      </c>
      <c r="Q16" s="214"/>
      <c r="R16" s="95">
        <f t="shared" si="4"/>
        <v>19391.984265833329</v>
      </c>
      <c r="S16" s="96">
        <f t="shared" si="5"/>
        <v>-1.8987572989909247E-3</v>
      </c>
      <c r="T16" s="92"/>
      <c r="X16" s="215"/>
      <c r="Y16" s="215"/>
      <c r="Z16" s="216"/>
    </row>
    <row r="17" spans="1:26" ht="12.45" customHeight="1">
      <c r="A17" s="209"/>
      <c r="B17" s="68">
        <f t="shared" si="6"/>
        <v>6</v>
      </c>
      <c r="D17" s="210">
        <v>503.20833333333331</v>
      </c>
      <c r="E17" s="211"/>
      <c r="F17" s="212">
        <v>60140</v>
      </c>
      <c r="G17" s="212"/>
      <c r="H17" s="213">
        <v>99425</v>
      </c>
      <c r="J17" s="95">
        <f t="shared" si="0"/>
        <v>27189.467799999999</v>
      </c>
      <c r="K17" s="172"/>
      <c r="L17" s="95">
        <f t="shared" si="1"/>
        <v>27433.461150000003</v>
      </c>
      <c r="M17" s="172"/>
      <c r="N17" s="95">
        <f t="shared" si="2"/>
        <v>243.99335000000428</v>
      </c>
      <c r="O17" s="214"/>
      <c r="P17" s="96">
        <f t="shared" si="3"/>
        <v>8.9738185313066321E-3</v>
      </c>
      <c r="Q17" s="214"/>
      <c r="R17" s="95">
        <f t="shared" si="4"/>
        <v>14060.459599999998</v>
      </c>
      <c r="S17" s="96">
        <f t="shared" si="5"/>
        <v>1.7353156080332135E-2</v>
      </c>
      <c r="T17" s="92"/>
      <c r="X17" s="215"/>
      <c r="Y17" s="215"/>
      <c r="Z17" s="216"/>
    </row>
    <row r="18" spans="1:26" ht="12.45" customHeight="1">
      <c r="A18" s="209"/>
      <c r="B18" s="68">
        <f t="shared" si="6"/>
        <v>7</v>
      </c>
      <c r="D18" s="210">
        <v>221.58333333333334</v>
      </c>
      <c r="E18" s="211"/>
      <c r="F18" s="212">
        <v>48733.333333333336</v>
      </c>
      <c r="G18" s="212"/>
      <c r="H18" s="213">
        <v>91546.666666666672</v>
      </c>
      <c r="J18" s="95">
        <f t="shared" si="0"/>
        <v>22094.92016666667</v>
      </c>
      <c r="K18" s="172"/>
      <c r="L18" s="95">
        <f t="shared" si="1"/>
        <v>21947.124166666668</v>
      </c>
      <c r="M18" s="172"/>
      <c r="N18" s="95">
        <f t="shared" si="2"/>
        <v>-147.7960000000021</v>
      </c>
      <c r="O18" s="214"/>
      <c r="P18" s="96">
        <f t="shared" si="3"/>
        <v>-6.6891393535322141E-3</v>
      </c>
      <c r="Q18" s="214"/>
      <c r="R18" s="95">
        <f t="shared" si="4"/>
        <v>10552.681766666665</v>
      </c>
      <c r="S18" s="96">
        <f t="shared" si="5"/>
        <v>-1.4005539375484006E-2</v>
      </c>
      <c r="T18" s="92"/>
      <c r="X18" s="215"/>
      <c r="Y18" s="215"/>
      <c r="Z18" s="216"/>
    </row>
    <row r="19" spans="1:26" ht="12.45" customHeight="1">
      <c r="A19" s="209"/>
      <c r="B19" s="68">
        <f t="shared" si="6"/>
        <v>8</v>
      </c>
      <c r="D19" s="210">
        <v>554.95833333333337</v>
      </c>
      <c r="E19" s="211"/>
      <c r="F19" s="212">
        <v>82611.833333333328</v>
      </c>
      <c r="G19" s="212"/>
      <c r="H19" s="213">
        <v>143269.16666666666</v>
      </c>
      <c r="J19" s="95">
        <f t="shared" si="0"/>
        <v>37056.490611666668</v>
      </c>
      <c r="K19" s="172"/>
      <c r="L19" s="95">
        <f t="shared" si="1"/>
        <v>37123.797601666665</v>
      </c>
      <c r="M19" s="172"/>
      <c r="N19" s="95">
        <f t="shared" si="2"/>
        <v>67.306989999997313</v>
      </c>
      <c r="O19" s="214"/>
      <c r="P19" s="96">
        <f t="shared" si="3"/>
        <v>1.8163347065252022E-3</v>
      </c>
      <c r="Q19" s="214"/>
      <c r="R19" s="95">
        <f t="shared" si="4"/>
        <v>18471.001931666662</v>
      </c>
      <c r="S19" s="96">
        <f t="shared" si="5"/>
        <v>3.6439273976040408E-3</v>
      </c>
      <c r="T19" s="92"/>
      <c r="X19" s="215"/>
      <c r="Y19" s="215"/>
      <c r="Z19" s="216"/>
    </row>
    <row r="20" spans="1:26" ht="12.45" customHeight="1">
      <c r="A20" s="209"/>
      <c r="B20" s="68">
        <f t="shared" si="6"/>
        <v>9</v>
      </c>
      <c r="D20" s="210">
        <v>1394.4583333333333</v>
      </c>
      <c r="E20" s="211"/>
      <c r="F20" s="212">
        <v>264046.41666666669</v>
      </c>
      <c r="G20" s="212"/>
      <c r="H20" s="213">
        <v>374299</v>
      </c>
      <c r="J20" s="95">
        <f t="shared" si="0"/>
        <v>103235.60587</v>
      </c>
      <c r="K20" s="172"/>
      <c r="L20" s="95">
        <f t="shared" si="1"/>
        <v>103033.60053916667</v>
      </c>
      <c r="M20" s="172"/>
      <c r="N20" s="95">
        <f t="shared" si="2"/>
        <v>-202.00533083332994</v>
      </c>
      <c r="O20" s="214"/>
      <c r="P20" s="96">
        <f t="shared" si="3"/>
        <v>-1.9567408853851109E-3</v>
      </c>
      <c r="Q20" s="214"/>
      <c r="R20" s="95">
        <f t="shared" si="4"/>
        <v>50712.54498666666</v>
      </c>
      <c r="S20" s="96">
        <f t="shared" si="5"/>
        <v>-3.9833404315725261E-3</v>
      </c>
      <c r="T20" s="92"/>
      <c r="X20" s="215"/>
      <c r="Y20" s="215"/>
      <c r="Z20" s="216"/>
    </row>
    <row r="21" spans="1:26" ht="12.45" customHeight="1">
      <c r="A21" s="209"/>
      <c r="B21" s="68">
        <f t="shared" si="6"/>
        <v>10</v>
      </c>
      <c r="D21" s="210">
        <v>871.83333333333337</v>
      </c>
      <c r="E21" s="211"/>
      <c r="F21" s="212">
        <v>108293.33333333333</v>
      </c>
      <c r="G21" s="212"/>
      <c r="H21" s="213">
        <v>118453.33333333333</v>
      </c>
      <c r="J21" s="95">
        <f t="shared" si="0"/>
        <v>40122.159533333332</v>
      </c>
      <c r="K21" s="172"/>
      <c r="L21" s="95">
        <f t="shared" si="1"/>
        <v>40694.0026</v>
      </c>
      <c r="M21" s="172"/>
      <c r="N21" s="95">
        <f t="shared" si="2"/>
        <v>571.84306666666816</v>
      </c>
      <c r="O21" s="214"/>
      <c r="P21" s="96">
        <f t="shared" si="3"/>
        <v>1.4252549546631021E-2</v>
      </c>
      <c r="Q21" s="214"/>
      <c r="R21" s="95">
        <f t="shared" si="4"/>
        <v>21465.443799999997</v>
      </c>
      <c r="S21" s="96">
        <f t="shared" si="5"/>
        <v>2.6640169753521157E-2</v>
      </c>
      <c r="T21" s="92"/>
      <c r="X21" s="215"/>
      <c r="Y21" s="215"/>
      <c r="Z21" s="216"/>
    </row>
    <row r="22" spans="1:26" ht="12.45" customHeight="1">
      <c r="A22" s="209"/>
      <c r="B22" s="68">
        <f t="shared" si="6"/>
        <v>11</v>
      </c>
      <c r="D22" s="210">
        <v>656.83333333333337</v>
      </c>
      <c r="E22" s="211"/>
      <c r="F22" s="212">
        <v>81720</v>
      </c>
      <c r="G22" s="212"/>
      <c r="H22" s="213">
        <v>43160</v>
      </c>
      <c r="J22" s="95">
        <f t="shared" si="0"/>
        <v>23992.6054</v>
      </c>
      <c r="K22" s="172"/>
      <c r="L22" s="95">
        <f t="shared" si="1"/>
        <v>24600.572199999995</v>
      </c>
      <c r="M22" s="172"/>
      <c r="N22" s="95">
        <f t="shared" si="2"/>
        <v>607.96679999999469</v>
      </c>
      <c r="O22" s="214"/>
      <c r="P22" s="96">
        <f t="shared" si="3"/>
        <v>2.5339757390416384E-2</v>
      </c>
      <c r="Q22" s="214"/>
      <c r="R22" s="95">
        <f t="shared" si="4"/>
        <v>13717.478999999999</v>
      </c>
      <c r="S22" s="96">
        <f t="shared" si="5"/>
        <v>4.4320592726986838E-2</v>
      </c>
      <c r="T22" s="92"/>
      <c r="X22" s="215"/>
      <c r="Y22" s="215"/>
      <c r="Z22" s="216"/>
    </row>
    <row r="23" spans="1:26" ht="12.45" customHeight="1">
      <c r="A23" s="209"/>
      <c r="B23" s="68">
        <f t="shared" si="6"/>
        <v>12</v>
      </c>
      <c r="D23" s="210">
        <v>611.75</v>
      </c>
      <c r="E23" s="211"/>
      <c r="F23" s="212">
        <v>93120</v>
      </c>
      <c r="G23" s="212"/>
      <c r="H23" s="213">
        <v>130659</v>
      </c>
      <c r="J23" s="95">
        <f t="shared" si="0"/>
        <v>37385.498550000004</v>
      </c>
      <c r="K23" s="172"/>
      <c r="L23" s="95">
        <f t="shared" si="1"/>
        <v>37545.800000000003</v>
      </c>
      <c r="M23" s="172"/>
      <c r="N23" s="95">
        <f t="shared" si="2"/>
        <v>160.30144999999902</v>
      </c>
      <c r="O23" s="214"/>
      <c r="P23" s="96">
        <f t="shared" si="3"/>
        <v>4.2877975743886854E-3</v>
      </c>
      <c r="Q23" s="214"/>
      <c r="R23" s="95">
        <f t="shared" si="4"/>
        <v>18972.96243</v>
      </c>
      <c r="S23" s="96">
        <f t="shared" si="5"/>
        <v>8.4489415183013686E-3</v>
      </c>
      <c r="T23" s="92"/>
      <c r="X23" s="215"/>
      <c r="Y23" s="215"/>
      <c r="Z23" s="216"/>
    </row>
    <row r="24" spans="1:26" ht="12.45" customHeight="1">
      <c r="A24" s="209"/>
      <c r="B24" s="68">
        <f t="shared" si="6"/>
        <v>13</v>
      </c>
      <c r="D24" s="210">
        <v>782.5</v>
      </c>
      <c r="E24" s="211"/>
      <c r="F24" s="212">
        <v>100000</v>
      </c>
      <c r="G24" s="212"/>
      <c r="H24" s="213">
        <v>102000</v>
      </c>
      <c r="J24" s="95">
        <f t="shared" si="0"/>
        <v>35876.474999999999</v>
      </c>
      <c r="K24" s="172"/>
      <c r="L24" s="95">
        <f t="shared" si="1"/>
        <v>36396.525000000001</v>
      </c>
      <c r="M24" s="172"/>
      <c r="N24" s="95">
        <f t="shared" si="2"/>
        <v>520.05000000000291</v>
      </c>
      <c r="O24" s="214"/>
      <c r="P24" s="96">
        <f t="shared" si="3"/>
        <v>1.4495571262227003E-2</v>
      </c>
      <c r="Q24" s="214"/>
      <c r="R24" s="95">
        <f t="shared" si="4"/>
        <v>19255.914999999997</v>
      </c>
      <c r="S24" s="96">
        <f t="shared" si="5"/>
        <v>2.700728581321651E-2</v>
      </c>
      <c r="T24" s="92"/>
      <c r="X24" s="215"/>
      <c r="Y24" s="215"/>
      <c r="Z24" s="216"/>
    </row>
    <row r="25" spans="1:26" ht="12.45" customHeight="1">
      <c r="A25" s="209"/>
      <c r="B25" s="68">
        <f t="shared" si="6"/>
        <v>14</v>
      </c>
      <c r="D25" s="210">
        <v>432.66666666666669</v>
      </c>
      <c r="E25" s="211"/>
      <c r="F25" s="212">
        <v>80257.75</v>
      </c>
      <c r="G25" s="212"/>
      <c r="H25" s="213">
        <v>101940.5</v>
      </c>
      <c r="J25" s="95">
        <f t="shared" si="0"/>
        <v>30034.059705</v>
      </c>
      <c r="K25" s="172"/>
      <c r="L25" s="95">
        <f t="shared" si="1"/>
        <v>30057.618652500001</v>
      </c>
      <c r="M25" s="172"/>
      <c r="N25" s="95">
        <f t="shared" si="2"/>
        <v>23.558947500001523</v>
      </c>
      <c r="O25" s="214"/>
      <c r="P25" s="96">
        <f t="shared" si="3"/>
        <v>7.8440769351195705E-4</v>
      </c>
      <c r="Q25" s="214"/>
      <c r="R25" s="95">
        <f t="shared" si="4"/>
        <v>15042.787694999999</v>
      </c>
      <c r="S25" s="96">
        <f t="shared" si="5"/>
        <v>1.5661290963929625E-3</v>
      </c>
      <c r="T25" s="92"/>
      <c r="X25" s="215"/>
      <c r="Y25" s="215"/>
      <c r="Z25" s="216"/>
    </row>
    <row r="26" spans="1:26" ht="12.45" customHeight="1">
      <c r="A26" s="209"/>
      <c r="B26" s="68">
        <f t="shared" si="6"/>
        <v>15</v>
      </c>
      <c r="D26" s="210">
        <v>1450.1666666666667</v>
      </c>
      <c r="E26" s="211"/>
      <c r="F26" s="212">
        <v>283907.16666666669</v>
      </c>
      <c r="G26" s="212"/>
      <c r="H26" s="213">
        <v>358936.5</v>
      </c>
      <c r="J26" s="95">
        <f t="shared" si="0"/>
        <v>104604.294335</v>
      </c>
      <c r="K26" s="172"/>
      <c r="L26" s="95">
        <f t="shared" si="1"/>
        <v>104460.39407166667</v>
      </c>
      <c r="M26" s="172"/>
      <c r="N26" s="95">
        <f t="shared" si="2"/>
        <v>-143.90026333332935</v>
      </c>
      <c r="O26" s="214"/>
      <c r="P26" s="96">
        <f t="shared" si="3"/>
        <v>-1.3756630571253314E-3</v>
      </c>
      <c r="Q26" s="214"/>
      <c r="R26" s="95">
        <f t="shared" si="4"/>
        <v>51711.117441666662</v>
      </c>
      <c r="S26" s="96">
        <f t="shared" si="5"/>
        <v>-2.7827722635399969E-3</v>
      </c>
      <c r="T26" s="92"/>
      <c r="X26" s="215"/>
      <c r="Y26" s="215"/>
      <c r="Z26" s="216"/>
    </row>
    <row r="27" spans="1:26" ht="12.45" customHeight="1">
      <c r="A27" s="209"/>
      <c r="B27" s="68">
        <f t="shared" si="6"/>
        <v>16</v>
      </c>
      <c r="D27" s="210">
        <v>497.70833333333331</v>
      </c>
      <c r="E27" s="211"/>
      <c r="F27" s="212">
        <v>87860</v>
      </c>
      <c r="G27" s="212"/>
      <c r="H27" s="213">
        <v>152250</v>
      </c>
      <c r="J27" s="95">
        <f t="shared" si="0"/>
        <v>38628.450949999999</v>
      </c>
      <c r="K27" s="172"/>
      <c r="L27" s="95">
        <f t="shared" si="1"/>
        <v>38542.60385</v>
      </c>
      <c r="M27" s="172"/>
      <c r="N27" s="95">
        <f t="shared" si="2"/>
        <v>-85.847099999999045</v>
      </c>
      <c r="O27" s="214"/>
      <c r="P27" s="96">
        <f t="shared" si="3"/>
        <v>-2.2223800822641637E-3</v>
      </c>
      <c r="Q27" s="214"/>
      <c r="R27" s="95">
        <f t="shared" si="4"/>
        <v>18872.200149999997</v>
      </c>
      <c r="S27" s="96">
        <f t="shared" si="5"/>
        <v>-4.5488654909162278E-3</v>
      </c>
      <c r="T27" s="92"/>
      <c r="X27" s="215"/>
      <c r="Y27" s="215"/>
      <c r="Z27" s="216"/>
    </row>
    <row r="28" spans="1:26" ht="12.45" customHeight="1">
      <c r="A28" s="209"/>
      <c r="B28" s="68">
        <f t="shared" si="6"/>
        <v>17</v>
      </c>
      <c r="D28" s="210">
        <v>378.41666666666669</v>
      </c>
      <c r="E28" s="211"/>
      <c r="F28" s="212">
        <v>55620</v>
      </c>
      <c r="G28" s="212"/>
      <c r="H28" s="213">
        <v>98826.666666666672</v>
      </c>
      <c r="J28" s="95">
        <f t="shared" si="0"/>
        <v>25410.827566666667</v>
      </c>
      <c r="K28" s="172"/>
      <c r="L28" s="95">
        <f t="shared" si="1"/>
        <v>25468.192033333333</v>
      </c>
      <c r="M28" s="172"/>
      <c r="N28" s="95">
        <f t="shared" si="2"/>
        <v>57.364466666665976</v>
      </c>
      <c r="O28" s="214"/>
      <c r="P28" s="96">
        <f t="shared" si="3"/>
        <v>2.2574812455897764E-3</v>
      </c>
      <c r="Q28" s="214"/>
      <c r="R28" s="95">
        <f t="shared" si="4"/>
        <v>12702.955833333333</v>
      </c>
      <c r="S28" s="96">
        <f t="shared" si="5"/>
        <v>4.5158361108473752E-3</v>
      </c>
      <c r="T28" s="92"/>
      <c r="X28" s="215"/>
      <c r="Y28" s="215"/>
      <c r="Z28" s="216"/>
    </row>
    <row r="29" spans="1:26" ht="12.45" customHeight="1">
      <c r="A29" s="209"/>
      <c r="B29" s="68">
        <f t="shared" si="6"/>
        <v>18</v>
      </c>
      <c r="D29" s="210">
        <v>225.04166666666666</v>
      </c>
      <c r="E29" s="211"/>
      <c r="F29" s="212">
        <v>18700</v>
      </c>
      <c r="G29" s="212"/>
      <c r="H29" s="213">
        <v>52406.666666666664</v>
      </c>
      <c r="J29" s="95">
        <f t="shared" si="0"/>
        <v>12166.265916666667</v>
      </c>
      <c r="K29" s="172"/>
      <c r="L29" s="95">
        <f t="shared" si="1"/>
        <v>12305.594583333334</v>
      </c>
      <c r="M29" s="172"/>
      <c r="N29" s="95">
        <f t="shared" si="2"/>
        <v>139.32866666666632</v>
      </c>
      <c r="O29" s="214"/>
      <c r="P29" s="96">
        <f t="shared" si="3"/>
        <v>1.1452048444527074E-2</v>
      </c>
      <c r="Q29" s="214"/>
      <c r="R29" s="95">
        <f t="shared" si="4"/>
        <v>6315.6093833333325</v>
      </c>
      <c r="S29" s="96">
        <f t="shared" si="5"/>
        <v>2.2061001276353426E-2</v>
      </c>
      <c r="T29" s="92"/>
      <c r="X29" s="215"/>
      <c r="Y29" s="215"/>
      <c r="Z29" s="216"/>
    </row>
    <row r="30" spans="1:26" ht="12.45" customHeight="1">
      <c r="A30" s="209"/>
      <c r="B30" s="68">
        <f t="shared" si="6"/>
        <v>19</v>
      </c>
      <c r="D30" s="210">
        <v>1319</v>
      </c>
      <c r="E30" s="211"/>
      <c r="F30" s="212">
        <v>190120</v>
      </c>
      <c r="G30" s="212"/>
      <c r="H30" s="213">
        <v>220335.5</v>
      </c>
      <c r="J30" s="95">
        <f t="shared" si="0"/>
        <v>70204.513324999993</v>
      </c>
      <c r="K30" s="172"/>
      <c r="L30" s="95">
        <f t="shared" si="1"/>
        <v>70778.505550000002</v>
      </c>
      <c r="M30" s="172"/>
      <c r="N30" s="95">
        <f t="shared" si="2"/>
        <v>573.99222500000906</v>
      </c>
      <c r="O30" s="214"/>
      <c r="P30" s="96">
        <f t="shared" si="3"/>
        <v>8.1760017670489127E-3</v>
      </c>
      <c r="Q30" s="214"/>
      <c r="R30" s="95">
        <f t="shared" si="4"/>
        <v>36432.234784999993</v>
      </c>
      <c r="S30" s="96">
        <f t="shared" si="5"/>
        <v>1.5755064941454955E-2</v>
      </c>
      <c r="T30" s="92"/>
      <c r="X30" s="215"/>
      <c r="Y30" s="215"/>
      <c r="Z30" s="216"/>
    </row>
    <row r="31" spans="1:26" ht="12.45" customHeight="1">
      <c r="A31" s="209"/>
      <c r="B31" s="68">
        <f t="shared" si="6"/>
        <v>20</v>
      </c>
      <c r="D31" s="210">
        <v>3802.5416666666665</v>
      </c>
      <c r="E31" s="211"/>
      <c r="F31" s="212">
        <v>740304</v>
      </c>
      <c r="G31" s="212"/>
      <c r="H31" s="213">
        <v>1402232</v>
      </c>
      <c r="J31" s="95">
        <f t="shared" si="0"/>
        <v>336494.24253000005</v>
      </c>
      <c r="K31" s="172"/>
      <c r="L31" s="95">
        <f t="shared" si="1"/>
        <v>334390.31429000001</v>
      </c>
      <c r="M31" s="172"/>
      <c r="N31" s="95">
        <f t="shared" si="2"/>
        <v>-2103.9282400000375</v>
      </c>
      <c r="O31" s="214"/>
      <c r="P31" s="96">
        <f t="shared" si="3"/>
        <v>-6.2524940224273351E-3</v>
      </c>
      <c r="Q31" s="214"/>
      <c r="R31" s="95">
        <f t="shared" si="4"/>
        <v>160206.38045</v>
      </c>
      <c r="S31" s="96">
        <f t="shared" si="5"/>
        <v>-1.3132612035115968E-2</v>
      </c>
      <c r="T31" s="92"/>
      <c r="X31" s="215"/>
      <c r="Y31" s="215"/>
      <c r="Z31" s="216"/>
    </row>
    <row r="32" spans="1:26" ht="12.45" customHeight="1">
      <c r="A32" s="209"/>
      <c r="B32" s="68">
        <f t="shared" si="6"/>
        <v>21</v>
      </c>
      <c r="D32" s="210">
        <v>535.66666666666663</v>
      </c>
      <c r="E32" s="211"/>
      <c r="F32" s="212">
        <v>101256</v>
      </c>
      <c r="G32" s="212"/>
      <c r="H32" s="213">
        <v>121608</v>
      </c>
      <c r="J32" s="95">
        <f t="shared" si="0"/>
        <v>36769.253920000003</v>
      </c>
      <c r="K32" s="172"/>
      <c r="L32" s="95">
        <f t="shared" si="1"/>
        <v>36797.264559999996</v>
      </c>
      <c r="M32" s="172"/>
      <c r="N32" s="95">
        <f t="shared" si="2"/>
        <v>28.010639999993145</v>
      </c>
      <c r="O32" s="214"/>
      <c r="P32" s="96">
        <f t="shared" si="3"/>
        <v>7.6179516889118837E-4</v>
      </c>
      <c r="Q32" s="214"/>
      <c r="R32" s="95">
        <f t="shared" si="4"/>
        <v>18432.003999999997</v>
      </c>
      <c r="S32" s="96">
        <f t="shared" si="5"/>
        <v>1.5196741493758981E-3</v>
      </c>
      <c r="T32" s="92"/>
      <c r="X32" s="215"/>
      <c r="Y32" s="215"/>
      <c r="Z32" s="216"/>
    </row>
    <row r="33" spans="1:26" ht="12.45" customHeight="1">
      <c r="A33" s="209"/>
      <c r="B33" s="68">
        <f t="shared" si="6"/>
        <v>22</v>
      </c>
      <c r="D33" s="210">
        <v>555.125</v>
      </c>
      <c r="E33" s="211"/>
      <c r="F33" s="212">
        <v>69813.333333333328</v>
      </c>
      <c r="G33" s="212"/>
      <c r="H33" s="213">
        <v>102186.66666666667</v>
      </c>
      <c r="J33" s="95">
        <f t="shared" si="0"/>
        <v>29463.127016666665</v>
      </c>
      <c r="K33" s="172"/>
      <c r="L33" s="95">
        <f t="shared" si="1"/>
        <v>29739.666216666665</v>
      </c>
      <c r="M33" s="172"/>
      <c r="N33" s="95">
        <f t="shared" si="2"/>
        <v>276.53919999999925</v>
      </c>
      <c r="O33" s="214"/>
      <c r="P33" s="96">
        <f t="shared" si="3"/>
        <v>9.3859419552977386E-3</v>
      </c>
      <c r="Q33" s="214"/>
      <c r="R33" s="95">
        <f t="shared" si="4"/>
        <v>15310.967016666666</v>
      </c>
      <c r="S33" s="96">
        <f t="shared" si="5"/>
        <v>1.8061511052761992E-2</v>
      </c>
      <c r="T33" s="92"/>
      <c r="X33" s="215"/>
      <c r="Y33" s="215"/>
      <c r="Z33" s="216"/>
    </row>
    <row r="34" spans="1:26" ht="12.45" customHeight="1">
      <c r="A34" s="209"/>
      <c r="B34" s="68">
        <f t="shared" si="6"/>
        <v>23</v>
      </c>
      <c r="D34" s="210">
        <v>637.875</v>
      </c>
      <c r="E34" s="211"/>
      <c r="F34" s="212">
        <v>79573.333333333328</v>
      </c>
      <c r="G34" s="212"/>
      <c r="H34" s="213">
        <v>76286.666666666672</v>
      </c>
      <c r="J34" s="95">
        <f t="shared" si="0"/>
        <v>28062.149716666667</v>
      </c>
      <c r="K34" s="172"/>
      <c r="L34" s="95">
        <f t="shared" si="1"/>
        <v>28527.250316666668</v>
      </c>
      <c r="M34" s="172"/>
      <c r="N34" s="95">
        <f t="shared" si="2"/>
        <v>465.10060000000158</v>
      </c>
      <c r="O34" s="214"/>
      <c r="P34" s="96">
        <f t="shared" si="3"/>
        <v>1.6573947637509967E-2</v>
      </c>
      <c r="Q34" s="214"/>
      <c r="R34" s="95">
        <f t="shared" si="4"/>
        <v>15237.988916666665</v>
      </c>
      <c r="S34" s="96">
        <f t="shared" si="5"/>
        <v>3.0522439840554961E-2</v>
      </c>
      <c r="T34" s="92"/>
      <c r="X34" s="215"/>
      <c r="Y34" s="215"/>
      <c r="Z34" s="216"/>
    </row>
    <row r="35" spans="1:26" ht="12.45" customHeight="1">
      <c r="A35" s="209"/>
      <c r="B35" s="68">
        <f t="shared" si="6"/>
        <v>24</v>
      </c>
      <c r="D35" s="210">
        <v>358.70833333333331</v>
      </c>
      <c r="E35" s="211"/>
      <c r="F35" s="212">
        <v>62760</v>
      </c>
      <c r="G35" s="212"/>
      <c r="H35" s="213">
        <v>102660</v>
      </c>
      <c r="J35" s="95">
        <f t="shared" si="0"/>
        <v>26867.282449999999</v>
      </c>
      <c r="K35" s="172"/>
      <c r="L35" s="95">
        <f t="shared" si="1"/>
        <v>26844.629850000001</v>
      </c>
      <c r="M35" s="172"/>
      <c r="N35" s="95">
        <f t="shared" si="2"/>
        <v>-22.652599999997619</v>
      </c>
      <c r="O35" s="214"/>
      <c r="P35" s="96">
        <f t="shared" si="3"/>
        <v>-8.4312955886600705E-4</v>
      </c>
      <c r="Q35" s="214"/>
      <c r="R35" s="95">
        <f t="shared" si="4"/>
        <v>13256.524849999998</v>
      </c>
      <c r="S35" s="96">
        <f t="shared" si="5"/>
        <v>-1.7087887101873175E-3</v>
      </c>
      <c r="T35" s="92"/>
      <c r="X35" s="215"/>
      <c r="Y35" s="215"/>
      <c r="Z35" s="216"/>
    </row>
    <row r="36" spans="1:26" ht="12.45" customHeight="1">
      <c r="A36" s="209"/>
      <c r="B36" s="68">
        <f t="shared" si="6"/>
        <v>25</v>
      </c>
      <c r="D36" s="210">
        <v>506.95833333333331</v>
      </c>
      <c r="E36" s="211"/>
      <c r="F36" s="212">
        <v>65510</v>
      </c>
      <c r="G36" s="212"/>
      <c r="H36" s="213">
        <v>95060</v>
      </c>
      <c r="J36" s="95">
        <f t="shared" si="0"/>
        <v>27439.229950000001</v>
      </c>
      <c r="K36" s="172"/>
      <c r="L36" s="95">
        <f t="shared" si="1"/>
        <v>27680.699849999997</v>
      </c>
      <c r="M36" s="172"/>
      <c r="N36" s="95">
        <f t="shared" si="2"/>
        <v>241.46989999999641</v>
      </c>
      <c r="O36" s="214"/>
      <c r="P36" s="96">
        <f t="shared" si="3"/>
        <v>8.8001704289808469E-3</v>
      </c>
      <c r="Q36" s="214"/>
      <c r="R36" s="95">
        <f t="shared" si="4"/>
        <v>14227.530349999997</v>
      </c>
      <c r="S36" s="96">
        <f t="shared" si="5"/>
        <v>1.6972017915955206E-2</v>
      </c>
      <c r="T36" s="92"/>
      <c r="X36" s="215"/>
      <c r="Y36" s="215"/>
      <c r="Z36" s="216"/>
    </row>
    <row r="37" spans="1:26" ht="12.45" customHeight="1">
      <c r="A37" s="209"/>
      <c r="B37" s="68">
        <f t="shared" si="6"/>
        <v>26</v>
      </c>
      <c r="D37" s="210">
        <v>654.95833333333337</v>
      </c>
      <c r="E37" s="211"/>
      <c r="F37" s="212">
        <v>96016.666666666672</v>
      </c>
      <c r="G37" s="212"/>
      <c r="H37" s="213">
        <v>145550</v>
      </c>
      <c r="J37" s="95">
        <f t="shared" si="0"/>
        <v>40221.268249999994</v>
      </c>
      <c r="K37" s="172"/>
      <c r="L37" s="95">
        <f t="shared" si="1"/>
        <v>40386.453916666665</v>
      </c>
      <c r="M37" s="172"/>
      <c r="N37" s="95">
        <f t="shared" si="2"/>
        <v>165.18566666667175</v>
      </c>
      <c r="O37" s="214"/>
      <c r="P37" s="96">
        <f t="shared" si="3"/>
        <v>4.1069233729762455E-3</v>
      </c>
      <c r="Q37" s="214"/>
      <c r="R37" s="95">
        <f t="shared" si="4"/>
        <v>20345.162916666664</v>
      </c>
      <c r="S37" s="96">
        <f t="shared" si="5"/>
        <v>8.119161657405673E-3</v>
      </c>
      <c r="T37" s="92"/>
      <c r="X37" s="215"/>
      <c r="Y37" s="215"/>
      <c r="Z37" s="216"/>
    </row>
    <row r="38" spans="1:26" ht="12.45" customHeight="1">
      <c r="A38" s="209"/>
      <c r="B38" s="68">
        <f t="shared" si="6"/>
        <v>27</v>
      </c>
      <c r="D38" s="210">
        <v>1920.5416666666667</v>
      </c>
      <c r="E38" s="211"/>
      <c r="F38" s="212">
        <v>390538.16666666669</v>
      </c>
      <c r="G38" s="212"/>
      <c r="H38" s="213">
        <v>691335.16666666663</v>
      </c>
      <c r="J38" s="95">
        <f t="shared" si="0"/>
        <v>170318.53757166665</v>
      </c>
      <c r="K38" s="172"/>
      <c r="L38" s="95">
        <f t="shared" si="1"/>
        <v>169260.04326499999</v>
      </c>
      <c r="M38" s="172"/>
      <c r="N38" s="95">
        <f t="shared" si="2"/>
        <v>-1058.4943066666601</v>
      </c>
      <c r="O38" s="214"/>
      <c r="P38" s="96">
        <f t="shared" si="3"/>
        <v>-6.2147921286681562E-3</v>
      </c>
      <c r="Q38" s="214"/>
      <c r="R38" s="95">
        <f t="shared" si="4"/>
        <v>81301.999704999995</v>
      </c>
      <c r="S38" s="96">
        <f t="shared" si="5"/>
        <v>-1.3019289937607325E-2</v>
      </c>
      <c r="T38" s="92"/>
      <c r="X38" s="215"/>
      <c r="Y38" s="215"/>
      <c r="Z38" s="216"/>
    </row>
    <row r="39" spans="1:26" ht="12.45" customHeight="1">
      <c r="A39" s="209"/>
      <c r="B39" s="68">
        <f t="shared" si="6"/>
        <v>28</v>
      </c>
      <c r="D39" s="210">
        <v>1557.25</v>
      </c>
      <c r="E39" s="211"/>
      <c r="F39" s="212">
        <v>309114.75</v>
      </c>
      <c r="G39" s="212"/>
      <c r="H39" s="213">
        <v>485202.08333333331</v>
      </c>
      <c r="J39" s="95">
        <f t="shared" si="0"/>
        <v>126655.69531583333</v>
      </c>
      <c r="K39" s="172"/>
      <c r="L39" s="95">
        <f t="shared" si="1"/>
        <v>126114.61871416666</v>
      </c>
      <c r="M39" s="172"/>
      <c r="N39" s="95">
        <f t="shared" si="2"/>
        <v>-541.07660166667483</v>
      </c>
      <c r="O39" s="214"/>
      <c r="P39" s="96">
        <f t="shared" si="3"/>
        <v>-4.2720274071957887E-3</v>
      </c>
      <c r="Q39" s="214"/>
      <c r="R39" s="95">
        <f t="shared" si="4"/>
        <v>61299.306269166656</v>
      </c>
      <c r="S39" s="96">
        <f t="shared" si="5"/>
        <v>-8.8267981254273112E-3</v>
      </c>
      <c r="T39" s="92"/>
      <c r="X39" s="215"/>
      <c r="Y39" s="215"/>
      <c r="Z39" s="216"/>
    </row>
    <row r="40" spans="1:26" ht="12.45" customHeight="1">
      <c r="B40" s="101"/>
      <c r="C40" s="140"/>
      <c r="D40" s="176"/>
      <c r="E40" s="157"/>
      <c r="F40" s="176"/>
      <c r="G40" s="176"/>
      <c r="H40" s="176"/>
      <c r="I40" s="177"/>
      <c r="J40" s="177"/>
      <c r="K40" s="157"/>
      <c r="L40" s="177"/>
      <c r="M40" s="157"/>
      <c r="N40" s="217"/>
      <c r="O40" s="190"/>
      <c r="P40" s="217"/>
      <c r="Q40" s="190"/>
      <c r="R40" s="177"/>
      <c r="S40" s="217"/>
      <c r="T40" s="109"/>
    </row>
    <row r="41" spans="1:26" ht="12.45" customHeight="1">
      <c r="D41" s="53"/>
      <c r="E41" s="53"/>
      <c r="F41" s="53"/>
      <c r="G41" s="53"/>
      <c r="H41" s="53"/>
      <c r="I41" s="53"/>
      <c r="J41" s="53"/>
      <c r="T41" s="53"/>
    </row>
    <row r="42" spans="1:26" ht="12.45" customHeight="1">
      <c r="B42" s="69"/>
      <c r="C42" s="70"/>
      <c r="D42" s="110"/>
      <c r="E42" s="110"/>
      <c r="F42" s="110"/>
      <c r="G42" s="110"/>
      <c r="H42" s="110"/>
      <c r="I42" s="110"/>
      <c r="J42" s="110"/>
      <c r="K42" s="70"/>
      <c r="L42" s="70"/>
      <c r="M42" s="70"/>
      <c r="N42" s="70"/>
      <c r="O42" s="70"/>
      <c r="P42" s="70"/>
      <c r="Q42" s="70"/>
      <c r="R42" s="70"/>
      <c r="S42" s="70"/>
      <c r="T42" s="111"/>
    </row>
    <row r="43" spans="1:26" ht="12.45" customHeight="1">
      <c r="B43" s="159" t="s">
        <v>423</v>
      </c>
      <c r="C43" s="112"/>
      <c r="D43" s="54"/>
      <c r="E43" s="53"/>
      <c r="H43" s="53"/>
      <c r="J43" s="112"/>
      <c r="K43" s="160" t="s">
        <v>424</v>
      </c>
      <c r="M43" s="54"/>
      <c r="P43" s="53"/>
      <c r="Q43" s="53"/>
      <c r="R43" s="53"/>
      <c r="S43" s="53"/>
      <c r="T43" s="92"/>
    </row>
    <row r="44" spans="1:26" ht="12.45" customHeight="1">
      <c r="B44" s="121"/>
      <c r="C44" s="59"/>
      <c r="D44" s="114"/>
      <c r="E44" s="114"/>
      <c r="H44" s="53" t="s">
        <v>45</v>
      </c>
      <c r="J44" s="114"/>
      <c r="K44" s="114"/>
      <c r="L44" s="114"/>
      <c r="M44" s="114"/>
      <c r="N44" s="114"/>
      <c r="O44" s="114"/>
      <c r="P44" s="53" t="s">
        <v>45</v>
      </c>
      <c r="Q44" s="53"/>
      <c r="R44" s="115" t="s">
        <v>142</v>
      </c>
      <c r="S44" s="115" t="s">
        <v>425</v>
      </c>
      <c r="T44" s="92"/>
    </row>
    <row r="45" spans="1:26" ht="12.45" customHeight="1">
      <c r="B45" s="116" t="s">
        <v>426</v>
      </c>
      <c r="C45" s="59"/>
      <c r="D45" s="114"/>
      <c r="E45" s="114"/>
      <c r="F45" s="114"/>
      <c r="H45" s="114"/>
      <c r="J45" s="114"/>
      <c r="K45" s="119" t="s">
        <v>426</v>
      </c>
      <c r="L45" s="114"/>
      <c r="M45" s="114"/>
      <c r="N45" s="114"/>
      <c r="O45" s="114"/>
      <c r="P45" s="114"/>
      <c r="Q45" s="114"/>
      <c r="R45" s="115"/>
      <c r="S45" s="115"/>
      <c r="T45" s="92"/>
    </row>
    <row r="46" spans="1:26" ht="12.45" customHeight="1">
      <c r="B46" s="121" t="s">
        <v>134</v>
      </c>
      <c r="C46" s="59"/>
      <c r="D46" s="114"/>
      <c r="E46" s="114"/>
      <c r="F46" s="117"/>
      <c r="G46" s="117"/>
      <c r="H46" s="118">
        <v>300</v>
      </c>
      <c r="J46" s="59"/>
      <c r="K46" s="59" t="s">
        <v>134</v>
      </c>
      <c r="L46" s="114"/>
      <c r="M46" s="114"/>
      <c r="N46" s="117"/>
      <c r="O46" s="117"/>
      <c r="P46" s="118">
        <v>338.75</v>
      </c>
      <c r="Q46" s="118"/>
      <c r="S46" s="118">
        <f>+P46-H46</f>
        <v>38.75</v>
      </c>
      <c r="T46" s="92"/>
    </row>
    <row r="47" spans="1:26" ht="12.45" customHeight="1">
      <c r="B47" s="121"/>
      <c r="C47" s="59"/>
      <c r="D47" s="114"/>
      <c r="E47" s="191"/>
      <c r="F47" s="218" t="s">
        <v>473</v>
      </c>
      <c r="G47" s="122"/>
      <c r="H47" s="87" t="s">
        <v>421</v>
      </c>
      <c r="J47" s="59"/>
      <c r="K47" s="112"/>
      <c r="L47" s="114"/>
      <c r="M47" s="191"/>
      <c r="N47" s="218" t="s">
        <v>473</v>
      </c>
      <c r="O47" s="122"/>
      <c r="P47" s="87" t="s">
        <v>421</v>
      </c>
      <c r="Q47" s="87"/>
      <c r="R47" s="218" t="s">
        <v>473</v>
      </c>
      <c r="S47" s="87" t="s">
        <v>421</v>
      </c>
      <c r="T47" s="92"/>
    </row>
    <row r="48" spans="1:26" ht="12.45" customHeight="1">
      <c r="B48" s="121" t="s">
        <v>427</v>
      </c>
      <c r="C48" s="59"/>
      <c r="E48" s="179"/>
      <c r="F48" s="118"/>
      <c r="G48" s="118"/>
      <c r="H48" s="125">
        <f>0.0031+0.00108</f>
        <v>4.1799999999999997E-3</v>
      </c>
      <c r="I48" s="51" t="s">
        <v>474</v>
      </c>
      <c r="J48" s="59"/>
      <c r="K48" s="98" t="s">
        <v>427</v>
      </c>
      <c r="M48" s="179"/>
      <c r="N48" s="118"/>
      <c r="O48" s="118"/>
      <c r="P48" s="125">
        <f>0.0031+0.00108</f>
        <v>4.1799999999999997E-3</v>
      </c>
      <c r="Q48" s="125"/>
      <c r="R48" s="118"/>
      <c r="S48" s="125">
        <f>+P48-H48</f>
        <v>0</v>
      </c>
      <c r="T48" s="92" t="s">
        <v>474</v>
      </c>
    </row>
    <row r="49" spans="1:20" s="54" customFormat="1" ht="12.45" customHeight="1">
      <c r="B49" s="68" t="s">
        <v>428</v>
      </c>
      <c r="C49" s="51"/>
      <c r="D49" s="51"/>
      <c r="F49" s="194"/>
      <c r="H49" s="127">
        <v>1.9310000000000001E-2</v>
      </c>
      <c r="I49" s="51" t="s">
        <v>474</v>
      </c>
      <c r="K49" s="51" t="s">
        <v>428</v>
      </c>
      <c r="L49" s="51"/>
      <c r="N49" s="194"/>
      <c r="P49" s="127">
        <v>1.925E-2</v>
      </c>
      <c r="Q49" s="127"/>
      <c r="R49" s="194"/>
      <c r="S49" s="127">
        <f>+P49-H49</f>
        <v>-6.0000000000001025E-5</v>
      </c>
      <c r="T49" s="92" t="s">
        <v>474</v>
      </c>
    </row>
    <row r="50" spans="1:20" s="54" customFormat="1" ht="12.45" customHeight="1">
      <c r="B50" s="68"/>
      <c r="C50" s="51"/>
      <c r="D50" s="51"/>
      <c r="E50" s="81" t="s">
        <v>475</v>
      </c>
      <c r="F50" s="118"/>
      <c r="G50" s="118"/>
      <c r="H50" s="125">
        <f>SUM(H49,H48)</f>
        <v>2.349E-2</v>
      </c>
      <c r="I50" s="51" t="s">
        <v>474</v>
      </c>
      <c r="K50" s="51"/>
      <c r="L50" s="51"/>
      <c r="M50" s="81" t="s">
        <v>475</v>
      </c>
      <c r="N50" s="118"/>
      <c r="O50" s="118"/>
      <c r="P50" s="125">
        <f>SUM(P49,P48)</f>
        <v>2.3429999999999999E-2</v>
      </c>
      <c r="Q50" s="125"/>
      <c r="R50" s="118"/>
      <c r="S50" s="125">
        <f>+P50-H50</f>
        <v>-6.0000000000001025E-5</v>
      </c>
      <c r="T50" s="92" t="s">
        <v>474</v>
      </c>
    </row>
    <row r="51" spans="1:20" s="54" customFormat="1" ht="12.45" customHeight="1">
      <c r="A51" s="219"/>
      <c r="B51" s="68"/>
      <c r="C51" s="51"/>
      <c r="D51" s="51"/>
      <c r="F51" s="118"/>
      <c r="H51" s="125"/>
      <c r="I51" s="51"/>
      <c r="K51" s="51"/>
      <c r="L51" s="51"/>
      <c r="N51" s="118"/>
      <c r="P51" s="125"/>
      <c r="Q51" s="125"/>
      <c r="R51" s="118"/>
      <c r="S51" s="125"/>
      <c r="T51" s="92"/>
    </row>
    <row r="52" spans="1:20" ht="12.45" customHeight="1">
      <c r="B52" s="129" t="s">
        <v>430</v>
      </c>
      <c r="C52" s="59"/>
      <c r="E52" s="179"/>
      <c r="F52" s="118">
        <v>8.07</v>
      </c>
      <c r="G52" s="118"/>
      <c r="H52" s="125">
        <v>1.9519999999999999E-2</v>
      </c>
      <c r="I52" s="98" t="s">
        <v>469</v>
      </c>
      <c r="J52" s="59"/>
      <c r="K52" s="98" t="s">
        <v>262</v>
      </c>
      <c r="M52" s="179"/>
      <c r="N52" s="118">
        <v>9.75</v>
      </c>
      <c r="O52" s="118"/>
      <c r="P52" s="125">
        <v>1.8280000000000001E-2</v>
      </c>
      <c r="Q52" s="125"/>
      <c r="R52" s="118">
        <f>+N52-F52</f>
        <v>1.6799999999999997</v>
      </c>
      <c r="S52" s="125">
        <f>+P52-H52</f>
        <v>-1.239999999999998E-3</v>
      </c>
      <c r="T52" s="220" t="s">
        <v>469</v>
      </c>
    </row>
    <row r="53" spans="1:20" ht="12.45" customHeight="1">
      <c r="B53" s="121"/>
      <c r="C53" s="59"/>
      <c r="F53" s="118"/>
      <c r="G53" s="118"/>
      <c r="H53" s="125">
        <v>4.3499999999999997E-3</v>
      </c>
      <c r="I53" s="51" t="s">
        <v>470</v>
      </c>
      <c r="J53" s="59"/>
      <c r="K53" s="59"/>
      <c r="N53" s="118"/>
      <c r="O53" s="118"/>
      <c r="P53" s="125">
        <v>4.0699999999999998E-3</v>
      </c>
      <c r="Q53" s="125"/>
      <c r="R53" s="118"/>
      <c r="S53" s="125">
        <f>+P53-H53</f>
        <v>-2.7999999999999987E-4</v>
      </c>
      <c r="T53" s="92" t="s">
        <v>470</v>
      </c>
    </row>
    <row r="54" spans="1:20" ht="12.45" customHeight="1">
      <c r="B54" s="121"/>
      <c r="C54" s="59"/>
      <c r="F54" s="118"/>
      <c r="G54" s="118"/>
      <c r="H54" s="125"/>
      <c r="J54" s="59"/>
      <c r="K54" s="98"/>
      <c r="N54" s="118"/>
      <c r="O54" s="118"/>
      <c r="P54" s="125"/>
      <c r="Q54" s="125"/>
      <c r="R54" s="118"/>
      <c r="S54" s="125"/>
      <c r="T54" s="92"/>
    </row>
    <row r="55" spans="1:20" ht="12.45" customHeight="1">
      <c r="B55" s="129" t="s">
        <v>431</v>
      </c>
      <c r="C55" s="59"/>
      <c r="F55" s="118"/>
      <c r="G55" s="118"/>
      <c r="H55" s="125">
        <v>6.6E-4</v>
      </c>
      <c r="I55" s="51" t="s">
        <v>474</v>
      </c>
      <c r="J55" s="59"/>
      <c r="K55" s="98" t="s">
        <v>431</v>
      </c>
      <c r="N55" s="118"/>
      <c r="O55" s="118"/>
      <c r="P55" s="125">
        <v>6.6E-4</v>
      </c>
      <c r="Q55" s="125"/>
      <c r="R55" s="118"/>
      <c r="S55" s="125">
        <f t="shared" ref="S55:S68" si="7">+P55-H55</f>
        <v>0</v>
      </c>
      <c r="T55" s="92" t="s">
        <v>474</v>
      </c>
    </row>
    <row r="56" spans="1:20" ht="12.45" customHeight="1">
      <c r="B56" s="129" t="s">
        <v>432</v>
      </c>
      <c r="C56" s="59"/>
      <c r="F56" s="118"/>
      <c r="G56" s="118"/>
      <c r="H56" s="125">
        <v>6.6400000000000001E-3</v>
      </c>
      <c r="I56" s="51" t="s">
        <v>474</v>
      </c>
      <c r="J56" s="59"/>
      <c r="K56" s="98" t="s">
        <v>432</v>
      </c>
      <c r="N56" s="118"/>
      <c r="O56" s="118"/>
      <c r="P56" s="125">
        <v>7.4800000000000005E-3</v>
      </c>
      <c r="Q56" s="125"/>
      <c r="R56" s="118"/>
      <c r="S56" s="125">
        <f t="shared" si="7"/>
        <v>8.4000000000000047E-4</v>
      </c>
      <c r="T56" s="92" t="s">
        <v>474</v>
      </c>
    </row>
    <row r="57" spans="1:20" ht="12.45" customHeight="1">
      <c r="B57" s="121" t="s">
        <v>433</v>
      </c>
      <c r="C57" s="59"/>
      <c r="F57" s="118"/>
      <c r="G57" s="118"/>
      <c r="H57" s="125">
        <v>4.0099999999999997E-3</v>
      </c>
      <c r="I57" s="51" t="s">
        <v>474</v>
      </c>
      <c r="J57" s="59"/>
      <c r="K57" s="59" t="s">
        <v>433</v>
      </c>
      <c r="N57" s="118"/>
      <c r="O57" s="118"/>
      <c r="P57" s="125">
        <v>4.0099999999999997E-3</v>
      </c>
      <c r="Q57" s="125"/>
      <c r="R57" s="118"/>
      <c r="S57" s="125">
        <f t="shared" si="7"/>
        <v>0</v>
      </c>
      <c r="T57" s="92" t="s">
        <v>474</v>
      </c>
    </row>
    <row r="58" spans="1:20" ht="12.45" customHeight="1">
      <c r="B58" s="121" t="s">
        <v>434</v>
      </c>
      <c r="C58" s="59"/>
      <c r="F58" s="118"/>
      <c r="G58" s="118"/>
      <c r="H58" s="125">
        <v>4.4999999999999999E-4</v>
      </c>
      <c r="I58" s="51" t="s">
        <v>474</v>
      </c>
      <c r="J58" s="59"/>
      <c r="K58" s="59" t="s">
        <v>434</v>
      </c>
      <c r="N58" s="118"/>
      <c r="O58" s="118"/>
      <c r="P58" s="125">
        <v>4.4999999999999999E-4</v>
      </c>
      <c r="Q58" s="125"/>
      <c r="R58" s="118"/>
      <c r="S58" s="125">
        <f t="shared" si="7"/>
        <v>0</v>
      </c>
      <c r="T58" s="92" t="s">
        <v>474</v>
      </c>
    </row>
    <row r="59" spans="1:20" ht="12.45" customHeight="1">
      <c r="B59" s="121" t="s">
        <v>435</v>
      </c>
      <c r="C59" s="59"/>
      <c r="F59" s="118" t="s">
        <v>465</v>
      </c>
      <c r="G59" s="118"/>
      <c r="H59" s="125">
        <v>1.3999999999999999E-4</v>
      </c>
      <c r="I59" s="51" t="s">
        <v>474</v>
      </c>
      <c r="J59" s="59"/>
      <c r="K59" s="59" t="s">
        <v>435</v>
      </c>
      <c r="N59" s="118" t="s">
        <v>465</v>
      </c>
      <c r="O59" s="118"/>
      <c r="P59" s="125">
        <v>1.3999999999999999E-4</v>
      </c>
      <c r="Q59" s="125"/>
      <c r="R59" s="118"/>
      <c r="S59" s="125">
        <f t="shared" si="7"/>
        <v>0</v>
      </c>
      <c r="T59" s="92" t="s">
        <v>474</v>
      </c>
    </row>
    <row r="60" spans="1:20" ht="12.45" customHeight="1">
      <c r="B60" s="68" t="s">
        <v>436</v>
      </c>
      <c r="C60" s="59"/>
      <c r="F60" s="118"/>
      <c r="G60" s="118"/>
      <c r="H60" s="125">
        <v>-2.7499999999999998E-3</v>
      </c>
      <c r="I60" s="51" t="s">
        <v>474</v>
      </c>
      <c r="J60" s="59"/>
      <c r="K60" s="51" t="s">
        <v>436</v>
      </c>
      <c r="N60" s="118"/>
      <c r="O60" s="118"/>
      <c r="P60" s="125">
        <v>-2.7499999999999998E-3</v>
      </c>
      <c r="Q60" s="125"/>
      <c r="R60" s="118"/>
      <c r="S60" s="125">
        <f t="shared" si="7"/>
        <v>0</v>
      </c>
      <c r="T60" s="92" t="s">
        <v>474</v>
      </c>
    </row>
    <row r="61" spans="1:20" ht="12.45" customHeight="1">
      <c r="B61" s="68" t="s">
        <v>437</v>
      </c>
      <c r="C61" s="59"/>
      <c r="F61" s="118"/>
      <c r="G61" s="118"/>
      <c r="H61" s="125">
        <v>2.3800000000000002E-3</v>
      </c>
      <c r="I61" s="51" t="s">
        <v>474</v>
      </c>
      <c r="J61" s="59"/>
      <c r="K61" s="51" t="s">
        <v>437</v>
      </c>
      <c r="N61" s="118"/>
      <c r="O61" s="118"/>
      <c r="P61" s="125">
        <v>7.1000000000000013E-4</v>
      </c>
      <c r="Q61" s="125"/>
      <c r="R61" s="118"/>
      <c r="S61" s="125">
        <f t="shared" si="7"/>
        <v>-1.67E-3</v>
      </c>
      <c r="T61" s="92" t="s">
        <v>474</v>
      </c>
    </row>
    <row r="62" spans="1:20" ht="12.45" customHeight="1">
      <c r="B62" s="129" t="s">
        <v>438</v>
      </c>
      <c r="C62" s="59"/>
      <c r="F62" s="118"/>
      <c r="G62" s="118"/>
      <c r="H62" s="125">
        <v>-4.0000000000000003E-5</v>
      </c>
      <c r="I62" s="51" t="s">
        <v>474</v>
      </c>
      <c r="J62" s="59"/>
      <c r="K62" s="98" t="s">
        <v>438</v>
      </c>
      <c r="N62" s="118"/>
      <c r="O62" s="118"/>
      <c r="P62" s="125">
        <v>-2.9999999999999997E-4</v>
      </c>
      <c r="Q62" s="125"/>
      <c r="R62" s="118"/>
      <c r="S62" s="125">
        <f t="shared" si="7"/>
        <v>-2.5999999999999998E-4</v>
      </c>
      <c r="T62" s="92" t="s">
        <v>474</v>
      </c>
    </row>
    <row r="63" spans="1:20" ht="12.45" customHeight="1">
      <c r="B63" s="68" t="s">
        <v>439</v>
      </c>
      <c r="C63" s="59"/>
      <c r="F63" s="118"/>
      <c r="G63" s="118"/>
      <c r="H63" s="125">
        <v>9.7999999999999997E-4</v>
      </c>
      <c r="I63" s="51" t="s">
        <v>474</v>
      </c>
      <c r="J63" s="59"/>
      <c r="K63" s="51" t="s">
        <v>439</v>
      </c>
      <c r="N63" s="118"/>
      <c r="O63" s="118"/>
      <c r="P63" s="125">
        <v>9.7999999999999997E-4</v>
      </c>
      <c r="Q63" s="125"/>
      <c r="R63" s="118"/>
      <c r="S63" s="125">
        <f t="shared" si="7"/>
        <v>0</v>
      </c>
      <c r="T63" s="92" t="s">
        <v>474</v>
      </c>
    </row>
    <row r="64" spans="1:20" ht="12.45" customHeight="1">
      <c r="B64" s="121" t="s">
        <v>440</v>
      </c>
      <c r="F64" s="193" t="s">
        <v>465</v>
      </c>
      <c r="H64" s="125">
        <v>-1E-4</v>
      </c>
      <c r="I64" s="51" t="s">
        <v>474</v>
      </c>
      <c r="K64" s="51" t="s">
        <v>440</v>
      </c>
      <c r="N64" s="193" t="s">
        <v>465</v>
      </c>
      <c r="P64" s="125">
        <f>+H64</f>
        <v>-1E-4</v>
      </c>
      <c r="Q64" s="125"/>
      <c r="R64" s="193" t="s">
        <v>465</v>
      </c>
      <c r="S64" s="125">
        <f t="shared" si="7"/>
        <v>0</v>
      </c>
      <c r="T64" s="92" t="s">
        <v>474</v>
      </c>
    </row>
    <row r="65" spans="2:20" ht="12.45" customHeight="1">
      <c r="B65" s="68" t="s">
        <v>441</v>
      </c>
      <c r="F65" s="194"/>
      <c r="H65" s="125">
        <v>1.2999999999999999E-4</v>
      </c>
      <c r="I65" s="51" t="s">
        <v>474</v>
      </c>
      <c r="K65" s="51" t="s">
        <v>441</v>
      </c>
      <c r="N65" s="194"/>
      <c r="P65" s="125">
        <v>1.2999999999999999E-4</v>
      </c>
      <c r="Q65" s="127"/>
      <c r="R65" s="194"/>
      <c r="S65" s="125">
        <f t="shared" si="7"/>
        <v>0</v>
      </c>
      <c r="T65" s="92" t="s">
        <v>474</v>
      </c>
    </row>
    <row r="66" spans="2:20" ht="12.45" customHeight="1">
      <c r="B66" s="68" t="s">
        <v>442</v>
      </c>
      <c r="F66" s="194"/>
      <c r="H66" s="127">
        <v>5.0000000000000001E-4</v>
      </c>
      <c r="I66" s="51" t="s">
        <v>474</v>
      </c>
      <c r="K66" s="98" t="s">
        <v>442</v>
      </c>
      <c r="N66" s="194"/>
      <c r="P66" s="127">
        <v>5.0000000000000001E-4</v>
      </c>
      <c r="Q66" s="127"/>
      <c r="R66" s="194"/>
      <c r="S66" s="125">
        <f t="shared" si="7"/>
        <v>0</v>
      </c>
      <c r="T66" s="92" t="s">
        <v>474</v>
      </c>
    </row>
    <row r="67" spans="2:20" ht="12.45" customHeight="1">
      <c r="B67" s="121"/>
      <c r="C67" s="59"/>
      <c r="E67" s="131" t="s">
        <v>476</v>
      </c>
      <c r="F67" s="118">
        <f>SUM(F52:F66)</f>
        <v>8.07</v>
      </c>
      <c r="G67" s="118"/>
      <c r="H67" s="125">
        <f>SUM(H52,H55:H66)</f>
        <v>3.252E-2</v>
      </c>
      <c r="I67" s="98" t="s">
        <v>469</v>
      </c>
      <c r="J67" s="59"/>
      <c r="K67" s="98"/>
      <c r="M67" s="131" t="s">
        <v>476</v>
      </c>
      <c r="N67" s="118">
        <f>SUM(N52:N64)</f>
        <v>9.75</v>
      </c>
      <c r="O67" s="118"/>
      <c r="P67" s="125">
        <f>SUM(P52,P55:P66)</f>
        <v>3.0190000000000002E-2</v>
      </c>
      <c r="Q67" s="125"/>
      <c r="R67" s="118">
        <f>+N67-F67</f>
        <v>1.6799999999999997</v>
      </c>
      <c r="S67" s="125">
        <f t="shared" si="7"/>
        <v>-2.3299999999999987E-3</v>
      </c>
      <c r="T67" s="220" t="s">
        <v>469</v>
      </c>
    </row>
    <row r="68" spans="2:20" ht="12.45" customHeight="1">
      <c r="B68" s="121"/>
      <c r="C68" s="59"/>
      <c r="E68" s="124"/>
      <c r="F68" s="118"/>
      <c r="G68" s="118"/>
      <c r="H68" s="125">
        <f>SUM(H53,H55:H66)</f>
        <v>1.7350000000000004E-2</v>
      </c>
      <c r="I68" s="51" t="s">
        <v>470</v>
      </c>
      <c r="J68" s="59"/>
      <c r="K68" s="98"/>
      <c r="M68" s="124"/>
      <c r="N68" s="118"/>
      <c r="O68" s="118"/>
      <c r="P68" s="125">
        <f>SUM(P53,P55:P66)</f>
        <v>1.5980000000000001E-2</v>
      </c>
      <c r="Q68" s="125"/>
      <c r="R68" s="118"/>
      <c r="S68" s="125">
        <f t="shared" si="7"/>
        <v>-1.3700000000000032E-3</v>
      </c>
      <c r="T68" s="92" t="s">
        <v>470</v>
      </c>
    </row>
    <row r="69" spans="2:20" ht="12.45" customHeight="1">
      <c r="B69" s="121"/>
      <c r="C69" s="59"/>
      <c r="E69" s="124"/>
      <c r="F69" s="118"/>
      <c r="G69" s="118"/>
      <c r="H69" s="125"/>
      <c r="J69" s="59"/>
      <c r="K69" s="59"/>
      <c r="M69" s="124"/>
      <c r="N69" s="118"/>
      <c r="O69" s="118"/>
      <c r="P69" s="125"/>
      <c r="Q69" s="125"/>
      <c r="R69" s="118"/>
      <c r="S69" s="125"/>
      <c r="T69" s="92"/>
    </row>
    <row r="70" spans="2:20" ht="12.45" customHeight="1">
      <c r="B70" s="121" t="s">
        <v>444</v>
      </c>
      <c r="C70" s="59"/>
      <c r="F70" s="114"/>
      <c r="G70" s="114"/>
      <c r="H70" s="125">
        <v>5.0000000000000001E-4</v>
      </c>
      <c r="I70" s="51" t="s">
        <v>474</v>
      </c>
      <c r="J70" s="59"/>
      <c r="K70" s="59" t="s">
        <v>444</v>
      </c>
      <c r="N70" s="114"/>
      <c r="O70" s="114"/>
      <c r="P70" s="125">
        <v>5.0000000000000001E-4</v>
      </c>
      <c r="Q70" s="125"/>
      <c r="R70" s="114"/>
      <c r="S70" s="125">
        <f>+P70-H70</f>
        <v>0</v>
      </c>
      <c r="T70" s="92" t="s">
        <v>474</v>
      </c>
    </row>
    <row r="71" spans="2:20" ht="12.45" customHeight="1">
      <c r="B71" s="121"/>
      <c r="C71" s="59"/>
      <c r="F71" s="114"/>
      <c r="G71" s="114"/>
      <c r="H71" s="125"/>
      <c r="J71" s="59"/>
      <c r="K71" s="59"/>
      <c r="N71" s="114"/>
      <c r="O71" s="114"/>
      <c r="P71" s="125"/>
      <c r="Q71" s="125"/>
      <c r="R71" s="114"/>
      <c r="T71" s="92"/>
    </row>
    <row r="72" spans="2:20" ht="12.45" customHeight="1">
      <c r="B72" s="121" t="s">
        <v>445</v>
      </c>
      <c r="C72" s="59"/>
      <c r="F72" s="114"/>
      <c r="G72" s="114"/>
      <c r="H72" s="125">
        <v>2.5000000000000001E-3</v>
      </c>
      <c r="I72" s="51" t="s">
        <v>474</v>
      </c>
      <c r="J72" s="59"/>
      <c r="K72" s="51" t="s">
        <v>445</v>
      </c>
      <c r="N72" s="114"/>
      <c r="O72" s="114"/>
      <c r="P72" s="125">
        <v>2.5000000000000001E-3</v>
      </c>
      <c r="Q72" s="125"/>
      <c r="R72" s="114"/>
      <c r="S72" s="125">
        <f>+P72-H72</f>
        <v>0</v>
      </c>
      <c r="T72" s="92" t="s">
        <v>474</v>
      </c>
    </row>
    <row r="73" spans="2:20" ht="12.45" customHeight="1">
      <c r="B73" s="129" t="s">
        <v>446</v>
      </c>
      <c r="C73" s="59"/>
      <c r="F73" s="114"/>
      <c r="G73" s="114"/>
      <c r="H73" s="192">
        <v>9.7199999999999995E-3</v>
      </c>
      <c r="I73" s="51" t="s">
        <v>474</v>
      </c>
      <c r="J73" s="59"/>
      <c r="K73" s="51" t="s">
        <v>446</v>
      </c>
      <c r="N73" s="114"/>
      <c r="O73" s="114"/>
      <c r="P73" s="192">
        <v>9.7199999999999995E-3</v>
      </c>
      <c r="Q73" s="125"/>
      <c r="R73" s="114"/>
      <c r="S73" s="125">
        <f>+P73-H73</f>
        <v>0</v>
      </c>
      <c r="T73" s="92" t="s">
        <v>474</v>
      </c>
    </row>
    <row r="74" spans="2:20" s="54" customFormat="1" ht="12.45" customHeight="1">
      <c r="B74" s="129"/>
      <c r="C74" s="59"/>
      <c r="D74" s="51"/>
      <c r="E74" s="124" t="s">
        <v>463</v>
      </c>
      <c r="F74" s="115"/>
      <c r="G74" s="114"/>
      <c r="H74" s="125">
        <f>SUM(H72:H73)</f>
        <v>1.222E-2</v>
      </c>
      <c r="I74" s="51" t="s">
        <v>474</v>
      </c>
      <c r="J74" s="59"/>
      <c r="K74" s="59"/>
      <c r="L74" s="51"/>
      <c r="M74" s="124" t="s">
        <v>448</v>
      </c>
      <c r="N74" s="115"/>
      <c r="O74" s="114"/>
      <c r="P74" s="125">
        <f>SUM(P72:P73)</f>
        <v>1.222E-2</v>
      </c>
      <c r="Q74" s="125"/>
      <c r="R74" s="115"/>
      <c r="S74" s="125">
        <f>+P74-H74</f>
        <v>0</v>
      </c>
      <c r="T74" s="92" t="s">
        <v>474</v>
      </c>
    </row>
    <row r="75" spans="2:20" s="54" customFormat="1" ht="12.45" customHeight="1">
      <c r="B75" s="129"/>
      <c r="C75" s="59"/>
      <c r="D75" s="51"/>
      <c r="E75" s="179"/>
      <c r="F75" s="118"/>
      <c r="G75" s="118"/>
      <c r="H75" s="125"/>
      <c r="J75" s="59"/>
      <c r="K75" s="51"/>
      <c r="L75" s="51"/>
      <c r="M75" s="179"/>
      <c r="N75" s="118"/>
      <c r="O75" s="118"/>
      <c r="P75" s="125"/>
      <c r="Q75" s="125"/>
      <c r="R75" s="118"/>
      <c r="S75" s="125"/>
      <c r="T75" s="220"/>
    </row>
    <row r="76" spans="2:20" s="54" customFormat="1" ht="12.45" customHeight="1">
      <c r="B76" s="129" t="s">
        <v>449</v>
      </c>
      <c r="C76" s="59"/>
      <c r="D76" s="51"/>
      <c r="E76" s="152"/>
      <c r="F76" s="118"/>
      <c r="G76" s="118"/>
      <c r="H76" s="125">
        <v>1.5100000000000001E-3</v>
      </c>
      <c r="I76" s="51" t="s">
        <v>474</v>
      </c>
      <c r="J76" s="59"/>
      <c r="K76" s="51" t="s">
        <v>449</v>
      </c>
      <c r="L76" s="51"/>
      <c r="M76" s="152"/>
      <c r="N76" s="118"/>
      <c r="O76" s="118"/>
      <c r="P76" s="125">
        <v>1.2999999999999999E-3</v>
      </c>
      <c r="Q76" s="125"/>
      <c r="R76" s="118"/>
      <c r="S76" s="125">
        <f>+P76-H76</f>
        <v>-2.1000000000000012E-4</v>
      </c>
      <c r="T76" s="92" t="s">
        <v>474</v>
      </c>
    </row>
    <row r="77" spans="2:20" ht="12.45" customHeight="1">
      <c r="B77" s="121"/>
      <c r="C77" s="59"/>
      <c r="E77" s="152"/>
      <c r="F77" s="114"/>
      <c r="G77" s="118"/>
      <c r="H77" s="125"/>
      <c r="K77" s="59"/>
      <c r="N77" s="114"/>
      <c r="O77" s="114"/>
      <c r="P77" s="125"/>
      <c r="Q77" s="125"/>
      <c r="R77" s="114"/>
      <c r="S77" s="125"/>
      <c r="T77" s="92"/>
    </row>
    <row r="78" spans="2:20" ht="12.45" customHeight="1">
      <c r="B78" s="116" t="s">
        <v>450</v>
      </c>
      <c r="F78" s="114"/>
      <c r="G78" s="114"/>
      <c r="H78" s="125"/>
      <c r="J78" s="83"/>
      <c r="K78" s="119" t="s">
        <v>450</v>
      </c>
      <c r="N78" s="114"/>
      <c r="O78" s="114"/>
      <c r="P78" s="125"/>
      <c r="Q78" s="125"/>
      <c r="R78" s="114"/>
      <c r="S78" s="125"/>
      <c r="T78" s="92"/>
    </row>
    <row r="79" spans="2:20" ht="12.45" customHeight="1">
      <c r="B79" s="129" t="s">
        <v>451</v>
      </c>
      <c r="F79" s="194"/>
      <c r="G79" s="114"/>
      <c r="H79" s="133">
        <v>8.2280000000000006E-2</v>
      </c>
      <c r="I79" s="51" t="s">
        <v>474</v>
      </c>
      <c r="K79" s="98" t="s">
        <v>451</v>
      </c>
      <c r="N79" s="194"/>
      <c r="O79" s="114"/>
      <c r="P79" s="133">
        <v>8.0270000000000008E-2</v>
      </c>
      <c r="Q79" s="133"/>
      <c r="R79" s="194"/>
      <c r="S79" s="127">
        <f>+P79-H79</f>
        <v>-2.0099999999999979E-3</v>
      </c>
      <c r="T79" s="92" t="s">
        <v>474</v>
      </c>
    </row>
    <row r="80" spans="2:20" ht="12.45" customHeight="1">
      <c r="B80" s="68"/>
      <c r="F80" s="195"/>
      <c r="G80" s="195"/>
      <c r="H80" s="195"/>
      <c r="N80" s="195"/>
      <c r="O80" s="195"/>
      <c r="P80" s="195"/>
      <c r="Q80" s="195"/>
      <c r="R80" s="195"/>
      <c r="S80" s="195"/>
      <c r="T80" s="92"/>
    </row>
    <row r="81" spans="2:22" ht="12.45" customHeight="1">
      <c r="B81" s="68"/>
      <c r="E81" s="81" t="s">
        <v>467</v>
      </c>
      <c r="F81" s="118">
        <f>+F67</f>
        <v>8.07</v>
      </c>
      <c r="G81" s="195"/>
      <c r="H81" s="125">
        <f>SUM(H50,H67,H70,H74,H76,H79)</f>
        <v>0.15251999999999999</v>
      </c>
      <c r="I81" s="98" t="s">
        <v>469</v>
      </c>
      <c r="K81" s="198"/>
      <c r="M81" s="81" t="s">
        <v>467</v>
      </c>
      <c r="N81" s="118">
        <f>+N67</f>
        <v>9.75</v>
      </c>
      <c r="O81" s="195"/>
      <c r="P81" s="125">
        <f>SUM(P50,P67,P70,P74,P76,P79)</f>
        <v>0.14790999999999999</v>
      </c>
      <c r="Q81" s="125"/>
      <c r="R81" s="118">
        <f>+N81-F81</f>
        <v>1.6799999999999997</v>
      </c>
      <c r="S81" s="125">
        <f>+P81-H81</f>
        <v>-4.610000000000003E-3</v>
      </c>
      <c r="T81" s="220" t="s">
        <v>469</v>
      </c>
    </row>
    <row r="82" spans="2:22" ht="12.45" customHeight="1">
      <c r="B82" s="68"/>
      <c r="F82" s="195"/>
      <c r="G82" s="195"/>
      <c r="H82" s="125">
        <f>SUM(H50,H68,H70,H74,H76,H79)</f>
        <v>0.13735</v>
      </c>
      <c r="I82" s="51" t="s">
        <v>470</v>
      </c>
      <c r="M82" s="179"/>
      <c r="N82" s="195"/>
      <c r="O82" s="195"/>
      <c r="P82" s="125">
        <f>SUM(P50,P68,P70,P74,P76,P79)</f>
        <v>0.13370000000000001</v>
      </c>
      <c r="Q82" s="125"/>
      <c r="S82" s="125">
        <f>+P82-H82</f>
        <v>-3.6499999999999866E-3</v>
      </c>
      <c r="T82" s="92" t="s">
        <v>470</v>
      </c>
    </row>
    <row r="83" spans="2:22" ht="12.45" customHeight="1">
      <c r="B83" s="101"/>
      <c r="C83" s="140"/>
      <c r="D83" s="140"/>
      <c r="E83" s="140"/>
      <c r="F83" s="221"/>
      <c r="G83" s="221"/>
      <c r="H83" s="221"/>
      <c r="I83" s="140"/>
      <c r="J83" s="140"/>
      <c r="K83" s="140"/>
      <c r="L83" s="140"/>
      <c r="M83" s="140"/>
      <c r="N83" s="150"/>
      <c r="O83" s="150"/>
      <c r="P83" s="150"/>
      <c r="Q83" s="150"/>
      <c r="R83" s="150"/>
      <c r="S83" s="150"/>
      <c r="T83" s="109"/>
    </row>
    <row r="84" spans="2:22" ht="12.45" customHeight="1">
      <c r="F84" s="53"/>
      <c r="G84" s="53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</row>
    <row r="85" spans="2:22" ht="12.45" customHeight="1">
      <c r="B85" s="98"/>
      <c r="F85" s="53"/>
      <c r="G85" s="53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V85" s="130"/>
    </row>
    <row r="86" spans="2:22" ht="13.2">
      <c r="B86" s="222" t="s">
        <v>477</v>
      </c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</row>
    <row r="87" spans="2:22" ht="13.2">
      <c r="B87" s="169" t="s">
        <v>478</v>
      </c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</row>
    <row r="88" spans="2:22" ht="12.45" customHeight="1">
      <c r="B88" s="169" t="s">
        <v>168</v>
      </c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</row>
    <row r="89" spans="2:22" ht="12.45" customHeight="1">
      <c r="B89" s="169" t="s">
        <v>168</v>
      </c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</row>
    <row r="90" spans="2:22" ht="12.45" customHeight="1">
      <c r="B90" s="222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</row>
    <row r="91" spans="2:22" ht="12.45" customHeight="1">
      <c r="B91" s="223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</row>
    <row r="92" spans="2:22" ht="12.45" customHeight="1"/>
    <row r="93" spans="2:22" ht="12.45" customHeight="1"/>
    <row r="94" spans="2:22" ht="12.45" customHeight="1">
      <c r="G94" s="81" t="s">
        <v>454</v>
      </c>
      <c r="H94" s="130">
        <f>+H81-H79</f>
        <v>7.0239999999999983E-2</v>
      </c>
      <c r="O94" s="81" t="s">
        <v>454</v>
      </c>
      <c r="P94" s="130">
        <f>+P81-P79</f>
        <v>6.7639999999999978E-2</v>
      </c>
      <c r="Q94" s="130"/>
      <c r="R94" s="130"/>
      <c r="S94" s="130"/>
    </row>
    <row r="95" spans="2:22" ht="12.45" customHeight="1">
      <c r="H95" s="130">
        <f>+H82-H79</f>
        <v>5.5069999999999994E-2</v>
      </c>
      <c r="P95" s="130">
        <f>+P82-P79</f>
        <v>5.3430000000000005E-2</v>
      </c>
      <c r="Q95" s="130"/>
      <c r="R95" s="130"/>
      <c r="S95" s="130"/>
    </row>
    <row r="96" spans="2:22" ht="11.7" customHeight="1">
      <c r="P96" s="130"/>
      <c r="Q96" s="130"/>
      <c r="R96" s="130"/>
      <c r="S96" s="130"/>
    </row>
    <row r="97" spans="16:19" ht="11.7" customHeight="1">
      <c r="P97" s="130"/>
      <c r="Q97" s="130"/>
      <c r="R97" s="130"/>
      <c r="S97" s="130"/>
    </row>
    <row r="116" spans="4:5">
      <c r="E116" s="121"/>
    </row>
    <row r="117" spans="4:5">
      <c r="E117" s="121"/>
    </row>
    <row r="118" spans="4:5">
      <c r="E118" s="121"/>
    </row>
    <row r="119" spans="4:5">
      <c r="E119" s="129"/>
    </row>
    <row r="120" spans="4:5">
      <c r="E120" s="129"/>
    </row>
    <row r="121" spans="4:5">
      <c r="E121" s="129"/>
    </row>
    <row r="122" spans="4:5">
      <c r="D122" s="129"/>
      <c r="E122" s="129"/>
    </row>
    <row r="123" spans="4:5">
      <c r="D123" s="129"/>
    </row>
    <row r="124" spans="4:5">
      <c r="D124" s="121"/>
    </row>
    <row r="125" spans="4:5">
      <c r="D125" s="121"/>
    </row>
    <row r="126" spans="4:5">
      <c r="D126" s="121"/>
    </row>
    <row r="127" spans="4:5">
      <c r="D127" s="68"/>
    </row>
    <row r="128" spans="4:5">
      <c r="D128" s="68"/>
    </row>
    <row r="129" spans="4:4">
      <c r="D129" s="129"/>
    </row>
    <row r="130" spans="4:4">
      <c r="D130" s="68"/>
    </row>
    <row r="131" spans="4:4">
      <c r="D131" s="121"/>
    </row>
    <row r="132" spans="4:4">
      <c r="D132" s="68"/>
    </row>
    <row r="133" spans="4:4">
      <c r="D133" s="68"/>
    </row>
    <row r="134" spans="4:4">
      <c r="D134" s="68"/>
    </row>
    <row r="135" spans="4:4">
      <c r="D135" s="68"/>
    </row>
    <row r="136" spans="4:4">
      <c r="D136" s="121"/>
    </row>
    <row r="137" spans="4:4">
      <c r="D137" s="121"/>
    </row>
    <row r="138" spans="4:4">
      <c r="D138" s="121"/>
    </row>
    <row r="139" spans="4:4">
      <c r="D139" s="129"/>
    </row>
    <row r="140" spans="4:4">
      <c r="D140" s="129"/>
    </row>
    <row r="141" spans="4:4">
      <c r="D141" s="129"/>
    </row>
    <row r="142" spans="4:4">
      <c r="D142" s="129"/>
    </row>
  </sheetData>
  <printOptions horizontalCentered="1"/>
  <pageMargins left="0.5" right="0.5" top="0.75" bottom="0.25" header="0.5" footer="0.5"/>
  <pageSetup paperSize="9" orientation="portrait" blackAndWhite="1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7CBD-685A-4818-953E-700F886743A5}">
  <sheetPr>
    <pageSetUpPr fitToPage="1"/>
  </sheetPr>
  <dimension ref="A1:AC73"/>
  <sheetViews>
    <sheetView workbookViewId="0"/>
  </sheetViews>
  <sheetFormatPr defaultColWidth="8.77734375" defaultRowHeight="11.4"/>
  <cols>
    <col min="1" max="1" width="8.77734375" style="51" customWidth="1"/>
    <col min="2" max="2" width="3.77734375" style="51" customWidth="1"/>
    <col min="3" max="3" width="12.44140625" style="51" customWidth="1"/>
    <col min="4" max="4" width="3.77734375" style="51" customWidth="1"/>
    <col min="5" max="5" width="10.44140625" style="51" customWidth="1"/>
    <col min="6" max="6" width="3.77734375" style="51" customWidth="1"/>
    <col min="7" max="7" width="7.5546875" style="51" customWidth="1"/>
    <col min="8" max="8" width="4.77734375" style="51" customWidth="1"/>
    <col min="9" max="9" width="8.77734375" style="51" customWidth="1"/>
    <col min="10" max="10" width="2.77734375" style="51" customWidth="1"/>
    <col min="11" max="11" width="12.5546875" style="51" customWidth="1"/>
    <col min="12" max="12" width="3.21875" style="51" customWidth="1"/>
    <col min="13" max="13" width="14.109375" style="51" customWidth="1"/>
    <col min="14" max="14" width="3.21875" style="51" customWidth="1"/>
    <col min="15" max="15" width="16.77734375" style="51" customWidth="1"/>
    <col min="16" max="16" width="5.77734375" style="51" customWidth="1"/>
    <col min="17" max="17" width="13.77734375" style="51" customWidth="1"/>
    <col min="18" max="18" width="7.77734375" style="51" customWidth="1"/>
    <col min="19" max="19" width="10.5546875" style="51" customWidth="1"/>
    <col min="20" max="20" width="1.77734375" style="51" customWidth="1"/>
    <col min="21" max="22" width="10.5546875" style="51" customWidth="1"/>
    <col min="23" max="23" width="7.77734375" style="51" customWidth="1"/>
    <col min="24" max="24" width="8.77734375" style="51" customWidth="1"/>
    <col min="25" max="25" width="9.44140625" style="51" bestFit="1" customWidth="1"/>
    <col min="26" max="26" width="9.5546875" style="51" customWidth="1"/>
    <col min="27" max="16384" width="8.77734375" style="51"/>
  </cols>
  <sheetData>
    <row r="1" spans="1:29" ht="12.45" customHeight="1">
      <c r="M1" s="53"/>
    </row>
    <row r="2" spans="1:29" ht="12.45" customHeight="1"/>
    <row r="3" spans="1:29" ht="12.45" customHeight="1">
      <c r="B3" s="55" t="s">
        <v>285</v>
      </c>
      <c r="C3" s="56"/>
      <c r="D3" s="56"/>
      <c r="E3" s="56"/>
      <c r="F3" s="56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8"/>
      <c r="X3" s="59"/>
      <c r="Y3" s="59"/>
      <c r="Z3" s="59"/>
      <c r="AA3" s="59"/>
    </row>
    <row r="4" spans="1:29" ht="12.45" customHeight="1">
      <c r="B4" s="171" t="s">
        <v>410</v>
      </c>
      <c r="C4" s="61"/>
      <c r="D4" s="61"/>
      <c r="E4" s="61"/>
      <c r="F4" s="61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3"/>
      <c r="X4" s="59"/>
      <c r="Y4" s="59"/>
      <c r="Z4" s="59"/>
      <c r="AA4" s="59"/>
    </row>
    <row r="5" spans="1:29" ht="12.45" customHeight="1">
      <c r="B5" s="64" t="s">
        <v>479</v>
      </c>
      <c r="C5" s="65"/>
      <c r="D5" s="65"/>
      <c r="E5" s="65"/>
      <c r="F5" s="65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7"/>
      <c r="X5" s="59"/>
      <c r="Y5" s="59"/>
      <c r="Z5" s="59"/>
      <c r="AA5" s="59"/>
    </row>
    <row r="6" spans="1:29" ht="12.45" customHeight="1"/>
    <row r="7" spans="1:29" ht="12.45" customHeight="1">
      <c r="B7" s="69"/>
      <c r="C7" s="70"/>
      <c r="D7" s="70"/>
      <c r="E7" s="204">
        <v>2022</v>
      </c>
      <c r="F7" s="204"/>
      <c r="G7" s="204">
        <v>2022</v>
      </c>
      <c r="H7" s="204"/>
      <c r="I7" s="204">
        <v>2022</v>
      </c>
      <c r="J7" s="73"/>
      <c r="K7" s="73"/>
      <c r="L7" s="73"/>
      <c r="M7" s="73"/>
      <c r="N7" s="73"/>
      <c r="O7" s="73"/>
      <c r="P7" s="73"/>
      <c r="Q7" s="73"/>
      <c r="R7" s="70"/>
      <c r="S7" s="73"/>
      <c r="T7" s="70"/>
      <c r="U7" s="73"/>
      <c r="V7" s="70"/>
      <c r="W7" s="75"/>
    </row>
    <row r="8" spans="1:29" s="52" customFormat="1" ht="12.45" customHeight="1">
      <c r="A8" s="77"/>
      <c r="B8" s="68"/>
      <c r="C8" s="51"/>
      <c r="D8" s="51"/>
      <c r="E8" s="76" t="s">
        <v>413</v>
      </c>
      <c r="F8" s="76"/>
      <c r="G8" s="206" t="s">
        <v>469</v>
      </c>
      <c r="H8" s="53"/>
      <c r="I8" s="206" t="s">
        <v>470</v>
      </c>
      <c r="J8" s="76"/>
      <c r="K8" s="76" t="s">
        <v>414</v>
      </c>
      <c r="L8" s="172"/>
      <c r="M8" s="76" t="s">
        <v>415</v>
      </c>
      <c r="N8" s="76"/>
      <c r="O8" s="172"/>
      <c r="P8" s="76"/>
      <c r="Q8" s="76" t="s">
        <v>416</v>
      </c>
      <c r="R8" s="53"/>
      <c r="S8" s="76" t="s">
        <v>417</v>
      </c>
      <c r="U8" s="76" t="s">
        <v>416</v>
      </c>
      <c r="V8" s="51"/>
      <c r="W8" s="80"/>
    </row>
    <row r="9" spans="1:29" s="52" customFormat="1" ht="12.45" customHeight="1">
      <c r="A9" s="77"/>
      <c r="B9" s="68"/>
      <c r="C9" s="83"/>
      <c r="D9" s="51"/>
      <c r="E9" s="76" t="s">
        <v>418</v>
      </c>
      <c r="F9" s="76"/>
      <c r="G9" s="76" t="s">
        <v>418</v>
      </c>
      <c r="H9" s="53"/>
      <c r="I9" s="76" t="s">
        <v>418</v>
      </c>
      <c r="J9" s="76"/>
      <c r="K9" s="76" t="s">
        <v>326</v>
      </c>
      <c r="L9" s="172"/>
      <c r="M9" s="76" t="s">
        <v>326</v>
      </c>
      <c r="N9" s="76"/>
      <c r="O9" s="76" t="s">
        <v>279</v>
      </c>
      <c r="P9" s="172"/>
      <c r="Q9" s="76" t="s">
        <v>279</v>
      </c>
      <c r="R9" s="53"/>
      <c r="S9" s="76" t="s">
        <v>419</v>
      </c>
      <c r="U9" s="76" t="s">
        <v>419</v>
      </c>
      <c r="V9" s="83"/>
      <c r="W9" s="80"/>
    </row>
    <row r="10" spans="1:29" s="86" customFormat="1" ht="12.45" customHeight="1">
      <c r="A10" s="224"/>
      <c r="B10" s="68"/>
      <c r="C10" s="87" t="s">
        <v>471</v>
      </c>
      <c r="D10" s="51"/>
      <c r="E10" s="88" t="s">
        <v>357</v>
      </c>
      <c r="F10" s="88"/>
      <c r="G10" s="155" t="s">
        <v>421</v>
      </c>
      <c r="H10" s="88"/>
      <c r="I10" s="155" t="s">
        <v>421</v>
      </c>
      <c r="J10" s="88"/>
      <c r="K10" s="88" t="s">
        <v>162</v>
      </c>
      <c r="L10" s="172"/>
      <c r="M10" s="88" t="s">
        <v>162</v>
      </c>
      <c r="N10" s="88"/>
      <c r="O10" s="88" t="s">
        <v>142</v>
      </c>
      <c r="P10" s="172"/>
      <c r="Q10" s="88" t="s">
        <v>142</v>
      </c>
      <c r="R10" s="87"/>
      <c r="S10" s="88" t="s">
        <v>162</v>
      </c>
      <c r="U10" s="88" t="s">
        <v>142</v>
      </c>
      <c r="V10" s="87"/>
      <c r="W10" s="89"/>
      <c r="Y10" s="52"/>
      <c r="Z10" s="52"/>
      <c r="AA10" s="52"/>
      <c r="AB10" s="52"/>
      <c r="AC10" s="52"/>
    </row>
    <row r="11" spans="1:29" ht="12.45" customHeight="1">
      <c r="B11" s="68"/>
      <c r="E11" s="94"/>
      <c r="F11" s="77"/>
      <c r="G11" s="225"/>
      <c r="H11" s="225"/>
      <c r="I11" s="225"/>
      <c r="J11" s="172"/>
      <c r="K11" s="172" t="s">
        <v>156</v>
      </c>
      <c r="L11" s="172"/>
      <c r="M11" s="172"/>
      <c r="N11" s="172"/>
      <c r="O11" s="172"/>
      <c r="P11" s="172"/>
      <c r="Q11" s="172"/>
      <c r="S11" s="172"/>
      <c r="U11" s="172"/>
      <c r="W11" s="92"/>
      <c r="Y11" s="52"/>
      <c r="Z11" s="52"/>
      <c r="AA11" s="52"/>
      <c r="AB11" s="52"/>
      <c r="AC11" s="52"/>
    </row>
    <row r="12" spans="1:29" ht="12.45" customHeight="1">
      <c r="A12" s="212"/>
      <c r="B12" s="68"/>
      <c r="C12" s="51">
        <v>1</v>
      </c>
      <c r="E12" s="94">
        <v>96.875</v>
      </c>
      <c r="F12" s="77"/>
      <c r="G12" s="225">
        <v>3370.75</v>
      </c>
      <c r="H12" s="225"/>
      <c r="I12" s="225">
        <v>18009.666666666668</v>
      </c>
      <c r="J12" s="77"/>
      <c r="K12" s="187">
        <f>+$K$20+E12*$I$56+G12*$K$56+I12*$K$57</f>
        <v>6909.0143508333331</v>
      </c>
      <c r="L12" s="172"/>
      <c r="M12" s="187">
        <f>+$S$20+E12*$R$56+G12*$S$56+I12*$S$57</f>
        <v>6929.9033624999993</v>
      </c>
      <c r="N12" s="172"/>
      <c r="O12" s="187">
        <f>M12-K12</f>
        <v>20.889011666666192</v>
      </c>
      <c r="P12" s="172"/>
      <c r="Q12" s="96">
        <f>M12/K12-1</f>
        <v>3.0234430855027306E-3</v>
      </c>
      <c r="R12" s="188"/>
      <c r="S12" s="187">
        <f>+$K$20+G12*$K$72+I12*$K$73+E12*$I$72</f>
        <v>2502.7242799999999</v>
      </c>
      <c r="U12" s="96">
        <f>+O12/S12</f>
        <v>8.346509375242164E-3</v>
      </c>
      <c r="W12" s="92"/>
      <c r="Y12" s="52"/>
      <c r="Z12" s="52"/>
      <c r="AA12" s="52"/>
      <c r="AB12" s="52"/>
      <c r="AC12" s="52"/>
    </row>
    <row r="13" spans="1:29" ht="12.45" customHeight="1">
      <c r="A13" s="212"/>
      <c r="B13" s="68"/>
      <c r="C13" s="51">
        <f>+C12+1</f>
        <v>2</v>
      </c>
      <c r="E13" s="94">
        <v>2.9169999999999998</v>
      </c>
      <c r="F13" s="77"/>
      <c r="G13" s="225">
        <v>293.33333333333331</v>
      </c>
      <c r="H13" s="225"/>
      <c r="I13" s="225">
        <v>548.33333333333337</v>
      </c>
      <c r="J13" s="77"/>
      <c r="K13" s="187">
        <f>+$K$20+E13*$I$56+G13*$K$56+I13*$K$57</f>
        <v>279.36512333333337</v>
      </c>
      <c r="L13" s="172"/>
      <c r="M13" s="187">
        <f>+$S$20+E13*$R$56+G13*$S$56+I13*$S$57</f>
        <v>283.06891666666667</v>
      </c>
      <c r="N13" s="172"/>
      <c r="O13" s="187">
        <f>M13-K13</f>
        <v>3.7037933333332944</v>
      </c>
      <c r="P13" s="172"/>
      <c r="Q13" s="96">
        <f>M13/K13-1</f>
        <v>1.3257894504297152E-2</v>
      </c>
      <c r="R13" s="188"/>
      <c r="S13" s="187">
        <f>+$K$20+G13*$K$72+I13*$K$73+E13*$I$72</f>
        <v>105.90603999999999</v>
      </c>
      <c r="U13" s="96">
        <f>+O13/S13</f>
        <v>3.4972446645472673E-2</v>
      </c>
      <c r="W13" s="92"/>
      <c r="Y13" s="52"/>
      <c r="Z13" s="52"/>
      <c r="AA13" s="52"/>
      <c r="AB13" s="52"/>
      <c r="AC13" s="52"/>
    </row>
    <row r="14" spans="1:29" ht="12.45" customHeight="1">
      <c r="B14" s="101"/>
      <c r="C14" s="140"/>
      <c r="D14" s="140"/>
      <c r="E14" s="176"/>
      <c r="F14" s="140"/>
      <c r="G14" s="176"/>
      <c r="H14" s="176"/>
      <c r="I14" s="157"/>
      <c r="J14" s="157"/>
      <c r="K14" s="176"/>
      <c r="L14" s="176"/>
      <c r="M14" s="176"/>
      <c r="N14" s="177"/>
      <c r="O14" s="177"/>
      <c r="P14" s="157"/>
      <c r="Q14" s="177"/>
      <c r="R14" s="190"/>
      <c r="S14" s="176"/>
      <c r="T14" s="140"/>
      <c r="U14" s="177"/>
      <c r="V14" s="140"/>
      <c r="W14" s="109"/>
      <c r="Y14" s="52"/>
      <c r="Z14" s="52"/>
      <c r="AA14" s="52"/>
      <c r="AB14" s="52"/>
      <c r="AC14" s="52"/>
    </row>
    <row r="15" spans="1:29" ht="12.45" customHeight="1">
      <c r="G15" s="53"/>
      <c r="H15" s="53"/>
      <c r="I15" s="53"/>
      <c r="J15" s="53"/>
      <c r="K15" s="53"/>
      <c r="L15" s="53"/>
      <c r="M15" s="53"/>
      <c r="N15" s="53"/>
      <c r="O15" s="53"/>
      <c r="W15" s="53"/>
    </row>
    <row r="16" spans="1:29" ht="12.45" customHeight="1">
      <c r="B16" s="69"/>
      <c r="C16" s="70"/>
      <c r="D16" s="70"/>
      <c r="E16" s="70"/>
      <c r="F16" s="70"/>
      <c r="G16" s="110"/>
      <c r="H16" s="110"/>
      <c r="I16" s="110"/>
      <c r="J16" s="110"/>
      <c r="K16" s="110"/>
      <c r="L16" s="110"/>
      <c r="M16" s="110"/>
      <c r="N16" s="110"/>
      <c r="O16" s="110"/>
      <c r="P16" s="70"/>
      <c r="Q16" s="70"/>
      <c r="R16" s="70"/>
      <c r="S16" s="70"/>
      <c r="T16" s="70"/>
      <c r="U16" s="70"/>
      <c r="V16" s="70"/>
      <c r="W16" s="111"/>
    </row>
    <row r="17" spans="1:23" ht="12.45" customHeight="1">
      <c r="B17" s="159" t="s">
        <v>423</v>
      </c>
      <c r="C17" s="160"/>
      <c r="D17" s="160"/>
      <c r="E17" s="160"/>
      <c r="F17" s="112"/>
      <c r="G17" s="54"/>
      <c r="H17" s="53"/>
      <c r="I17" s="53"/>
      <c r="J17" s="53"/>
      <c r="M17" s="53"/>
      <c r="N17" s="160" t="s">
        <v>424</v>
      </c>
      <c r="Q17" s="54"/>
      <c r="S17" s="53"/>
      <c r="T17" s="53"/>
      <c r="U17" s="53"/>
      <c r="V17" s="53"/>
      <c r="W17" s="92"/>
    </row>
    <row r="18" spans="1:23" ht="12.45" customHeight="1">
      <c r="B18" s="121"/>
      <c r="C18" s="59"/>
      <c r="D18" s="59"/>
      <c r="E18" s="59"/>
      <c r="F18" s="59"/>
      <c r="G18" s="114"/>
      <c r="H18" s="114"/>
      <c r="I18" s="114"/>
      <c r="J18" s="114"/>
      <c r="K18" s="53" t="s">
        <v>46</v>
      </c>
      <c r="N18" s="114"/>
      <c r="P18" s="114"/>
      <c r="Q18" s="114"/>
      <c r="R18" s="114"/>
      <c r="S18" s="53" t="s">
        <v>46</v>
      </c>
      <c r="T18" s="53"/>
      <c r="U18" s="226" t="s">
        <v>142</v>
      </c>
      <c r="V18" s="115" t="s">
        <v>425</v>
      </c>
      <c r="W18" s="92"/>
    </row>
    <row r="19" spans="1:23" ht="12.45" customHeight="1">
      <c r="B19" s="116" t="s">
        <v>426</v>
      </c>
      <c r="C19" s="119"/>
      <c r="D19" s="119"/>
      <c r="E19" s="119"/>
      <c r="F19" s="59"/>
      <c r="G19" s="114"/>
      <c r="H19" s="114"/>
      <c r="I19" s="114"/>
      <c r="J19" s="114"/>
      <c r="N19" s="119" t="s">
        <v>426</v>
      </c>
      <c r="P19" s="114"/>
      <c r="Q19" s="114"/>
      <c r="R19" s="114"/>
      <c r="S19" s="114"/>
      <c r="T19" s="114"/>
      <c r="U19" s="226"/>
      <c r="V19" s="226"/>
      <c r="W19" s="92"/>
    </row>
    <row r="20" spans="1:23" ht="12.45" customHeight="1">
      <c r="B20" s="121" t="s">
        <v>134</v>
      </c>
      <c r="C20" s="59"/>
      <c r="D20" s="59"/>
      <c r="E20" s="59"/>
      <c r="F20" s="59"/>
      <c r="G20" s="114"/>
      <c r="H20" s="114"/>
      <c r="I20" s="114"/>
      <c r="J20" s="114"/>
      <c r="K20" s="118">
        <v>10</v>
      </c>
      <c r="L20" s="117"/>
      <c r="N20" s="59" t="s">
        <v>134</v>
      </c>
      <c r="P20" s="114"/>
      <c r="Q20" s="114"/>
      <c r="R20" s="114"/>
      <c r="S20" s="118">
        <v>12</v>
      </c>
      <c r="T20" s="118"/>
      <c r="V20" s="117">
        <f>+S20-K20</f>
        <v>2</v>
      </c>
      <c r="W20" s="92"/>
    </row>
    <row r="21" spans="1:23" ht="12.45" customHeight="1">
      <c r="B21" s="161"/>
      <c r="C21" s="112"/>
      <c r="D21" s="112"/>
      <c r="E21" s="112"/>
      <c r="F21" s="59"/>
      <c r="G21" s="114"/>
      <c r="H21" s="53"/>
      <c r="I21" s="218" t="s">
        <v>480</v>
      </c>
      <c r="J21" s="218"/>
      <c r="K21" s="87" t="s">
        <v>421</v>
      </c>
      <c r="L21" s="122"/>
      <c r="N21" s="112"/>
      <c r="P21" s="53"/>
      <c r="Q21" s="53"/>
      <c r="R21" s="218" t="s">
        <v>480</v>
      </c>
      <c r="S21" s="87" t="s">
        <v>421</v>
      </c>
      <c r="T21" s="87"/>
      <c r="U21" s="218" t="s">
        <v>480</v>
      </c>
      <c r="V21" s="87" t="s">
        <v>421</v>
      </c>
      <c r="W21" s="92"/>
    </row>
    <row r="22" spans="1:23" ht="12.45" customHeight="1">
      <c r="B22" s="121" t="s">
        <v>427</v>
      </c>
      <c r="C22" s="59"/>
      <c r="D22" s="59"/>
      <c r="E22" s="59"/>
      <c r="F22" s="59"/>
      <c r="I22" s="118"/>
      <c r="J22" s="118"/>
      <c r="K22" s="125">
        <f>0.00323+0.00147</f>
        <v>4.6999999999999993E-3</v>
      </c>
      <c r="L22" s="59" t="s">
        <v>474</v>
      </c>
      <c r="N22" s="98" t="s">
        <v>427</v>
      </c>
      <c r="R22" s="118"/>
      <c r="S22" s="125">
        <f>0.00323+0.00147</f>
        <v>4.6999999999999993E-3</v>
      </c>
      <c r="T22" s="125"/>
      <c r="U22" s="118"/>
      <c r="V22" s="125">
        <f>+S22-K22</f>
        <v>0</v>
      </c>
      <c r="W22" s="92" t="s">
        <v>474</v>
      </c>
    </row>
    <row r="23" spans="1:23" ht="12.45" customHeight="1">
      <c r="B23" s="68" t="s">
        <v>481</v>
      </c>
      <c r="I23" s="191"/>
      <c r="J23" s="118"/>
      <c r="K23" s="127">
        <v>2.6110000000000001E-2</v>
      </c>
      <c r="L23" s="59" t="s">
        <v>474</v>
      </c>
      <c r="N23" s="51" t="s">
        <v>428</v>
      </c>
      <c r="R23" s="191"/>
      <c r="S23" s="127">
        <v>2.6020000000000001E-2</v>
      </c>
      <c r="T23" s="127"/>
      <c r="U23" s="191"/>
      <c r="V23" s="127">
        <f>+S23-K23</f>
        <v>-8.9999999999999802E-5</v>
      </c>
      <c r="W23" s="92" t="s">
        <v>474</v>
      </c>
    </row>
    <row r="24" spans="1:23" ht="12.45" customHeight="1">
      <c r="B24" s="68"/>
      <c r="H24" s="81" t="s">
        <v>475</v>
      </c>
      <c r="I24" s="118"/>
      <c r="J24" s="118"/>
      <c r="K24" s="125">
        <f>SUM(K23,K22)</f>
        <v>3.0810000000000001E-2</v>
      </c>
      <c r="L24" s="59" t="s">
        <v>474</v>
      </c>
      <c r="Q24" s="81" t="s">
        <v>475</v>
      </c>
      <c r="R24" s="118"/>
      <c r="S24" s="125">
        <f>SUM(S23,S22)</f>
        <v>3.0720000000000001E-2</v>
      </c>
      <c r="T24" s="125"/>
      <c r="U24" s="118"/>
      <c r="V24" s="125">
        <f>+S24-K24</f>
        <v>-8.9999999999999802E-5</v>
      </c>
      <c r="W24" s="92" t="s">
        <v>474</v>
      </c>
    </row>
    <row r="25" spans="1:23" ht="12.45" customHeight="1">
      <c r="B25" s="68"/>
      <c r="I25" s="118"/>
      <c r="J25" s="118"/>
      <c r="K25" s="125"/>
      <c r="L25" s="59"/>
      <c r="R25" s="118"/>
      <c r="S25" s="125"/>
      <c r="T25" s="125"/>
      <c r="U25" s="118"/>
      <c r="V25" s="125"/>
      <c r="W25" s="92"/>
    </row>
    <row r="26" spans="1:23" ht="12.45" customHeight="1">
      <c r="A26" s="68"/>
      <c r="B26" s="129" t="s">
        <v>430</v>
      </c>
      <c r="C26" s="98"/>
      <c r="D26" s="98"/>
      <c r="E26" s="98"/>
      <c r="F26" s="59"/>
      <c r="I26" s="118">
        <v>3.92</v>
      </c>
      <c r="J26" s="118"/>
      <c r="K26" s="125">
        <v>1.027E-2</v>
      </c>
      <c r="L26" s="59" t="s">
        <v>469</v>
      </c>
      <c r="N26" s="98" t="s">
        <v>262</v>
      </c>
      <c r="R26" s="118">
        <v>4.75</v>
      </c>
      <c r="S26" s="125">
        <v>2.3820000000000001E-2</v>
      </c>
      <c r="T26" s="125"/>
      <c r="U26" s="118">
        <f>+R26-I26</f>
        <v>0.83000000000000007</v>
      </c>
      <c r="V26" s="125">
        <f>+S26-K26</f>
        <v>1.3550000000000001E-2</v>
      </c>
      <c r="W26" s="92" t="s">
        <v>469</v>
      </c>
    </row>
    <row r="27" spans="1:23" ht="12.45" customHeight="1">
      <c r="B27" s="121"/>
      <c r="C27" s="59"/>
      <c r="D27" s="59"/>
      <c r="E27" s="59"/>
      <c r="F27" s="59"/>
      <c r="I27" s="118"/>
      <c r="J27" s="118"/>
      <c r="K27" s="125">
        <v>2.2300000000000002E-3</v>
      </c>
      <c r="L27" s="59" t="s">
        <v>470</v>
      </c>
      <c r="N27" s="98"/>
      <c r="R27" s="118"/>
      <c r="S27" s="125">
        <v>5.1700000000000001E-3</v>
      </c>
      <c r="T27" s="125"/>
      <c r="U27" s="118"/>
      <c r="V27" s="125">
        <f>+S27-K27</f>
        <v>2.9399999999999999E-3</v>
      </c>
      <c r="W27" s="92" t="s">
        <v>470</v>
      </c>
    </row>
    <row r="28" spans="1:23" ht="12.45" customHeight="1">
      <c r="B28" s="121"/>
      <c r="C28" s="59"/>
      <c r="D28" s="59"/>
      <c r="E28" s="59"/>
      <c r="F28" s="59"/>
      <c r="I28" s="118"/>
      <c r="J28" s="118"/>
      <c r="K28" s="125"/>
      <c r="L28" s="59"/>
      <c r="N28" s="59"/>
      <c r="R28" s="118"/>
      <c r="S28" s="125"/>
      <c r="T28" s="125"/>
      <c r="U28" s="118"/>
      <c r="V28" s="125"/>
      <c r="W28" s="92"/>
    </row>
    <row r="29" spans="1:23" ht="12.45" customHeight="1">
      <c r="B29" s="129" t="s">
        <v>431</v>
      </c>
      <c r="C29" s="59"/>
      <c r="D29" s="59"/>
      <c r="E29" s="59"/>
      <c r="F29" s="59"/>
      <c r="I29" s="118"/>
      <c r="J29" s="118"/>
      <c r="K29" s="125">
        <v>2.7499999999999998E-3</v>
      </c>
      <c r="L29" s="59" t="s">
        <v>474</v>
      </c>
      <c r="N29" s="59" t="s">
        <v>431</v>
      </c>
      <c r="R29" s="118"/>
      <c r="S29" s="125">
        <v>2.7499999999999998E-3</v>
      </c>
      <c r="T29" s="125"/>
      <c r="U29" s="118"/>
      <c r="V29" s="125">
        <f t="shared" ref="V29:V42" si="0">+S29-K29</f>
        <v>0</v>
      </c>
      <c r="W29" s="92" t="s">
        <v>474</v>
      </c>
    </row>
    <row r="30" spans="1:23" ht="12.45" customHeight="1">
      <c r="B30" s="129" t="s">
        <v>432</v>
      </c>
      <c r="C30" s="59"/>
      <c r="D30" s="59"/>
      <c r="E30" s="59"/>
      <c r="F30" s="59"/>
      <c r="I30" s="118"/>
      <c r="J30" s="118"/>
      <c r="K30" s="125">
        <v>1.983E-2</v>
      </c>
      <c r="L30" s="59" t="s">
        <v>474</v>
      </c>
      <c r="N30" s="59" t="s">
        <v>432</v>
      </c>
      <c r="R30" s="118"/>
      <c r="S30" s="125">
        <v>2.2329999999999999E-2</v>
      </c>
      <c r="T30" s="125"/>
      <c r="U30" s="118"/>
      <c r="V30" s="125">
        <f t="shared" si="0"/>
        <v>2.4999999999999988E-3</v>
      </c>
      <c r="W30" s="92" t="s">
        <v>474</v>
      </c>
    </row>
    <row r="31" spans="1:23" ht="12.45" customHeight="1">
      <c r="B31" s="121" t="s">
        <v>433</v>
      </c>
      <c r="C31" s="59"/>
      <c r="D31" s="59"/>
      <c r="E31" s="59"/>
      <c r="F31" s="59"/>
      <c r="I31" s="118"/>
      <c r="J31" s="118"/>
      <c r="K31" s="125">
        <v>1.197E-2</v>
      </c>
      <c r="L31" s="59" t="s">
        <v>474</v>
      </c>
      <c r="N31" s="51" t="s">
        <v>433</v>
      </c>
      <c r="R31" s="118"/>
      <c r="S31" s="125">
        <v>1.197E-2</v>
      </c>
      <c r="T31" s="125"/>
      <c r="U31" s="118"/>
      <c r="V31" s="125">
        <f t="shared" si="0"/>
        <v>0</v>
      </c>
      <c r="W31" s="92" t="s">
        <v>474</v>
      </c>
    </row>
    <row r="32" spans="1:23" ht="12.45" customHeight="1">
      <c r="B32" s="121" t="s">
        <v>434</v>
      </c>
      <c r="C32" s="59"/>
      <c r="D32" s="59"/>
      <c r="E32" s="59"/>
      <c r="F32" s="59"/>
      <c r="I32" s="118"/>
      <c r="J32" s="118"/>
      <c r="K32" s="125">
        <v>1.3600000000000001E-3</v>
      </c>
      <c r="L32" s="59" t="s">
        <v>474</v>
      </c>
      <c r="N32" s="51" t="s">
        <v>434</v>
      </c>
      <c r="R32" s="118"/>
      <c r="S32" s="125">
        <v>1.3600000000000001E-3</v>
      </c>
      <c r="T32" s="125"/>
      <c r="U32" s="118"/>
      <c r="V32" s="125">
        <f t="shared" si="0"/>
        <v>0</v>
      </c>
      <c r="W32" s="92" t="s">
        <v>474</v>
      </c>
    </row>
    <row r="33" spans="2:23" ht="12.45" customHeight="1">
      <c r="B33" s="121" t="s">
        <v>435</v>
      </c>
      <c r="C33" s="59"/>
      <c r="D33" s="59"/>
      <c r="E33" s="59"/>
      <c r="F33" s="59"/>
      <c r="I33" s="118"/>
      <c r="J33" s="118"/>
      <c r="K33" s="125">
        <v>4.0999999999999999E-4</v>
      </c>
      <c r="L33" s="59" t="s">
        <v>474</v>
      </c>
      <c r="N33" s="98" t="s">
        <v>435</v>
      </c>
      <c r="R33" s="118"/>
      <c r="S33" s="125">
        <v>4.0999999999999999E-4</v>
      </c>
      <c r="T33" s="125"/>
      <c r="U33" s="118" t="s">
        <v>465</v>
      </c>
      <c r="V33" s="125">
        <f t="shared" si="0"/>
        <v>0</v>
      </c>
      <c r="W33" s="92" t="s">
        <v>474</v>
      </c>
    </row>
    <row r="34" spans="2:23" ht="12.45" customHeight="1">
      <c r="B34" s="68" t="s">
        <v>436</v>
      </c>
      <c r="C34" s="59"/>
      <c r="D34" s="59"/>
      <c r="E34" s="59"/>
      <c r="F34" s="59"/>
      <c r="I34" s="118"/>
      <c r="J34" s="118"/>
      <c r="K34" s="125">
        <v>-2.7499999999999998E-3</v>
      </c>
      <c r="L34" s="59" t="s">
        <v>474</v>
      </c>
      <c r="N34" s="51" t="s">
        <v>436</v>
      </c>
      <c r="R34" s="118"/>
      <c r="S34" s="125">
        <v>-2.7499999999999998E-3</v>
      </c>
      <c r="T34" s="125"/>
      <c r="U34" s="118"/>
      <c r="V34" s="125">
        <f t="shared" si="0"/>
        <v>0</v>
      </c>
      <c r="W34" s="92" t="s">
        <v>474</v>
      </c>
    </row>
    <row r="35" spans="2:23" ht="12.45" customHeight="1">
      <c r="B35" s="68" t="s">
        <v>437</v>
      </c>
      <c r="C35" s="59"/>
      <c r="D35" s="59"/>
      <c r="E35" s="59"/>
      <c r="F35" s="59"/>
      <c r="I35" s="118"/>
      <c r="J35" s="118"/>
      <c r="K35" s="125">
        <v>9.2999999999999992E-3</v>
      </c>
      <c r="L35" s="59" t="s">
        <v>474</v>
      </c>
      <c r="N35" s="51" t="s">
        <v>437</v>
      </c>
      <c r="R35" s="118"/>
      <c r="S35" s="125">
        <v>2.7899999999999991E-3</v>
      </c>
      <c r="T35" s="125"/>
      <c r="U35" s="118"/>
      <c r="V35" s="125">
        <f t="shared" si="0"/>
        <v>-6.5100000000000002E-3</v>
      </c>
      <c r="W35" s="92" t="s">
        <v>474</v>
      </c>
    </row>
    <row r="36" spans="2:23" ht="12.45" customHeight="1">
      <c r="B36" s="129" t="s">
        <v>438</v>
      </c>
      <c r="C36" s="59"/>
      <c r="D36" s="59"/>
      <c r="E36" s="59"/>
      <c r="F36" s="59"/>
      <c r="I36" s="118"/>
      <c r="J36" s="118"/>
      <c r="K36" s="125">
        <v>-1.3999999999999999E-4</v>
      </c>
      <c r="L36" s="59" t="s">
        <v>474</v>
      </c>
      <c r="N36" s="51" t="s">
        <v>438</v>
      </c>
      <c r="R36" s="118"/>
      <c r="S36" s="125">
        <v>-9.2000000000000003E-4</v>
      </c>
      <c r="T36" s="125"/>
      <c r="U36" s="118"/>
      <c r="V36" s="125">
        <f t="shared" si="0"/>
        <v>-7.8000000000000009E-4</v>
      </c>
      <c r="W36" s="92" t="s">
        <v>474</v>
      </c>
    </row>
    <row r="37" spans="2:23" ht="12.45" customHeight="1">
      <c r="B37" s="68" t="s">
        <v>439</v>
      </c>
      <c r="C37" s="59"/>
      <c r="D37" s="59"/>
      <c r="E37" s="59"/>
      <c r="F37" s="59"/>
      <c r="I37" s="118"/>
      <c r="J37" s="118"/>
      <c r="K37" s="125">
        <v>2.96E-3</v>
      </c>
      <c r="L37" s="59" t="s">
        <v>474</v>
      </c>
      <c r="N37" s="98" t="s">
        <v>439</v>
      </c>
      <c r="R37" s="118"/>
      <c r="S37" s="125">
        <v>2.96E-3</v>
      </c>
      <c r="T37" s="125"/>
      <c r="U37" s="118"/>
      <c r="V37" s="125">
        <f t="shared" si="0"/>
        <v>0</v>
      </c>
      <c r="W37" s="92" t="s">
        <v>474</v>
      </c>
    </row>
    <row r="38" spans="2:23" ht="12.45" customHeight="1">
      <c r="B38" s="121" t="s">
        <v>440</v>
      </c>
      <c r="I38" s="194"/>
      <c r="J38" s="118"/>
      <c r="K38" s="125">
        <v>-3.2000000000000003E-4</v>
      </c>
      <c r="L38" s="59" t="s">
        <v>474</v>
      </c>
      <c r="N38" s="98" t="s">
        <v>440</v>
      </c>
      <c r="R38" s="193"/>
      <c r="S38" s="125">
        <f>+K38</f>
        <v>-3.2000000000000003E-4</v>
      </c>
      <c r="T38" s="125"/>
      <c r="U38" s="193" t="s">
        <v>465</v>
      </c>
      <c r="V38" s="125">
        <f t="shared" si="0"/>
        <v>0</v>
      </c>
      <c r="W38" s="92" t="s">
        <v>474</v>
      </c>
    </row>
    <row r="39" spans="2:23" ht="12.45" customHeight="1">
      <c r="B39" s="68" t="s">
        <v>441</v>
      </c>
      <c r="I39" s="194"/>
      <c r="J39" s="118"/>
      <c r="K39" s="125">
        <v>4.0000000000000002E-4</v>
      </c>
      <c r="L39" s="59" t="s">
        <v>474</v>
      </c>
      <c r="N39" s="98" t="s">
        <v>441</v>
      </c>
      <c r="R39" s="194"/>
      <c r="S39" s="125">
        <v>4.0000000000000002E-4</v>
      </c>
      <c r="T39" s="125"/>
      <c r="U39" s="194"/>
      <c r="V39" s="125">
        <f t="shared" si="0"/>
        <v>0</v>
      </c>
      <c r="W39" s="92" t="s">
        <v>474</v>
      </c>
    </row>
    <row r="40" spans="2:23" ht="12.45" customHeight="1">
      <c r="B40" s="68" t="s">
        <v>442</v>
      </c>
      <c r="I40" s="194"/>
      <c r="J40" s="118"/>
      <c r="K40" s="127">
        <v>1.5299999999999999E-3</v>
      </c>
      <c r="L40" s="59" t="s">
        <v>474</v>
      </c>
      <c r="N40" s="59" t="s">
        <v>442</v>
      </c>
      <c r="R40" s="194"/>
      <c r="S40" s="127">
        <v>1.5299999999999999E-3</v>
      </c>
      <c r="T40" s="125"/>
      <c r="U40" s="194"/>
      <c r="V40" s="125">
        <f t="shared" si="0"/>
        <v>0</v>
      </c>
      <c r="W40" s="92" t="s">
        <v>474</v>
      </c>
    </row>
    <row r="41" spans="2:23" ht="12.45" customHeight="1">
      <c r="B41" s="121"/>
      <c r="C41" s="59"/>
      <c r="D41" s="59"/>
      <c r="E41" s="59"/>
      <c r="F41" s="59"/>
      <c r="H41" s="131" t="s">
        <v>476</v>
      </c>
      <c r="I41" s="118">
        <f>SUM(I26:I40)</f>
        <v>3.92</v>
      </c>
      <c r="J41" s="118"/>
      <c r="K41" s="125">
        <f>SUM(K26,K29:K40)</f>
        <v>5.7569999999999996E-2</v>
      </c>
      <c r="L41" s="59" t="s">
        <v>469</v>
      </c>
      <c r="N41" s="59"/>
      <c r="Q41" s="131" t="s">
        <v>476</v>
      </c>
      <c r="R41" s="118">
        <f>SUM(R26:R40)</f>
        <v>4.75</v>
      </c>
      <c r="S41" s="125">
        <f>SUM(S26,S29:S40)</f>
        <v>6.633E-2</v>
      </c>
      <c r="T41" s="125"/>
      <c r="U41" s="118">
        <f>SUM(U26:U38)</f>
        <v>0.83000000000000007</v>
      </c>
      <c r="V41" s="125">
        <f t="shared" si="0"/>
        <v>8.7600000000000039E-3</v>
      </c>
      <c r="W41" s="92" t="s">
        <v>469</v>
      </c>
    </row>
    <row r="42" spans="2:23" ht="12.45" customHeight="1">
      <c r="B42" s="121"/>
      <c r="C42" s="59"/>
      <c r="D42" s="59"/>
      <c r="E42" s="59"/>
      <c r="F42" s="59"/>
      <c r="H42" s="124"/>
      <c r="I42" s="118"/>
      <c r="J42" s="118"/>
      <c r="K42" s="125">
        <f>SUM(K27,K29:K40)</f>
        <v>4.9529999999999991E-2</v>
      </c>
      <c r="L42" s="59" t="s">
        <v>470</v>
      </c>
      <c r="N42" s="59"/>
      <c r="Q42" s="124"/>
      <c r="R42" s="118"/>
      <c r="S42" s="125">
        <f>SUM(S27,S29:S40)</f>
        <v>4.7679999999999993E-2</v>
      </c>
      <c r="T42" s="125"/>
      <c r="U42" s="118"/>
      <c r="V42" s="125">
        <f t="shared" si="0"/>
        <v>-1.8499999999999975E-3</v>
      </c>
      <c r="W42" s="92" t="s">
        <v>470</v>
      </c>
    </row>
    <row r="43" spans="2:23" ht="12.45" customHeight="1">
      <c r="B43" s="121"/>
      <c r="C43" s="59"/>
      <c r="D43" s="59"/>
      <c r="E43" s="59"/>
      <c r="F43" s="59"/>
      <c r="H43" s="124"/>
      <c r="I43" s="118"/>
      <c r="J43" s="118"/>
      <c r="K43" s="125"/>
      <c r="L43" s="59"/>
      <c r="Q43" s="124"/>
      <c r="R43" s="118"/>
      <c r="S43" s="125"/>
      <c r="T43" s="125"/>
      <c r="U43" s="118"/>
      <c r="V43" s="125"/>
      <c r="W43" s="92"/>
    </row>
    <row r="44" spans="2:23" ht="12.45" customHeight="1">
      <c r="B44" s="121" t="s">
        <v>444</v>
      </c>
      <c r="C44" s="59"/>
      <c r="D44" s="59"/>
      <c r="E44" s="59"/>
      <c r="F44" s="59"/>
      <c r="I44" s="114"/>
      <c r="J44" s="118"/>
      <c r="K44" s="125">
        <v>5.0000000000000001E-4</v>
      </c>
      <c r="L44" s="59" t="s">
        <v>474</v>
      </c>
      <c r="N44" s="51" t="s">
        <v>444</v>
      </c>
      <c r="R44" s="114"/>
      <c r="S44" s="125">
        <v>5.0000000000000001E-4</v>
      </c>
      <c r="T44" s="125"/>
      <c r="U44" s="114"/>
      <c r="V44" s="125">
        <f>+S44-K44</f>
        <v>0</v>
      </c>
      <c r="W44" s="92" t="s">
        <v>474</v>
      </c>
    </row>
    <row r="45" spans="2:23" ht="12.45" customHeight="1">
      <c r="B45" s="121"/>
      <c r="C45" s="59"/>
      <c r="D45" s="59"/>
      <c r="E45" s="59"/>
      <c r="F45" s="59"/>
      <c r="I45" s="114"/>
      <c r="J45" s="118"/>
      <c r="K45" s="125"/>
      <c r="L45" s="59"/>
      <c r="N45" s="59"/>
      <c r="R45" s="114"/>
      <c r="S45" s="125"/>
      <c r="T45" s="125"/>
      <c r="U45" s="114"/>
      <c r="V45" s="125"/>
      <c r="W45" s="92"/>
    </row>
    <row r="46" spans="2:23" ht="12.45" customHeight="1">
      <c r="B46" s="121" t="s">
        <v>445</v>
      </c>
      <c r="C46" s="59"/>
      <c r="D46" s="59"/>
      <c r="E46" s="59"/>
      <c r="F46" s="59"/>
      <c r="I46" s="114"/>
      <c r="J46" s="118"/>
      <c r="K46" s="125">
        <v>2.5000000000000001E-3</v>
      </c>
      <c r="L46" s="59" t="s">
        <v>474</v>
      </c>
      <c r="N46" s="51" t="s">
        <v>445</v>
      </c>
      <c r="R46" s="114"/>
      <c r="S46" s="125">
        <v>2.5000000000000001E-3</v>
      </c>
      <c r="T46" s="125"/>
      <c r="U46" s="114"/>
      <c r="V46" s="125">
        <f>+S46-K46</f>
        <v>0</v>
      </c>
      <c r="W46" s="92" t="s">
        <v>474</v>
      </c>
    </row>
    <row r="47" spans="2:23" ht="12.45" customHeight="1">
      <c r="B47" s="129" t="s">
        <v>446</v>
      </c>
      <c r="C47" s="59"/>
      <c r="D47" s="59"/>
      <c r="E47" s="59"/>
      <c r="F47" s="59"/>
      <c r="I47" s="114"/>
      <c r="J47" s="114"/>
      <c r="K47" s="127">
        <v>9.7199999999999995E-3</v>
      </c>
      <c r="L47" s="59" t="s">
        <v>474</v>
      </c>
      <c r="N47" s="51" t="s">
        <v>446</v>
      </c>
      <c r="R47" s="114"/>
      <c r="S47" s="127">
        <v>9.7199999999999995E-3</v>
      </c>
      <c r="T47" s="125"/>
      <c r="U47" s="114"/>
      <c r="V47" s="125">
        <f>+S47-K47</f>
        <v>0</v>
      </c>
      <c r="W47" s="92" t="s">
        <v>474</v>
      </c>
    </row>
    <row r="48" spans="2:23" ht="12.45" customHeight="1">
      <c r="B48" s="129"/>
      <c r="C48" s="59"/>
      <c r="D48" s="59"/>
      <c r="E48" s="59"/>
      <c r="F48" s="59"/>
      <c r="H48" s="124" t="s">
        <v>448</v>
      </c>
      <c r="I48" s="114"/>
      <c r="J48" s="114"/>
      <c r="K48" s="125">
        <f>SUM(K46:K47)</f>
        <v>1.222E-2</v>
      </c>
      <c r="L48" s="59" t="s">
        <v>474</v>
      </c>
      <c r="Q48" s="124" t="s">
        <v>448</v>
      </c>
      <c r="R48" s="114"/>
      <c r="S48" s="125">
        <f>SUM(S46:S47)</f>
        <v>1.222E-2</v>
      </c>
      <c r="T48" s="125"/>
      <c r="U48" s="114"/>
      <c r="V48" s="125">
        <f>+S48-K48</f>
        <v>0</v>
      </c>
      <c r="W48" s="92" t="s">
        <v>474</v>
      </c>
    </row>
    <row r="49" spans="2:23" ht="12.45" customHeight="1">
      <c r="B49" s="129"/>
      <c r="C49" s="59"/>
      <c r="D49" s="59"/>
      <c r="E49" s="59"/>
      <c r="F49" s="59"/>
      <c r="H49" s="124"/>
      <c r="I49" s="114"/>
      <c r="J49" s="114"/>
      <c r="K49" s="125"/>
      <c r="L49" s="59"/>
      <c r="N49" s="59"/>
      <c r="Q49" s="115"/>
      <c r="R49" s="114"/>
      <c r="S49" s="125"/>
      <c r="T49" s="125"/>
      <c r="U49" s="114"/>
      <c r="V49" s="125"/>
      <c r="W49" s="92"/>
    </row>
    <row r="50" spans="2:23" ht="12.45" customHeight="1">
      <c r="B50" s="129" t="s">
        <v>449</v>
      </c>
      <c r="C50" s="59"/>
      <c r="D50" s="59"/>
      <c r="E50" s="59"/>
      <c r="F50" s="59"/>
      <c r="I50" s="118"/>
      <c r="J50" s="114"/>
      <c r="K50" s="125">
        <v>4.4999999999999997E-3</v>
      </c>
      <c r="L50" s="59" t="s">
        <v>474</v>
      </c>
      <c r="N50" s="51" t="s">
        <v>449</v>
      </c>
      <c r="Q50" s="115"/>
      <c r="R50" s="118"/>
      <c r="S50" s="125">
        <v>3.8999999999999998E-3</v>
      </c>
      <c r="T50" s="125"/>
      <c r="U50" s="118"/>
      <c r="V50" s="125">
        <f>+S50-K50</f>
        <v>-5.9999999999999984E-4</v>
      </c>
      <c r="W50" s="92" t="s">
        <v>474</v>
      </c>
    </row>
    <row r="51" spans="2:23" ht="12.45" hidden="1" customHeight="1">
      <c r="B51" s="129" t="s">
        <v>449</v>
      </c>
      <c r="C51" s="98"/>
      <c r="D51" s="98"/>
      <c r="E51" s="98"/>
      <c r="F51" s="59"/>
      <c r="I51" s="118"/>
      <c r="J51" s="118"/>
      <c r="K51" s="125">
        <v>0</v>
      </c>
      <c r="L51" s="59" t="s">
        <v>474</v>
      </c>
      <c r="N51" s="98" t="s">
        <v>464</v>
      </c>
      <c r="R51" s="118"/>
      <c r="S51" s="125">
        <v>0</v>
      </c>
      <c r="T51" s="125"/>
      <c r="U51" s="118"/>
      <c r="V51" s="125">
        <f>+S51-K51</f>
        <v>0</v>
      </c>
      <c r="W51" s="92" t="s">
        <v>474</v>
      </c>
    </row>
    <row r="52" spans="2:23" ht="12.45" customHeight="1">
      <c r="B52" s="121"/>
      <c r="C52" s="59"/>
      <c r="D52" s="59"/>
      <c r="E52" s="59"/>
      <c r="F52" s="59"/>
      <c r="I52" s="118"/>
      <c r="J52" s="118"/>
      <c r="K52" s="125"/>
      <c r="L52" s="59"/>
      <c r="N52" s="59"/>
      <c r="R52" s="118"/>
      <c r="S52" s="125"/>
      <c r="T52" s="125"/>
      <c r="U52" s="118"/>
      <c r="V52" s="125"/>
      <c r="W52" s="92"/>
    </row>
    <row r="53" spans="2:23" ht="12.45" customHeight="1">
      <c r="B53" s="116" t="s">
        <v>450</v>
      </c>
      <c r="C53" s="119"/>
      <c r="D53" s="119"/>
      <c r="E53" s="119"/>
      <c r="I53" s="114"/>
      <c r="J53" s="114"/>
      <c r="K53" s="125"/>
      <c r="L53" s="59"/>
      <c r="N53" s="119" t="s">
        <v>450</v>
      </c>
      <c r="R53" s="114"/>
      <c r="S53" s="125"/>
      <c r="T53" s="125"/>
      <c r="U53" s="114"/>
      <c r="V53" s="125"/>
      <c r="W53" s="92"/>
    </row>
    <row r="54" spans="2:23" ht="12.45" customHeight="1">
      <c r="B54" s="68" t="s">
        <v>451</v>
      </c>
      <c r="G54" s="54"/>
      <c r="I54" s="114"/>
      <c r="J54" s="114"/>
      <c r="K54" s="125">
        <v>0.20609</v>
      </c>
      <c r="L54" s="59" t="s">
        <v>474</v>
      </c>
      <c r="N54" s="51" t="s">
        <v>451</v>
      </c>
      <c r="R54" s="114"/>
      <c r="S54" s="125">
        <v>0.20407999999999998</v>
      </c>
      <c r="T54" s="125"/>
      <c r="U54" s="114"/>
      <c r="V54" s="125">
        <f>+S54-K54</f>
        <v>-2.0100000000000118E-3</v>
      </c>
      <c r="W54" s="92" t="s">
        <v>474</v>
      </c>
    </row>
    <row r="55" spans="2:23" ht="12.45" customHeight="1">
      <c r="B55" s="68"/>
      <c r="G55" s="54"/>
      <c r="I55" s="114"/>
      <c r="J55" s="114"/>
      <c r="K55" s="125"/>
      <c r="L55" s="59"/>
      <c r="R55" s="114"/>
      <c r="S55" s="125"/>
      <c r="T55" s="125"/>
      <c r="U55" s="114"/>
      <c r="V55" s="125"/>
      <c r="W55" s="92"/>
    </row>
    <row r="56" spans="2:23" ht="12.45" customHeight="1">
      <c r="B56" s="68"/>
      <c r="H56" s="227" t="s">
        <v>467</v>
      </c>
      <c r="I56" s="118">
        <f>SUM(I50,I41)</f>
        <v>3.92</v>
      </c>
      <c r="J56" s="118"/>
      <c r="K56" s="125">
        <f>SUM(K54,K41,K24,K44,K48,K50)</f>
        <v>0.31169000000000002</v>
      </c>
      <c r="L56" s="59" t="s">
        <v>469</v>
      </c>
      <c r="O56" s="160"/>
      <c r="Q56" s="227" t="s">
        <v>467</v>
      </c>
      <c r="R56" s="118">
        <f>SUM(R50,R41)</f>
        <v>4.75</v>
      </c>
      <c r="S56" s="125">
        <f>SUM(S54,S41,S24,S44,S48,S50)</f>
        <v>0.31775000000000003</v>
      </c>
      <c r="T56" s="125"/>
      <c r="U56" s="118">
        <f>+R56-I56</f>
        <v>0.83000000000000007</v>
      </c>
      <c r="V56" s="125">
        <f>+S56-K56</f>
        <v>6.0600000000000098E-3</v>
      </c>
      <c r="W56" s="92" t="s">
        <v>469</v>
      </c>
    </row>
    <row r="57" spans="2:23" ht="12.45" customHeight="1">
      <c r="B57" s="68"/>
      <c r="I57" s="114"/>
      <c r="J57" s="118"/>
      <c r="K57" s="125">
        <f>SUM(K24,K42,K44,K48,K50,K54)</f>
        <v>0.30364999999999998</v>
      </c>
      <c r="L57" s="59" t="s">
        <v>470</v>
      </c>
      <c r="O57" s="160"/>
      <c r="Q57" s="227"/>
      <c r="R57" s="118"/>
      <c r="S57" s="125">
        <f>SUM(S24,S42,S44,S48,S50,S54)</f>
        <v>0.29909999999999998</v>
      </c>
      <c r="T57" s="125"/>
      <c r="V57" s="125">
        <f>+S57-K57</f>
        <v>-4.5499999999999985E-3</v>
      </c>
      <c r="W57" s="92" t="s">
        <v>470</v>
      </c>
    </row>
    <row r="58" spans="2:23" ht="12.45" customHeight="1">
      <c r="B58" s="101"/>
      <c r="C58" s="140"/>
      <c r="D58" s="140"/>
      <c r="E58" s="140"/>
      <c r="F58" s="140"/>
      <c r="G58" s="140"/>
      <c r="H58" s="140"/>
      <c r="I58" s="151"/>
      <c r="J58" s="202"/>
      <c r="K58" s="151"/>
      <c r="L58" s="168"/>
      <c r="M58" s="142"/>
      <c r="N58" s="140"/>
      <c r="O58" s="140"/>
      <c r="P58" s="140"/>
      <c r="Q58" s="182"/>
      <c r="R58" s="202"/>
      <c r="S58" s="142"/>
      <c r="T58" s="142"/>
      <c r="U58" s="142"/>
      <c r="V58" s="142"/>
      <c r="W58" s="109"/>
    </row>
    <row r="59" spans="2:23" ht="12.45" customHeight="1">
      <c r="I59" s="114"/>
      <c r="K59" s="118"/>
      <c r="M59" s="130"/>
      <c r="Q59" s="114"/>
      <c r="R59" s="114"/>
      <c r="S59" s="130"/>
      <c r="T59" s="130"/>
      <c r="U59" s="130"/>
      <c r="V59" s="130"/>
    </row>
    <row r="60" spans="2:23" ht="12.45" hidden="1" customHeight="1">
      <c r="B60" s="51" t="s">
        <v>168</v>
      </c>
      <c r="I60" s="114"/>
      <c r="K60" s="118"/>
      <c r="M60" s="130"/>
      <c r="Q60" s="114"/>
      <c r="R60" s="114"/>
      <c r="S60" s="130"/>
      <c r="T60" s="130"/>
      <c r="U60" s="130"/>
      <c r="V60" s="130"/>
    </row>
    <row r="61" spans="2:23" ht="12.45" hidden="1" customHeight="1">
      <c r="B61" s="51" t="s">
        <v>168</v>
      </c>
      <c r="I61" s="114"/>
      <c r="K61" s="118"/>
      <c r="M61" s="130"/>
      <c r="Q61" s="114"/>
      <c r="R61" s="114"/>
      <c r="S61" s="130"/>
      <c r="T61" s="130"/>
      <c r="U61" s="130"/>
      <c r="V61" s="130"/>
    </row>
    <row r="62" spans="2:23" ht="12.45" hidden="1" customHeight="1">
      <c r="B62" s="51" t="s">
        <v>168</v>
      </c>
      <c r="I62" s="114"/>
      <c r="K62" s="118"/>
      <c r="M62" s="130"/>
      <c r="Q62" s="114"/>
      <c r="R62" s="114"/>
      <c r="S62" s="130"/>
      <c r="T62" s="130"/>
      <c r="U62" s="130"/>
      <c r="V62" s="130"/>
    </row>
    <row r="63" spans="2:23">
      <c r="B63" s="1048" t="s">
        <v>452</v>
      </c>
      <c r="C63" s="1048"/>
      <c r="D63" s="1048"/>
      <c r="E63" s="1048"/>
      <c r="F63" s="1050"/>
      <c r="G63" s="1050"/>
      <c r="H63" s="1050"/>
      <c r="I63" s="1050"/>
      <c r="J63" s="1050"/>
      <c r="K63" s="1050"/>
      <c r="L63" s="1050"/>
      <c r="M63" s="1050"/>
      <c r="N63" s="1050"/>
      <c r="O63" s="1050"/>
      <c r="P63" s="1050"/>
      <c r="Q63" s="1050"/>
      <c r="R63" s="1050"/>
      <c r="S63" s="1050"/>
      <c r="T63" s="1050"/>
      <c r="U63" s="1050"/>
      <c r="V63" s="1050"/>
      <c r="W63" s="1050"/>
    </row>
    <row r="64" spans="2:23">
      <c r="B64" s="1050"/>
      <c r="C64" s="1050"/>
      <c r="D64" s="1050"/>
      <c r="E64" s="1050"/>
      <c r="F64" s="1050"/>
      <c r="G64" s="1050"/>
      <c r="H64" s="1050"/>
      <c r="I64" s="1050"/>
      <c r="J64" s="1050"/>
      <c r="K64" s="1050"/>
      <c r="L64" s="1050"/>
      <c r="M64" s="1050"/>
      <c r="N64" s="1050"/>
      <c r="O64" s="1050"/>
      <c r="P64" s="1050"/>
      <c r="Q64" s="1050"/>
      <c r="R64" s="1050"/>
      <c r="S64" s="1050"/>
      <c r="T64" s="1050"/>
      <c r="U64" s="1050"/>
      <c r="V64" s="1050"/>
      <c r="W64" s="1050"/>
    </row>
    <row r="65" spans="2:25" ht="11.7" customHeight="1">
      <c r="B65" s="594"/>
      <c r="C65" s="594"/>
      <c r="D65" s="594"/>
      <c r="E65" s="594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</row>
    <row r="66" spans="2:25" ht="11.7" customHeight="1"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</row>
    <row r="67" spans="2:25" ht="11.7" customHeight="1">
      <c r="K67" s="53"/>
      <c r="L67" s="53"/>
      <c r="M67" s="53"/>
      <c r="S67" s="130"/>
      <c r="T67" s="130"/>
      <c r="U67" s="130"/>
      <c r="V67" s="130"/>
      <c r="Y67" s="130"/>
    </row>
    <row r="68" spans="2:25" ht="11.7" customHeight="1">
      <c r="B68" s="51" t="s">
        <v>335</v>
      </c>
      <c r="D68" s="51">
        <v>0.75</v>
      </c>
      <c r="S68" s="228"/>
      <c r="T68" s="228"/>
      <c r="U68" s="228"/>
      <c r="V68" s="228"/>
    </row>
    <row r="69" spans="2:25" ht="11.7" customHeight="1">
      <c r="B69" s="51" t="s">
        <v>482</v>
      </c>
      <c r="D69" s="51">
        <v>0.25</v>
      </c>
      <c r="M69" s="130"/>
      <c r="S69" s="53"/>
      <c r="T69" s="53"/>
      <c r="U69" s="53"/>
      <c r="V69" s="53"/>
    </row>
    <row r="70" spans="2:25" ht="11.7" customHeight="1">
      <c r="M70" s="130"/>
      <c r="S70" s="130"/>
      <c r="T70" s="130"/>
      <c r="U70" s="130"/>
      <c r="V70" s="130"/>
    </row>
    <row r="71" spans="2:25" ht="11.7" customHeight="1"/>
    <row r="72" spans="2:25" ht="11.7" customHeight="1">
      <c r="H72" s="81" t="s">
        <v>454</v>
      </c>
      <c r="I72" s="117">
        <f>+I56</f>
        <v>3.92</v>
      </c>
      <c r="K72" s="130">
        <f>+K56-K54</f>
        <v>0.10560000000000003</v>
      </c>
      <c r="Q72" s="81" t="s">
        <v>454</v>
      </c>
      <c r="R72" s="117">
        <f>+R56</f>
        <v>4.75</v>
      </c>
      <c r="S72" s="130">
        <f>+S56-S54</f>
        <v>0.11367000000000005</v>
      </c>
      <c r="T72" s="130"/>
      <c r="U72" s="130"/>
      <c r="V72" s="130"/>
    </row>
    <row r="73" spans="2:25" ht="11.7" customHeight="1">
      <c r="K73" s="130">
        <f>+K57-K54</f>
        <v>9.755999999999998E-2</v>
      </c>
      <c r="S73" s="130">
        <f>+S57-S54</f>
        <v>9.5019999999999993E-2</v>
      </c>
      <c r="T73" s="130"/>
      <c r="U73" s="130"/>
      <c r="V73" s="130"/>
    </row>
  </sheetData>
  <mergeCells count="1">
    <mergeCell ref="B63:W64"/>
  </mergeCells>
  <printOptions horizontalCentered="1"/>
  <pageMargins left="0.5" right="0.5" top="0.75" bottom="0.25" header="0.5" footer="0.5"/>
  <pageSetup paperSize="9" orientation="portrait" blackAndWhite="1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395F-0548-4C2C-8B98-138B1CE92911}">
  <sheetPr>
    <pageSetUpPr fitToPage="1"/>
  </sheetPr>
  <dimension ref="B1:X75"/>
  <sheetViews>
    <sheetView workbookViewId="0"/>
  </sheetViews>
  <sheetFormatPr defaultColWidth="8.77734375" defaultRowHeight="11.4"/>
  <cols>
    <col min="1" max="2" width="3.77734375" style="51" customWidth="1"/>
    <col min="3" max="3" width="11.77734375" style="51" customWidth="1"/>
    <col min="4" max="4" width="3.77734375" style="51" customWidth="1"/>
    <col min="5" max="5" width="10.44140625" style="51" customWidth="1"/>
    <col min="6" max="6" width="3.77734375" style="51" customWidth="1"/>
    <col min="7" max="7" width="12.109375" style="51" customWidth="1"/>
    <col min="8" max="8" width="3.44140625" style="51" customWidth="1"/>
    <col min="9" max="9" width="13.5546875" style="51" customWidth="1"/>
    <col min="10" max="10" width="4.109375" style="51" customWidth="1"/>
    <col min="11" max="11" width="10.77734375" style="51" customWidth="1"/>
    <col min="12" max="12" width="3.5546875" style="51" customWidth="1"/>
    <col min="13" max="13" width="10.77734375" style="51" customWidth="1"/>
    <col min="14" max="14" width="4.109375" style="51" customWidth="1"/>
    <col min="15" max="15" width="12" style="51" customWidth="1"/>
    <col min="16" max="16" width="10.77734375" style="51" customWidth="1"/>
    <col min="17" max="17" width="1.77734375" style="51" customWidth="1"/>
    <col min="18" max="18" width="10.77734375" style="51" customWidth="1"/>
    <col min="19" max="19" width="1.77734375" style="51" customWidth="1"/>
    <col min="20" max="20" width="8.77734375" style="51" customWidth="1"/>
    <col min="21" max="21" width="9.5546875" style="51" customWidth="1"/>
    <col min="22" max="16384" width="8.77734375" style="51"/>
  </cols>
  <sheetData>
    <row r="1" spans="2:24" ht="12.45" customHeight="1">
      <c r="I1" s="53"/>
    </row>
    <row r="2" spans="2:24" ht="12.45" customHeight="1"/>
    <row r="3" spans="2:24" ht="12.45" customHeight="1">
      <c r="B3" s="55" t="s">
        <v>285</v>
      </c>
      <c r="C3" s="56"/>
      <c r="D3" s="56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8"/>
      <c r="S3" s="58"/>
      <c r="T3" s="59"/>
      <c r="U3" s="59"/>
      <c r="V3" s="59"/>
      <c r="W3" s="59"/>
    </row>
    <row r="4" spans="2:24" ht="12.45" customHeight="1">
      <c r="B4" s="171" t="s">
        <v>410</v>
      </c>
      <c r="C4" s="61"/>
      <c r="D4" s="61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3"/>
      <c r="S4" s="63"/>
      <c r="T4" s="59"/>
      <c r="U4" s="59"/>
      <c r="V4" s="59"/>
      <c r="W4" s="59"/>
    </row>
    <row r="5" spans="2:24" ht="12.45" customHeight="1">
      <c r="B5" s="64" t="s">
        <v>483</v>
      </c>
      <c r="C5" s="65"/>
      <c r="D5" s="65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7"/>
      <c r="S5" s="67"/>
      <c r="T5" s="59"/>
      <c r="U5" s="59"/>
      <c r="V5" s="59"/>
      <c r="W5" s="59"/>
    </row>
    <row r="6" spans="2:24" ht="12.45" customHeight="1"/>
    <row r="7" spans="2:24" ht="12.45" customHeight="1">
      <c r="B7" s="69"/>
      <c r="C7" s="229"/>
      <c r="D7" s="72"/>
      <c r="E7" s="73"/>
      <c r="F7" s="73"/>
      <c r="G7" s="73"/>
      <c r="H7" s="73"/>
      <c r="I7" s="73"/>
      <c r="J7" s="73"/>
      <c r="K7" s="73"/>
      <c r="L7" s="73"/>
      <c r="M7" s="73"/>
      <c r="N7" s="74"/>
      <c r="O7" s="73"/>
      <c r="P7" s="73"/>
      <c r="Q7" s="229"/>
      <c r="R7" s="70"/>
      <c r="S7" s="75"/>
    </row>
    <row r="8" spans="2:24" s="52" customFormat="1" ht="12.45" customHeight="1">
      <c r="B8" s="68"/>
      <c r="D8" s="230"/>
      <c r="E8" s="76" t="s">
        <v>413</v>
      </c>
      <c r="F8" s="76"/>
      <c r="G8" s="76" t="s">
        <v>414</v>
      </c>
      <c r="H8" s="76"/>
      <c r="I8" s="76" t="s">
        <v>415</v>
      </c>
      <c r="J8" s="76"/>
      <c r="K8" s="172"/>
      <c r="L8" s="76"/>
      <c r="M8" s="76" t="s">
        <v>416</v>
      </c>
      <c r="O8" s="76" t="s">
        <v>417</v>
      </c>
      <c r="P8" s="76" t="s">
        <v>416</v>
      </c>
      <c r="S8" s="80"/>
      <c r="V8" s="81"/>
      <c r="W8" s="231"/>
      <c r="X8" s="51"/>
    </row>
    <row r="9" spans="2:24" s="52" customFormat="1" ht="12.45" customHeight="1">
      <c r="B9" s="68"/>
      <c r="D9" s="230"/>
      <c r="E9" s="76" t="s">
        <v>418</v>
      </c>
      <c r="F9" s="76"/>
      <c r="G9" s="76" t="s">
        <v>326</v>
      </c>
      <c r="H9" s="76"/>
      <c r="I9" s="76" t="s">
        <v>326</v>
      </c>
      <c r="J9" s="76"/>
      <c r="K9" s="76" t="s">
        <v>279</v>
      </c>
      <c r="L9" s="172"/>
      <c r="M9" s="76" t="s">
        <v>279</v>
      </c>
      <c r="O9" s="76" t="s">
        <v>419</v>
      </c>
      <c r="P9" s="76" t="s">
        <v>419</v>
      </c>
      <c r="S9" s="80"/>
    </row>
    <row r="10" spans="2:24" s="86" customFormat="1" ht="12.45" customHeight="1">
      <c r="B10" s="68"/>
      <c r="C10" s="232" t="s">
        <v>420</v>
      </c>
      <c r="D10" s="233"/>
      <c r="E10" s="88" t="s">
        <v>421</v>
      </c>
      <c r="F10" s="88"/>
      <c r="G10" s="88" t="s">
        <v>162</v>
      </c>
      <c r="H10" s="88"/>
      <c r="I10" s="88" t="s">
        <v>162</v>
      </c>
      <c r="J10" s="88"/>
      <c r="K10" s="88" t="s">
        <v>142</v>
      </c>
      <c r="L10" s="172"/>
      <c r="M10" s="88" t="s">
        <v>142</v>
      </c>
      <c r="O10" s="88" t="s">
        <v>162</v>
      </c>
      <c r="P10" s="88" t="s">
        <v>142</v>
      </c>
      <c r="S10" s="89"/>
      <c r="V10" s="90"/>
    </row>
    <row r="11" spans="2:24" ht="12.45" customHeight="1">
      <c r="B11" s="68"/>
      <c r="C11" s="52"/>
      <c r="D11" s="234"/>
      <c r="E11" s="172"/>
      <c r="F11" s="172"/>
      <c r="G11" s="91"/>
      <c r="H11" s="172"/>
      <c r="I11" s="172"/>
      <c r="J11" s="172"/>
      <c r="K11" s="172"/>
      <c r="L11" s="172"/>
      <c r="M11" s="172"/>
      <c r="O11" s="91"/>
      <c r="P11" s="172"/>
      <c r="Q11" s="52"/>
      <c r="S11" s="92"/>
      <c r="V11" s="90"/>
      <c r="W11" s="90"/>
      <c r="X11" s="185"/>
    </row>
    <row r="12" spans="2:24" ht="12.45" customHeight="1">
      <c r="B12" s="68"/>
      <c r="C12" s="93">
        <v>0.1</v>
      </c>
      <c r="D12" s="100"/>
      <c r="E12" s="94">
        <v>59.428571428571431</v>
      </c>
      <c r="F12" s="77"/>
      <c r="G12" s="95">
        <f t="shared" ref="G12:G21" si="0">$I$30+E12*$I$64</f>
        <v>21.520868571428572</v>
      </c>
      <c r="H12" s="77"/>
      <c r="I12" s="95">
        <f t="shared" ref="I12:I21" si="1">$P$30+E12*$P$64</f>
        <v>21.649828571428571</v>
      </c>
      <c r="J12" s="77"/>
      <c r="K12" s="95">
        <f t="shared" ref="K12:K21" si="2">I12-G12</f>
        <v>0.1289599999999993</v>
      </c>
      <c r="L12" s="77"/>
      <c r="M12" s="96">
        <f t="shared" ref="M12:M21" si="3">I12/G12-1</f>
        <v>5.9923231988512349E-3</v>
      </c>
      <c r="O12" s="95">
        <f t="shared" ref="O12:O21" si="4">$I$30+E12*$I$75</f>
        <v>9.2732342857142864</v>
      </c>
      <c r="P12" s="96">
        <f t="shared" ref="P12:P21" si="5">+K12/O12</f>
        <v>1.390669059215578E-2</v>
      </c>
      <c r="Q12" s="52"/>
      <c r="S12" s="92"/>
    </row>
    <row r="13" spans="2:24" ht="12.45" customHeight="1">
      <c r="B13" s="68"/>
      <c r="C13" s="93">
        <v>0.2</v>
      </c>
      <c r="D13" s="100"/>
      <c r="E13" s="94">
        <v>306.875</v>
      </c>
      <c r="F13" s="77"/>
      <c r="G13" s="95">
        <f t="shared" si="0"/>
        <v>111.12864375000001</v>
      </c>
      <c r="H13" s="77"/>
      <c r="I13" s="95">
        <f t="shared" si="1"/>
        <v>111.7945625</v>
      </c>
      <c r="J13" s="77"/>
      <c r="K13" s="95">
        <f t="shared" si="2"/>
        <v>0.66591874999998879</v>
      </c>
      <c r="L13" s="77"/>
      <c r="M13" s="96">
        <f t="shared" si="3"/>
        <v>5.9923231988512349E-3</v>
      </c>
      <c r="O13" s="95">
        <f t="shared" si="4"/>
        <v>47.884775000000005</v>
      </c>
      <c r="P13" s="96">
        <f t="shared" si="5"/>
        <v>1.3906690592155622E-2</v>
      </c>
      <c r="Q13" s="52"/>
      <c r="S13" s="92"/>
    </row>
    <row r="14" spans="2:24" ht="12.45" customHeight="1">
      <c r="B14" s="68"/>
      <c r="C14" s="93">
        <v>0.30000000000000004</v>
      </c>
      <c r="D14" s="100"/>
      <c r="E14" s="94">
        <v>530</v>
      </c>
      <c r="F14" s="77"/>
      <c r="G14" s="95">
        <f t="shared" si="0"/>
        <v>191.9289</v>
      </c>
      <c r="H14" s="77"/>
      <c r="I14" s="95">
        <f t="shared" si="1"/>
        <v>193.07900000000001</v>
      </c>
      <c r="J14" s="77"/>
      <c r="K14" s="95">
        <f t="shared" si="2"/>
        <v>1.150100000000009</v>
      </c>
      <c r="L14" s="77"/>
      <c r="M14" s="96">
        <f t="shared" si="3"/>
        <v>5.9923231988512349E-3</v>
      </c>
      <c r="O14" s="95">
        <f t="shared" si="4"/>
        <v>82.7012</v>
      </c>
      <c r="P14" s="96">
        <f t="shared" si="5"/>
        <v>1.3906690592155966E-2</v>
      </c>
      <c r="Q14" s="52"/>
      <c r="S14" s="92"/>
    </row>
    <row r="15" spans="2:24" ht="12.45" customHeight="1">
      <c r="B15" s="68"/>
      <c r="C15" s="93">
        <v>0.4</v>
      </c>
      <c r="D15" s="100"/>
      <c r="E15" s="94">
        <v>755.5</v>
      </c>
      <c r="F15" s="77"/>
      <c r="G15" s="95">
        <f t="shared" si="0"/>
        <v>273.58921500000002</v>
      </c>
      <c r="H15" s="77"/>
      <c r="I15" s="95">
        <f t="shared" si="1"/>
        <v>275.22865000000002</v>
      </c>
      <c r="J15" s="77"/>
      <c r="K15" s="95">
        <f t="shared" si="2"/>
        <v>1.6394349999999918</v>
      </c>
      <c r="L15" s="77"/>
      <c r="M15" s="96">
        <f t="shared" si="3"/>
        <v>5.9923231988512349E-3</v>
      </c>
      <c r="O15" s="95">
        <f t="shared" si="4"/>
        <v>117.88822</v>
      </c>
      <c r="P15" s="96">
        <f t="shared" si="5"/>
        <v>1.3906690592155787E-2</v>
      </c>
      <c r="Q15" s="52"/>
      <c r="S15" s="92"/>
    </row>
    <row r="16" spans="2:24" ht="12.45" customHeight="1">
      <c r="B16" s="68"/>
      <c r="C16" s="93">
        <v>0.5</v>
      </c>
      <c r="D16" s="100"/>
      <c r="E16" s="94">
        <v>1226.5714285714287</v>
      </c>
      <c r="F16" s="77"/>
      <c r="G16" s="95">
        <f t="shared" si="0"/>
        <v>444.17831142857148</v>
      </c>
      <c r="H16" s="77"/>
      <c r="I16" s="95">
        <f t="shared" si="1"/>
        <v>446.83997142857146</v>
      </c>
      <c r="J16" s="77"/>
      <c r="K16" s="95">
        <f t="shared" si="2"/>
        <v>2.6616599999999835</v>
      </c>
      <c r="L16" s="77"/>
      <c r="M16" s="96">
        <f t="shared" si="3"/>
        <v>5.9923231988512349E-3</v>
      </c>
      <c r="O16" s="95">
        <f t="shared" si="4"/>
        <v>191.39420571428573</v>
      </c>
      <c r="P16" s="96">
        <f t="shared" si="5"/>
        <v>1.390669059215577E-2</v>
      </c>
      <c r="Q16" s="52"/>
      <c r="S16" s="92"/>
    </row>
    <row r="17" spans="2:19" ht="12.45" customHeight="1">
      <c r="B17" s="68"/>
      <c r="C17" s="93">
        <v>0.6</v>
      </c>
      <c r="D17" s="100"/>
      <c r="E17" s="94">
        <v>1949.4285714285713</v>
      </c>
      <c r="F17" s="77"/>
      <c r="G17" s="95">
        <f t="shared" si="0"/>
        <v>705.94656857142854</v>
      </c>
      <c r="H17" s="77"/>
      <c r="I17" s="95">
        <f t="shared" si="1"/>
        <v>710.17682857142859</v>
      </c>
      <c r="J17" s="77"/>
      <c r="K17" s="95">
        <f t="shared" si="2"/>
        <v>4.2302600000000439</v>
      </c>
      <c r="L17" s="77"/>
      <c r="M17" s="96">
        <f t="shared" si="3"/>
        <v>5.9923231988512349E-3</v>
      </c>
      <c r="O17" s="95">
        <f t="shared" si="4"/>
        <v>304.18883428571428</v>
      </c>
      <c r="P17" s="96">
        <f t="shared" si="5"/>
        <v>1.3906690592156002E-2</v>
      </c>
      <c r="Q17" s="52"/>
      <c r="S17" s="92"/>
    </row>
    <row r="18" spans="2:19" ht="12.45" customHeight="1">
      <c r="B18" s="68"/>
      <c r="C18" s="93">
        <v>0.7</v>
      </c>
      <c r="D18" s="100"/>
      <c r="E18" s="94">
        <v>3711.75</v>
      </c>
      <c r="F18" s="77"/>
      <c r="G18" s="95">
        <f t="shared" si="0"/>
        <v>1344.1360275</v>
      </c>
      <c r="H18" s="77"/>
      <c r="I18" s="95">
        <f t="shared" si="1"/>
        <v>1352.190525</v>
      </c>
      <c r="J18" s="77"/>
      <c r="K18" s="95">
        <f t="shared" si="2"/>
        <v>8.054497500000025</v>
      </c>
      <c r="L18" s="77"/>
      <c r="M18" s="96">
        <f t="shared" si="3"/>
        <v>5.9923231988512349E-3</v>
      </c>
      <c r="O18" s="95">
        <f t="shared" si="4"/>
        <v>579.18146999999999</v>
      </c>
      <c r="P18" s="96">
        <f t="shared" si="5"/>
        <v>1.39066905921559E-2</v>
      </c>
      <c r="Q18" s="52"/>
      <c r="S18" s="92"/>
    </row>
    <row r="19" spans="2:19" ht="12.45" customHeight="1">
      <c r="B19" s="68"/>
      <c r="C19" s="93">
        <v>0.79999999999999993</v>
      </c>
      <c r="D19" s="100"/>
      <c r="E19" s="94">
        <v>5360.1428571428569</v>
      </c>
      <c r="F19" s="77"/>
      <c r="G19" s="95">
        <f t="shared" si="0"/>
        <v>1941.0685328571428</v>
      </c>
      <c r="H19" s="77"/>
      <c r="I19" s="95">
        <f t="shared" si="1"/>
        <v>1952.7000428571428</v>
      </c>
      <c r="J19" s="77"/>
      <c r="K19" s="95">
        <f t="shared" si="2"/>
        <v>11.631509999999935</v>
      </c>
      <c r="L19" s="77"/>
      <c r="M19" s="96">
        <f t="shared" si="3"/>
        <v>5.9923231988512349E-3</v>
      </c>
      <c r="O19" s="95">
        <f t="shared" si="4"/>
        <v>836.39669142857144</v>
      </c>
      <c r="P19" s="96">
        <f t="shared" si="5"/>
        <v>1.3906690592155779E-2</v>
      </c>
      <c r="Q19" s="52"/>
      <c r="S19" s="92"/>
    </row>
    <row r="20" spans="2:19" ht="12.45" customHeight="1">
      <c r="B20" s="68"/>
      <c r="C20" s="93">
        <v>0.89999999999999991</v>
      </c>
      <c r="D20" s="100"/>
      <c r="E20" s="94">
        <v>9570</v>
      </c>
      <c r="F20" s="77"/>
      <c r="G20" s="95">
        <f t="shared" si="0"/>
        <v>3465.5841</v>
      </c>
      <c r="H20" s="77"/>
      <c r="I20" s="95">
        <f t="shared" si="1"/>
        <v>3486.3510000000001</v>
      </c>
      <c r="J20" s="77"/>
      <c r="K20" s="95">
        <f t="shared" si="2"/>
        <v>20.766900000000078</v>
      </c>
      <c r="L20" s="77"/>
      <c r="M20" s="96">
        <f t="shared" si="3"/>
        <v>5.9923231988512349E-3</v>
      </c>
      <c r="O20" s="95">
        <f t="shared" si="4"/>
        <v>1493.3028000000002</v>
      </c>
      <c r="P20" s="96">
        <f t="shared" si="5"/>
        <v>1.3906690592155909E-2</v>
      </c>
      <c r="Q20" s="52"/>
      <c r="S20" s="92"/>
    </row>
    <row r="21" spans="2:19" ht="12.45" customHeight="1">
      <c r="B21" s="68"/>
      <c r="C21" s="93">
        <v>0.99999999999999989</v>
      </c>
      <c r="D21" s="100"/>
      <c r="E21" s="94">
        <v>23508.571428571428</v>
      </c>
      <c r="F21" s="77"/>
      <c r="G21" s="95">
        <f t="shared" si="0"/>
        <v>8513.158971428571</v>
      </c>
      <c r="H21" s="77"/>
      <c r="I21" s="95">
        <f t="shared" si="1"/>
        <v>8564.1725714285712</v>
      </c>
      <c r="J21" s="77"/>
      <c r="K21" s="95">
        <f t="shared" si="2"/>
        <v>51.013600000000224</v>
      </c>
      <c r="L21" s="77"/>
      <c r="M21" s="96">
        <f t="shared" si="3"/>
        <v>5.9923231988512349E-3</v>
      </c>
      <c r="O21" s="95">
        <f t="shared" si="4"/>
        <v>3668.2774857142858</v>
      </c>
      <c r="P21" s="96">
        <f t="shared" si="5"/>
        <v>1.3906690592155917E-2</v>
      </c>
      <c r="Q21" s="52"/>
      <c r="S21" s="92"/>
    </row>
    <row r="22" spans="2:19" ht="12.45" customHeight="1">
      <c r="B22" s="68"/>
      <c r="C22" s="52"/>
      <c r="D22" s="100"/>
      <c r="E22" s="94"/>
      <c r="F22" s="77"/>
      <c r="G22" s="95"/>
      <c r="H22" s="77"/>
      <c r="I22" s="95"/>
      <c r="J22" s="77"/>
      <c r="K22" s="95"/>
      <c r="L22" s="77"/>
      <c r="M22" s="96"/>
      <c r="O22" s="95"/>
      <c r="P22" s="96"/>
      <c r="Q22" s="52"/>
      <c r="S22" s="92"/>
    </row>
    <row r="23" spans="2:19" ht="12.45" customHeight="1">
      <c r="B23" s="68"/>
      <c r="C23" s="99" t="s">
        <v>413</v>
      </c>
      <c r="D23" s="234"/>
      <c r="E23" s="94">
        <f>AVERAGE(E12:E21)</f>
        <v>4697.8267857142855</v>
      </c>
      <c r="F23" s="172"/>
      <c r="G23" s="95">
        <f>$I$30+E23*$I$64</f>
        <v>1701.2240139107143</v>
      </c>
      <c r="H23" s="77"/>
      <c r="I23" s="95">
        <f>$P$30+E23*$P$64</f>
        <v>1711.4182980357143</v>
      </c>
      <c r="J23" s="77"/>
      <c r="K23" s="95">
        <f>I23-G23</f>
        <v>10.194284124999967</v>
      </c>
      <c r="L23" s="77"/>
      <c r="M23" s="96">
        <f>I23/G23-1</f>
        <v>5.9923231988512349E-3</v>
      </c>
      <c r="O23" s="95">
        <f>$I$30+E23*$I$75</f>
        <v>733.04889164285714</v>
      </c>
      <c r="P23" s="96">
        <f>+K23/O23</f>
        <v>1.3906690592155813E-2</v>
      </c>
      <c r="Q23" s="52"/>
      <c r="S23" s="92"/>
    </row>
    <row r="24" spans="2:19" ht="12.45" customHeight="1">
      <c r="B24" s="101"/>
      <c r="C24" s="143"/>
      <c r="D24" s="235"/>
      <c r="E24" s="157"/>
      <c r="F24" s="157"/>
      <c r="G24" s="157"/>
      <c r="H24" s="157"/>
      <c r="I24" s="157"/>
      <c r="J24" s="157"/>
      <c r="K24" s="157"/>
      <c r="L24" s="157"/>
      <c r="M24" s="157"/>
      <c r="N24" s="158"/>
      <c r="O24" s="157"/>
      <c r="P24" s="157"/>
      <c r="Q24" s="143"/>
      <c r="R24" s="140"/>
      <c r="S24" s="109"/>
    </row>
    <row r="25" spans="2:19" ht="12.45" customHeight="1"/>
    <row r="26" spans="2:19" ht="12.45" customHeight="1">
      <c r="B26" s="69"/>
      <c r="C26" s="70"/>
      <c r="D26" s="70"/>
      <c r="E26" s="110"/>
      <c r="F26" s="110"/>
      <c r="G26" s="110"/>
      <c r="H26" s="110"/>
      <c r="I26" s="110"/>
      <c r="J26" s="110"/>
      <c r="K26" s="110"/>
      <c r="L26" s="70"/>
      <c r="M26" s="70"/>
      <c r="N26" s="70"/>
      <c r="O26" s="70"/>
      <c r="P26" s="70"/>
      <c r="Q26" s="70"/>
      <c r="R26" s="110"/>
      <c r="S26" s="111"/>
    </row>
    <row r="27" spans="2:19" ht="12.45" customHeight="1">
      <c r="B27" s="159" t="s">
        <v>423</v>
      </c>
      <c r="C27" s="160"/>
      <c r="D27" s="112"/>
      <c r="E27" s="54"/>
      <c r="F27" s="53"/>
      <c r="I27" s="53"/>
      <c r="K27" s="160" t="s">
        <v>424</v>
      </c>
      <c r="M27" s="112"/>
      <c r="R27" s="53"/>
      <c r="S27" s="80"/>
    </row>
    <row r="28" spans="2:19" ht="12.45" customHeight="1">
      <c r="B28" s="121"/>
      <c r="C28" s="59"/>
      <c r="D28" s="59"/>
      <c r="E28" s="114"/>
      <c r="F28" s="114"/>
      <c r="I28" s="53" t="s">
        <v>47</v>
      </c>
      <c r="K28" s="114"/>
      <c r="L28" s="114"/>
      <c r="M28" s="114"/>
      <c r="N28" s="114"/>
      <c r="O28" s="114"/>
      <c r="P28" s="53" t="s">
        <v>47</v>
      </c>
      <c r="Q28" s="114"/>
      <c r="R28" s="115" t="s">
        <v>425</v>
      </c>
      <c r="S28" s="80"/>
    </row>
    <row r="29" spans="2:19" ht="12.45" customHeight="1">
      <c r="B29" s="116" t="s">
        <v>426</v>
      </c>
      <c r="C29" s="119"/>
      <c r="D29" s="59"/>
      <c r="E29" s="114"/>
      <c r="F29" s="114"/>
      <c r="H29" s="114"/>
      <c r="K29" s="119" t="s">
        <v>426</v>
      </c>
      <c r="L29" s="114"/>
      <c r="M29" s="114"/>
      <c r="N29" s="114"/>
      <c r="O29" s="114"/>
      <c r="Q29" s="114"/>
      <c r="S29" s="92"/>
    </row>
    <row r="30" spans="2:19" ht="12.45" customHeight="1">
      <c r="B30" s="121" t="s">
        <v>134</v>
      </c>
      <c r="C30" s="59"/>
      <c r="D30" s="59"/>
      <c r="E30" s="114"/>
      <c r="F30" s="114"/>
      <c r="G30" s="117"/>
      <c r="H30" s="117"/>
      <c r="I30" s="118">
        <v>0</v>
      </c>
      <c r="K30" s="59" t="s">
        <v>134</v>
      </c>
      <c r="L30" s="114"/>
      <c r="M30" s="114"/>
      <c r="N30" s="114"/>
      <c r="O30" s="117"/>
      <c r="P30" s="118">
        <v>0</v>
      </c>
      <c r="Q30" s="117"/>
      <c r="R30" s="118">
        <f>+P30-I30</f>
        <v>0</v>
      </c>
      <c r="S30" s="120"/>
    </row>
    <row r="31" spans="2:19" ht="12.45" customHeight="1">
      <c r="B31" s="121"/>
      <c r="C31" s="59"/>
      <c r="D31" s="59"/>
      <c r="E31" s="114"/>
      <c r="F31" s="114"/>
      <c r="G31" s="117"/>
      <c r="H31" s="117"/>
      <c r="I31" s="122" t="s">
        <v>421</v>
      </c>
      <c r="K31" s="59"/>
      <c r="L31" s="114"/>
      <c r="M31" s="114"/>
      <c r="N31" s="114"/>
      <c r="O31" s="117"/>
      <c r="P31" s="122" t="s">
        <v>421</v>
      </c>
      <c r="Q31" s="117"/>
      <c r="R31" s="122" t="s">
        <v>421</v>
      </c>
      <c r="S31" s="123"/>
    </row>
    <row r="32" spans="2:19" ht="12.45" customHeight="1">
      <c r="B32" s="121" t="s">
        <v>427</v>
      </c>
      <c r="C32" s="59"/>
      <c r="D32" s="59"/>
      <c r="G32" s="131"/>
      <c r="H32" s="131"/>
      <c r="I32" s="125">
        <f>0.00323+0.00147</f>
        <v>4.6999999999999993E-3</v>
      </c>
      <c r="K32" s="59" t="s">
        <v>427</v>
      </c>
      <c r="O32" s="131"/>
      <c r="P32" s="125">
        <f>0.00323+0.00147</f>
        <v>4.6999999999999993E-3</v>
      </c>
      <c r="Q32" s="131"/>
      <c r="R32" s="125">
        <f>+P32-I32</f>
        <v>0</v>
      </c>
      <c r="S32" s="126"/>
    </row>
    <row r="33" spans="2:19" ht="12.45" customHeight="1">
      <c r="B33" s="68" t="s">
        <v>428</v>
      </c>
      <c r="I33" s="127">
        <v>2.6110000000000001E-2</v>
      </c>
      <c r="K33" s="51" t="s">
        <v>428</v>
      </c>
      <c r="P33" s="127">
        <v>2.6020000000000001E-2</v>
      </c>
      <c r="R33" s="127">
        <f>+P33-I33</f>
        <v>-8.9999999999999802E-5</v>
      </c>
      <c r="S33" s="128"/>
    </row>
    <row r="34" spans="2:19" ht="12.45" customHeight="1">
      <c r="B34" s="68"/>
      <c r="H34" s="81" t="s">
        <v>429</v>
      </c>
      <c r="I34" s="125">
        <f>SUM(I32:I33)</f>
        <v>3.0810000000000001E-2</v>
      </c>
      <c r="O34" s="81" t="s">
        <v>429</v>
      </c>
      <c r="P34" s="125">
        <f>SUM(P32:P33)</f>
        <v>3.0720000000000001E-2</v>
      </c>
      <c r="Q34" s="81"/>
      <c r="R34" s="125">
        <f>+P34-I34</f>
        <v>-8.9999999999999802E-5</v>
      </c>
      <c r="S34" s="126"/>
    </row>
    <row r="35" spans="2:19" ht="12.45" customHeight="1">
      <c r="B35" s="68"/>
      <c r="I35" s="125"/>
      <c r="P35" s="125"/>
      <c r="R35" s="125"/>
      <c r="S35" s="126"/>
    </row>
    <row r="36" spans="2:19" ht="12.45" customHeight="1">
      <c r="B36" s="129" t="s">
        <v>430</v>
      </c>
      <c r="C36" s="98"/>
      <c r="D36" s="59"/>
      <c r="G36" s="131"/>
      <c r="H36" s="130"/>
      <c r="I36" s="125">
        <v>6.071E-2</v>
      </c>
      <c r="K36" s="98" t="s">
        <v>262</v>
      </c>
      <c r="O36" s="130"/>
      <c r="P36" s="125">
        <v>7.0370000000000002E-2</v>
      </c>
      <c r="Q36" s="130"/>
      <c r="R36" s="125">
        <f>+P36-I36</f>
        <v>9.6600000000000019E-3</v>
      </c>
      <c r="S36" s="126"/>
    </row>
    <row r="37" spans="2:19" ht="12.45" customHeight="1">
      <c r="B37" s="129"/>
      <c r="C37" s="98"/>
      <c r="D37" s="59"/>
      <c r="G37" s="131"/>
      <c r="H37" s="130"/>
      <c r="I37" s="125"/>
      <c r="K37" s="98"/>
      <c r="O37" s="130"/>
      <c r="P37" s="125"/>
      <c r="Q37" s="130"/>
      <c r="R37" s="125"/>
      <c r="S37" s="126"/>
    </row>
    <row r="38" spans="2:19" ht="12.45" customHeight="1">
      <c r="B38" s="129" t="s">
        <v>431</v>
      </c>
      <c r="C38" s="98"/>
      <c r="D38" s="59"/>
      <c r="G38" s="131"/>
      <c r="H38" s="130"/>
      <c r="I38" s="125">
        <v>2.7499999999999998E-3</v>
      </c>
      <c r="K38" s="59" t="s">
        <v>431</v>
      </c>
      <c r="O38" s="130"/>
      <c r="P38" s="125">
        <v>2.7499999999999998E-3</v>
      </c>
      <c r="Q38" s="130"/>
      <c r="R38" s="125">
        <f t="shared" ref="R38:R50" si="6">+P38-I38</f>
        <v>0</v>
      </c>
      <c r="S38" s="126"/>
    </row>
    <row r="39" spans="2:19" ht="12.45" customHeight="1">
      <c r="B39" s="129" t="s">
        <v>432</v>
      </c>
      <c r="C39" s="98"/>
      <c r="D39" s="59"/>
      <c r="G39" s="131"/>
      <c r="H39" s="130"/>
      <c r="I39" s="125">
        <v>1.983E-2</v>
      </c>
      <c r="K39" s="59" t="s">
        <v>432</v>
      </c>
      <c r="O39" s="130"/>
      <c r="P39" s="125">
        <v>2.2329999999999999E-2</v>
      </c>
      <c r="Q39" s="130"/>
      <c r="R39" s="125">
        <f t="shared" si="6"/>
        <v>2.4999999999999988E-3</v>
      </c>
      <c r="S39" s="126"/>
    </row>
    <row r="40" spans="2:19" ht="12.45" customHeight="1">
      <c r="B40" s="121" t="s">
        <v>433</v>
      </c>
      <c r="C40" s="98"/>
      <c r="D40" s="59"/>
      <c r="G40" s="131"/>
      <c r="H40" s="130"/>
      <c r="I40" s="125">
        <v>1.197E-2</v>
      </c>
      <c r="K40" s="51" t="s">
        <v>433</v>
      </c>
      <c r="O40" s="130"/>
      <c r="P40" s="125">
        <v>1.197E-2</v>
      </c>
      <c r="Q40" s="130"/>
      <c r="R40" s="125">
        <f t="shared" si="6"/>
        <v>0</v>
      </c>
      <c r="S40" s="126"/>
    </row>
    <row r="41" spans="2:19" ht="12.45" customHeight="1">
      <c r="B41" s="121" t="s">
        <v>434</v>
      </c>
      <c r="C41" s="98"/>
      <c r="D41" s="59"/>
      <c r="G41" s="131"/>
      <c r="H41" s="130"/>
      <c r="I41" s="125">
        <v>1.3600000000000001E-3</v>
      </c>
      <c r="K41" s="51" t="s">
        <v>434</v>
      </c>
      <c r="O41" s="130"/>
      <c r="P41" s="125">
        <v>1.3600000000000001E-3</v>
      </c>
      <c r="Q41" s="130"/>
      <c r="R41" s="125">
        <f t="shared" si="6"/>
        <v>0</v>
      </c>
      <c r="S41" s="126"/>
    </row>
    <row r="42" spans="2:19" ht="12.45" customHeight="1">
      <c r="B42" s="121" t="s">
        <v>435</v>
      </c>
      <c r="C42" s="98"/>
      <c r="D42" s="59"/>
      <c r="G42" s="131"/>
      <c r="H42" s="130"/>
      <c r="I42" s="125">
        <v>4.0999999999999999E-4</v>
      </c>
      <c r="K42" s="98" t="s">
        <v>435</v>
      </c>
      <c r="O42" s="130"/>
      <c r="P42" s="125">
        <v>4.0999999999999999E-4</v>
      </c>
      <c r="Q42" s="130"/>
      <c r="R42" s="125">
        <f t="shared" si="6"/>
        <v>0</v>
      </c>
      <c r="S42" s="126"/>
    </row>
    <row r="43" spans="2:19" ht="12.45" customHeight="1">
      <c r="B43" s="68" t="s">
        <v>436</v>
      </c>
      <c r="C43" s="98"/>
      <c r="D43" s="59"/>
      <c r="G43" s="131"/>
      <c r="H43" s="130"/>
      <c r="I43" s="125">
        <v>-2.7499999999999998E-3</v>
      </c>
      <c r="K43" s="51" t="s">
        <v>436</v>
      </c>
      <c r="O43" s="130"/>
      <c r="P43" s="125">
        <v>-2.7499999999999998E-3</v>
      </c>
      <c r="Q43" s="130"/>
      <c r="R43" s="125">
        <f t="shared" si="6"/>
        <v>0</v>
      </c>
      <c r="S43" s="126"/>
    </row>
    <row r="44" spans="2:19" ht="12.45" customHeight="1">
      <c r="B44" s="68" t="s">
        <v>437</v>
      </c>
      <c r="C44" s="98"/>
      <c r="D44" s="59"/>
      <c r="G44" s="131"/>
      <c r="H44" s="130"/>
      <c r="I44" s="125">
        <v>9.2999999999999992E-3</v>
      </c>
      <c r="K44" s="51" t="s">
        <v>437</v>
      </c>
      <c r="O44" s="130"/>
      <c r="P44" s="125">
        <v>2.7899999999999991E-3</v>
      </c>
      <c r="Q44" s="130"/>
      <c r="R44" s="125">
        <f t="shared" si="6"/>
        <v>-6.5100000000000002E-3</v>
      </c>
      <c r="S44" s="126"/>
    </row>
    <row r="45" spans="2:19" ht="12.45" customHeight="1">
      <c r="B45" s="129" t="s">
        <v>438</v>
      </c>
      <c r="C45" s="98"/>
      <c r="D45" s="59"/>
      <c r="G45" s="131"/>
      <c r="H45" s="130"/>
      <c r="I45" s="125">
        <v>-1.3999999999999999E-4</v>
      </c>
      <c r="K45" s="51" t="s">
        <v>438</v>
      </c>
      <c r="O45" s="130"/>
      <c r="P45" s="125">
        <v>-9.2000000000000003E-4</v>
      </c>
      <c r="Q45" s="130"/>
      <c r="R45" s="125">
        <f t="shared" si="6"/>
        <v>-7.8000000000000009E-4</v>
      </c>
      <c r="S45" s="126"/>
    </row>
    <row r="46" spans="2:19" ht="12.45" customHeight="1">
      <c r="B46" s="68" t="s">
        <v>439</v>
      </c>
      <c r="C46" s="98"/>
      <c r="D46" s="59"/>
      <c r="G46" s="131"/>
      <c r="H46" s="130"/>
      <c r="I46" s="125">
        <v>2.96E-3</v>
      </c>
      <c r="K46" s="98" t="s">
        <v>439</v>
      </c>
      <c r="O46" s="130"/>
      <c r="P46" s="125">
        <v>2.96E-3</v>
      </c>
      <c r="Q46" s="130"/>
      <c r="R46" s="125">
        <f t="shared" si="6"/>
        <v>0</v>
      </c>
      <c r="S46" s="126"/>
    </row>
    <row r="47" spans="2:19" ht="12.45" customHeight="1">
      <c r="B47" s="121" t="s">
        <v>440</v>
      </c>
      <c r="I47" s="125">
        <v>-3.2000000000000003E-4</v>
      </c>
      <c r="K47" s="98" t="s">
        <v>440</v>
      </c>
      <c r="P47" s="125">
        <f>+I47</f>
        <v>-3.2000000000000003E-4</v>
      </c>
      <c r="R47" s="125">
        <f t="shared" si="6"/>
        <v>0</v>
      </c>
      <c r="S47" s="128"/>
    </row>
    <row r="48" spans="2:19" ht="12.45" customHeight="1">
      <c r="B48" s="68" t="s">
        <v>441</v>
      </c>
      <c r="I48" s="125">
        <v>4.0000000000000002E-4</v>
      </c>
      <c r="K48" s="98" t="s">
        <v>441</v>
      </c>
      <c r="P48" s="125">
        <v>4.0000000000000002E-4</v>
      </c>
      <c r="R48" s="125">
        <f t="shared" si="6"/>
        <v>0</v>
      </c>
      <c r="S48" s="128"/>
    </row>
    <row r="49" spans="2:19" ht="12.45" customHeight="1">
      <c r="B49" s="68" t="s">
        <v>442</v>
      </c>
      <c r="I49" s="127">
        <v>1.5299999999999999E-3</v>
      </c>
      <c r="K49" s="59" t="s">
        <v>442</v>
      </c>
      <c r="P49" s="127">
        <v>1.5299999999999999E-3</v>
      </c>
      <c r="R49" s="125">
        <f t="shared" si="6"/>
        <v>0</v>
      </c>
      <c r="S49" s="128"/>
    </row>
    <row r="50" spans="2:19" ht="12.45" customHeight="1">
      <c r="B50" s="121"/>
      <c r="C50" s="59"/>
      <c r="G50" s="131"/>
      <c r="H50" s="131" t="s">
        <v>443</v>
      </c>
      <c r="I50" s="125">
        <f>SUM(I36,I38:I49)</f>
        <v>0.10800999999999999</v>
      </c>
      <c r="K50" s="59"/>
      <c r="O50" s="131" t="s">
        <v>443</v>
      </c>
      <c r="P50" s="125">
        <f>SUM(P36,P38:P49)</f>
        <v>0.11287999999999999</v>
      </c>
      <c r="Q50" s="131"/>
      <c r="R50" s="125">
        <f t="shared" si="6"/>
        <v>4.8699999999999993E-3</v>
      </c>
      <c r="S50" s="126"/>
    </row>
    <row r="51" spans="2:19" ht="12.45" customHeight="1">
      <c r="B51" s="121"/>
      <c r="C51" s="59"/>
      <c r="D51" s="59"/>
      <c r="G51" s="131"/>
      <c r="H51" s="124"/>
      <c r="I51" s="125"/>
      <c r="K51" s="59"/>
      <c r="O51" s="124"/>
      <c r="P51" s="125"/>
      <c r="Q51" s="124"/>
      <c r="R51" s="125"/>
      <c r="S51" s="126"/>
    </row>
    <row r="52" spans="2:19" ht="12.45" customHeight="1">
      <c r="B52" s="121" t="s">
        <v>444</v>
      </c>
      <c r="G52" s="131"/>
      <c r="H52" s="130"/>
      <c r="I52" s="125">
        <v>5.0000000000000001E-4</v>
      </c>
      <c r="K52" s="51" t="s">
        <v>444</v>
      </c>
      <c r="O52" s="130"/>
      <c r="P52" s="125">
        <v>5.0000000000000001E-4</v>
      </c>
      <c r="Q52" s="130"/>
      <c r="R52" s="125">
        <f>+P52-I52</f>
        <v>0</v>
      </c>
      <c r="S52" s="126"/>
    </row>
    <row r="53" spans="2:19" ht="12.45" customHeight="1">
      <c r="B53" s="121"/>
      <c r="D53" s="59"/>
      <c r="G53" s="131"/>
      <c r="H53" s="130"/>
      <c r="I53" s="125"/>
      <c r="K53" s="59"/>
      <c r="O53" s="130"/>
      <c r="P53" s="125"/>
      <c r="Q53" s="130"/>
      <c r="R53" s="125"/>
      <c r="S53" s="126"/>
    </row>
    <row r="54" spans="2:19" ht="12.45" customHeight="1">
      <c r="B54" s="121" t="s">
        <v>445</v>
      </c>
      <c r="D54" s="59"/>
      <c r="G54" s="131"/>
      <c r="H54" s="130"/>
      <c r="I54" s="125">
        <v>2.5000000000000001E-3</v>
      </c>
      <c r="K54" s="51" t="s">
        <v>445</v>
      </c>
      <c r="O54" s="130"/>
      <c r="P54" s="125">
        <v>2.5000000000000001E-3</v>
      </c>
      <c r="Q54" s="130"/>
      <c r="R54" s="125">
        <f>+P54-I54</f>
        <v>0</v>
      </c>
      <c r="S54" s="126"/>
    </row>
    <row r="55" spans="2:19" ht="12.45" customHeight="1">
      <c r="B55" s="129" t="s">
        <v>446</v>
      </c>
      <c r="D55" s="59"/>
      <c r="G55" s="131"/>
      <c r="H55" s="130"/>
      <c r="I55" s="127">
        <v>9.7199999999999995E-3</v>
      </c>
      <c r="K55" s="51" t="s">
        <v>446</v>
      </c>
      <c r="O55" s="130"/>
      <c r="P55" s="127">
        <v>9.7199999999999995E-3</v>
      </c>
      <c r="Q55" s="130"/>
      <c r="R55" s="125">
        <f>+P55-I55</f>
        <v>0</v>
      </c>
      <c r="S55" s="126"/>
    </row>
    <row r="56" spans="2:19" ht="12.45" customHeight="1">
      <c r="B56" s="129"/>
      <c r="D56" s="59"/>
      <c r="G56" s="131"/>
      <c r="H56" s="124" t="s">
        <v>448</v>
      </c>
      <c r="I56" s="125">
        <f>SUM(I54:I55)</f>
        <v>1.222E-2</v>
      </c>
      <c r="O56" s="124" t="s">
        <v>448</v>
      </c>
      <c r="P56" s="125">
        <f>SUM(P54:P55)</f>
        <v>1.222E-2</v>
      </c>
      <c r="Q56" s="130"/>
      <c r="R56" s="125">
        <f>+P56-I56</f>
        <v>0</v>
      </c>
      <c r="S56" s="126"/>
    </row>
    <row r="57" spans="2:19" ht="12.45" customHeight="1">
      <c r="B57" s="129"/>
      <c r="D57" s="59"/>
      <c r="G57" s="131"/>
      <c r="H57" s="124"/>
      <c r="I57" s="125"/>
      <c r="K57" s="59"/>
      <c r="O57" s="130"/>
      <c r="P57" s="125"/>
      <c r="Q57" s="130"/>
      <c r="R57" s="125"/>
      <c r="S57" s="126"/>
    </row>
    <row r="58" spans="2:19" ht="12.45" customHeight="1">
      <c r="B58" s="129" t="s">
        <v>449</v>
      </c>
      <c r="C58" s="59"/>
      <c r="D58" s="59"/>
      <c r="G58" s="131"/>
      <c r="H58" s="131"/>
      <c r="I58" s="125">
        <v>4.4999999999999997E-3</v>
      </c>
      <c r="K58" s="51" t="s">
        <v>449</v>
      </c>
      <c r="O58" s="131"/>
      <c r="P58" s="125">
        <v>3.8999999999999998E-3</v>
      </c>
      <c r="Q58" s="131"/>
      <c r="R58" s="125">
        <f>+P58-I58</f>
        <v>-5.9999999999999984E-4</v>
      </c>
      <c r="S58" s="126"/>
    </row>
    <row r="59" spans="2:19" ht="12.45" hidden="1" customHeight="1">
      <c r="B59" s="129" t="s">
        <v>449</v>
      </c>
      <c r="C59" s="98"/>
      <c r="D59" s="59"/>
      <c r="G59" s="131"/>
      <c r="H59" s="131"/>
      <c r="I59" s="125">
        <v>0</v>
      </c>
      <c r="K59" s="98" t="s">
        <v>464</v>
      </c>
      <c r="O59" s="131"/>
      <c r="P59" s="125">
        <v>0</v>
      </c>
      <c r="Q59" s="131"/>
      <c r="R59" s="125">
        <f>+P59-I59</f>
        <v>0</v>
      </c>
      <c r="S59" s="126"/>
    </row>
    <row r="60" spans="2:19" ht="12.45" customHeight="1">
      <c r="B60" s="121"/>
      <c r="C60" s="59"/>
      <c r="D60" s="59"/>
      <c r="G60" s="131"/>
      <c r="H60" s="131"/>
      <c r="I60" s="125"/>
      <c r="K60" s="59"/>
      <c r="O60" s="131"/>
      <c r="P60" s="125"/>
      <c r="Q60" s="131"/>
      <c r="R60" s="125"/>
      <c r="S60" s="126"/>
    </row>
    <row r="61" spans="2:19" ht="12.45" customHeight="1">
      <c r="B61" s="116" t="s">
        <v>450</v>
      </c>
      <c r="C61" s="119"/>
      <c r="G61" s="131"/>
      <c r="H61" s="131"/>
      <c r="I61" s="125"/>
      <c r="K61" s="119" t="s">
        <v>450</v>
      </c>
      <c r="O61" s="131"/>
      <c r="P61" s="125"/>
      <c r="Q61" s="131"/>
      <c r="R61" s="125"/>
      <c r="S61" s="126"/>
    </row>
    <row r="62" spans="2:19" ht="12.45" customHeight="1">
      <c r="B62" s="68" t="s">
        <v>451</v>
      </c>
      <c r="G62" s="131"/>
      <c r="H62" s="131"/>
      <c r="I62" s="125">
        <v>0.20609</v>
      </c>
      <c r="K62" s="51" t="s">
        <v>451</v>
      </c>
      <c r="O62" s="131"/>
      <c r="P62" s="125">
        <v>0.20407999999999998</v>
      </c>
      <c r="Q62" s="131"/>
      <c r="R62" s="127">
        <f>+P62-I62</f>
        <v>-2.0100000000000118E-3</v>
      </c>
      <c r="S62" s="126"/>
    </row>
    <row r="63" spans="2:19" ht="12.45" customHeight="1">
      <c r="B63" s="68"/>
      <c r="G63" s="131"/>
      <c r="H63" s="131"/>
      <c r="I63" s="125"/>
      <c r="O63" s="131"/>
      <c r="P63" s="125"/>
      <c r="Q63" s="131"/>
      <c r="R63" s="125"/>
      <c r="S63" s="126"/>
    </row>
    <row r="64" spans="2:19" ht="12.45" customHeight="1">
      <c r="B64" s="135"/>
      <c r="C64" s="52"/>
      <c r="H64" s="81" t="s">
        <v>279</v>
      </c>
      <c r="I64" s="125">
        <f>SUM(I62,I52,I56,I58,I50,I34)</f>
        <v>0.36213000000000001</v>
      </c>
      <c r="O64" s="81" t="s">
        <v>279</v>
      </c>
      <c r="P64" s="125">
        <f>SUM(P62,P52,P56,P58,P50,P34)</f>
        <v>0.36430000000000001</v>
      </c>
      <c r="Q64" s="81"/>
      <c r="R64" s="125">
        <f>+P64-I64</f>
        <v>2.1700000000000053E-3</v>
      </c>
      <c r="S64" s="126"/>
    </row>
    <row r="65" spans="2:19" ht="12.45" customHeight="1">
      <c r="B65" s="139"/>
      <c r="C65" s="143"/>
      <c r="D65" s="140"/>
      <c r="E65" s="140"/>
      <c r="F65" s="140"/>
      <c r="G65" s="140"/>
      <c r="H65" s="201"/>
      <c r="I65" s="142"/>
      <c r="J65" s="140"/>
      <c r="K65" s="143"/>
      <c r="L65" s="140"/>
      <c r="M65" s="140"/>
      <c r="N65" s="140"/>
      <c r="O65" s="201"/>
      <c r="P65" s="201"/>
      <c r="Q65" s="201"/>
      <c r="R65" s="142"/>
      <c r="S65" s="144"/>
    </row>
    <row r="66" spans="2:19" ht="12.45" customHeight="1">
      <c r="B66" s="51" t="s">
        <v>168</v>
      </c>
      <c r="C66" s="52"/>
      <c r="H66" s="81"/>
      <c r="I66" s="125"/>
      <c r="K66" s="52"/>
      <c r="O66" s="81"/>
      <c r="P66" s="81"/>
      <c r="Q66" s="81"/>
      <c r="R66" s="125"/>
      <c r="S66" s="125"/>
    </row>
    <row r="67" spans="2:19" ht="12.45" hidden="1" customHeight="1">
      <c r="B67" s="51" t="s">
        <v>168</v>
      </c>
      <c r="C67" s="52"/>
      <c r="H67" s="81"/>
      <c r="I67" s="125"/>
      <c r="K67" s="52"/>
      <c r="O67" s="81"/>
      <c r="P67" s="81"/>
      <c r="Q67" s="81"/>
      <c r="R67" s="125"/>
      <c r="S67" s="125"/>
    </row>
    <row r="68" spans="2:19" ht="12.45" hidden="1" customHeight="1">
      <c r="B68" s="51" t="s">
        <v>168</v>
      </c>
      <c r="C68" s="52"/>
      <c r="H68" s="81"/>
      <c r="I68" s="125"/>
      <c r="K68" s="52"/>
      <c r="O68" s="81"/>
      <c r="P68" s="81"/>
      <c r="Q68" s="81"/>
      <c r="R68" s="125"/>
      <c r="S68" s="125"/>
    </row>
    <row r="69" spans="2:19" ht="13.2">
      <c r="B69" s="1048" t="s">
        <v>452</v>
      </c>
      <c r="C69" s="1048"/>
      <c r="D69" s="1050"/>
      <c r="E69" s="1050"/>
      <c r="F69" s="1050"/>
      <c r="G69" s="1050"/>
      <c r="H69" s="1050"/>
      <c r="I69" s="1050"/>
      <c r="J69" s="1050"/>
      <c r="K69" s="1050"/>
      <c r="L69" s="1050"/>
      <c r="M69" s="1050"/>
      <c r="N69" s="1050"/>
      <c r="O69" s="1050"/>
      <c r="P69" s="1050"/>
      <c r="Q69" s="1050"/>
      <c r="R69" s="1050"/>
      <c r="S69" s="170"/>
    </row>
    <row r="70" spans="2:19" ht="13.2">
      <c r="B70" s="1050"/>
      <c r="C70" s="1050"/>
      <c r="D70" s="1050"/>
      <c r="E70" s="1050"/>
      <c r="F70" s="1050"/>
      <c r="G70" s="1050"/>
      <c r="H70" s="1050"/>
      <c r="I70" s="1050"/>
      <c r="J70" s="1050"/>
      <c r="K70" s="1050"/>
      <c r="L70" s="1050"/>
      <c r="M70" s="1050"/>
      <c r="N70" s="1050"/>
      <c r="O70" s="1050"/>
      <c r="P70" s="1050"/>
      <c r="Q70" s="1050"/>
      <c r="R70" s="1050"/>
      <c r="S70" s="170"/>
    </row>
    <row r="71" spans="2:19" ht="12.45" customHeight="1">
      <c r="B71" s="594"/>
      <c r="C71" s="594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</row>
    <row r="72" spans="2:19" ht="13.2"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</row>
    <row r="75" spans="2:19">
      <c r="H75" s="81" t="s">
        <v>454</v>
      </c>
      <c r="I75" s="130">
        <f>+I64-I62</f>
        <v>0.15604000000000001</v>
      </c>
      <c r="O75" s="81" t="s">
        <v>454</v>
      </c>
      <c r="P75" s="130">
        <f>+P64-P62</f>
        <v>0.16022000000000003</v>
      </c>
      <c r="Q75" s="81"/>
      <c r="S75" s="130"/>
    </row>
  </sheetData>
  <mergeCells count="1">
    <mergeCell ref="B69:R70"/>
  </mergeCells>
  <printOptions horizontalCentered="1"/>
  <pageMargins left="0.5" right="0.5" top="0.75" bottom="0.25" header="0.5" footer="0.5"/>
  <pageSetup paperSize="9" orientation="portrait" blackAndWhite="1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EF7E-9ADF-4C7C-AD13-483E5D97E17D}">
  <sheetPr>
    <pageSetUpPr fitToPage="1"/>
  </sheetPr>
  <dimension ref="B1:T240"/>
  <sheetViews>
    <sheetView topLeftCell="A75" workbookViewId="0">
      <selection activeCell="M22" sqref="M22"/>
    </sheetView>
  </sheetViews>
  <sheetFormatPr defaultColWidth="8.77734375" defaultRowHeight="11.4" outlineLevelRow="1"/>
  <cols>
    <col min="1" max="1" width="2.21875" style="51" customWidth="1"/>
    <col min="2" max="2" width="15.77734375" style="51" customWidth="1"/>
    <col min="3" max="3" width="5.77734375" style="51" customWidth="1"/>
    <col min="4" max="4" width="16.21875" style="51" customWidth="1"/>
    <col min="5" max="5" width="14.77734375" style="51" customWidth="1"/>
    <col min="6" max="7" width="10.77734375" style="51" customWidth="1"/>
    <col min="8" max="8" width="7.44140625" style="51" customWidth="1"/>
    <col min="9" max="9" width="16.77734375" style="51" customWidth="1"/>
    <col min="10" max="10" width="20.77734375" style="51" customWidth="1"/>
    <col min="11" max="11" width="13.109375" style="51" customWidth="1"/>
    <col min="12" max="12" width="9.44140625" style="51" bestFit="1" customWidth="1"/>
    <col min="13" max="13" width="13.77734375" style="51" customWidth="1"/>
    <col min="14" max="14" width="11.44140625" style="51" customWidth="1"/>
    <col min="15" max="15" width="8.77734375" style="51"/>
    <col min="16" max="16" width="11" style="51" bestFit="1" customWidth="1"/>
    <col min="17" max="16384" width="8.77734375" style="51"/>
  </cols>
  <sheetData>
    <row r="1" spans="2:17" ht="12.45" customHeight="1">
      <c r="G1" s="53"/>
    </row>
    <row r="2" spans="2:17" ht="12.45" customHeight="1"/>
    <row r="3" spans="2:17" ht="12.45" customHeight="1">
      <c r="B3" s="1051" t="s">
        <v>285</v>
      </c>
      <c r="C3" s="1052"/>
      <c r="D3" s="1052"/>
      <c r="E3" s="1052"/>
      <c r="F3" s="1052"/>
      <c r="G3" s="1052"/>
      <c r="H3" s="1052"/>
      <c r="I3" s="1052"/>
      <c r="J3" s="1052"/>
      <c r="K3" s="1052"/>
      <c r="L3" s="1052"/>
      <c r="M3" s="1052"/>
      <c r="N3" s="1053"/>
    </row>
    <row r="4" spans="2:17" ht="12.45" customHeight="1">
      <c r="B4" s="1054" t="s">
        <v>410</v>
      </c>
      <c r="C4" s="1055"/>
      <c r="D4" s="1055"/>
      <c r="E4" s="1055"/>
      <c r="F4" s="1055"/>
      <c r="G4" s="1055"/>
      <c r="H4" s="1055"/>
      <c r="I4" s="1055"/>
      <c r="J4" s="1055"/>
      <c r="K4" s="1055"/>
      <c r="L4" s="1055"/>
      <c r="M4" s="1055"/>
      <c r="N4" s="1056"/>
    </row>
    <row r="5" spans="2:17" ht="12.45" customHeight="1">
      <c r="B5" s="1057" t="s">
        <v>484</v>
      </c>
      <c r="C5" s="1058"/>
      <c r="D5" s="1058"/>
      <c r="E5" s="1058"/>
      <c r="F5" s="1058"/>
      <c r="G5" s="1058"/>
      <c r="H5" s="1058"/>
      <c r="I5" s="1058"/>
      <c r="J5" s="1058"/>
      <c r="K5" s="1058"/>
      <c r="L5" s="1058"/>
      <c r="M5" s="1058"/>
      <c r="N5" s="1059"/>
    </row>
    <row r="6" spans="2:17" ht="12.45" customHeight="1"/>
    <row r="7" spans="2:17" ht="12.45" customHeight="1">
      <c r="B7" s="69"/>
      <c r="C7" s="70"/>
      <c r="D7" s="70"/>
      <c r="E7" s="70"/>
      <c r="F7" s="70"/>
      <c r="G7" s="70"/>
      <c r="H7" s="70"/>
      <c r="I7" s="204" t="s">
        <v>414</v>
      </c>
      <c r="J7" s="110" t="s">
        <v>415</v>
      </c>
      <c r="K7" s="70"/>
      <c r="L7" s="110" t="s">
        <v>416</v>
      </c>
      <c r="M7" s="110" t="s">
        <v>417</v>
      </c>
      <c r="N7" s="111" t="s">
        <v>416</v>
      </c>
    </row>
    <row r="8" spans="2:17" ht="12.45" customHeight="1">
      <c r="B8" s="68"/>
      <c r="D8" s="52"/>
      <c r="E8" s="52"/>
      <c r="F8" s="52"/>
      <c r="G8" s="53" t="s">
        <v>413</v>
      </c>
      <c r="H8" s="53" t="s">
        <v>485</v>
      </c>
      <c r="I8" s="53" t="s">
        <v>326</v>
      </c>
      <c r="J8" s="53" t="s">
        <v>326</v>
      </c>
      <c r="K8" s="53" t="s">
        <v>279</v>
      </c>
      <c r="L8" s="53" t="s">
        <v>279</v>
      </c>
      <c r="M8" s="53" t="s">
        <v>419</v>
      </c>
      <c r="N8" s="80" t="s">
        <v>419</v>
      </c>
    </row>
    <row r="9" spans="2:17" ht="12.45" customHeight="1">
      <c r="B9" s="68"/>
      <c r="D9" s="86" t="s">
        <v>166</v>
      </c>
      <c r="E9" s="86" t="s">
        <v>167</v>
      </c>
      <c r="F9" s="86"/>
      <c r="G9" s="87" t="s">
        <v>486</v>
      </c>
      <c r="H9" s="232" t="s">
        <v>487</v>
      </c>
      <c r="I9" s="87" t="s">
        <v>162</v>
      </c>
      <c r="J9" s="87" t="s">
        <v>162</v>
      </c>
      <c r="K9" s="87" t="s">
        <v>142</v>
      </c>
      <c r="L9" s="87" t="s">
        <v>142</v>
      </c>
      <c r="M9" s="87" t="s">
        <v>162</v>
      </c>
      <c r="N9" s="89" t="s">
        <v>142</v>
      </c>
      <c r="O9" s="152"/>
    </row>
    <row r="10" spans="2:17" ht="12.45" customHeight="1">
      <c r="B10" s="68"/>
      <c r="N10" s="92"/>
    </row>
    <row r="11" spans="2:17" ht="12.45" customHeight="1">
      <c r="B11" s="68"/>
      <c r="D11" s="236" t="s">
        <v>169</v>
      </c>
      <c r="I11" s="130"/>
      <c r="J11" s="130"/>
      <c r="K11" s="117"/>
      <c r="L11" s="237"/>
      <c r="N11" s="92"/>
    </row>
    <row r="12" spans="2:17" ht="12.45" customHeight="1">
      <c r="B12" s="68"/>
      <c r="C12" s="51">
        <v>1</v>
      </c>
      <c r="D12" s="238">
        <v>3500</v>
      </c>
      <c r="E12" s="239" t="s">
        <v>170</v>
      </c>
      <c r="G12" s="51">
        <v>39.25</v>
      </c>
      <c r="H12" s="240">
        <f t="shared" ref="H12:H18" si="0">H113/$H$159</f>
        <v>4.3344771536933356E-3</v>
      </c>
      <c r="I12" s="117">
        <f t="shared" ref="I12:I18" si="1">+G12*E$98+E113</f>
        <v>26.058002500000001</v>
      </c>
      <c r="J12" s="117">
        <f t="shared" ref="J12:J18" si="2">+G12*K$98+K113</f>
        <v>29.223365000000001</v>
      </c>
      <c r="K12" s="117">
        <f t="shared" ref="K12:K18" si="3">J12-I12</f>
        <v>3.1653625000000005</v>
      </c>
      <c r="L12" s="166">
        <f t="shared" ref="L12:L18" si="4">(J12/I12-1)</f>
        <v>0.12147372002132562</v>
      </c>
      <c r="M12" s="153">
        <f>+G12*$E$98-G12*$E$96+E113</f>
        <v>17.968969999999999</v>
      </c>
      <c r="N12" s="241">
        <f t="shared" ref="N12:N18" si="5">+K12/M12</f>
        <v>0.17615714757161935</v>
      </c>
      <c r="O12" s="242"/>
      <c r="P12" s="90"/>
      <c r="Q12" s="153"/>
    </row>
    <row r="13" spans="2:17" ht="12.45" customHeight="1">
      <c r="B13" s="68"/>
      <c r="C13" s="51">
        <f t="shared" ref="C13:C18" si="6">+C12+1</f>
        <v>2</v>
      </c>
      <c r="D13" s="238">
        <v>7000</v>
      </c>
      <c r="E13" s="239" t="s">
        <v>170</v>
      </c>
      <c r="G13" s="51">
        <v>68.25</v>
      </c>
      <c r="H13" s="240">
        <f t="shared" si="0"/>
        <v>7.5853350189633373E-3</v>
      </c>
      <c r="I13" s="117">
        <f t="shared" si="1"/>
        <v>36.786972499999997</v>
      </c>
      <c r="J13" s="117">
        <f t="shared" si="2"/>
        <v>39.922984999999997</v>
      </c>
      <c r="K13" s="117">
        <f t="shared" si="3"/>
        <v>3.1360124999999996</v>
      </c>
      <c r="L13" s="166">
        <f t="shared" si="4"/>
        <v>8.5247909433155966E-2</v>
      </c>
      <c r="M13" s="153">
        <f t="shared" ref="M13:M18" si="7">+G13*$E$98-G13*$E$96+E114</f>
        <v>22.721329999999998</v>
      </c>
      <c r="N13" s="241">
        <f t="shared" si="5"/>
        <v>0.13802063963685224</v>
      </c>
      <c r="O13" s="242"/>
      <c r="P13" s="90"/>
      <c r="Q13" s="153"/>
    </row>
    <row r="14" spans="2:17" ht="12.45" customHeight="1">
      <c r="B14" s="68"/>
      <c r="C14" s="51">
        <f t="shared" si="6"/>
        <v>3</v>
      </c>
      <c r="D14" s="238">
        <v>20000</v>
      </c>
      <c r="E14" s="239" t="s">
        <v>170</v>
      </c>
      <c r="G14" s="51">
        <v>157.25</v>
      </c>
      <c r="H14" s="240">
        <f t="shared" si="0"/>
        <v>0</v>
      </c>
      <c r="I14" s="117">
        <f t="shared" si="1"/>
        <v>77.441742500000004</v>
      </c>
      <c r="J14" s="117">
        <f t="shared" si="2"/>
        <v>82.649405000000002</v>
      </c>
      <c r="K14" s="117">
        <f t="shared" si="3"/>
        <v>5.2076624999999979</v>
      </c>
      <c r="L14" s="166">
        <f t="shared" si="4"/>
        <v>6.7246194776673596E-2</v>
      </c>
      <c r="M14" s="153">
        <f t="shared" si="7"/>
        <v>45.034089999999999</v>
      </c>
      <c r="N14" s="241">
        <f t="shared" si="5"/>
        <v>0.11563823094904323</v>
      </c>
      <c r="O14" s="242"/>
      <c r="P14" s="90"/>
      <c r="Q14" s="153"/>
    </row>
    <row r="15" spans="2:17" ht="12.45" customHeight="1">
      <c r="B15" s="68"/>
      <c r="C15" s="51">
        <f t="shared" si="6"/>
        <v>4</v>
      </c>
      <c r="D15" s="238">
        <v>60000</v>
      </c>
      <c r="E15" s="239" t="s">
        <v>170</v>
      </c>
      <c r="G15" s="51">
        <v>369</v>
      </c>
      <c r="H15" s="240">
        <f t="shared" si="0"/>
        <v>7.5853350189633373E-3</v>
      </c>
      <c r="I15" s="117">
        <f t="shared" si="1"/>
        <v>169.86517000000001</v>
      </c>
      <c r="J15" s="117">
        <f t="shared" si="2"/>
        <v>178.78482</v>
      </c>
      <c r="K15" s="117">
        <f t="shared" si="3"/>
        <v>8.9196499999999901</v>
      </c>
      <c r="L15" s="166">
        <f t="shared" si="4"/>
        <v>5.2510176159126676E-2</v>
      </c>
      <c r="M15" s="153">
        <f t="shared" si="7"/>
        <v>93.817959999999999</v>
      </c>
      <c r="N15" s="241">
        <f t="shared" si="5"/>
        <v>9.5074013547086195E-2</v>
      </c>
      <c r="O15" s="242"/>
      <c r="P15" s="90"/>
      <c r="Q15" s="153"/>
    </row>
    <row r="16" spans="2:17" ht="12.45" customHeight="1">
      <c r="B16" s="68"/>
      <c r="C16" s="51">
        <f t="shared" si="6"/>
        <v>5</v>
      </c>
      <c r="D16" s="238">
        <v>20000</v>
      </c>
      <c r="E16" s="243" t="s">
        <v>171</v>
      </c>
      <c r="G16" s="51">
        <v>157.25</v>
      </c>
      <c r="H16" s="240">
        <f t="shared" si="0"/>
        <v>2.7090482210583348E-2</v>
      </c>
      <c r="I16" s="117">
        <f t="shared" si="1"/>
        <v>80.33174249999999</v>
      </c>
      <c r="J16" s="117">
        <f t="shared" si="2"/>
        <v>86.339404999999999</v>
      </c>
      <c r="K16" s="117">
        <f t="shared" si="3"/>
        <v>6.0076625000000092</v>
      </c>
      <c r="L16" s="166">
        <f t="shared" si="4"/>
        <v>7.4785661471242326E-2</v>
      </c>
      <c r="M16" s="153">
        <f t="shared" si="7"/>
        <v>47.92409</v>
      </c>
      <c r="N16" s="241">
        <f t="shared" si="5"/>
        <v>0.12535788368647185</v>
      </c>
      <c r="O16" s="242"/>
      <c r="P16" s="90"/>
      <c r="Q16" s="153"/>
    </row>
    <row r="17" spans="2:17" ht="12.45" customHeight="1">
      <c r="B17" s="68"/>
      <c r="C17" s="51">
        <f t="shared" si="6"/>
        <v>6</v>
      </c>
      <c r="D17" s="238">
        <v>3500</v>
      </c>
      <c r="E17" s="243" t="s">
        <v>172</v>
      </c>
      <c r="G17" s="51">
        <v>39.25</v>
      </c>
      <c r="H17" s="240">
        <f t="shared" si="0"/>
        <v>3.1424959364276688E-2</v>
      </c>
      <c r="I17" s="117">
        <f t="shared" si="1"/>
        <v>26.698002500000001</v>
      </c>
      <c r="J17" s="117">
        <f t="shared" si="2"/>
        <v>30.043365000000001</v>
      </c>
      <c r="K17" s="117">
        <f t="shared" si="3"/>
        <v>3.3453625000000002</v>
      </c>
      <c r="L17" s="166">
        <f t="shared" si="4"/>
        <v>0.12530384997903865</v>
      </c>
      <c r="M17" s="153">
        <f t="shared" si="7"/>
        <v>18.608969999999999</v>
      </c>
      <c r="N17" s="241">
        <f t="shared" si="5"/>
        <v>0.17977150266779948</v>
      </c>
      <c r="O17" s="242"/>
      <c r="P17" s="90"/>
      <c r="Q17" s="153"/>
    </row>
    <row r="18" spans="2:17" s="52" customFormat="1" ht="12.45" customHeight="1">
      <c r="B18" s="68"/>
      <c r="C18" s="51">
        <f t="shared" si="6"/>
        <v>7</v>
      </c>
      <c r="D18" s="238">
        <v>7000</v>
      </c>
      <c r="E18" s="243" t="s">
        <v>172</v>
      </c>
      <c r="F18" s="53"/>
      <c r="G18" s="51">
        <v>68.25</v>
      </c>
      <c r="H18" s="240">
        <f t="shared" si="0"/>
        <v>2.7090482210583348E-2</v>
      </c>
      <c r="I18" s="117">
        <f t="shared" si="1"/>
        <v>37.7369725</v>
      </c>
      <c r="J18" s="117">
        <f t="shared" si="2"/>
        <v>41.142984999999996</v>
      </c>
      <c r="K18" s="117">
        <f t="shared" si="3"/>
        <v>3.4060124999999957</v>
      </c>
      <c r="L18" s="166">
        <f t="shared" si="4"/>
        <v>9.0256644196881286E-2</v>
      </c>
      <c r="M18" s="153">
        <f t="shared" si="7"/>
        <v>23.671329999999998</v>
      </c>
      <c r="N18" s="241">
        <f t="shared" si="5"/>
        <v>0.14388766917617202</v>
      </c>
      <c r="O18" s="242"/>
      <c r="P18" s="90"/>
      <c r="Q18" s="153"/>
    </row>
    <row r="19" spans="2:17" s="52" customFormat="1" ht="12.45" customHeight="1">
      <c r="B19" s="68"/>
      <c r="C19" s="51"/>
      <c r="D19" s="244"/>
      <c r="E19" s="53"/>
      <c r="F19" s="53"/>
      <c r="G19" s="51"/>
      <c r="H19" s="245"/>
      <c r="I19" s="117"/>
      <c r="J19" s="117"/>
      <c r="K19" s="117"/>
      <c r="L19" s="166"/>
      <c r="M19" s="153"/>
      <c r="N19" s="241"/>
      <c r="O19" s="242"/>
      <c r="P19" s="90"/>
    </row>
    <row r="20" spans="2:17" s="86" customFormat="1" ht="12.45" customHeight="1">
      <c r="B20" s="68"/>
      <c r="C20" s="51"/>
      <c r="D20" s="236" t="s">
        <v>173</v>
      </c>
      <c r="E20" s="87"/>
      <c r="F20" s="87"/>
      <c r="G20" s="51"/>
      <c r="H20" s="246"/>
      <c r="I20" s="117"/>
      <c r="J20" s="117"/>
      <c r="K20" s="117"/>
      <c r="L20" s="166"/>
      <c r="M20" s="153"/>
      <c r="N20" s="241"/>
      <c r="O20" s="242"/>
      <c r="P20" s="247"/>
    </row>
    <row r="21" spans="2:17" ht="12.45" customHeight="1">
      <c r="B21" s="68"/>
      <c r="C21" s="51">
        <f>+C18+1</f>
        <v>8</v>
      </c>
      <c r="D21" s="238">
        <v>3300</v>
      </c>
      <c r="E21" s="239" t="s">
        <v>170</v>
      </c>
      <c r="F21" s="117"/>
      <c r="G21" s="51">
        <v>20</v>
      </c>
      <c r="H21" s="240">
        <f t="shared" ref="H21:H26" si="8">H122/$H$159</f>
        <v>0.14267653964240565</v>
      </c>
      <c r="I21" s="117">
        <f t="shared" ref="I21:I26" si="9">+G21*E$98+E122</f>
        <v>18.128599999999999</v>
      </c>
      <c r="J21" s="117">
        <f t="shared" ref="J21:J26" si="10">+G21*K$98+K122</f>
        <v>21.085599999999999</v>
      </c>
      <c r="K21" s="117">
        <f t="shared" ref="K21:K26" si="11">J21-I21</f>
        <v>2.9570000000000007</v>
      </c>
      <c r="L21" s="166">
        <f t="shared" ref="L21:L26" si="12">(J21/I21-1)</f>
        <v>0.16311243008285259</v>
      </c>
      <c r="M21" s="153">
        <f t="shared" ref="M21:M26" si="13">+G21*$E$98-G21*$E$96+E122</f>
        <v>14.006799999999998</v>
      </c>
      <c r="N21" s="241">
        <f t="shared" ref="N21:N26" si="14">+K21/M21</f>
        <v>0.2111117457235058</v>
      </c>
      <c r="O21" s="242"/>
      <c r="P21" s="90"/>
      <c r="Q21" s="153"/>
    </row>
    <row r="22" spans="2:17" ht="12.45" customHeight="1">
      <c r="B22" s="68"/>
      <c r="C22" s="51">
        <f>+C21+1</f>
        <v>9</v>
      </c>
      <c r="D22" s="238">
        <v>9500</v>
      </c>
      <c r="E22" s="239" t="s">
        <v>170</v>
      </c>
      <c r="F22" s="117"/>
      <c r="G22" s="51">
        <v>40.25</v>
      </c>
      <c r="H22" s="240">
        <f t="shared" si="8"/>
        <v>8.9940400939136717E-2</v>
      </c>
      <c r="I22" s="117">
        <f t="shared" si="9"/>
        <v>26.806932500000002</v>
      </c>
      <c r="J22" s="117">
        <f t="shared" si="10"/>
        <v>30.077145000000002</v>
      </c>
      <c r="K22" s="117">
        <f t="shared" si="11"/>
        <v>3.2702124999999995</v>
      </c>
      <c r="L22" s="166">
        <f t="shared" si="12"/>
        <v>0.12199129833299649</v>
      </c>
      <c r="M22" s="153">
        <f t="shared" si="13"/>
        <v>18.511810000000001</v>
      </c>
      <c r="N22" s="241">
        <f t="shared" si="14"/>
        <v>0.17665547021063849</v>
      </c>
      <c r="O22" s="242"/>
      <c r="P22" s="90"/>
      <c r="Q22" s="153"/>
    </row>
    <row r="23" spans="2:17" ht="12.45" customHeight="1">
      <c r="B23" s="68"/>
      <c r="C23" s="51">
        <f>+C22+1</f>
        <v>10</v>
      </c>
      <c r="D23" s="238">
        <v>20000</v>
      </c>
      <c r="E23" s="239" t="s">
        <v>170</v>
      </c>
      <c r="F23" s="117"/>
      <c r="G23" s="51">
        <v>85</v>
      </c>
      <c r="H23" s="240">
        <f t="shared" si="8"/>
        <v>8.6689543073866712E-3</v>
      </c>
      <c r="I23" s="117">
        <f t="shared" si="9"/>
        <v>47.939049999999995</v>
      </c>
      <c r="J23" s="117">
        <f t="shared" si="10"/>
        <v>52.441299999999998</v>
      </c>
      <c r="K23" s="117">
        <f t="shared" si="11"/>
        <v>4.5022500000000036</v>
      </c>
      <c r="L23" s="166">
        <f t="shared" si="12"/>
        <v>9.3916128917865604E-2</v>
      </c>
      <c r="M23" s="153">
        <f t="shared" si="13"/>
        <v>30.421399999999998</v>
      </c>
      <c r="N23" s="241">
        <f t="shared" si="14"/>
        <v>0.14799614744883549</v>
      </c>
      <c r="O23" s="242"/>
      <c r="P23" s="90"/>
      <c r="Q23" s="153"/>
    </row>
    <row r="24" spans="2:17" ht="12.45" customHeight="1">
      <c r="B24" s="68"/>
      <c r="C24" s="51">
        <f>+C23+1</f>
        <v>11</v>
      </c>
      <c r="D24" s="238">
        <v>50000</v>
      </c>
      <c r="E24" s="239" t="s">
        <v>170</v>
      </c>
      <c r="F24" s="117"/>
      <c r="G24" s="51">
        <v>161.25</v>
      </c>
      <c r="H24" s="240">
        <f t="shared" si="8"/>
        <v>6.5017157305400034E-3</v>
      </c>
      <c r="I24" s="117">
        <f t="shared" si="9"/>
        <v>81.047462499999995</v>
      </c>
      <c r="J24" s="117">
        <f t="shared" si="10"/>
        <v>86.844525000000004</v>
      </c>
      <c r="K24" s="117">
        <f t="shared" si="11"/>
        <v>5.7970625000000098</v>
      </c>
      <c r="L24" s="166">
        <f t="shared" si="12"/>
        <v>7.1526761248077442E-2</v>
      </c>
      <c r="M24" s="153">
        <f t="shared" si="13"/>
        <v>47.815449999999998</v>
      </c>
      <c r="N24" s="241">
        <f t="shared" si="14"/>
        <v>0.1212382713118879</v>
      </c>
      <c r="O24" s="242"/>
      <c r="P24" s="90"/>
      <c r="Q24" s="153"/>
    </row>
    <row r="25" spans="2:17" ht="12.45" customHeight="1">
      <c r="B25" s="68"/>
      <c r="C25" s="51">
        <f>+C24+1</f>
        <v>12</v>
      </c>
      <c r="D25" s="238">
        <v>140000</v>
      </c>
      <c r="E25" s="239" t="s">
        <v>170</v>
      </c>
      <c r="F25" s="117"/>
      <c r="G25" s="51">
        <v>378</v>
      </c>
      <c r="H25" s="240">
        <f t="shared" si="8"/>
        <v>4.659562940220336E-2</v>
      </c>
      <c r="I25" s="117">
        <f t="shared" si="9"/>
        <v>181.32553999999999</v>
      </c>
      <c r="J25" s="117">
        <f t="shared" si="10"/>
        <v>192.49884</v>
      </c>
      <c r="K25" s="117">
        <f t="shared" si="11"/>
        <v>11.173300000000012</v>
      </c>
      <c r="L25" s="166">
        <f t="shared" si="12"/>
        <v>6.1620111540823252E-2</v>
      </c>
      <c r="M25" s="153">
        <f t="shared" si="13"/>
        <v>103.42352</v>
      </c>
      <c r="N25" s="241">
        <f t="shared" si="14"/>
        <v>0.1080344200236079</v>
      </c>
      <c r="O25" s="242"/>
      <c r="P25" s="90"/>
      <c r="Q25" s="153"/>
    </row>
    <row r="26" spans="2:17" ht="12.45" customHeight="1">
      <c r="B26" s="68"/>
      <c r="C26" s="51">
        <f>+C25+1</f>
        <v>13</v>
      </c>
      <c r="D26" s="238">
        <v>50000</v>
      </c>
      <c r="E26" s="243" t="s">
        <v>171</v>
      </c>
      <c r="F26" s="117"/>
      <c r="G26" s="51">
        <v>161.25</v>
      </c>
      <c r="H26" s="240">
        <f t="shared" si="8"/>
        <v>0.31424959364276683</v>
      </c>
      <c r="I26" s="117">
        <f t="shared" si="9"/>
        <v>85.8074625</v>
      </c>
      <c r="J26" s="117">
        <f t="shared" si="10"/>
        <v>92.924524999999988</v>
      </c>
      <c r="K26" s="117">
        <f t="shared" si="11"/>
        <v>7.1170624999999887</v>
      </c>
      <c r="L26" s="166">
        <f t="shared" si="12"/>
        <v>8.294223244277843E-2</v>
      </c>
      <c r="M26" s="153">
        <f t="shared" si="13"/>
        <v>52.575450000000004</v>
      </c>
      <c r="N26" s="241">
        <f t="shared" si="14"/>
        <v>0.13536855129152461</v>
      </c>
      <c r="O26" s="242"/>
      <c r="P26" s="90"/>
      <c r="Q26" s="153"/>
    </row>
    <row r="27" spans="2:17" ht="12.45" customHeight="1">
      <c r="B27" s="68"/>
      <c r="D27" s="238"/>
      <c r="E27" s="243"/>
      <c r="F27" s="117"/>
      <c r="H27" s="166"/>
      <c r="I27" s="117"/>
      <c r="J27" s="117"/>
      <c r="K27" s="117"/>
      <c r="L27" s="166"/>
      <c r="M27" s="153"/>
      <c r="N27" s="241"/>
      <c r="O27" s="242"/>
      <c r="P27" s="90"/>
    </row>
    <row r="28" spans="2:17" ht="12.45" customHeight="1">
      <c r="B28" s="68"/>
      <c r="D28" s="248" t="s">
        <v>488</v>
      </c>
      <c r="E28" s="243"/>
      <c r="F28" s="117"/>
      <c r="H28" s="166"/>
      <c r="I28" s="117"/>
      <c r="J28" s="117"/>
      <c r="K28" s="117"/>
      <c r="L28" s="166"/>
      <c r="M28" s="153"/>
      <c r="N28" s="241"/>
      <c r="O28" s="242"/>
      <c r="P28" s="90"/>
    </row>
    <row r="29" spans="2:17" ht="12.45" customHeight="1">
      <c r="B29" s="68"/>
      <c r="C29" s="51">
        <f>+C26+1</f>
        <v>14</v>
      </c>
      <c r="D29" s="238">
        <v>3700</v>
      </c>
      <c r="E29" s="243" t="s">
        <v>175</v>
      </c>
      <c r="F29" s="117"/>
      <c r="G29" s="249">
        <v>39.5</v>
      </c>
      <c r="H29" s="240">
        <v>0</v>
      </c>
      <c r="I29" s="117">
        <f t="shared" ref="I29:I38" si="15">+G29*E$98+E130</f>
        <v>29.197735000000002</v>
      </c>
      <c r="J29" s="117"/>
      <c r="K29" s="137"/>
      <c r="L29" s="250"/>
      <c r="M29" s="153"/>
      <c r="N29" s="241"/>
      <c r="O29" s="242"/>
      <c r="P29" s="90"/>
      <c r="Q29" s="153"/>
    </row>
    <row r="30" spans="2:17" ht="12.45" customHeight="1">
      <c r="B30" s="68"/>
      <c r="C30" s="51">
        <f t="shared" ref="C30:C38" si="16">+C29+1</f>
        <v>15</v>
      </c>
      <c r="D30" s="238">
        <v>5000</v>
      </c>
      <c r="E30" s="243" t="s">
        <v>175</v>
      </c>
      <c r="F30" s="117"/>
      <c r="G30" s="249">
        <v>57.5</v>
      </c>
      <c r="H30" s="240">
        <v>0</v>
      </c>
      <c r="I30" s="117">
        <f t="shared" si="15"/>
        <v>37.308475000000001</v>
      </c>
      <c r="J30" s="117"/>
      <c r="K30" s="137"/>
      <c r="L30" s="250"/>
      <c r="M30" s="153"/>
      <c r="N30" s="241"/>
      <c r="O30" s="242"/>
      <c r="P30" s="90"/>
      <c r="Q30" s="153"/>
    </row>
    <row r="31" spans="2:17" ht="12.45" customHeight="1">
      <c r="B31" s="68"/>
      <c r="C31" s="51">
        <f t="shared" si="16"/>
        <v>16</v>
      </c>
      <c r="D31" s="238">
        <v>10000</v>
      </c>
      <c r="E31" s="243" t="s">
        <v>175</v>
      </c>
      <c r="F31" s="117"/>
      <c r="G31" s="249">
        <v>124.75</v>
      </c>
      <c r="H31" s="240">
        <v>0</v>
      </c>
      <c r="I31" s="117">
        <f t="shared" si="15"/>
        <v>63.2265175</v>
      </c>
      <c r="J31" s="117"/>
      <c r="K31" s="137"/>
      <c r="L31" s="250"/>
      <c r="M31" s="153"/>
      <c r="N31" s="241"/>
      <c r="O31" s="242"/>
      <c r="P31" s="90"/>
      <c r="Q31" s="153"/>
    </row>
    <row r="32" spans="2:17" ht="12.45" customHeight="1">
      <c r="B32" s="68"/>
      <c r="C32" s="51">
        <f t="shared" si="16"/>
        <v>17</v>
      </c>
      <c r="D32" s="238">
        <v>3700</v>
      </c>
      <c r="E32" s="243" t="s">
        <v>171</v>
      </c>
      <c r="F32" s="117"/>
      <c r="G32" s="249">
        <v>39.5</v>
      </c>
      <c r="H32" s="240">
        <v>0</v>
      </c>
      <c r="I32" s="117">
        <f t="shared" si="15"/>
        <v>29.547734999999999</v>
      </c>
      <c r="J32" s="117"/>
      <c r="K32" s="137"/>
      <c r="L32" s="250"/>
      <c r="M32" s="153"/>
      <c r="N32" s="241"/>
      <c r="O32" s="242"/>
      <c r="P32" s="90"/>
      <c r="Q32" s="153"/>
    </row>
    <row r="33" spans="2:17" ht="12.45" customHeight="1">
      <c r="B33" s="68"/>
      <c r="C33" s="51">
        <f t="shared" si="16"/>
        <v>18</v>
      </c>
      <c r="D33" s="238">
        <v>5000</v>
      </c>
      <c r="E33" s="243" t="s">
        <v>171</v>
      </c>
      <c r="F33" s="117"/>
      <c r="G33" s="249">
        <v>57.5</v>
      </c>
      <c r="H33" s="240">
        <v>0</v>
      </c>
      <c r="I33" s="117">
        <f t="shared" si="15"/>
        <v>37.948475000000002</v>
      </c>
      <c r="J33" s="117"/>
      <c r="K33" s="137"/>
      <c r="L33" s="250"/>
      <c r="M33" s="153"/>
      <c r="N33" s="241"/>
      <c r="O33" s="242"/>
      <c r="P33" s="90"/>
      <c r="Q33" s="153"/>
    </row>
    <row r="34" spans="2:17" ht="12.45" customHeight="1">
      <c r="B34" s="68"/>
      <c r="C34" s="51">
        <f t="shared" si="16"/>
        <v>19</v>
      </c>
      <c r="D34" s="238">
        <v>10000</v>
      </c>
      <c r="E34" s="243" t="s">
        <v>171</v>
      </c>
      <c r="F34" s="117"/>
      <c r="G34" s="249">
        <v>124.75</v>
      </c>
      <c r="H34" s="240">
        <v>0</v>
      </c>
      <c r="I34" s="117">
        <f t="shared" si="15"/>
        <v>63.076517500000001</v>
      </c>
      <c r="J34" s="117"/>
      <c r="K34" s="137"/>
      <c r="L34" s="250"/>
      <c r="M34" s="153"/>
      <c r="N34" s="241"/>
      <c r="O34" s="242"/>
      <c r="P34" s="90"/>
      <c r="Q34" s="153"/>
    </row>
    <row r="35" spans="2:17" ht="12.45" customHeight="1">
      <c r="B35" s="68"/>
      <c r="C35" s="51">
        <f t="shared" si="16"/>
        <v>20</v>
      </c>
      <c r="D35" s="238">
        <v>47000</v>
      </c>
      <c r="E35" s="243" t="s">
        <v>171</v>
      </c>
      <c r="F35" s="117"/>
      <c r="G35" s="249">
        <v>361.25</v>
      </c>
      <c r="H35" s="240">
        <v>0</v>
      </c>
      <c r="I35" s="117">
        <f t="shared" si="15"/>
        <v>165.27346249999999</v>
      </c>
      <c r="J35" s="117"/>
      <c r="K35" s="137"/>
      <c r="L35" s="250"/>
      <c r="M35" s="153"/>
      <c r="N35" s="241"/>
      <c r="O35" s="242"/>
      <c r="P35" s="90"/>
      <c r="Q35" s="153"/>
    </row>
    <row r="36" spans="2:17" ht="12.45" customHeight="1">
      <c r="B36" s="68"/>
      <c r="C36" s="51">
        <f t="shared" si="16"/>
        <v>21</v>
      </c>
      <c r="D36" s="238">
        <v>3700</v>
      </c>
      <c r="E36" s="243" t="s">
        <v>172</v>
      </c>
      <c r="F36" s="117"/>
      <c r="G36" s="249">
        <v>39.5</v>
      </c>
      <c r="H36" s="240">
        <v>0</v>
      </c>
      <c r="I36" s="117">
        <f t="shared" si="15"/>
        <v>29.487735000000001</v>
      </c>
      <c r="J36" s="117"/>
      <c r="K36" s="137"/>
      <c r="L36" s="250"/>
      <c r="M36" s="153"/>
      <c r="N36" s="241"/>
      <c r="O36" s="242"/>
      <c r="P36" s="90"/>
      <c r="Q36" s="153"/>
    </row>
    <row r="37" spans="2:17" ht="12.45" customHeight="1">
      <c r="B37" s="68"/>
      <c r="C37" s="51">
        <f t="shared" si="16"/>
        <v>22</v>
      </c>
      <c r="D37" s="238">
        <v>5000</v>
      </c>
      <c r="E37" s="243" t="s">
        <v>172</v>
      </c>
      <c r="F37" s="117"/>
      <c r="G37" s="249">
        <v>57.5</v>
      </c>
      <c r="H37" s="240">
        <v>0</v>
      </c>
      <c r="I37" s="117">
        <f t="shared" si="15"/>
        <v>37.618475000000004</v>
      </c>
      <c r="J37" s="117"/>
      <c r="K37" s="137"/>
      <c r="L37" s="250"/>
      <c r="M37" s="153"/>
      <c r="N37" s="241"/>
      <c r="O37" s="242"/>
      <c r="P37" s="90"/>
      <c r="Q37" s="153"/>
    </row>
    <row r="38" spans="2:17" ht="12.45" customHeight="1">
      <c r="B38" s="68"/>
      <c r="C38" s="51">
        <f t="shared" si="16"/>
        <v>23</v>
      </c>
      <c r="D38" s="238">
        <v>10000</v>
      </c>
      <c r="E38" s="243" t="s">
        <v>172</v>
      </c>
      <c r="F38" s="117"/>
      <c r="G38" s="249">
        <v>124.75</v>
      </c>
      <c r="H38" s="240">
        <v>0</v>
      </c>
      <c r="I38" s="117">
        <f t="shared" si="15"/>
        <v>63.606517500000002</v>
      </c>
      <c r="J38" s="117"/>
      <c r="K38" s="137"/>
      <c r="L38" s="250"/>
      <c r="M38" s="153"/>
      <c r="N38" s="241"/>
      <c r="O38" s="242"/>
      <c r="P38" s="90"/>
      <c r="Q38" s="153"/>
    </row>
    <row r="39" spans="2:17" ht="12.45" customHeight="1">
      <c r="B39" s="68"/>
      <c r="D39" s="238"/>
      <c r="E39" s="243"/>
      <c r="F39" s="117"/>
      <c r="H39" s="240"/>
      <c r="I39" s="117"/>
      <c r="J39" s="117"/>
      <c r="K39" s="117"/>
      <c r="L39" s="166"/>
      <c r="M39" s="153"/>
      <c r="N39" s="241"/>
      <c r="O39" s="242"/>
      <c r="P39" s="90"/>
    </row>
    <row r="40" spans="2:17" ht="12.45" customHeight="1">
      <c r="B40" s="68"/>
      <c r="D40" s="251" t="s">
        <v>174</v>
      </c>
      <c r="E40" s="243"/>
      <c r="F40" s="117"/>
      <c r="H40" s="240"/>
      <c r="I40" s="117"/>
      <c r="J40" s="117"/>
      <c r="K40" s="117"/>
      <c r="L40" s="166"/>
      <c r="M40" s="153"/>
      <c r="N40" s="241"/>
      <c r="O40" s="242"/>
      <c r="P40" s="90"/>
    </row>
    <row r="41" spans="2:17" ht="12.45" customHeight="1">
      <c r="B41" s="68"/>
      <c r="C41" s="51">
        <f>+C38+1</f>
        <v>24</v>
      </c>
      <c r="D41" s="238">
        <v>3850</v>
      </c>
      <c r="E41" s="243" t="s">
        <v>175</v>
      </c>
      <c r="F41" s="117"/>
      <c r="G41" s="51">
        <v>17.25</v>
      </c>
      <c r="H41" s="240">
        <f t="shared" ref="H41:H49" si="17">H142/$H$159</f>
        <v>0</v>
      </c>
      <c r="I41" s="117">
        <f t="shared" ref="I41:I49" si="18">+G41*E$98+E142</f>
        <v>15.751542499999999</v>
      </c>
      <c r="J41" s="117">
        <f t="shared" ref="J41:J49" si="19">+G41*K$98+K142</f>
        <v>15.490205</v>
      </c>
      <c r="K41" s="137">
        <f t="shared" ref="K41:K49" si="20">J41-I41</f>
        <v>-0.26133749999999978</v>
      </c>
      <c r="L41" s="250">
        <f t="shared" ref="L41:L49" si="21">(J41/I41-1)</f>
        <v>-1.6591232255507626E-2</v>
      </c>
      <c r="M41" s="153">
        <f t="shared" ref="M41:M49" si="22">+G41*$E$98-G41*$E$96+E142</f>
        <v>12.196490000000001</v>
      </c>
      <c r="N41" s="241">
        <f t="shared" ref="N41:N49" si="23">+K41/M41</f>
        <v>-2.1427271288706813E-2</v>
      </c>
      <c r="O41" s="242"/>
      <c r="P41" s="90"/>
      <c r="Q41" s="153"/>
    </row>
    <row r="42" spans="2:17" ht="12.45" customHeight="1">
      <c r="B42" s="68"/>
      <c r="C42" s="51">
        <f t="shared" ref="C42:C53" si="24">+C41+1</f>
        <v>25</v>
      </c>
      <c r="D42" s="238">
        <v>6100</v>
      </c>
      <c r="E42" s="243" t="s">
        <v>175</v>
      </c>
      <c r="F42" s="117"/>
      <c r="G42" s="51">
        <v>29.25</v>
      </c>
      <c r="H42" s="240">
        <f t="shared" si="17"/>
        <v>0</v>
      </c>
      <c r="I42" s="117">
        <f t="shared" si="18"/>
        <v>21.488702500000002</v>
      </c>
      <c r="J42" s="117">
        <f t="shared" si="19"/>
        <v>21.045565</v>
      </c>
      <c r="K42" s="137">
        <f t="shared" si="20"/>
        <v>-0.4431375000000024</v>
      </c>
      <c r="L42" s="250">
        <f t="shared" si="21"/>
        <v>-2.0621882591561835E-2</v>
      </c>
      <c r="M42" s="153">
        <f t="shared" si="22"/>
        <v>15.460570000000001</v>
      </c>
      <c r="N42" s="241">
        <f t="shared" si="23"/>
        <v>-2.8662429651688286E-2</v>
      </c>
      <c r="O42" s="242"/>
      <c r="P42" s="90"/>
      <c r="Q42" s="153"/>
    </row>
    <row r="43" spans="2:17" ht="12.45" customHeight="1">
      <c r="B43" s="68"/>
      <c r="C43" s="51">
        <f t="shared" si="24"/>
        <v>26</v>
      </c>
      <c r="D43" s="238">
        <v>10680</v>
      </c>
      <c r="E43" s="243" t="s">
        <v>175</v>
      </c>
      <c r="F43" s="117"/>
      <c r="G43" s="51">
        <v>33.25</v>
      </c>
      <c r="H43" s="240">
        <f t="shared" si="17"/>
        <v>7.5853350189633373E-3</v>
      </c>
      <c r="I43" s="117">
        <f t="shared" si="18"/>
        <v>25.7044225</v>
      </c>
      <c r="J43" s="117">
        <f t="shared" si="19"/>
        <v>29.100684999999999</v>
      </c>
      <c r="K43" s="137">
        <f t="shared" si="20"/>
        <v>3.3962624999999989</v>
      </c>
      <c r="L43" s="250">
        <f t="shared" si="21"/>
        <v>0.13212755509290264</v>
      </c>
      <c r="M43" s="153">
        <f t="shared" si="22"/>
        <v>18.851929999999999</v>
      </c>
      <c r="N43" s="241">
        <f t="shared" si="23"/>
        <v>0.18015463138256926</v>
      </c>
      <c r="O43" s="242"/>
      <c r="P43" s="90"/>
      <c r="Q43" s="153"/>
    </row>
    <row r="44" spans="2:17" ht="12.45" customHeight="1">
      <c r="B44" s="68"/>
      <c r="C44" s="51">
        <f t="shared" si="24"/>
        <v>27</v>
      </c>
      <c r="D44" s="238"/>
      <c r="E44" s="243" t="s">
        <v>176</v>
      </c>
      <c r="F44" s="117"/>
      <c r="G44" s="51">
        <v>9.25</v>
      </c>
      <c r="H44" s="240">
        <f t="shared" si="17"/>
        <v>0.11703088314972007</v>
      </c>
      <c r="I44" s="117">
        <f t="shared" si="18"/>
        <v>10.5301025</v>
      </c>
      <c r="J44" s="117">
        <f t="shared" si="19"/>
        <v>12.309965</v>
      </c>
      <c r="K44" s="137">
        <f t="shared" si="20"/>
        <v>1.7798625000000001</v>
      </c>
      <c r="L44" s="250">
        <f t="shared" si="21"/>
        <v>0.16902613246167353</v>
      </c>
      <c r="M44" s="153">
        <f t="shared" si="22"/>
        <v>8.6237700000000004</v>
      </c>
      <c r="N44" s="241">
        <f t="shared" si="23"/>
        <v>0.20639030261706887</v>
      </c>
      <c r="O44" s="242"/>
      <c r="P44" s="90"/>
      <c r="Q44" s="153"/>
    </row>
    <row r="45" spans="2:17" ht="12.45" customHeight="1">
      <c r="B45" s="68"/>
      <c r="C45" s="51">
        <f t="shared" si="24"/>
        <v>28</v>
      </c>
      <c r="D45" s="238"/>
      <c r="E45" s="243" t="s">
        <v>177</v>
      </c>
      <c r="F45" s="117"/>
      <c r="G45" s="249">
        <v>15.500000000000002</v>
      </c>
      <c r="H45" s="240">
        <f t="shared" si="17"/>
        <v>1.2461621816868339E-2</v>
      </c>
      <c r="I45" s="117">
        <f t="shared" si="18"/>
        <v>13.303415000000001</v>
      </c>
      <c r="J45" s="117">
        <f t="shared" si="19"/>
        <v>15.708590000000001</v>
      </c>
      <c r="K45" s="137">
        <f t="shared" si="20"/>
        <v>2.4051749999999998</v>
      </c>
      <c r="L45" s="250">
        <f t="shared" si="21"/>
        <v>0.18079380369626885</v>
      </c>
      <c r="M45" s="153">
        <f t="shared" si="22"/>
        <v>10.109020000000001</v>
      </c>
      <c r="N45" s="241">
        <f t="shared" si="23"/>
        <v>0.23792365629902795</v>
      </c>
      <c r="O45" s="242"/>
      <c r="P45" s="90"/>
      <c r="Q45" s="153"/>
    </row>
    <row r="46" spans="2:17" ht="12.45" customHeight="1">
      <c r="B46" s="68"/>
      <c r="C46" s="51">
        <f t="shared" si="24"/>
        <v>29</v>
      </c>
      <c r="D46" s="238"/>
      <c r="E46" s="243" t="s">
        <v>178</v>
      </c>
      <c r="F46" s="117"/>
      <c r="G46" s="249">
        <v>17.5</v>
      </c>
      <c r="H46" s="240">
        <f t="shared" si="17"/>
        <v>1.6254289326350008E-2</v>
      </c>
      <c r="I46" s="117">
        <f t="shared" si="18"/>
        <v>14.231275</v>
      </c>
      <c r="J46" s="117">
        <f t="shared" si="19"/>
        <v>16.81615</v>
      </c>
      <c r="K46" s="137">
        <f t="shared" si="20"/>
        <v>2.5848750000000003</v>
      </c>
      <c r="L46" s="250">
        <f t="shared" si="21"/>
        <v>0.18163340951531048</v>
      </c>
      <c r="M46" s="153">
        <f t="shared" si="22"/>
        <v>10.624700000000001</v>
      </c>
      <c r="N46" s="241">
        <f t="shared" si="23"/>
        <v>0.24328922228392333</v>
      </c>
      <c r="O46" s="242"/>
      <c r="P46" s="90"/>
      <c r="Q46" s="153"/>
    </row>
    <row r="47" spans="2:17" ht="12.45" customHeight="1">
      <c r="B47" s="68"/>
      <c r="C47" s="51">
        <f t="shared" si="24"/>
        <v>30</v>
      </c>
      <c r="D47" s="238"/>
      <c r="E47" s="243" t="s">
        <v>179</v>
      </c>
      <c r="F47" s="117"/>
      <c r="G47" s="249">
        <v>23</v>
      </c>
      <c r="H47" s="240">
        <f t="shared" si="17"/>
        <v>1.0836192884233339E-3</v>
      </c>
      <c r="I47" s="117">
        <f t="shared" si="18"/>
        <v>20.165389999999999</v>
      </c>
      <c r="J47" s="117">
        <f t="shared" si="19"/>
        <v>23.486940000000001</v>
      </c>
      <c r="K47" s="137">
        <f t="shared" si="20"/>
        <v>3.321550000000002</v>
      </c>
      <c r="L47" s="250">
        <f t="shared" si="21"/>
        <v>0.16471538611452607</v>
      </c>
      <c r="M47" s="153">
        <f t="shared" si="22"/>
        <v>15.425319999999999</v>
      </c>
      <c r="N47" s="241">
        <f t="shared" si="23"/>
        <v>0.2153310271683182</v>
      </c>
      <c r="O47" s="242"/>
      <c r="P47" s="90"/>
      <c r="Q47" s="153"/>
    </row>
    <row r="48" spans="2:17" ht="12.45" customHeight="1">
      <c r="B48" s="68"/>
      <c r="C48" s="51">
        <f t="shared" si="24"/>
        <v>31</v>
      </c>
      <c r="D48" s="238"/>
      <c r="E48" s="243" t="s">
        <v>180</v>
      </c>
      <c r="F48" s="117"/>
      <c r="G48" s="51">
        <v>36.25</v>
      </c>
      <c r="H48" s="240">
        <f t="shared" si="17"/>
        <v>0.13075672746974895</v>
      </c>
      <c r="I48" s="117">
        <f t="shared" si="18"/>
        <v>26.641212500000002</v>
      </c>
      <c r="J48" s="117">
        <f t="shared" si="19"/>
        <v>30.012025000000001</v>
      </c>
      <c r="K48" s="137">
        <f t="shared" si="20"/>
        <v>3.3708124999999995</v>
      </c>
      <c r="L48" s="250">
        <f t="shared" si="21"/>
        <v>0.12652624200193596</v>
      </c>
      <c r="M48" s="153">
        <f t="shared" si="22"/>
        <v>19.170449999999999</v>
      </c>
      <c r="N48" s="241">
        <f t="shared" si="23"/>
        <v>0.17583377020362068</v>
      </c>
      <c r="O48" s="242"/>
      <c r="P48" s="90"/>
      <c r="Q48" s="153"/>
    </row>
    <row r="49" spans="2:17" ht="12.45" customHeight="1">
      <c r="B49" s="68"/>
      <c r="C49" s="51">
        <f t="shared" si="24"/>
        <v>32</v>
      </c>
      <c r="D49" s="238"/>
      <c r="E49" s="243" t="s">
        <v>181</v>
      </c>
      <c r="F49" s="117"/>
      <c r="G49" s="51">
        <v>65.25</v>
      </c>
      <c r="H49" s="240">
        <f t="shared" si="17"/>
        <v>1.0836192884233339E-3</v>
      </c>
      <c r="I49" s="117">
        <f t="shared" si="18"/>
        <v>46.600182500000003</v>
      </c>
      <c r="J49" s="117">
        <f t="shared" si="19"/>
        <v>45.611644999999996</v>
      </c>
      <c r="K49" s="137">
        <f t="shared" si="20"/>
        <v>-0.98853750000000673</v>
      </c>
      <c r="L49" s="250">
        <f t="shared" si="21"/>
        <v>-2.1213167995640547E-2</v>
      </c>
      <c r="M49" s="153">
        <f t="shared" si="22"/>
        <v>33.152810000000002</v>
      </c>
      <c r="N49" s="241">
        <f t="shared" si="23"/>
        <v>-2.9817608220841813E-2</v>
      </c>
      <c r="O49" s="242"/>
      <c r="P49" s="90"/>
      <c r="Q49" s="153"/>
    </row>
    <row r="50" spans="2:17" ht="12.45" customHeight="1">
      <c r="B50" s="68"/>
      <c r="C50" s="51">
        <f t="shared" si="24"/>
        <v>33</v>
      </c>
      <c r="D50" s="238"/>
      <c r="E50" s="243"/>
      <c r="F50" s="117"/>
      <c r="H50" s="240"/>
      <c r="I50" s="117"/>
      <c r="J50" s="117"/>
      <c r="K50" s="137"/>
      <c r="L50" s="250"/>
      <c r="M50" s="153"/>
      <c r="N50" s="241"/>
      <c r="O50" s="242"/>
      <c r="P50" s="90"/>
      <c r="Q50" s="153"/>
    </row>
    <row r="51" spans="2:17" ht="12.45" customHeight="1">
      <c r="B51" s="68"/>
      <c r="C51" s="51">
        <f t="shared" si="24"/>
        <v>34</v>
      </c>
      <c r="D51" s="238"/>
      <c r="E51" s="243"/>
      <c r="F51" s="117"/>
      <c r="H51" s="240"/>
      <c r="I51" s="117"/>
      <c r="J51" s="117"/>
      <c r="K51" s="137"/>
      <c r="L51" s="250"/>
      <c r="M51" s="153"/>
      <c r="N51" s="241"/>
      <c r="O51" s="242"/>
      <c r="P51" s="90"/>
      <c r="Q51" s="153"/>
    </row>
    <row r="52" spans="2:17" ht="12.45" customHeight="1">
      <c r="B52" s="68"/>
      <c r="C52" s="51">
        <f t="shared" si="24"/>
        <v>35</v>
      </c>
      <c r="D52" s="238"/>
      <c r="E52" s="243"/>
      <c r="F52" s="117"/>
      <c r="H52" s="240"/>
      <c r="I52" s="117"/>
      <c r="J52" s="117"/>
      <c r="K52" s="137"/>
      <c r="L52" s="250"/>
      <c r="M52" s="153"/>
      <c r="N52" s="241"/>
      <c r="O52" s="242"/>
      <c r="P52" s="90"/>
      <c r="Q52" s="153"/>
    </row>
    <row r="53" spans="2:17" ht="12.45" customHeight="1">
      <c r="B53" s="68"/>
      <c r="C53" s="51">
        <f t="shared" si="24"/>
        <v>36</v>
      </c>
      <c r="D53" s="238"/>
      <c r="E53" s="243"/>
      <c r="F53" s="117"/>
      <c r="H53" s="240"/>
      <c r="I53" s="117"/>
      <c r="J53" s="117"/>
      <c r="K53" s="137"/>
      <c r="L53" s="250"/>
      <c r="M53" s="153"/>
      <c r="N53" s="241"/>
      <c r="O53" s="242"/>
      <c r="P53" s="90"/>
      <c r="Q53" s="153"/>
    </row>
    <row r="54" spans="2:17" ht="12.45" customHeight="1">
      <c r="B54" s="68"/>
      <c r="D54" s="238"/>
      <c r="E54" s="243"/>
      <c r="F54" s="117"/>
      <c r="H54" s="166"/>
      <c r="I54" s="117"/>
      <c r="J54" s="117"/>
      <c r="K54" s="117"/>
      <c r="L54" s="166"/>
      <c r="M54" s="153"/>
      <c r="N54" s="241"/>
      <c r="O54" s="242"/>
      <c r="P54" s="90"/>
    </row>
    <row r="55" spans="2:17" ht="12.45" customHeight="1">
      <c r="B55" s="68"/>
      <c r="D55" s="236" t="s">
        <v>207</v>
      </c>
      <c r="H55" s="166"/>
      <c r="I55" s="117"/>
      <c r="J55" s="117"/>
      <c r="K55" s="117"/>
      <c r="L55" s="166"/>
      <c r="M55" s="153"/>
      <c r="N55" s="241"/>
      <c r="O55" s="242"/>
      <c r="P55" s="90"/>
    </row>
    <row r="56" spans="2:17" ht="12.45" customHeight="1">
      <c r="B56" s="68"/>
      <c r="C56" s="51">
        <f>+C53+1</f>
        <v>37</v>
      </c>
      <c r="D56" s="238">
        <v>3300</v>
      </c>
      <c r="E56" s="51" t="s">
        <v>170</v>
      </c>
      <c r="G56" s="51">
        <v>20</v>
      </c>
      <c r="H56" s="166">
        <v>0</v>
      </c>
      <c r="I56" s="117">
        <f>+G56*E$98+E157</f>
        <v>15.898599999999998</v>
      </c>
      <c r="J56" s="117">
        <f>+G56*K$98+K157</f>
        <v>15.595599999999999</v>
      </c>
      <c r="K56" s="117">
        <f>J56-I56</f>
        <v>-0.30299999999999905</v>
      </c>
      <c r="L56" s="166">
        <f>(J56/I56-1)</f>
        <v>-1.9058281861295878E-2</v>
      </c>
      <c r="M56" s="153">
        <f t="shared" ref="M56" si="25">+G56*$E$98-G56*$E$96+E157</f>
        <v>11.776799999999998</v>
      </c>
      <c r="N56" s="241">
        <f>+K56/M56</f>
        <v>-2.5728551049521015E-2</v>
      </c>
      <c r="O56" s="242"/>
      <c r="P56" s="90"/>
    </row>
    <row r="57" spans="2:17" ht="12.45" customHeight="1">
      <c r="B57" s="68"/>
      <c r="D57" s="236"/>
      <c r="H57" s="166"/>
      <c r="I57" s="117"/>
      <c r="J57" s="117"/>
      <c r="K57" s="117"/>
      <c r="L57" s="166"/>
      <c r="M57" s="153"/>
      <c r="N57" s="241"/>
      <c r="O57" s="242"/>
      <c r="P57" s="90"/>
    </row>
    <row r="58" spans="2:17" ht="12.45" customHeight="1">
      <c r="B58" s="68"/>
      <c r="D58" s="236" t="s">
        <v>489</v>
      </c>
      <c r="H58" s="166"/>
      <c r="I58" s="117"/>
      <c r="J58" s="117"/>
      <c r="K58" s="117"/>
      <c r="L58" s="166"/>
      <c r="M58" s="153"/>
      <c r="N58" s="241"/>
      <c r="O58" s="242"/>
      <c r="P58" s="90"/>
    </row>
    <row r="59" spans="2:17" ht="12.45" customHeight="1">
      <c r="B59" s="101"/>
      <c r="C59" s="140">
        <v>38</v>
      </c>
      <c r="D59" s="252" t="s">
        <v>490</v>
      </c>
      <c r="E59" s="253" t="s">
        <v>491</v>
      </c>
      <c r="F59" s="140"/>
      <c r="G59" s="140">
        <v>17</v>
      </c>
      <c r="H59" s="254">
        <f>H160/$H$159</f>
        <v>0</v>
      </c>
      <c r="I59" s="255">
        <f>+G59*E$98+E158</f>
        <v>15.421810000000001</v>
      </c>
      <c r="J59" s="255">
        <f>+G59*K$98+K158</f>
        <v>15.164259999999999</v>
      </c>
      <c r="K59" s="255">
        <f>J59-I59</f>
        <v>-0.25755000000000194</v>
      </c>
      <c r="L59" s="254">
        <f>(J59/I59-1)</f>
        <v>-1.6700374339977064E-2</v>
      </c>
      <c r="M59" s="255">
        <f>+G59*$E$98-G59*$E$96+E158</f>
        <v>11.918279999999999</v>
      </c>
      <c r="N59" s="256">
        <f>+K59/M59</f>
        <v>-2.160966179683662E-2</v>
      </c>
      <c r="O59" s="242"/>
      <c r="P59" s="90"/>
    </row>
    <row r="60" spans="2:17" ht="12.45" customHeight="1">
      <c r="D60" s="238"/>
      <c r="E60" s="243"/>
      <c r="F60" s="117"/>
      <c r="H60" s="166"/>
      <c r="I60" s="117"/>
      <c r="J60" s="117"/>
      <c r="K60" s="117"/>
      <c r="L60" s="166"/>
      <c r="P60" s="90"/>
    </row>
    <row r="61" spans="2:17" ht="12.45" customHeight="1"/>
    <row r="62" spans="2:17" ht="12.45" customHeight="1">
      <c r="B62" s="257" t="s">
        <v>423</v>
      </c>
      <c r="C62" s="258"/>
      <c r="D62" s="70"/>
      <c r="E62" s="110"/>
      <c r="F62" s="70"/>
      <c r="G62" s="70"/>
      <c r="H62" s="70"/>
      <c r="I62" s="259" t="s">
        <v>424</v>
      </c>
      <c r="J62" s="70"/>
      <c r="K62" s="110"/>
      <c r="L62" s="70"/>
      <c r="M62" s="70"/>
      <c r="N62" s="75"/>
    </row>
    <row r="63" spans="2:17" ht="12.45" customHeight="1">
      <c r="B63" s="121"/>
      <c r="C63" s="59"/>
      <c r="D63" s="114"/>
      <c r="E63" s="53" t="s">
        <v>48</v>
      </c>
      <c r="I63" s="114"/>
      <c r="J63" s="114"/>
      <c r="K63" s="53" t="s">
        <v>48</v>
      </c>
      <c r="L63" s="115" t="s">
        <v>425</v>
      </c>
      <c r="N63" s="92"/>
    </row>
    <row r="64" spans="2:17" ht="12.45" customHeight="1">
      <c r="B64" s="116" t="s">
        <v>426</v>
      </c>
      <c r="C64" s="59"/>
      <c r="D64" s="114"/>
      <c r="E64" s="114"/>
      <c r="I64" s="119" t="s">
        <v>426</v>
      </c>
      <c r="J64" s="114"/>
      <c r="K64" s="114"/>
      <c r="N64" s="92"/>
    </row>
    <row r="65" spans="2:14" ht="12.45" customHeight="1">
      <c r="B65" s="121" t="s">
        <v>134</v>
      </c>
      <c r="C65" s="59"/>
      <c r="D65" s="114"/>
      <c r="E65" s="118">
        <v>0</v>
      </c>
      <c r="I65" s="59" t="str">
        <f>B65</f>
        <v>Customer Charge</v>
      </c>
      <c r="J65" s="114"/>
      <c r="K65" s="118">
        <v>0</v>
      </c>
      <c r="L65" s="117">
        <f>+K65-E65</f>
        <v>0</v>
      </c>
      <c r="N65" s="92"/>
    </row>
    <row r="66" spans="2:14" ht="12.45" customHeight="1">
      <c r="B66" s="121"/>
      <c r="C66" s="59"/>
      <c r="D66" s="114"/>
      <c r="E66" s="218" t="s">
        <v>421</v>
      </c>
      <c r="I66" s="59"/>
      <c r="J66" s="114"/>
      <c r="K66" s="218" t="s">
        <v>421</v>
      </c>
      <c r="N66" s="92"/>
    </row>
    <row r="67" spans="2:14" ht="12.45" customHeight="1">
      <c r="B67" s="121" t="s">
        <v>427</v>
      </c>
      <c r="C67" s="59"/>
      <c r="E67" s="125">
        <f>0.00318+0.00157</f>
        <v>4.7499999999999999E-3</v>
      </c>
      <c r="I67" s="59" t="str">
        <f>B67</f>
        <v>Internal Transmission</v>
      </c>
      <c r="K67" s="125">
        <f>0.00318+0.00157</f>
        <v>4.7499999999999999E-3</v>
      </c>
      <c r="L67" s="130">
        <f>+K67-E67</f>
        <v>0</v>
      </c>
      <c r="N67" s="92"/>
    </row>
    <row r="68" spans="2:14" ht="12.45" customHeight="1">
      <c r="B68" s="121" t="s">
        <v>428</v>
      </c>
      <c r="C68" s="59"/>
      <c r="E68" s="127">
        <v>2.7959999999999999E-2</v>
      </c>
      <c r="I68" s="59" t="str">
        <f>B68</f>
        <v>External Transmission</v>
      </c>
      <c r="K68" s="127">
        <v>2.7869999999999999E-2</v>
      </c>
      <c r="L68" s="260">
        <f>+K68-E68</f>
        <v>-8.9999999999999802E-5</v>
      </c>
      <c r="N68" s="92"/>
    </row>
    <row r="69" spans="2:14" ht="12.45" customHeight="1">
      <c r="B69" s="261"/>
      <c r="C69" s="59"/>
      <c r="D69" s="81" t="s">
        <v>429</v>
      </c>
      <c r="E69" s="125">
        <f>SUM(E67:E68)</f>
        <v>3.2709999999999996E-2</v>
      </c>
      <c r="I69" s="59"/>
      <c r="J69" s="81" t="s">
        <v>429</v>
      </c>
      <c r="K69" s="125">
        <f>SUM(K67:K68)</f>
        <v>3.2619999999999996E-2</v>
      </c>
      <c r="L69" s="130">
        <f>+K69-E69</f>
        <v>-8.9999999999999802E-5</v>
      </c>
      <c r="N69" s="92"/>
    </row>
    <row r="70" spans="2:14" ht="12.45" customHeight="1">
      <c r="B70" s="68"/>
      <c r="C70" s="59"/>
      <c r="E70" s="125"/>
      <c r="I70" s="59"/>
      <c r="K70" s="125"/>
      <c r="N70" s="92"/>
    </row>
    <row r="71" spans="2:14" ht="12.45" customHeight="1">
      <c r="B71" s="129" t="s">
        <v>430</v>
      </c>
      <c r="C71" s="59"/>
      <c r="E71" s="125">
        <v>0</v>
      </c>
      <c r="I71" s="59" t="s">
        <v>262</v>
      </c>
      <c r="K71" s="125">
        <v>0</v>
      </c>
      <c r="L71" s="130">
        <f>+K71-E71</f>
        <v>0</v>
      </c>
      <c r="N71" s="92"/>
    </row>
    <row r="72" spans="2:14" ht="12.45" customHeight="1">
      <c r="B72" s="129"/>
      <c r="C72" s="59"/>
      <c r="E72" s="125"/>
      <c r="I72" s="59"/>
      <c r="K72" s="125"/>
      <c r="L72" s="130"/>
      <c r="N72" s="92"/>
    </row>
    <row r="73" spans="2:14" ht="12.45" customHeight="1">
      <c r="B73" s="129" t="s">
        <v>431</v>
      </c>
      <c r="C73" s="59"/>
      <c r="E73" s="125">
        <v>9.75E-3</v>
      </c>
      <c r="I73" s="59" t="s">
        <v>431</v>
      </c>
      <c r="K73" s="125">
        <v>9.75E-3</v>
      </c>
      <c r="L73" s="130">
        <f t="shared" ref="L73:L85" si="26">+K73-E73</f>
        <v>0</v>
      </c>
      <c r="N73" s="92"/>
    </row>
    <row r="74" spans="2:14" ht="12.45" customHeight="1">
      <c r="B74" s="129" t="s">
        <v>432</v>
      </c>
      <c r="C74" s="59"/>
      <c r="E74" s="125">
        <v>1.8790000000000001E-2</v>
      </c>
      <c r="I74" s="59" t="s">
        <v>432</v>
      </c>
      <c r="K74" s="125">
        <v>2.1160000000000002E-2</v>
      </c>
      <c r="L74" s="130">
        <f t="shared" si="26"/>
        <v>2.3700000000000006E-3</v>
      </c>
      <c r="N74" s="92"/>
    </row>
    <row r="75" spans="2:14" ht="12.45" customHeight="1">
      <c r="B75" s="121" t="s">
        <v>433</v>
      </c>
      <c r="C75" s="59"/>
      <c r="E75" s="125">
        <v>1.1339999999999999E-2</v>
      </c>
      <c r="I75" s="51" t="s">
        <v>433</v>
      </c>
      <c r="K75" s="125">
        <v>1.1339999999999999E-2</v>
      </c>
      <c r="L75" s="130">
        <f t="shared" si="26"/>
        <v>0</v>
      </c>
      <c r="N75" s="92"/>
    </row>
    <row r="76" spans="2:14" ht="12.45" customHeight="1">
      <c r="B76" s="121" t="s">
        <v>434</v>
      </c>
      <c r="C76" s="59"/>
      <c r="E76" s="125">
        <v>1.2899999999999999E-3</v>
      </c>
      <c r="I76" s="51" t="s">
        <v>434</v>
      </c>
      <c r="K76" s="125">
        <v>1.2899999999999999E-3</v>
      </c>
      <c r="L76" s="130">
        <f t="shared" si="26"/>
        <v>0</v>
      </c>
      <c r="N76" s="92"/>
    </row>
    <row r="77" spans="2:14" ht="12.45" customHeight="1">
      <c r="B77" s="121" t="s">
        <v>435</v>
      </c>
      <c r="C77" s="59"/>
      <c r="E77" s="125">
        <v>3.8999999999999999E-4</v>
      </c>
      <c r="I77" s="98" t="s">
        <v>435</v>
      </c>
      <c r="K77" s="125">
        <v>3.8999999999999999E-4</v>
      </c>
      <c r="L77" s="130">
        <f t="shared" si="26"/>
        <v>0</v>
      </c>
      <c r="N77" s="92"/>
    </row>
    <row r="78" spans="2:14" ht="12.45" customHeight="1">
      <c r="B78" s="68" t="s">
        <v>436</v>
      </c>
      <c r="C78" s="59"/>
      <c r="E78" s="125">
        <v>-2.7499999999999998E-3</v>
      </c>
      <c r="I78" s="51" t="s">
        <v>436</v>
      </c>
      <c r="K78" s="125">
        <v>-2.7499999999999998E-3</v>
      </c>
      <c r="L78" s="130">
        <f t="shared" si="26"/>
        <v>0</v>
      </c>
      <c r="N78" s="92"/>
    </row>
    <row r="79" spans="2:14" ht="12.45" customHeight="1">
      <c r="B79" s="68" t="s">
        <v>437</v>
      </c>
      <c r="C79" s="59"/>
      <c r="E79" s="125">
        <v>2.019E-2</v>
      </c>
      <c r="I79" s="51" t="s">
        <v>437</v>
      </c>
      <c r="K79" s="125">
        <v>6.069999999999999E-3</v>
      </c>
      <c r="L79" s="130">
        <f t="shared" si="26"/>
        <v>-1.4120000000000001E-2</v>
      </c>
      <c r="N79" s="92"/>
    </row>
    <row r="80" spans="2:14" ht="12.45" customHeight="1">
      <c r="B80" s="129" t="s">
        <v>438</v>
      </c>
      <c r="C80" s="59"/>
      <c r="E80" s="125">
        <v>-1.2999999999999999E-4</v>
      </c>
      <c r="I80" s="51" t="s">
        <v>438</v>
      </c>
      <c r="K80" s="125">
        <v>-8.5999999999999998E-4</v>
      </c>
      <c r="L80" s="130">
        <f t="shared" si="26"/>
        <v>-7.2999999999999996E-4</v>
      </c>
      <c r="N80" s="92"/>
    </row>
    <row r="81" spans="2:14" ht="12.45" customHeight="1">
      <c r="B81" s="68" t="s">
        <v>439</v>
      </c>
      <c r="C81" s="59"/>
      <c r="E81" s="125">
        <v>2.7599999999999999E-3</v>
      </c>
      <c r="I81" s="98" t="s">
        <v>439</v>
      </c>
      <c r="K81" s="125">
        <v>2.7599999999999999E-3</v>
      </c>
      <c r="L81" s="130">
        <f t="shared" si="26"/>
        <v>0</v>
      </c>
      <c r="N81" s="92"/>
    </row>
    <row r="82" spans="2:14" ht="12.45" customHeight="1">
      <c r="B82" s="121" t="s">
        <v>440</v>
      </c>
      <c r="E82" s="125">
        <v>-2.9999999999999997E-4</v>
      </c>
      <c r="I82" s="98" t="s">
        <v>440</v>
      </c>
      <c r="K82" s="125">
        <f>+E82</f>
        <v>-2.9999999999999997E-4</v>
      </c>
      <c r="L82" s="130">
        <f t="shared" si="26"/>
        <v>0</v>
      </c>
      <c r="N82" s="92"/>
    </row>
    <row r="83" spans="2:14" ht="12.45" customHeight="1">
      <c r="B83" s="68" t="s">
        <v>441</v>
      </c>
      <c r="E83" s="125">
        <v>3.8000000000000002E-4</v>
      </c>
      <c r="I83" s="98" t="s">
        <v>441</v>
      </c>
      <c r="K83" s="125">
        <v>3.8000000000000002E-4</v>
      </c>
      <c r="L83" s="130">
        <f t="shared" si="26"/>
        <v>0</v>
      </c>
      <c r="N83" s="92"/>
    </row>
    <row r="84" spans="2:14" ht="12.45" customHeight="1">
      <c r="B84" s="68" t="s">
        <v>442</v>
      </c>
      <c r="E84" s="127">
        <v>1.4300000000000001E-3</v>
      </c>
      <c r="I84" s="59" t="s">
        <v>442</v>
      </c>
      <c r="K84" s="127">
        <v>1.4300000000000001E-3</v>
      </c>
      <c r="L84" s="130">
        <f t="shared" si="26"/>
        <v>0</v>
      </c>
      <c r="N84" s="92"/>
    </row>
    <row r="85" spans="2:14" ht="12.45" customHeight="1">
      <c r="B85" s="121"/>
      <c r="C85" s="59"/>
      <c r="D85" s="131" t="s">
        <v>466</v>
      </c>
      <c r="E85" s="125">
        <f>SUM(E71:E84)</f>
        <v>6.3139999999999988E-2</v>
      </c>
      <c r="I85" s="59"/>
      <c r="J85" s="131" t="s">
        <v>466</v>
      </c>
      <c r="K85" s="125">
        <f>SUM(K71:K84)</f>
        <v>5.065999999999999E-2</v>
      </c>
      <c r="L85" s="130">
        <f t="shared" si="26"/>
        <v>-1.2479999999999998E-2</v>
      </c>
      <c r="N85" s="92"/>
    </row>
    <row r="86" spans="2:14" ht="12.45" customHeight="1">
      <c r="B86" s="121"/>
      <c r="C86" s="59"/>
      <c r="D86" s="124"/>
      <c r="E86" s="125"/>
      <c r="I86" s="59"/>
      <c r="J86" s="124"/>
      <c r="K86" s="125"/>
      <c r="N86" s="92"/>
    </row>
    <row r="87" spans="2:14" ht="12.45" customHeight="1">
      <c r="B87" s="121" t="s">
        <v>444</v>
      </c>
      <c r="E87" s="125">
        <v>5.0000000000000001E-4</v>
      </c>
      <c r="I87" s="51" t="s">
        <v>444</v>
      </c>
      <c r="K87" s="125">
        <v>5.0000000000000001E-4</v>
      </c>
      <c r="L87" s="130">
        <f>+K87-E87</f>
        <v>0</v>
      </c>
      <c r="N87" s="92"/>
    </row>
    <row r="88" spans="2:14" ht="12.45" customHeight="1">
      <c r="B88" s="121"/>
      <c r="E88" s="125"/>
      <c r="I88" s="59"/>
      <c r="K88" s="125"/>
      <c r="L88" s="130"/>
      <c r="N88" s="92"/>
    </row>
    <row r="89" spans="2:14" ht="12.45" customHeight="1">
      <c r="B89" s="121" t="s">
        <v>445</v>
      </c>
      <c r="E89" s="125">
        <v>2.5000000000000001E-3</v>
      </c>
      <c r="I89" s="51" t="s">
        <v>445</v>
      </c>
      <c r="K89" s="125">
        <v>2.5000000000000001E-3</v>
      </c>
      <c r="L89" s="130">
        <f>+K89-E89</f>
        <v>0</v>
      </c>
      <c r="N89" s="92"/>
    </row>
    <row r="90" spans="2:14" ht="12.45" customHeight="1">
      <c r="B90" s="121" t="s">
        <v>446</v>
      </c>
      <c r="C90" s="59"/>
      <c r="E90" s="127">
        <v>9.7199999999999995E-3</v>
      </c>
      <c r="I90" s="51" t="s">
        <v>446</v>
      </c>
      <c r="K90" s="127">
        <v>9.7199999999999995E-3</v>
      </c>
      <c r="L90" s="130">
        <f>+K90-E90</f>
        <v>0</v>
      </c>
      <c r="N90" s="92"/>
    </row>
    <row r="91" spans="2:14" ht="12.45" customHeight="1">
      <c r="B91" s="121"/>
      <c r="C91" s="59"/>
      <c r="D91" s="124" t="s">
        <v>463</v>
      </c>
      <c r="E91" s="125">
        <f>SUM(E89:E90)</f>
        <v>1.222E-2</v>
      </c>
      <c r="J91" s="124" t="s">
        <v>492</v>
      </c>
      <c r="K91" s="125">
        <f>SUM(K89:K90)</f>
        <v>1.222E-2</v>
      </c>
      <c r="L91" s="130">
        <f>+K91-E91</f>
        <v>0</v>
      </c>
      <c r="N91" s="92"/>
    </row>
    <row r="92" spans="2:14" ht="12.45" customHeight="1">
      <c r="B92" s="129"/>
      <c r="C92" s="59"/>
      <c r="E92" s="125"/>
      <c r="I92" s="59"/>
      <c r="K92" s="125"/>
      <c r="L92" s="130"/>
      <c r="N92" s="92"/>
    </row>
    <row r="93" spans="2:14" ht="12.75" customHeight="1">
      <c r="B93" s="129" t="s">
        <v>449</v>
      </c>
      <c r="C93" s="59"/>
      <c r="E93" s="125">
        <v>4.2700000000000004E-3</v>
      </c>
      <c r="I93" s="51" t="s">
        <v>449</v>
      </c>
      <c r="K93" s="125">
        <v>3.7000000000000002E-3</v>
      </c>
      <c r="L93" s="130">
        <f>+K93-E93</f>
        <v>-5.7000000000000019E-4</v>
      </c>
      <c r="N93" s="92"/>
    </row>
    <row r="94" spans="2:14" ht="12.75" customHeight="1">
      <c r="B94" s="129"/>
      <c r="C94" s="59"/>
      <c r="E94" s="125"/>
      <c r="I94" s="59"/>
      <c r="K94" s="125"/>
      <c r="N94" s="92"/>
    </row>
    <row r="95" spans="2:14" ht="12.45" customHeight="1">
      <c r="B95" s="116" t="s">
        <v>450</v>
      </c>
      <c r="E95" s="125"/>
      <c r="I95" s="119" t="s">
        <v>450</v>
      </c>
      <c r="K95" s="125"/>
      <c r="L95" s="184"/>
      <c r="N95" s="92"/>
    </row>
    <row r="96" spans="2:14" ht="12.45" customHeight="1">
      <c r="B96" s="121" t="s">
        <v>451</v>
      </c>
      <c r="E96" s="127">
        <v>0.20609</v>
      </c>
      <c r="I96" s="59" t="str">
        <f>B96</f>
        <v>Generation Charge*</v>
      </c>
      <c r="K96" s="127">
        <v>0.20407999999999998</v>
      </c>
      <c r="L96" s="260">
        <f>+K96-E96</f>
        <v>-2.0100000000000118E-3</v>
      </c>
      <c r="N96" s="92"/>
    </row>
    <row r="97" spans="2:14" ht="6" customHeight="1">
      <c r="B97" s="68"/>
      <c r="E97" s="118"/>
      <c r="K97" s="118"/>
      <c r="N97" s="92"/>
    </row>
    <row r="98" spans="2:14" ht="12.45" customHeight="1">
      <c r="B98" s="68"/>
      <c r="D98" s="81" t="s">
        <v>493</v>
      </c>
      <c r="E98" s="125">
        <f>SUM(E96,E87,E91,E93,E85,E69)</f>
        <v>0.31892999999999999</v>
      </c>
      <c r="J98" s="81" t="s">
        <v>493</v>
      </c>
      <c r="K98" s="125">
        <f>SUM(K96,K87,K91,K93,K85,K69)</f>
        <v>0.30377999999999999</v>
      </c>
      <c r="L98" s="130">
        <f>+K98-E98</f>
        <v>-1.5149999999999997E-2</v>
      </c>
      <c r="N98" s="92"/>
    </row>
    <row r="99" spans="2:14" ht="12.45" hidden="1" customHeight="1" outlineLevel="1">
      <c r="B99" s="68"/>
      <c r="D99" s="81"/>
      <c r="E99" s="125"/>
      <c r="J99" s="81"/>
      <c r="K99" s="125"/>
      <c r="N99" s="92"/>
    </row>
    <row r="100" spans="2:14" ht="12.45" hidden="1" customHeight="1" outlineLevel="1">
      <c r="B100" s="68"/>
      <c r="D100" s="81"/>
      <c r="E100" s="125"/>
      <c r="J100" s="81"/>
      <c r="K100" s="125"/>
      <c r="N100" s="92"/>
    </row>
    <row r="101" spans="2:14" ht="12.45" hidden="1" customHeight="1" outlineLevel="1">
      <c r="B101" s="68"/>
      <c r="D101" s="81"/>
      <c r="E101" s="125"/>
      <c r="J101" s="81"/>
      <c r="K101" s="125"/>
      <c r="N101" s="92"/>
    </row>
    <row r="102" spans="2:14" ht="12.45" hidden="1" customHeight="1" outlineLevel="1">
      <c r="B102" s="68"/>
      <c r="D102" s="81"/>
      <c r="E102" s="125"/>
      <c r="J102" s="81"/>
      <c r="K102" s="125"/>
      <c r="N102" s="92"/>
    </row>
    <row r="103" spans="2:14" ht="12.45" hidden="1" customHeight="1" outlineLevel="1">
      <c r="B103" s="68"/>
      <c r="D103" s="81"/>
      <c r="E103" s="125"/>
      <c r="J103" s="81"/>
      <c r="K103" s="125"/>
      <c r="N103" s="92"/>
    </row>
    <row r="104" spans="2:14" ht="12.45" hidden="1" customHeight="1" outlineLevel="1">
      <c r="B104" s="68" t="s">
        <v>168</v>
      </c>
      <c r="D104" s="81"/>
      <c r="E104" s="125"/>
      <c r="J104" s="81"/>
      <c r="K104" s="125"/>
      <c r="N104" s="92"/>
    </row>
    <row r="105" spans="2:14" ht="12.45" hidden="1" customHeight="1" outlineLevel="1">
      <c r="B105" s="68" t="s">
        <v>168</v>
      </c>
      <c r="D105" s="81"/>
      <c r="E105" s="125"/>
      <c r="J105" s="81"/>
      <c r="K105" s="125"/>
      <c r="N105" s="92"/>
    </row>
    <row r="106" spans="2:14" ht="12.45" hidden="1" customHeight="1" outlineLevel="1">
      <c r="B106" s="68" t="s">
        <v>168</v>
      </c>
      <c r="D106" s="81"/>
      <c r="E106" s="125"/>
      <c r="J106" s="81"/>
      <c r="K106" s="125"/>
      <c r="N106" s="92"/>
    </row>
    <row r="107" spans="2:14" ht="12" customHeight="1" collapsed="1">
      <c r="B107" s="1060" t="s">
        <v>452</v>
      </c>
      <c r="C107" s="1061"/>
      <c r="D107" s="1061"/>
      <c r="E107" s="1061"/>
      <c r="F107" s="1061"/>
      <c r="G107" s="1061"/>
      <c r="H107" s="1061"/>
      <c r="I107" s="1061"/>
      <c r="J107" s="1061"/>
      <c r="K107" s="1061"/>
      <c r="L107" s="1061"/>
      <c r="N107" s="92"/>
    </row>
    <row r="108" spans="2:14" ht="12" customHeight="1">
      <c r="B108" s="1060"/>
      <c r="C108" s="1061"/>
      <c r="D108" s="1061"/>
      <c r="E108" s="1061"/>
      <c r="F108" s="1061"/>
      <c r="G108" s="1061"/>
      <c r="H108" s="1061"/>
      <c r="I108" s="1061"/>
      <c r="J108" s="1061"/>
      <c r="K108" s="1061"/>
      <c r="L108" s="1061"/>
      <c r="N108" s="92"/>
    </row>
    <row r="109" spans="2:14" ht="4.2" customHeight="1">
      <c r="B109" s="1062"/>
      <c r="C109" s="1063"/>
      <c r="D109" s="1063"/>
      <c r="E109" s="1063"/>
      <c r="F109" s="1063"/>
      <c r="G109" s="1063"/>
      <c r="H109" s="1063"/>
      <c r="I109" s="1063"/>
      <c r="J109" s="1063"/>
      <c r="K109" s="1063"/>
      <c r="L109" s="1063"/>
      <c r="M109" s="140"/>
      <c r="N109" s="109"/>
    </row>
    <row r="110" spans="2:14" ht="6" customHeight="1">
      <c r="F110" s="130"/>
      <c r="G110" s="130"/>
      <c r="L110" s="130"/>
    </row>
    <row r="111" spans="2:14" ht="4.2" customHeight="1"/>
    <row r="112" spans="2:14" ht="9" customHeight="1">
      <c r="B112" s="69"/>
      <c r="C112" s="262" t="s">
        <v>494</v>
      </c>
      <c r="D112" s="263"/>
      <c r="E112" s="264" t="s">
        <v>135</v>
      </c>
      <c r="F112" s="265"/>
      <c r="G112" s="264"/>
      <c r="H112" s="266"/>
      <c r="I112" s="263"/>
      <c r="J112" s="262" t="s">
        <v>494</v>
      </c>
      <c r="K112" s="264" t="s">
        <v>135</v>
      </c>
      <c r="L112" s="264"/>
      <c r="M112" s="266" t="s">
        <v>142</v>
      </c>
      <c r="N112" s="75"/>
    </row>
    <row r="113" spans="2:20" ht="10.199999999999999" customHeight="1">
      <c r="B113" s="68"/>
      <c r="C113" s="267">
        <v>1</v>
      </c>
      <c r="D113" s="267"/>
      <c r="E113" s="582">
        <v>13.54</v>
      </c>
      <c r="F113" s="267"/>
      <c r="G113" s="268"/>
      <c r="H113" s="583">
        <v>48</v>
      </c>
      <c r="I113" s="269"/>
      <c r="J113" s="270">
        <v>1</v>
      </c>
      <c r="K113" s="582">
        <v>17.3</v>
      </c>
      <c r="L113" s="268"/>
      <c r="M113" s="268">
        <f t="shared" ref="M113:M119" si="27">K113-E113</f>
        <v>3.7600000000000016</v>
      </c>
      <c r="N113" s="271"/>
      <c r="O113" s="272"/>
      <c r="P113" s="273">
        <f t="shared" ref="P113:P119" si="28">K113/E113-1</f>
        <v>0.27769571639586421</v>
      </c>
      <c r="R113" s="51">
        <v>1.1486853352306645</v>
      </c>
      <c r="S113" s="249"/>
      <c r="T113" s="153"/>
    </row>
    <row r="114" spans="2:20" ht="10.199999999999999" customHeight="1">
      <c r="B114" s="68"/>
      <c r="C114" s="267">
        <f t="shared" ref="C114:C119" si="29">+C113+1</f>
        <v>2</v>
      </c>
      <c r="D114" s="267"/>
      <c r="E114" s="582">
        <v>15.02</v>
      </c>
      <c r="F114" s="267"/>
      <c r="G114" s="268"/>
      <c r="H114" s="583">
        <v>84</v>
      </c>
      <c r="I114" s="269"/>
      <c r="J114" s="270">
        <f t="shared" ref="J114:J119" si="30">+J113+1</f>
        <v>2</v>
      </c>
      <c r="K114" s="582">
        <v>19.190000000000001</v>
      </c>
      <c r="L114" s="268"/>
      <c r="M114" s="268">
        <f t="shared" si="27"/>
        <v>4.1700000000000017</v>
      </c>
      <c r="N114" s="271"/>
      <c r="O114" s="272"/>
      <c r="P114" s="273">
        <f t="shared" si="28"/>
        <v>0.27762982689747018</v>
      </c>
      <c r="S114" s="249"/>
      <c r="T114" s="153"/>
    </row>
    <row r="115" spans="2:20" ht="10.199999999999999" customHeight="1">
      <c r="B115" s="68"/>
      <c r="C115" s="267">
        <f t="shared" si="29"/>
        <v>3</v>
      </c>
      <c r="D115" s="267"/>
      <c r="E115" s="582">
        <v>27.29</v>
      </c>
      <c r="F115" s="267"/>
      <c r="G115" s="268"/>
      <c r="H115" s="583">
        <v>0</v>
      </c>
      <c r="I115" s="269"/>
      <c r="J115" s="270">
        <f t="shared" si="30"/>
        <v>3</v>
      </c>
      <c r="K115" s="582">
        <v>34.880000000000003</v>
      </c>
      <c r="L115" s="268"/>
      <c r="M115" s="268">
        <f t="shared" si="27"/>
        <v>7.5900000000000034</v>
      </c>
      <c r="N115" s="271"/>
      <c r="O115" s="272"/>
      <c r="P115" s="273">
        <f t="shared" si="28"/>
        <v>0.27812385489190183</v>
      </c>
      <c r="S115" s="249"/>
      <c r="T115" s="153"/>
    </row>
    <row r="116" spans="2:20" ht="10.199999999999999" customHeight="1">
      <c r="B116" s="68"/>
      <c r="C116" s="267">
        <f t="shared" si="29"/>
        <v>4</v>
      </c>
      <c r="D116" s="267"/>
      <c r="E116" s="582">
        <v>52.18</v>
      </c>
      <c r="F116" s="267"/>
      <c r="G116" s="268"/>
      <c r="H116" s="583">
        <v>84</v>
      </c>
      <c r="I116" s="269"/>
      <c r="J116" s="270">
        <f t="shared" si="30"/>
        <v>4</v>
      </c>
      <c r="K116" s="582">
        <v>66.69</v>
      </c>
      <c r="L116" s="268"/>
      <c r="M116" s="268">
        <f t="shared" si="27"/>
        <v>14.509999999999998</v>
      </c>
      <c r="N116" s="271"/>
      <c r="O116" s="272"/>
      <c r="P116" s="273">
        <f t="shared" si="28"/>
        <v>0.27807589114603282</v>
      </c>
      <c r="S116" s="249"/>
      <c r="T116" s="153"/>
    </row>
    <row r="117" spans="2:20" ht="10.199999999999999" customHeight="1">
      <c r="B117" s="68"/>
      <c r="C117" s="267">
        <f t="shared" si="29"/>
        <v>5</v>
      </c>
      <c r="D117" s="267"/>
      <c r="E117" s="582">
        <v>30.18</v>
      </c>
      <c r="F117" s="267"/>
      <c r="G117" s="268"/>
      <c r="H117" s="583">
        <v>300</v>
      </c>
      <c r="I117" s="269"/>
      <c r="J117" s="270">
        <f t="shared" si="30"/>
        <v>5</v>
      </c>
      <c r="K117" s="582">
        <v>38.57</v>
      </c>
      <c r="L117" s="268"/>
      <c r="M117" s="268">
        <f t="shared" si="27"/>
        <v>8.39</v>
      </c>
      <c r="N117" s="271"/>
      <c r="O117" s="272"/>
      <c r="P117" s="273">
        <f t="shared" si="28"/>
        <v>0.27799867461895289</v>
      </c>
      <c r="S117" s="249"/>
      <c r="T117" s="153"/>
    </row>
    <row r="118" spans="2:20" ht="10.199999999999999" customHeight="1">
      <c r="B118" s="68"/>
      <c r="C118" s="267">
        <f t="shared" si="29"/>
        <v>6</v>
      </c>
      <c r="D118" s="267"/>
      <c r="E118" s="582">
        <v>14.18</v>
      </c>
      <c r="F118" s="267"/>
      <c r="G118" s="268"/>
      <c r="H118" s="583">
        <v>348</v>
      </c>
      <c r="I118" s="269"/>
      <c r="J118" s="270">
        <f t="shared" si="30"/>
        <v>6</v>
      </c>
      <c r="K118" s="582">
        <v>18.12</v>
      </c>
      <c r="L118" s="268"/>
      <c r="M118" s="268">
        <f t="shared" si="27"/>
        <v>3.9400000000000013</v>
      </c>
      <c r="N118" s="271"/>
      <c r="O118" s="272"/>
      <c r="P118" s="273">
        <f t="shared" si="28"/>
        <v>0.27785613540197462</v>
      </c>
      <c r="S118" s="249"/>
      <c r="T118" s="153"/>
    </row>
    <row r="119" spans="2:20" ht="10.199999999999999" customHeight="1">
      <c r="B119" s="68"/>
      <c r="C119" s="267">
        <f t="shared" si="29"/>
        <v>7</v>
      </c>
      <c r="D119" s="267"/>
      <c r="E119" s="582">
        <v>15.97</v>
      </c>
      <c r="F119" s="267"/>
      <c r="G119" s="268"/>
      <c r="H119" s="583">
        <v>300</v>
      </c>
      <c r="I119" s="269"/>
      <c r="J119" s="270">
        <f t="shared" si="30"/>
        <v>7</v>
      </c>
      <c r="K119" s="582">
        <v>20.41</v>
      </c>
      <c r="L119" s="268"/>
      <c r="M119" s="268">
        <f t="shared" si="27"/>
        <v>4.4399999999999995</v>
      </c>
      <c r="N119" s="271"/>
      <c r="O119" s="272"/>
      <c r="P119" s="273">
        <f t="shared" si="28"/>
        <v>0.27802128991859743</v>
      </c>
      <c r="S119" s="249"/>
      <c r="T119" s="153"/>
    </row>
    <row r="120" spans="2:20" ht="10.199999999999999" customHeight="1" outlineLevel="1">
      <c r="B120" s="68"/>
      <c r="C120" s="267"/>
      <c r="D120" s="267"/>
      <c r="E120" s="268"/>
      <c r="F120" s="267"/>
      <c r="G120" s="268"/>
      <c r="H120" s="268"/>
      <c r="I120" s="269"/>
      <c r="J120" s="270"/>
      <c r="K120" s="268"/>
      <c r="L120" s="268"/>
      <c r="M120" s="268"/>
      <c r="N120" s="271"/>
      <c r="O120" s="272"/>
      <c r="P120" s="273"/>
      <c r="S120" s="249"/>
      <c r="T120" s="153"/>
    </row>
    <row r="121" spans="2:20" ht="10.199999999999999" customHeight="1" outlineLevel="1">
      <c r="B121" s="68"/>
      <c r="C121" s="267"/>
      <c r="D121" s="267"/>
      <c r="E121" s="268"/>
      <c r="F121" s="267"/>
      <c r="G121" s="268"/>
      <c r="H121" s="268"/>
      <c r="I121" s="269"/>
      <c r="J121" s="270"/>
      <c r="K121" s="268"/>
      <c r="L121" s="268"/>
      <c r="M121" s="268"/>
      <c r="N121" s="271"/>
      <c r="O121" s="272"/>
      <c r="P121" s="273"/>
      <c r="S121" s="249"/>
      <c r="T121" s="153"/>
    </row>
    <row r="122" spans="2:20" ht="10.199999999999999" customHeight="1">
      <c r="B122" s="68"/>
      <c r="C122" s="267">
        <f>+C119+1</f>
        <v>8</v>
      </c>
      <c r="D122" s="267"/>
      <c r="E122" s="582">
        <v>11.75</v>
      </c>
      <c r="F122" s="267"/>
      <c r="G122" s="268"/>
      <c r="H122" s="583">
        <v>1580</v>
      </c>
      <c r="I122" s="269"/>
      <c r="J122" s="270">
        <f>+J119+1</f>
        <v>8</v>
      </c>
      <c r="K122" s="582">
        <v>15.01</v>
      </c>
      <c r="L122" s="268"/>
      <c r="M122" s="268">
        <f t="shared" ref="M122:M127" si="31">K122-E122</f>
        <v>3.26</v>
      </c>
      <c r="N122" s="271"/>
      <c r="O122" s="272"/>
      <c r="P122" s="273">
        <f t="shared" ref="P122:P127" si="32">K122/E122-1</f>
        <v>0.2774468085106383</v>
      </c>
      <c r="S122" s="249"/>
      <c r="T122" s="153"/>
    </row>
    <row r="123" spans="2:20" ht="10.199999999999999" customHeight="1">
      <c r="B123" s="68"/>
      <c r="C123" s="267">
        <f>+C122+1</f>
        <v>9</v>
      </c>
      <c r="D123" s="267"/>
      <c r="E123" s="582">
        <v>13.97</v>
      </c>
      <c r="F123" s="267"/>
      <c r="G123" s="268"/>
      <c r="H123" s="583">
        <v>996</v>
      </c>
      <c r="I123" s="269"/>
      <c r="J123" s="270">
        <f>+J122+1</f>
        <v>9</v>
      </c>
      <c r="K123" s="582">
        <v>17.850000000000001</v>
      </c>
      <c r="L123" s="268"/>
      <c r="M123" s="268">
        <f t="shared" si="31"/>
        <v>3.8800000000000008</v>
      </c>
      <c r="N123" s="271"/>
      <c r="O123" s="272"/>
      <c r="P123" s="273">
        <f t="shared" si="32"/>
        <v>0.27773801002147458</v>
      </c>
      <c r="S123" s="249"/>
      <c r="T123" s="153"/>
    </row>
    <row r="124" spans="2:20" ht="10.199999999999999" customHeight="1">
      <c r="B124" s="68"/>
      <c r="C124" s="267">
        <f>+C123+1</f>
        <v>10</v>
      </c>
      <c r="D124" s="267"/>
      <c r="E124" s="582">
        <v>20.83</v>
      </c>
      <c r="F124" s="267"/>
      <c r="G124" s="268"/>
      <c r="H124" s="583">
        <v>96</v>
      </c>
      <c r="I124" s="269"/>
      <c r="J124" s="270">
        <f>+J123+1</f>
        <v>10</v>
      </c>
      <c r="K124" s="582">
        <v>26.62</v>
      </c>
      <c r="L124" s="268"/>
      <c r="M124" s="268">
        <f t="shared" si="31"/>
        <v>5.7900000000000027</v>
      </c>
      <c r="N124" s="271"/>
      <c r="O124" s="272"/>
      <c r="P124" s="273">
        <f t="shared" si="32"/>
        <v>0.27796447431589066</v>
      </c>
      <c r="S124" s="249"/>
      <c r="T124" s="153"/>
    </row>
    <row r="125" spans="2:20" ht="10.199999999999999" customHeight="1">
      <c r="B125" s="68"/>
      <c r="C125" s="267">
        <f>+C124+1</f>
        <v>11</v>
      </c>
      <c r="D125" s="267"/>
      <c r="E125" s="582">
        <v>29.62</v>
      </c>
      <c r="F125" s="267"/>
      <c r="G125" s="268"/>
      <c r="H125" s="583">
        <v>72</v>
      </c>
      <c r="I125" s="269"/>
      <c r="J125" s="270">
        <f>+J124+1</f>
        <v>11</v>
      </c>
      <c r="K125" s="582">
        <v>37.86</v>
      </c>
      <c r="L125" s="268"/>
      <c r="M125" s="268">
        <f t="shared" si="31"/>
        <v>8.2399999999999984</v>
      </c>
      <c r="N125" s="271"/>
      <c r="O125" s="272"/>
      <c r="P125" s="273">
        <f t="shared" si="32"/>
        <v>0.27819041188386229</v>
      </c>
      <c r="S125" s="249"/>
      <c r="T125" s="153"/>
    </row>
    <row r="126" spans="2:20" ht="10.199999999999999" customHeight="1">
      <c r="B126" s="68"/>
      <c r="C126" s="267">
        <f>+C125+1</f>
        <v>12</v>
      </c>
      <c r="D126" s="267"/>
      <c r="E126" s="582">
        <v>60.77</v>
      </c>
      <c r="F126" s="267"/>
      <c r="G126" s="268"/>
      <c r="H126" s="583">
        <v>516</v>
      </c>
      <c r="I126" s="269"/>
      <c r="J126" s="270">
        <f>+J125+1</f>
        <v>12</v>
      </c>
      <c r="K126" s="582">
        <v>77.67</v>
      </c>
      <c r="L126" s="268"/>
      <c r="M126" s="268">
        <f t="shared" si="31"/>
        <v>16.899999999999999</v>
      </c>
      <c r="N126" s="271"/>
      <c r="O126" s="272"/>
      <c r="P126" s="273">
        <f t="shared" si="32"/>
        <v>0.27809774559815703</v>
      </c>
      <c r="S126" s="249"/>
      <c r="T126" s="153"/>
    </row>
    <row r="127" spans="2:20" ht="10.199999999999999" customHeight="1">
      <c r="B127" s="68"/>
      <c r="C127" s="267">
        <f>+C126+1</f>
        <v>13</v>
      </c>
      <c r="D127" s="267"/>
      <c r="E127" s="582">
        <v>34.380000000000003</v>
      </c>
      <c r="F127" s="267"/>
      <c r="G127" s="268"/>
      <c r="H127" s="583">
        <v>3480</v>
      </c>
      <c r="I127" s="269"/>
      <c r="J127" s="270">
        <f>+J126+1</f>
        <v>13</v>
      </c>
      <c r="K127" s="582">
        <v>43.94</v>
      </c>
      <c r="L127" s="268"/>
      <c r="M127" s="268">
        <f t="shared" si="31"/>
        <v>9.5599999999999952</v>
      </c>
      <c r="N127" s="271"/>
      <c r="O127" s="272"/>
      <c r="P127" s="273">
        <f t="shared" si="32"/>
        <v>0.27806864456079095</v>
      </c>
      <c r="S127" s="249"/>
      <c r="T127" s="153"/>
    </row>
    <row r="128" spans="2:20" ht="10.199999999999999" customHeight="1" outlineLevel="1">
      <c r="B128" s="68"/>
      <c r="C128" s="267"/>
      <c r="D128" s="267"/>
      <c r="E128" s="268"/>
      <c r="F128" s="267"/>
      <c r="G128" s="268"/>
      <c r="H128" s="268"/>
      <c r="I128" s="267"/>
      <c r="J128" s="270"/>
      <c r="K128" s="268"/>
      <c r="L128" s="268"/>
      <c r="M128" s="268"/>
      <c r="N128" s="271"/>
      <c r="O128" s="272"/>
      <c r="P128" s="273"/>
      <c r="S128" s="249"/>
      <c r="T128" s="153"/>
    </row>
    <row r="129" spans="2:20" ht="10.199999999999999" customHeight="1" outlineLevel="1">
      <c r="B129" s="68"/>
      <c r="C129" s="267"/>
      <c r="D129" s="267"/>
      <c r="E129" s="268"/>
      <c r="F129" s="267"/>
      <c r="G129" s="268"/>
      <c r="H129" s="268"/>
      <c r="I129" s="267"/>
      <c r="J129" s="270"/>
      <c r="K129" s="268"/>
      <c r="L129" s="268"/>
      <c r="M129" s="268"/>
      <c r="N129" s="271"/>
      <c r="O129" s="272"/>
      <c r="P129" s="273"/>
      <c r="S129" s="249"/>
      <c r="T129" s="153"/>
    </row>
    <row r="130" spans="2:20" ht="10.199999999999999" customHeight="1">
      <c r="B130" s="68"/>
      <c r="C130" s="267">
        <f>+C127+1</f>
        <v>14</v>
      </c>
      <c r="D130" s="267"/>
      <c r="E130" s="274">
        <v>16.600000000000001</v>
      </c>
      <c r="F130" s="267"/>
      <c r="G130" s="274"/>
      <c r="H130" s="274"/>
      <c r="I130" s="268"/>
      <c r="J130" s="270">
        <f>+J127+1</f>
        <v>14</v>
      </c>
      <c r="K130" s="274">
        <v>16.600000000000001</v>
      </c>
      <c r="L130" s="268"/>
      <c r="M130" s="275">
        <f t="shared" ref="M130:M139" si="33">K130-E130</f>
        <v>0</v>
      </c>
      <c r="N130" s="271"/>
      <c r="O130" s="272"/>
      <c r="P130" s="273">
        <f t="shared" ref="P130:P139" si="34">K130/E130-1</f>
        <v>0</v>
      </c>
      <c r="S130" s="249"/>
      <c r="T130" s="153"/>
    </row>
    <row r="131" spans="2:20" ht="10.199999999999999" customHeight="1">
      <c r="B131" s="68"/>
      <c r="C131" s="267">
        <f t="shared" ref="C131:C139" si="35">+C130+1</f>
        <v>15</v>
      </c>
      <c r="D131" s="267"/>
      <c r="E131" s="274">
        <v>18.97</v>
      </c>
      <c r="F131" s="267"/>
      <c r="G131" s="274"/>
      <c r="H131" s="274"/>
      <c r="I131" s="268"/>
      <c r="J131" s="270">
        <f t="shared" ref="J131:J139" si="36">+J130+1</f>
        <v>15</v>
      </c>
      <c r="K131" s="274">
        <v>18.97</v>
      </c>
      <c r="L131" s="268"/>
      <c r="M131" s="275">
        <f t="shared" si="33"/>
        <v>0</v>
      </c>
      <c r="N131" s="271"/>
      <c r="O131" s="272"/>
      <c r="P131" s="273">
        <f t="shared" si="34"/>
        <v>0</v>
      </c>
      <c r="S131" s="249"/>
      <c r="T131" s="153"/>
    </row>
    <row r="132" spans="2:20" ht="10.199999999999999" customHeight="1">
      <c r="B132" s="68"/>
      <c r="C132" s="267">
        <f t="shared" si="35"/>
        <v>16</v>
      </c>
      <c r="D132" s="267"/>
      <c r="E132" s="274">
        <v>23.44</v>
      </c>
      <c r="F132" s="267"/>
      <c r="G132" s="274"/>
      <c r="H132" s="274"/>
      <c r="I132" s="268"/>
      <c r="J132" s="270">
        <f t="shared" si="36"/>
        <v>16</v>
      </c>
      <c r="K132" s="274">
        <v>23.44</v>
      </c>
      <c r="L132" s="268"/>
      <c r="M132" s="275">
        <f t="shared" si="33"/>
        <v>0</v>
      </c>
      <c r="N132" s="271"/>
      <c r="O132" s="272"/>
      <c r="P132" s="273">
        <f t="shared" si="34"/>
        <v>0</v>
      </c>
      <c r="S132" s="249"/>
      <c r="T132" s="153"/>
    </row>
    <row r="133" spans="2:20" ht="10.199999999999999" customHeight="1">
      <c r="B133" s="68"/>
      <c r="C133" s="267">
        <f t="shared" si="35"/>
        <v>17</v>
      </c>
      <c r="D133" s="267"/>
      <c r="E133" s="274">
        <v>16.95</v>
      </c>
      <c r="F133" s="267"/>
      <c r="G133" s="274"/>
      <c r="H133" s="274"/>
      <c r="I133" s="268"/>
      <c r="J133" s="270">
        <f t="shared" si="36"/>
        <v>17</v>
      </c>
      <c r="K133" s="274">
        <v>16.95</v>
      </c>
      <c r="L133" s="268"/>
      <c r="M133" s="275">
        <f t="shared" si="33"/>
        <v>0</v>
      </c>
      <c r="N133" s="271"/>
      <c r="O133" s="272"/>
      <c r="P133" s="273">
        <f t="shared" si="34"/>
        <v>0</v>
      </c>
      <c r="S133" s="249"/>
      <c r="T133" s="153"/>
    </row>
    <row r="134" spans="2:20" ht="10.199999999999999" customHeight="1">
      <c r="B134" s="68"/>
      <c r="C134" s="267">
        <f t="shared" si="35"/>
        <v>18</v>
      </c>
      <c r="D134" s="267"/>
      <c r="E134" s="274">
        <v>19.61</v>
      </c>
      <c r="F134" s="267"/>
      <c r="G134" s="274"/>
      <c r="H134" s="274"/>
      <c r="I134" s="268"/>
      <c r="J134" s="270">
        <f t="shared" si="36"/>
        <v>18</v>
      </c>
      <c r="K134" s="274">
        <v>19.61</v>
      </c>
      <c r="L134" s="268"/>
      <c r="M134" s="275">
        <f t="shared" si="33"/>
        <v>0</v>
      </c>
      <c r="N134" s="271"/>
      <c r="O134" s="272"/>
      <c r="P134" s="273">
        <f t="shared" si="34"/>
        <v>0</v>
      </c>
      <c r="S134" s="249"/>
      <c r="T134" s="153"/>
    </row>
    <row r="135" spans="2:20" ht="10.199999999999999" customHeight="1">
      <c r="B135" s="68"/>
      <c r="C135" s="267">
        <f t="shared" si="35"/>
        <v>19</v>
      </c>
      <c r="D135" s="267"/>
      <c r="E135" s="274">
        <v>23.29</v>
      </c>
      <c r="F135" s="267"/>
      <c r="G135" s="274"/>
      <c r="H135" s="274"/>
      <c r="I135" s="268"/>
      <c r="J135" s="270">
        <f t="shared" si="36"/>
        <v>19</v>
      </c>
      <c r="K135" s="274">
        <v>23.29</v>
      </c>
      <c r="L135" s="268"/>
      <c r="M135" s="275">
        <f t="shared" si="33"/>
        <v>0</v>
      </c>
      <c r="N135" s="271"/>
      <c r="O135" s="272"/>
      <c r="P135" s="273">
        <f t="shared" si="34"/>
        <v>0</v>
      </c>
      <c r="S135" s="249"/>
      <c r="T135" s="153"/>
    </row>
    <row r="136" spans="2:20" ht="10.199999999999999" customHeight="1">
      <c r="B136" s="68"/>
      <c r="C136" s="267">
        <f t="shared" si="35"/>
        <v>20</v>
      </c>
      <c r="D136" s="267"/>
      <c r="E136" s="274">
        <v>50.06</v>
      </c>
      <c r="F136" s="267"/>
      <c r="G136" s="274"/>
      <c r="H136" s="274"/>
      <c r="I136" s="268"/>
      <c r="J136" s="270">
        <f t="shared" si="36"/>
        <v>20</v>
      </c>
      <c r="K136" s="274">
        <v>50.06</v>
      </c>
      <c r="L136" s="268"/>
      <c r="M136" s="275">
        <f t="shared" si="33"/>
        <v>0</v>
      </c>
      <c r="N136" s="271"/>
      <c r="O136" s="272"/>
      <c r="P136" s="273">
        <f t="shared" si="34"/>
        <v>0</v>
      </c>
      <c r="S136" s="249"/>
      <c r="T136" s="153"/>
    </row>
    <row r="137" spans="2:20" ht="10.199999999999999" customHeight="1">
      <c r="B137" s="68"/>
      <c r="C137" s="267">
        <f t="shared" si="35"/>
        <v>21</v>
      </c>
      <c r="D137" s="267"/>
      <c r="E137" s="274">
        <v>16.89</v>
      </c>
      <c r="F137" s="267"/>
      <c r="G137" s="274"/>
      <c r="H137" s="274"/>
      <c r="I137" s="268"/>
      <c r="J137" s="270">
        <f t="shared" si="36"/>
        <v>21</v>
      </c>
      <c r="K137" s="274">
        <v>16.89</v>
      </c>
      <c r="L137" s="268"/>
      <c r="M137" s="275">
        <f t="shared" si="33"/>
        <v>0</v>
      </c>
      <c r="N137" s="271"/>
      <c r="O137" s="272"/>
      <c r="P137" s="273">
        <f t="shared" si="34"/>
        <v>0</v>
      </c>
      <c r="S137" s="249"/>
      <c r="T137" s="153"/>
    </row>
    <row r="138" spans="2:20" ht="10.199999999999999" customHeight="1">
      <c r="B138" s="68"/>
      <c r="C138" s="267">
        <f t="shared" si="35"/>
        <v>22</v>
      </c>
      <c r="D138" s="267"/>
      <c r="E138" s="274">
        <v>19.28</v>
      </c>
      <c r="F138" s="267"/>
      <c r="G138" s="274"/>
      <c r="H138" s="274"/>
      <c r="I138" s="268"/>
      <c r="J138" s="270">
        <f t="shared" si="36"/>
        <v>22</v>
      </c>
      <c r="K138" s="274">
        <v>19.28</v>
      </c>
      <c r="L138" s="268"/>
      <c r="M138" s="275">
        <f t="shared" si="33"/>
        <v>0</v>
      </c>
      <c r="N138" s="271"/>
      <c r="O138" s="272"/>
      <c r="P138" s="273">
        <f t="shared" si="34"/>
        <v>0</v>
      </c>
      <c r="S138" s="249"/>
      <c r="T138" s="153"/>
    </row>
    <row r="139" spans="2:20" ht="10.199999999999999" customHeight="1">
      <c r="B139" s="68"/>
      <c r="C139" s="267">
        <f t="shared" si="35"/>
        <v>23</v>
      </c>
      <c r="D139" s="267"/>
      <c r="E139" s="274">
        <v>23.82</v>
      </c>
      <c r="F139" s="267"/>
      <c r="G139" s="274"/>
      <c r="H139" s="274"/>
      <c r="I139" s="268"/>
      <c r="J139" s="270">
        <f t="shared" si="36"/>
        <v>23</v>
      </c>
      <c r="K139" s="274">
        <v>23.82</v>
      </c>
      <c r="L139" s="268"/>
      <c r="M139" s="275">
        <f t="shared" si="33"/>
        <v>0</v>
      </c>
      <c r="N139" s="271"/>
      <c r="O139" s="272"/>
      <c r="P139" s="273">
        <f t="shared" si="34"/>
        <v>0</v>
      </c>
      <c r="S139" s="249"/>
      <c r="T139" s="153"/>
    </row>
    <row r="140" spans="2:20" ht="10.199999999999999" customHeight="1" outlineLevel="1">
      <c r="B140" s="68"/>
      <c r="C140" s="267"/>
      <c r="D140" s="267"/>
      <c r="E140" s="274"/>
      <c r="F140" s="267"/>
      <c r="G140" s="274"/>
      <c r="H140" s="274"/>
      <c r="I140" s="268"/>
      <c r="J140" s="270"/>
      <c r="K140" s="274"/>
      <c r="L140" s="268"/>
      <c r="M140" s="275"/>
      <c r="N140" s="271"/>
      <c r="O140" s="272"/>
      <c r="P140" s="273"/>
      <c r="S140" s="249"/>
      <c r="T140" s="153"/>
    </row>
    <row r="141" spans="2:20" ht="10.199999999999999" customHeight="1" outlineLevel="1">
      <c r="B141" s="68"/>
      <c r="C141" s="267"/>
      <c r="D141" s="267"/>
      <c r="E141" s="274"/>
      <c r="F141" s="267"/>
      <c r="G141" s="274"/>
      <c r="H141" s="274"/>
      <c r="I141" s="268"/>
      <c r="J141" s="270"/>
      <c r="K141" s="274"/>
      <c r="L141" s="268"/>
      <c r="M141" s="275"/>
      <c r="N141" s="271"/>
      <c r="O141" s="272"/>
      <c r="P141" s="273"/>
      <c r="S141" s="249"/>
      <c r="T141" s="153"/>
    </row>
    <row r="142" spans="2:20" ht="10.199999999999999" customHeight="1">
      <c r="B142" s="68"/>
      <c r="C142" s="267">
        <f>+C139+1</f>
        <v>24</v>
      </c>
      <c r="D142" s="267"/>
      <c r="E142" s="274">
        <v>10.25</v>
      </c>
      <c r="F142" s="267"/>
      <c r="G142" s="274"/>
      <c r="H142" s="274"/>
      <c r="I142" s="268"/>
      <c r="J142" s="270">
        <f>+J139+1</f>
        <v>24</v>
      </c>
      <c r="K142" s="274">
        <v>10.25</v>
      </c>
      <c r="L142" s="268"/>
      <c r="M142" s="275">
        <f t="shared" ref="M142:M154" si="37">K142-E142</f>
        <v>0</v>
      </c>
      <c r="N142" s="271"/>
      <c r="O142" s="272"/>
      <c r="P142" s="273">
        <f t="shared" ref="P142:P154" si="38">K142/E142-1</f>
        <v>0</v>
      </c>
      <c r="S142" s="249"/>
      <c r="T142" s="153"/>
    </row>
    <row r="143" spans="2:20" ht="10.199999999999999" customHeight="1">
      <c r="B143" s="68"/>
      <c r="C143" s="267">
        <f t="shared" ref="C143:C154" si="39">+C142+1</f>
        <v>25</v>
      </c>
      <c r="D143" s="267"/>
      <c r="E143" s="274">
        <v>12.16</v>
      </c>
      <c r="F143" s="267"/>
      <c r="G143" s="274"/>
      <c r="H143" s="274"/>
      <c r="I143" s="268"/>
      <c r="J143" s="270">
        <f t="shared" ref="J143:J154" si="40">+J142+1</f>
        <v>25</v>
      </c>
      <c r="K143" s="274">
        <v>12.16</v>
      </c>
      <c r="L143" s="268"/>
      <c r="M143" s="275">
        <f t="shared" si="37"/>
        <v>0</v>
      </c>
      <c r="N143" s="271"/>
      <c r="O143" s="272"/>
      <c r="P143" s="273">
        <f t="shared" si="38"/>
        <v>0</v>
      </c>
      <c r="S143" s="249"/>
      <c r="T143" s="153"/>
    </row>
    <row r="144" spans="2:20" ht="10.199999999999999" customHeight="1">
      <c r="B144" s="68"/>
      <c r="C144" s="267">
        <f t="shared" si="39"/>
        <v>26</v>
      </c>
      <c r="D144" s="267"/>
      <c r="E144" s="581">
        <v>15.1</v>
      </c>
      <c r="F144" s="267"/>
      <c r="G144" s="274"/>
      <c r="H144" s="583">
        <v>84</v>
      </c>
      <c r="I144" s="268"/>
      <c r="J144" s="270">
        <f t="shared" si="40"/>
        <v>26</v>
      </c>
      <c r="K144" s="581">
        <v>19</v>
      </c>
      <c r="L144" s="268"/>
      <c r="M144" s="275">
        <f t="shared" si="37"/>
        <v>3.9000000000000004</v>
      </c>
      <c r="N144" s="271"/>
      <c r="O144" s="272"/>
      <c r="P144" s="273">
        <f t="shared" si="38"/>
        <v>0.25827814569536423</v>
      </c>
      <c r="S144" s="249"/>
      <c r="T144" s="153"/>
    </row>
    <row r="145" spans="2:20" ht="10.199999999999999" customHeight="1">
      <c r="B145" s="68"/>
      <c r="C145" s="267">
        <f t="shared" si="39"/>
        <v>27</v>
      </c>
      <c r="D145" s="267"/>
      <c r="E145" s="581">
        <v>7.58</v>
      </c>
      <c r="F145" s="267"/>
      <c r="G145" s="274"/>
      <c r="H145" s="583">
        <v>1296</v>
      </c>
      <c r="I145" s="268"/>
      <c r="J145" s="270">
        <f t="shared" si="40"/>
        <v>27</v>
      </c>
      <c r="K145" s="581">
        <v>9.5</v>
      </c>
      <c r="L145" s="268"/>
      <c r="M145" s="275">
        <f t="shared" si="37"/>
        <v>1.92</v>
      </c>
      <c r="N145" s="271"/>
      <c r="O145" s="272"/>
      <c r="P145" s="273">
        <f t="shared" si="38"/>
        <v>0.25329815303430081</v>
      </c>
      <c r="S145" s="249"/>
      <c r="T145" s="153"/>
    </row>
    <row r="146" spans="2:20" ht="10.199999999999999" customHeight="1">
      <c r="B146" s="68"/>
      <c r="C146" s="267">
        <f t="shared" si="39"/>
        <v>28</v>
      </c>
      <c r="D146" s="267"/>
      <c r="E146" s="581">
        <v>8.36</v>
      </c>
      <c r="F146" s="267"/>
      <c r="G146" s="274"/>
      <c r="H146" s="583">
        <v>138</v>
      </c>
      <c r="I146" s="268"/>
      <c r="J146" s="270">
        <f t="shared" si="40"/>
        <v>28</v>
      </c>
      <c r="K146" s="581">
        <v>11</v>
      </c>
      <c r="L146" s="268"/>
      <c r="M146" s="275">
        <f t="shared" si="37"/>
        <v>2.6400000000000006</v>
      </c>
      <c r="N146" s="271"/>
      <c r="O146" s="272"/>
      <c r="P146" s="273">
        <f t="shared" si="38"/>
        <v>0.31578947368421062</v>
      </c>
      <c r="S146" s="249"/>
      <c r="T146" s="153"/>
    </row>
    <row r="147" spans="2:20" ht="10.199999999999999" customHeight="1">
      <c r="B147" s="68"/>
      <c r="C147" s="267">
        <f t="shared" si="39"/>
        <v>29</v>
      </c>
      <c r="D147" s="267"/>
      <c r="E147" s="581">
        <v>8.65</v>
      </c>
      <c r="F147" s="267"/>
      <c r="G147" s="274"/>
      <c r="H147" s="583">
        <v>180</v>
      </c>
      <c r="I147" s="268"/>
      <c r="J147" s="270">
        <f t="shared" si="40"/>
        <v>29</v>
      </c>
      <c r="K147" s="581">
        <v>11.5</v>
      </c>
      <c r="L147" s="268"/>
      <c r="M147" s="275">
        <f t="shared" si="37"/>
        <v>2.8499999999999996</v>
      </c>
      <c r="N147" s="271"/>
      <c r="O147" s="272"/>
      <c r="P147" s="273">
        <f t="shared" si="38"/>
        <v>0.32947976878612706</v>
      </c>
      <c r="S147" s="249"/>
      <c r="T147" s="153"/>
    </row>
    <row r="148" spans="2:20" ht="10.199999999999999" customHeight="1">
      <c r="B148" s="68"/>
      <c r="C148" s="267">
        <f t="shared" si="39"/>
        <v>30</v>
      </c>
      <c r="D148" s="267"/>
      <c r="E148" s="581">
        <v>12.83</v>
      </c>
      <c r="F148" s="267"/>
      <c r="G148" s="274"/>
      <c r="H148" s="583">
        <v>12</v>
      </c>
      <c r="I148" s="268"/>
      <c r="J148" s="270">
        <f t="shared" si="40"/>
        <v>30</v>
      </c>
      <c r="K148" s="581">
        <v>16.5</v>
      </c>
      <c r="L148" s="268"/>
      <c r="M148" s="275">
        <f t="shared" si="37"/>
        <v>3.67</v>
      </c>
      <c r="N148" s="271"/>
      <c r="O148" s="272"/>
      <c r="P148" s="273">
        <f t="shared" si="38"/>
        <v>0.28604832424006243</v>
      </c>
      <c r="S148" s="249"/>
      <c r="T148" s="153"/>
    </row>
    <row r="149" spans="2:20" ht="10.199999999999999" customHeight="1">
      <c r="B149" s="68"/>
      <c r="C149" s="267">
        <f t="shared" si="39"/>
        <v>31</v>
      </c>
      <c r="D149" s="267"/>
      <c r="E149" s="581">
        <v>15.08</v>
      </c>
      <c r="F149" s="267"/>
      <c r="G149" s="274"/>
      <c r="H149" s="583">
        <v>1448</v>
      </c>
      <c r="I149" s="268"/>
      <c r="J149" s="270">
        <f t="shared" si="40"/>
        <v>31</v>
      </c>
      <c r="K149" s="581">
        <v>19</v>
      </c>
      <c r="L149" s="268"/>
      <c r="M149" s="275">
        <f t="shared" si="37"/>
        <v>3.92</v>
      </c>
      <c r="N149" s="271"/>
      <c r="O149" s="272"/>
      <c r="P149" s="273">
        <f t="shared" si="38"/>
        <v>0.25994694960212206</v>
      </c>
      <c r="S149" s="249"/>
      <c r="T149" s="153"/>
    </row>
    <row r="150" spans="2:20" ht="10.199999999999999" customHeight="1">
      <c r="B150" s="68"/>
      <c r="C150" s="267">
        <f t="shared" si="39"/>
        <v>32</v>
      </c>
      <c r="D150" s="267"/>
      <c r="E150" s="581">
        <v>25.79</v>
      </c>
      <c r="F150" s="267"/>
      <c r="G150" s="274"/>
      <c r="H150" s="583">
        <v>12</v>
      </c>
      <c r="I150" s="268"/>
      <c r="J150" s="270">
        <f t="shared" si="40"/>
        <v>32</v>
      </c>
      <c r="K150" s="581">
        <v>25.79</v>
      </c>
      <c r="L150" s="268"/>
      <c r="M150" s="275">
        <f t="shared" si="37"/>
        <v>0</v>
      </c>
      <c r="N150" s="271"/>
      <c r="O150" s="272"/>
      <c r="P150" s="273">
        <f t="shared" si="38"/>
        <v>0</v>
      </c>
      <c r="S150" s="249"/>
      <c r="T150" s="153"/>
    </row>
    <row r="151" spans="2:20" ht="10.199999999999999" customHeight="1">
      <c r="B151" s="68"/>
      <c r="C151" s="267">
        <f t="shared" si="39"/>
        <v>33</v>
      </c>
      <c r="D151" s="267"/>
      <c r="E151" s="274">
        <v>10.91</v>
      </c>
      <c r="F151" s="267"/>
      <c r="G151" s="274"/>
      <c r="H151" s="274"/>
      <c r="I151" s="268"/>
      <c r="J151" s="270">
        <f t="shared" si="40"/>
        <v>33</v>
      </c>
      <c r="K151" s="274">
        <v>10.91</v>
      </c>
      <c r="L151" s="268"/>
      <c r="M151" s="275">
        <f t="shared" si="37"/>
        <v>0</v>
      </c>
      <c r="N151" s="271"/>
      <c r="O151" s="272"/>
      <c r="P151" s="273">
        <f t="shared" si="38"/>
        <v>0</v>
      </c>
      <c r="S151" s="249"/>
      <c r="T151" s="153"/>
    </row>
    <row r="152" spans="2:20" ht="10.199999999999999" customHeight="1">
      <c r="B152" s="68"/>
      <c r="C152" s="267">
        <f t="shared" si="39"/>
        <v>34</v>
      </c>
      <c r="D152" s="267"/>
      <c r="E152" s="274">
        <v>12.16</v>
      </c>
      <c r="F152" s="267"/>
      <c r="G152" s="274"/>
      <c r="H152" s="274"/>
      <c r="I152" s="268"/>
      <c r="J152" s="270">
        <f t="shared" si="40"/>
        <v>34</v>
      </c>
      <c r="K152" s="274">
        <v>12.16</v>
      </c>
      <c r="L152" s="268"/>
      <c r="M152" s="275">
        <f t="shared" si="37"/>
        <v>0</v>
      </c>
      <c r="N152" s="271"/>
      <c r="O152" s="272"/>
      <c r="P152" s="273">
        <f t="shared" si="38"/>
        <v>0</v>
      </c>
      <c r="S152" s="249"/>
      <c r="T152" s="153"/>
    </row>
    <row r="153" spans="2:20" ht="10.199999999999999" customHeight="1">
      <c r="B153" s="68"/>
      <c r="C153" s="267">
        <f t="shared" si="39"/>
        <v>35</v>
      </c>
      <c r="D153" s="267"/>
      <c r="E153" s="268">
        <v>18.149999999999999</v>
      </c>
      <c r="F153" s="267"/>
      <c r="G153" s="274"/>
      <c r="H153" s="274"/>
      <c r="I153" s="268"/>
      <c r="J153" s="270">
        <f t="shared" si="40"/>
        <v>35</v>
      </c>
      <c r="K153" s="268">
        <v>18.149999999999999</v>
      </c>
      <c r="L153" s="268"/>
      <c r="M153" s="275">
        <f t="shared" si="37"/>
        <v>0</v>
      </c>
      <c r="N153" s="271"/>
      <c r="O153" s="272"/>
      <c r="P153" s="273">
        <f t="shared" si="38"/>
        <v>0</v>
      </c>
      <c r="S153" s="249"/>
      <c r="T153" s="153"/>
    </row>
    <row r="154" spans="2:20" ht="10.199999999999999" customHeight="1">
      <c r="B154" s="68"/>
      <c r="C154" s="267">
        <f t="shared" si="39"/>
        <v>36</v>
      </c>
      <c r="D154" s="267"/>
      <c r="E154" s="268">
        <v>21.66</v>
      </c>
      <c r="F154" s="267"/>
      <c r="G154" s="274"/>
      <c r="H154" s="274"/>
      <c r="I154" s="268"/>
      <c r="J154" s="270">
        <f t="shared" si="40"/>
        <v>36</v>
      </c>
      <c r="K154" s="268">
        <v>21.66</v>
      </c>
      <c r="L154" s="268"/>
      <c r="M154" s="275">
        <f t="shared" si="37"/>
        <v>0</v>
      </c>
      <c r="N154" s="271"/>
      <c r="O154" s="272"/>
      <c r="P154" s="273">
        <f t="shared" si="38"/>
        <v>0</v>
      </c>
      <c r="S154" s="249"/>
      <c r="T154" s="153"/>
    </row>
    <row r="155" spans="2:20" ht="10.199999999999999" customHeight="1" outlineLevel="1">
      <c r="B155" s="68"/>
      <c r="C155" s="267"/>
      <c r="D155" s="267"/>
      <c r="E155" s="268"/>
      <c r="F155" s="267"/>
      <c r="G155" s="268"/>
      <c r="H155" s="268"/>
      <c r="I155" s="267"/>
      <c r="J155" s="270"/>
      <c r="K155" s="268"/>
      <c r="L155" s="268"/>
      <c r="M155" s="268"/>
      <c r="N155" s="271"/>
      <c r="O155" s="272"/>
      <c r="P155" s="273"/>
      <c r="S155" s="249"/>
      <c r="T155" s="153"/>
    </row>
    <row r="156" spans="2:20" ht="10.199999999999999" customHeight="1" outlineLevel="1">
      <c r="B156" s="68"/>
      <c r="C156" s="267"/>
      <c r="D156" s="267"/>
      <c r="E156" s="268"/>
      <c r="F156" s="267"/>
      <c r="G156" s="268"/>
      <c r="H156" s="268"/>
      <c r="I156" s="267"/>
      <c r="J156" s="270"/>
      <c r="K156" s="268"/>
      <c r="L156" s="268"/>
      <c r="M156" s="268"/>
      <c r="N156" s="271"/>
      <c r="O156" s="272"/>
      <c r="P156" s="273"/>
      <c r="S156" s="249"/>
      <c r="T156" s="153"/>
    </row>
    <row r="157" spans="2:20" ht="10.199999999999999" customHeight="1" outlineLevel="1">
      <c r="B157" s="68"/>
      <c r="C157" s="267">
        <f>+C154+1</f>
        <v>37</v>
      </c>
      <c r="D157" s="267"/>
      <c r="E157" s="268">
        <v>9.52</v>
      </c>
      <c r="F157" s="267"/>
      <c r="G157" s="274"/>
      <c r="H157" s="274"/>
      <c r="I157" s="268"/>
      <c r="J157" s="270">
        <f>+J154+1</f>
        <v>37</v>
      </c>
      <c r="K157" s="268">
        <v>9.52</v>
      </c>
      <c r="L157" s="268"/>
      <c r="M157" s="275">
        <f>K157-E157</f>
        <v>0</v>
      </c>
      <c r="N157" s="271"/>
      <c r="O157" s="272"/>
      <c r="P157" s="273">
        <f>K157/E157-1</f>
        <v>0</v>
      </c>
      <c r="S157" s="249"/>
      <c r="T157" s="153"/>
    </row>
    <row r="158" spans="2:20" ht="10.199999999999999" customHeight="1">
      <c r="B158" s="101"/>
      <c r="C158" s="276">
        <f>+C157+1</f>
        <v>38</v>
      </c>
      <c r="D158" s="277" t="s">
        <v>413</v>
      </c>
      <c r="E158" s="584">
        <v>10</v>
      </c>
      <c r="F158" s="276"/>
      <c r="G158" s="140"/>
      <c r="H158" s="585">
        <v>12</v>
      </c>
      <c r="I158" s="279"/>
      <c r="J158" s="280">
        <f>+J157+1</f>
        <v>38</v>
      </c>
      <c r="K158" s="278">
        <f>E158</f>
        <v>10</v>
      </c>
      <c r="L158" s="278"/>
      <c r="M158" s="278">
        <f>K158-E158</f>
        <v>0</v>
      </c>
      <c r="N158" s="281"/>
      <c r="O158" s="272"/>
      <c r="P158" s="273">
        <f>K158/E158-1</f>
        <v>0</v>
      </c>
      <c r="S158" s="249"/>
      <c r="T158" s="153"/>
    </row>
    <row r="159" spans="2:20">
      <c r="G159" s="268" t="s">
        <v>495</v>
      </c>
      <c r="H159" s="270">
        <f>SUM(H113:H157)</f>
        <v>11074</v>
      </c>
      <c r="N159" s="272"/>
      <c r="O159" s="249"/>
      <c r="R159" s="249"/>
    </row>
    <row r="160" spans="2:20">
      <c r="J160" s="153"/>
      <c r="N160" s="272"/>
      <c r="O160" s="249"/>
      <c r="R160" s="249"/>
    </row>
    <row r="161" spans="4:18">
      <c r="J161" s="153"/>
      <c r="N161" s="272"/>
      <c r="O161" s="249"/>
      <c r="R161" s="249"/>
    </row>
    <row r="162" spans="4:18">
      <c r="D162" s="81" t="s">
        <v>454</v>
      </c>
      <c r="E162" s="130">
        <f>+E98-E96</f>
        <v>0.11284</v>
      </c>
      <c r="J162" s="81" t="s">
        <v>454</v>
      </c>
      <c r="K162" s="130">
        <f>+K98-K96</f>
        <v>9.9700000000000011E-2</v>
      </c>
      <c r="N162" s="272"/>
      <c r="O162" s="249"/>
      <c r="R162" s="249"/>
    </row>
    <row r="163" spans="4:18">
      <c r="J163" s="153"/>
      <c r="N163" s="272"/>
    </row>
    <row r="164" spans="4:18">
      <c r="I164" s="184"/>
      <c r="N164" s="272"/>
    </row>
    <row r="165" spans="4:18">
      <c r="N165" s="272"/>
    </row>
    <row r="166" spans="4:18">
      <c r="N166" s="272"/>
    </row>
    <row r="167" spans="4:18">
      <c r="N167" s="272"/>
    </row>
    <row r="168" spans="4:18">
      <c r="N168" s="272"/>
    </row>
    <row r="169" spans="4:18">
      <c r="N169" s="272"/>
    </row>
    <row r="170" spans="4:18">
      <c r="N170" s="272"/>
    </row>
    <row r="171" spans="4:18">
      <c r="N171" s="272"/>
    </row>
    <row r="172" spans="4:18">
      <c r="N172" s="272"/>
    </row>
    <row r="173" spans="4:18">
      <c r="N173" s="272"/>
    </row>
    <row r="174" spans="4:18">
      <c r="N174" s="272"/>
    </row>
    <row r="175" spans="4:18">
      <c r="N175" s="272"/>
    </row>
    <row r="176" spans="4:18">
      <c r="N176" s="272"/>
    </row>
    <row r="177" spans="14:14">
      <c r="N177" s="272"/>
    </row>
    <row r="178" spans="14:14">
      <c r="N178" s="272"/>
    </row>
    <row r="179" spans="14:14">
      <c r="N179" s="272"/>
    </row>
    <row r="180" spans="14:14">
      <c r="N180" s="272"/>
    </row>
    <row r="181" spans="14:14">
      <c r="N181" s="272"/>
    </row>
    <row r="182" spans="14:14">
      <c r="N182" s="272"/>
    </row>
    <row r="183" spans="14:14">
      <c r="N183" s="272"/>
    </row>
    <row r="184" spans="14:14">
      <c r="N184" s="272"/>
    </row>
    <row r="185" spans="14:14">
      <c r="N185" s="272"/>
    </row>
    <row r="186" spans="14:14">
      <c r="N186" s="272"/>
    </row>
    <row r="187" spans="14:14">
      <c r="N187" s="272"/>
    </row>
    <row r="188" spans="14:14">
      <c r="N188" s="272"/>
    </row>
    <row r="229" spans="9:9">
      <c r="I229" s="129"/>
    </row>
    <row r="230" spans="9:9">
      <c r="I230" s="129"/>
    </row>
    <row r="231" spans="9:9">
      <c r="I231" s="121"/>
    </row>
    <row r="232" spans="9:9">
      <c r="I232" s="121"/>
    </row>
    <row r="233" spans="9:9">
      <c r="I233" s="121"/>
    </row>
    <row r="234" spans="9:9">
      <c r="I234" s="68"/>
    </row>
    <row r="235" spans="9:9">
      <c r="I235" s="68"/>
    </row>
    <row r="236" spans="9:9">
      <c r="I236" s="129"/>
    </row>
    <row r="237" spans="9:9">
      <c r="I237" s="68"/>
    </row>
    <row r="238" spans="9:9">
      <c r="I238" s="121"/>
    </row>
    <row r="239" spans="9:9">
      <c r="I239" s="68"/>
    </row>
    <row r="240" spans="9:9">
      <c r="I240" s="68"/>
    </row>
  </sheetData>
  <mergeCells count="5">
    <mergeCell ref="B3:N3"/>
    <mergeCell ref="B4:N4"/>
    <mergeCell ref="B5:N5"/>
    <mergeCell ref="B107:L108"/>
    <mergeCell ref="B109:L109"/>
  </mergeCells>
  <printOptions horizontalCentered="1"/>
  <pageMargins left="0.5" right="0.5" top="0.75" bottom="0.25" header="0.5" footer="0.5"/>
  <pageSetup paperSize="9" orientation="portrait" blackAndWhite="1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3F88-D43C-4A06-B485-E278171A9094}">
  <sheetPr>
    <pageSetUpPr fitToPage="1"/>
  </sheetPr>
  <dimension ref="A1:R72"/>
  <sheetViews>
    <sheetView tabSelected="1" topLeftCell="A10" workbookViewId="0">
      <selection activeCell="N12" sqref="N12"/>
    </sheetView>
  </sheetViews>
  <sheetFormatPr defaultColWidth="8.77734375" defaultRowHeight="11.4" outlineLevelRow="1"/>
  <cols>
    <col min="1" max="1" width="2.21875" style="51" customWidth="1"/>
    <col min="2" max="2" width="15.77734375" style="51" customWidth="1"/>
    <col min="3" max="3" width="5.77734375" style="51" customWidth="1"/>
    <col min="4" max="4" width="16.21875" style="51" customWidth="1"/>
    <col min="5" max="5" width="14.77734375" style="51" customWidth="1"/>
    <col min="6" max="6" width="12.77734375" style="51" customWidth="1"/>
    <col min="7" max="7" width="11.77734375" style="51" customWidth="1"/>
    <col min="8" max="8" width="7.77734375" style="51" customWidth="1"/>
    <col min="9" max="9" width="17.77734375" style="51" customWidth="1"/>
    <col min="10" max="10" width="20.77734375" style="51" customWidth="1"/>
    <col min="11" max="11" width="10.77734375" style="51" customWidth="1"/>
    <col min="12" max="12" width="9.77734375" style="51" customWidth="1"/>
    <col min="13" max="13" width="1.77734375" style="51" customWidth="1"/>
    <col min="14" max="14" width="11.109375" style="51" customWidth="1"/>
    <col min="15" max="15" width="10" style="51" bestFit="1" customWidth="1"/>
    <col min="16" max="16" width="11" style="51" bestFit="1" customWidth="1"/>
    <col min="17" max="16384" width="8.77734375" style="51"/>
  </cols>
  <sheetData>
    <row r="1" spans="2:17" ht="12">
      <c r="G1" s="53"/>
    </row>
    <row r="3" spans="2:17" ht="12">
      <c r="B3" s="1051" t="s">
        <v>285</v>
      </c>
      <c r="C3" s="1052"/>
      <c r="D3" s="1052"/>
      <c r="E3" s="1052"/>
      <c r="F3" s="1052"/>
      <c r="G3" s="1052"/>
      <c r="H3" s="1052"/>
      <c r="I3" s="1052"/>
      <c r="J3" s="1052"/>
      <c r="K3" s="1052"/>
      <c r="L3" s="1052"/>
      <c r="M3" s="1052"/>
      <c r="N3" s="1052"/>
      <c r="O3" s="1053"/>
    </row>
    <row r="4" spans="2:17" ht="12">
      <c r="B4" s="1054" t="s">
        <v>410</v>
      </c>
      <c r="C4" s="1055"/>
      <c r="D4" s="1055"/>
      <c r="E4" s="1055"/>
      <c r="F4" s="1055"/>
      <c r="G4" s="1055"/>
      <c r="H4" s="1055"/>
      <c r="I4" s="1055"/>
      <c r="J4" s="1055"/>
      <c r="K4" s="1055"/>
      <c r="L4" s="1055"/>
      <c r="M4" s="1055"/>
      <c r="N4" s="1055"/>
      <c r="O4" s="1056"/>
    </row>
    <row r="5" spans="2:17" ht="12">
      <c r="B5" s="1057" t="s">
        <v>496</v>
      </c>
      <c r="C5" s="1058"/>
      <c r="D5" s="1058"/>
      <c r="E5" s="1058"/>
      <c r="F5" s="1058"/>
      <c r="G5" s="1058"/>
      <c r="H5" s="1058"/>
      <c r="I5" s="1058"/>
      <c r="J5" s="1058"/>
      <c r="K5" s="1058"/>
      <c r="L5" s="1058"/>
      <c r="M5" s="1058"/>
      <c r="N5" s="1058"/>
      <c r="O5" s="1059"/>
    </row>
    <row r="7" spans="2:17" ht="12">
      <c r="B7" s="69"/>
      <c r="C7" s="70"/>
      <c r="D7" s="70"/>
      <c r="E7" s="70"/>
      <c r="F7" s="70"/>
      <c r="G7" s="70"/>
      <c r="H7" s="70"/>
      <c r="I7" s="110" t="s">
        <v>414</v>
      </c>
      <c r="J7" s="110" t="s">
        <v>415</v>
      </c>
      <c r="K7" s="70"/>
      <c r="L7" s="110" t="s">
        <v>416</v>
      </c>
      <c r="M7" s="70"/>
      <c r="N7" s="110" t="s">
        <v>417</v>
      </c>
      <c r="O7" s="111" t="s">
        <v>416</v>
      </c>
    </row>
    <row r="8" spans="2:17" ht="12">
      <c r="B8" s="68"/>
      <c r="D8" s="52"/>
      <c r="E8" s="52"/>
      <c r="F8" s="52"/>
      <c r="G8" s="53" t="s">
        <v>413</v>
      </c>
      <c r="H8" s="53" t="s">
        <v>485</v>
      </c>
      <c r="I8" s="53" t="s">
        <v>326</v>
      </c>
      <c r="J8" s="53" t="s">
        <v>326</v>
      </c>
      <c r="K8" s="53" t="s">
        <v>279</v>
      </c>
      <c r="L8" s="53" t="s">
        <v>279</v>
      </c>
      <c r="N8" s="53" t="s">
        <v>419</v>
      </c>
      <c r="O8" s="80" t="s">
        <v>419</v>
      </c>
    </row>
    <row r="9" spans="2:17" ht="12">
      <c r="B9" s="68"/>
      <c r="D9" s="86" t="s">
        <v>166</v>
      </c>
      <c r="E9" s="86" t="s">
        <v>167</v>
      </c>
      <c r="F9" s="86"/>
      <c r="G9" s="87" t="s">
        <v>486</v>
      </c>
      <c r="H9" s="232" t="s">
        <v>487</v>
      </c>
      <c r="I9" s="87" t="s">
        <v>162</v>
      </c>
      <c r="J9" s="87" t="s">
        <v>162</v>
      </c>
      <c r="K9" s="87" t="s">
        <v>142</v>
      </c>
      <c r="L9" s="87" t="s">
        <v>142</v>
      </c>
      <c r="N9" s="87" t="s">
        <v>162</v>
      </c>
      <c r="O9" s="89" t="s">
        <v>142</v>
      </c>
    </row>
    <row r="10" spans="2:17">
      <c r="B10" s="68"/>
      <c r="O10" s="92"/>
    </row>
    <row r="11" spans="2:17">
      <c r="B11" s="68"/>
      <c r="D11" s="251" t="s">
        <v>174</v>
      </c>
      <c r="E11" s="243"/>
      <c r="F11" s="117"/>
      <c r="H11" s="240"/>
      <c r="I11" s="117"/>
      <c r="J11" s="117"/>
      <c r="K11" s="117"/>
      <c r="L11" s="166"/>
      <c r="N11" s="117"/>
      <c r="O11" s="241"/>
      <c r="P11" s="90"/>
    </row>
    <row r="12" spans="2:17">
      <c r="B12" s="68"/>
      <c r="C12" s="51">
        <v>1</v>
      </c>
      <c r="D12" s="238">
        <v>14408</v>
      </c>
      <c r="E12" s="145" t="s">
        <v>497</v>
      </c>
      <c r="F12" s="117"/>
      <c r="G12" s="51">
        <v>42.5</v>
      </c>
      <c r="H12" s="282">
        <v>0.10624048706240487</v>
      </c>
      <c r="I12" s="137">
        <f t="shared" ref="I12:I19" si="0">G12*$E$58</f>
        <v>16.149999999999999</v>
      </c>
      <c r="J12" s="117">
        <f t="shared" ref="J12:J19" si="1">+G12*K$58</f>
        <v>16.847850000000001</v>
      </c>
      <c r="K12" s="117">
        <f t="shared" ref="K12:K19" si="2">J12-I12</f>
        <v>0.69785000000000252</v>
      </c>
      <c r="L12" s="166">
        <f t="shared" ref="L12:L19" si="3">(J12/I12-1)</f>
        <v>4.3210526315789588E-2</v>
      </c>
      <c r="N12" s="117">
        <f>+G12*$E$58-G12*$E$56</f>
        <v>7.3911749999999987</v>
      </c>
      <c r="O12" s="241">
        <f t="shared" ref="O12:O19" si="4">+K12/N12</f>
        <v>9.4416652291415451E-2</v>
      </c>
      <c r="P12" s="90"/>
      <c r="Q12" s="153"/>
    </row>
    <row r="13" spans="2:17">
      <c r="B13" s="68"/>
      <c r="C13" s="51">
        <f>+C12+1</f>
        <v>2</v>
      </c>
      <c r="D13" s="238">
        <v>3819</v>
      </c>
      <c r="E13" s="145" t="s">
        <v>498</v>
      </c>
      <c r="F13" s="117"/>
      <c r="G13" s="51">
        <v>8.9</v>
      </c>
      <c r="H13" s="282">
        <v>0.76651445966514464</v>
      </c>
      <c r="I13" s="137">
        <f t="shared" si="0"/>
        <v>3.3820000000000001</v>
      </c>
      <c r="J13" s="117">
        <f t="shared" si="1"/>
        <v>3.5281380000000002</v>
      </c>
      <c r="K13" s="117">
        <f t="shared" si="2"/>
        <v>0.1461380000000001</v>
      </c>
      <c r="L13" s="166">
        <f t="shared" si="3"/>
        <v>4.3210526315789588E-2</v>
      </c>
      <c r="N13" s="117">
        <f t="shared" ref="N13:N19" si="5">+G13*$E$58-G13*$E$56</f>
        <v>1.5477990000000001</v>
      </c>
      <c r="O13" s="241">
        <f t="shared" si="4"/>
        <v>9.441665229141516E-2</v>
      </c>
      <c r="P13" s="90"/>
      <c r="Q13" s="153"/>
    </row>
    <row r="14" spans="2:17">
      <c r="B14" s="68"/>
      <c r="C14" s="51">
        <f>+C13+1</f>
        <v>3</v>
      </c>
      <c r="D14" s="238">
        <v>3500</v>
      </c>
      <c r="E14" s="145" t="s">
        <v>499</v>
      </c>
      <c r="F14" s="117"/>
      <c r="G14" s="51">
        <v>39.25</v>
      </c>
      <c r="H14" s="282">
        <v>3.0441400304414006E-4</v>
      </c>
      <c r="I14" s="137">
        <f t="shared" si="0"/>
        <v>14.915000000000001</v>
      </c>
      <c r="J14" s="117">
        <f t="shared" si="1"/>
        <v>15.559485</v>
      </c>
      <c r="K14" s="117">
        <f t="shared" si="2"/>
        <v>0.64448499999999953</v>
      </c>
      <c r="L14" s="166">
        <f t="shared" si="3"/>
        <v>4.3210526315789366E-2</v>
      </c>
      <c r="N14" s="117">
        <f t="shared" si="5"/>
        <v>6.8259675000000009</v>
      </c>
      <c r="O14" s="241">
        <f t="shared" si="4"/>
        <v>9.4416652291415021E-2</v>
      </c>
      <c r="P14" s="90"/>
      <c r="Q14" s="153"/>
    </row>
    <row r="15" spans="2:17">
      <c r="B15" s="68"/>
      <c r="C15" s="51">
        <v>4</v>
      </c>
      <c r="D15" s="238">
        <v>3300</v>
      </c>
      <c r="E15" s="145" t="s">
        <v>500</v>
      </c>
      <c r="F15" s="117"/>
      <c r="G15" s="51">
        <v>20</v>
      </c>
      <c r="H15" s="282">
        <v>7.7016742770167429E-2</v>
      </c>
      <c r="I15" s="137">
        <f t="shared" si="0"/>
        <v>7.6</v>
      </c>
      <c r="J15" s="117">
        <f t="shared" si="1"/>
        <v>7.9283999999999999</v>
      </c>
      <c r="K15" s="117">
        <f t="shared" si="2"/>
        <v>0.32840000000000025</v>
      </c>
      <c r="L15" s="166">
        <f t="shared" si="3"/>
        <v>4.3210526315789588E-2</v>
      </c>
      <c r="N15" s="117">
        <f t="shared" si="5"/>
        <v>3.4781999999999993</v>
      </c>
      <c r="O15" s="241">
        <f t="shared" si="4"/>
        <v>9.4416652291415187E-2</v>
      </c>
      <c r="P15" s="90"/>
      <c r="Q15" s="153"/>
    </row>
    <row r="16" spans="2:17">
      <c r="B16" s="68"/>
      <c r="C16" s="51">
        <v>5</v>
      </c>
      <c r="D16" s="238">
        <v>9500</v>
      </c>
      <c r="E16" s="145" t="s">
        <v>501</v>
      </c>
      <c r="F16" s="117"/>
      <c r="G16" s="51">
        <v>40.25</v>
      </c>
      <c r="H16" s="282">
        <v>1.7656012176560123E-2</v>
      </c>
      <c r="I16" s="137">
        <f t="shared" si="0"/>
        <v>15.295</v>
      </c>
      <c r="J16" s="117">
        <f t="shared" si="1"/>
        <v>15.955905</v>
      </c>
      <c r="K16" s="117">
        <f t="shared" si="2"/>
        <v>0.66090499999999963</v>
      </c>
      <c r="L16" s="166">
        <f t="shared" si="3"/>
        <v>4.3210526315789366E-2</v>
      </c>
      <c r="N16" s="117">
        <f t="shared" si="5"/>
        <v>6.9998775000000002</v>
      </c>
      <c r="O16" s="241">
        <f t="shared" si="4"/>
        <v>9.4416652291415049E-2</v>
      </c>
      <c r="P16" s="90"/>
      <c r="Q16" s="153"/>
    </row>
    <row r="17" spans="2:17">
      <c r="B17" s="68"/>
      <c r="C17" s="51">
        <v>6</v>
      </c>
      <c r="D17" s="238">
        <v>3300</v>
      </c>
      <c r="E17" s="243" t="s">
        <v>502</v>
      </c>
      <c r="F17" s="117"/>
      <c r="G17" s="51">
        <v>20</v>
      </c>
      <c r="H17" s="282">
        <v>2.0700152207001523E-2</v>
      </c>
      <c r="I17" s="137">
        <f t="shared" si="0"/>
        <v>7.6</v>
      </c>
      <c r="J17" s="117">
        <f t="shared" si="1"/>
        <v>7.9283999999999999</v>
      </c>
      <c r="K17" s="117">
        <f t="shared" si="2"/>
        <v>0.32840000000000025</v>
      </c>
      <c r="L17" s="166">
        <f t="shared" si="3"/>
        <v>4.3210526315789588E-2</v>
      </c>
      <c r="N17" s="117">
        <f t="shared" si="5"/>
        <v>3.4781999999999993</v>
      </c>
      <c r="O17" s="241">
        <f t="shared" si="4"/>
        <v>9.4416652291415187E-2</v>
      </c>
      <c r="P17" s="90"/>
      <c r="Q17" s="153"/>
    </row>
    <row r="18" spans="2:17">
      <c r="B18" s="68"/>
      <c r="C18" s="51">
        <v>7</v>
      </c>
      <c r="D18" s="238">
        <v>50000</v>
      </c>
      <c r="E18" s="145" t="s">
        <v>503</v>
      </c>
      <c r="F18" s="117"/>
      <c r="G18" s="51">
        <v>161.25</v>
      </c>
      <c r="H18" s="282">
        <v>9.1324200913242006E-4</v>
      </c>
      <c r="I18" s="137">
        <f t="shared" si="0"/>
        <v>61.274999999999999</v>
      </c>
      <c r="J18" s="117">
        <f t="shared" si="1"/>
        <v>63.922725</v>
      </c>
      <c r="K18" s="117">
        <f t="shared" si="2"/>
        <v>2.6477250000000012</v>
      </c>
      <c r="L18" s="166">
        <f t="shared" si="3"/>
        <v>4.3210526315789588E-2</v>
      </c>
      <c r="N18" s="117">
        <f t="shared" si="5"/>
        <v>28.042987500000002</v>
      </c>
      <c r="O18" s="241">
        <f t="shared" si="4"/>
        <v>9.4416652291415132E-2</v>
      </c>
      <c r="P18" s="90"/>
      <c r="Q18" s="153"/>
    </row>
    <row r="19" spans="2:17">
      <c r="B19" s="68"/>
      <c r="C19" s="51">
        <v>8</v>
      </c>
      <c r="D19" s="238">
        <v>20000</v>
      </c>
      <c r="E19" s="145" t="s">
        <v>504</v>
      </c>
      <c r="F19" s="117"/>
      <c r="G19" s="51">
        <v>85</v>
      </c>
      <c r="H19" s="282">
        <v>1.06544901065449E-2</v>
      </c>
      <c r="I19" s="137">
        <f t="shared" si="0"/>
        <v>32.299999999999997</v>
      </c>
      <c r="J19" s="117">
        <f t="shared" si="1"/>
        <v>33.695700000000002</v>
      </c>
      <c r="K19" s="117">
        <f t="shared" si="2"/>
        <v>1.395700000000005</v>
      </c>
      <c r="L19" s="166">
        <f t="shared" si="3"/>
        <v>4.3210526315789588E-2</v>
      </c>
      <c r="N19" s="117">
        <f t="shared" si="5"/>
        <v>14.782349999999997</v>
      </c>
      <c r="O19" s="241">
        <f t="shared" si="4"/>
        <v>9.4416652291415451E-2</v>
      </c>
      <c r="P19" s="90"/>
      <c r="Q19" s="153"/>
    </row>
    <row r="20" spans="2:17">
      <c r="B20" s="101"/>
      <c r="C20" s="140"/>
      <c r="D20" s="283"/>
      <c r="E20" s="284"/>
      <c r="F20" s="255"/>
      <c r="G20" s="140"/>
      <c r="H20" s="140"/>
      <c r="I20" s="255"/>
      <c r="J20" s="255"/>
      <c r="K20" s="255"/>
      <c r="L20" s="254"/>
      <c r="M20" s="140"/>
      <c r="N20" s="140"/>
      <c r="O20" s="109"/>
      <c r="P20" s="90"/>
    </row>
    <row r="22" spans="2:17" ht="12">
      <c r="B22" s="257" t="s">
        <v>423</v>
      </c>
      <c r="C22" s="258"/>
      <c r="D22" s="70"/>
      <c r="E22" s="110"/>
      <c r="F22" s="70"/>
      <c r="G22" s="70"/>
      <c r="H22" s="70"/>
      <c r="I22" s="259" t="s">
        <v>424</v>
      </c>
      <c r="J22" s="70"/>
      <c r="K22" s="110"/>
      <c r="L22" s="70"/>
      <c r="M22" s="70"/>
      <c r="N22" s="70"/>
      <c r="O22" s="75"/>
    </row>
    <row r="23" spans="2:17" ht="12">
      <c r="B23" s="121"/>
      <c r="C23" s="59"/>
      <c r="D23" s="114"/>
      <c r="E23" s="53" t="s">
        <v>49</v>
      </c>
      <c r="I23" s="114"/>
      <c r="J23" s="114"/>
      <c r="K23" s="53" t="s">
        <v>49</v>
      </c>
      <c r="L23" s="115" t="s">
        <v>425</v>
      </c>
      <c r="O23" s="92"/>
    </row>
    <row r="24" spans="2:17" ht="12">
      <c r="B24" s="116" t="s">
        <v>426</v>
      </c>
      <c r="C24" s="59"/>
      <c r="D24" s="114"/>
      <c r="E24" s="114"/>
      <c r="I24" s="119" t="s">
        <v>426</v>
      </c>
      <c r="J24" s="114"/>
      <c r="K24" s="114"/>
      <c r="O24" s="92"/>
    </row>
    <row r="25" spans="2:17">
      <c r="B25" s="121" t="s">
        <v>134</v>
      </c>
      <c r="C25" s="59"/>
      <c r="D25" s="114"/>
      <c r="E25" s="118">
        <v>0</v>
      </c>
      <c r="I25" s="59" t="str">
        <f>B25</f>
        <v>Customer Charge</v>
      </c>
      <c r="J25" s="114"/>
      <c r="K25" s="118">
        <v>0</v>
      </c>
      <c r="L25" s="117">
        <f>+K25-E25</f>
        <v>0</v>
      </c>
      <c r="O25" s="92"/>
    </row>
    <row r="26" spans="2:17" ht="12">
      <c r="B26" s="121"/>
      <c r="C26" s="59"/>
      <c r="D26" s="114"/>
      <c r="E26" s="218" t="s">
        <v>421</v>
      </c>
      <c r="I26" s="59"/>
      <c r="J26" s="114"/>
      <c r="K26" s="218" t="s">
        <v>421</v>
      </c>
      <c r="O26" s="92"/>
    </row>
    <row r="27" spans="2:17">
      <c r="B27" s="121" t="s">
        <v>427</v>
      </c>
      <c r="C27" s="59"/>
      <c r="E27" s="125">
        <f>0.00318+0.00157</f>
        <v>4.7499999999999999E-3</v>
      </c>
      <c r="I27" s="59" t="str">
        <f>B27</f>
        <v>Internal Transmission</v>
      </c>
      <c r="K27" s="125">
        <f>0.00318+0.00157</f>
        <v>4.7499999999999999E-3</v>
      </c>
      <c r="L27" s="130">
        <f>+K27-E27</f>
        <v>0</v>
      </c>
      <c r="O27" s="92"/>
    </row>
    <row r="28" spans="2:17">
      <c r="B28" s="121" t="s">
        <v>428</v>
      </c>
      <c r="C28" s="59"/>
      <c r="E28" s="127">
        <v>2.7959999999999999E-2</v>
      </c>
      <c r="I28" s="59" t="str">
        <f>B28</f>
        <v>External Transmission</v>
      </c>
      <c r="K28" s="127">
        <v>2.7869999999999999E-2</v>
      </c>
      <c r="L28" s="260">
        <f>+K28-E28</f>
        <v>-8.9999999999999802E-5</v>
      </c>
      <c r="O28" s="92"/>
    </row>
    <row r="29" spans="2:17">
      <c r="B29" s="261"/>
      <c r="C29" s="59"/>
      <c r="D29" s="81" t="s">
        <v>429</v>
      </c>
      <c r="E29" s="125">
        <f>SUM(E27:E28)</f>
        <v>3.2709999999999996E-2</v>
      </c>
      <c r="I29" s="179"/>
      <c r="J29" s="81" t="s">
        <v>429</v>
      </c>
      <c r="K29" s="125">
        <f>SUM(K27:K28)</f>
        <v>3.2619999999999996E-2</v>
      </c>
      <c r="L29" s="130">
        <f>+K29-E29</f>
        <v>-8.9999999999999802E-5</v>
      </c>
      <c r="O29" s="92"/>
    </row>
    <row r="30" spans="2:17">
      <c r="B30" s="68"/>
      <c r="C30" s="59"/>
      <c r="E30" s="125"/>
      <c r="K30" s="125"/>
      <c r="O30" s="92"/>
    </row>
    <row r="31" spans="2:17">
      <c r="B31" s="129" t="s">
        <v>430</v>
      </c>
      <c r="C31" s="59"/>
      <c r="E31" s="125">
        <v>6.429E-2</v>
      </c>
      <c r="I31" s="59" t="s">
        <v>262</v>
      </c>
      <c r="K31" s="125">
        <v>9.3609999999999999E-2</v>
      </c>
      <c r="L31" s="130">
        <f>+K31-E31</f>
        <v>2.9319999999999999E-2</v>
      </c>
      <c r="O31" s="92"/>
    </row>
    <row r="32" spans="2:17">
      <c r="B32" s="129"/>
      <c r="C32" s="59"/>
      <c r="E32" s="125"/>
      <c r="I32" s="59"/>
      <c r="K32" s="125"/>
      <c r="L32" s="130"/>
      <c r="O32" s="92"/>
    </row>
    <row r="33" spans="2:15">
      <c r="B33" s="129" t="s">
        <v>431</v>
      </c>
      <c r="C33" s="59"/>
      <c r="E33" s="125">
        <v>9.75E-3</v>
      </c>
      <c r="I33" s="59" t="s">
        <v>431</v>
      </c>
      <c r="K33" s="125">
        <v>9.75E-3</v>
      </c>
      <c r="L33" s="130">
        <f t="shared" ref="L33:L45" si="6">+K33-E33</f>
        <v>0</v>
      </c>
      <c r="O33" s="92"/>
    </row>
    <row r="34" spans="2:15">
      <c r="B34" s="129" t="s">
        <v>432</v>
      </c>
      <c r="C34" s="59"/>
      <c r="E34" s="125">
        <v>1.8790000000000001E-2</v>
      </c>
      <c r="I34" s="59" t="s">
        <v>432</v>
      </c>
      <c r="K34" s="125">
        <v>2.1160000000000002E-2</v>
      </c>
      <c r="L34" s="130">
        <f t="shared" si="6"/>
        <v>2.3700000000000006E-3</v>
      </c>
      <c r="O34" s="92"/>
    </row>
    <row r="35" spans="2:15">
      <c r="B35" s="121" t="s">
        <v>433</v>
      </c>
      <c r="C35" s="59"/>
      <c r="E35" s="125">
        <v>1.1339999999999999E-2</v>
      </c>
      <c r="I35" s="51" t="s">
        <v>433</v>
      </c>
      <c r="K35" s="125">
        <v>1.1339999999999999E-2</v>
      </c>
      <c r="L35" s="130">
        <f t="shared" si="6"/>
        <v>0</v>
      </c>
      <c r="O35" s="92"/>
    </row>
    <row r="36" spans="2:15">
      <c r="B36" s="121" t="s">
        <v>434</v>
      </c>
      <c r="C36" s="59"/>
      <c r="E36" s="125">
        <v>1.2899999999999999E-3</v>
      </c>
      <c r="I36" s="51" t="s">
        <v>434</v>
      </c>
      <c r="K36" s="125">
        <v>1.2899999999999999E-3</v>
      </c>
      <c r="L36" s="130">
        <f t="shared" si="6"/>
        <v>0</v>
      </c>
      <c r="O36" s="92"/>
    </row>
    <row r="37" spans="2:15">
      <c r="B37" s="121" t="s">
        <v>435</v>
      </c>
      <c r="C37" s="59"/>
      <c r="E37" s="125">
        <v>3.8999999999999999E-4</v>
      </c>
      <c r="I37" s="98" t="s">
        <v>435</v>
      </c>
      <c r="K37" s="125">
        <v>3.8999999999999999E-4</v>
      </c>
      <c r="L37" s="130">
        <f t="shared" si="6"/>
        <v>0</v>
      </c>
      <c r="O37" s="92"/>
    </row>
    <row r="38" spans="2:15">
      <c r="B38" s="68" t="s">
        <v>436</v>
      </c>
      <c r="C38" s="59"/>
      <c r="E38" s="125">
        <v>-2.7499999999999998E-3</v>
      </c>
      <c r="I38" s="51" t="s">
        <v>436</v>
      </c>
      <c r="K38" s="125">
        <v>-2.7499999999999998E-3</v>
      </c>
      <c r="L38" s="130">
        <f t="shared" si="6"/>
        <v>0</v>
      </c>
      <c r="O38" s="92"/>
    </row>
    <row r="39" spans="2:15">
      <c r="B39" s="68" t="s">
        <v>437</v>
      </c>
      <c r="C39" s="59"/>
      <c r="E39" s="125">
        <v>1.6969999999999999E-2</v>
      </c>
      <c r="I39" s="51" t="s">
        <v>437</v>
      </c>
      <c r="K39" s="125">
        <v>5.0999999999999986E-3</v>
      </c>
      <c r="L39" s="130">
        <f t="shared" si="6"/>
        <v>-1.187E-2</v>
      </c>
      <c r="O39" s="92"/>
    </row>
    <row r="40" spans="2:15">
      <c r="B40" s="129" t="s">
        <v>438</v>
      </c>
      <c r="C40" s="59"/>
      <c r="E40" s="125">
        <v>-1.2999999999999999E-4</v>
      </c>
      <c r="I40" s="51" t="s">
        <v>438</v>
      </c>
      <c r="K40" s="125">
        <v>-8.5999999999999998E-4</v>
      </c>
      <c r="L40" s="130">
        <f t="shared" si="6"/>
        <v>-7.2999999999999996E-4</v>
      </c>
      <c r="O40" s="92"/>
    </row>
    <row r="41" spans="2:15">
      <c r="B41" s="68" t="s">
        <v>439</v>
      </c>
      <c r="C41" s="59"/>
      <c r="E41" s="125">
        <v>2.7599999999999999E-3</v>
      </c>
      <c r="I41" s="98" t="s">
        <v>439</v>
      </c>
      <c r="K41" s="125">
        <v>2.7599999999999999E-3</v>
      </c>
      <c r="L41" s="130">
        <f t="shared" si="6"/>
        <v>0</v>
      </c>
      <c r="O41" s="92"/>
    </row>
    <row r="42" spans="2:15">
      <c r="B42" s="121" t="s">
        <v>440</v>
      </c>
      <c r="E42" s="125">
        <v>-2.9999999999999997E-4</v>
      </c>
      <c r="F42" s="152"/>
      <c r="I42" s="98" t="s">
        <v>440</v>
      </c>
      <c r="K42" s="125">
        <f>+E42</f>
        <v>-2.9999999999999997E-4</v>
      </c>
      <c r="L42" s="130">
        <f t="shared" si="6"/>
        <v>0</v>
      </c>
      <c r="O42" s="92"/>
    </row>
    <row r="43" spans="2:15">
      <c r="B43" s="68" t="s">
        <v>441</v>
      </c>
      <c r="E43" s="125">
        <v>3.8000000000000002E-4</v>
      </c>
      <c r="I43" s="98" t="s">
        <v>441</v>
      </c>
      <c r="K43" s="125">
        <v>3.8000000000000002E-4</v>
      </c>
      <c r="L43" s="130">
        <f t="shared" si="6"/>
        <v>0</v>
      </c>
      <c r="O43" s="92"/>
    </row>
    <row r="44" spans="2:15">
      <c r="B44" s="68" t="s">
        <v>442</v>
      </c>
      <c r="E44" s="127">
        <v>1.4300000000000001E-3</v>
      </c>
      <c r="I44" s="59" t="s">
        <v>442</v>
      </c>
      <c r="K44" s="127">
        <v>1.4300000000000001E-3</v>
      </c>
      <c r="L44" s="130">
        <f t="shared" si="6"/>
        <v>0</v>
      </c>
      <c r="O44" s="92"/>
    </row>
    <row r="45" spans="2:15">
      <c r="B45" s="121"/>
      <c r="C45" s="59"/>
      <c r="D45" s="131" t="s">
        <v>466</v>
      </c>
      <c r="E45" s="125">
        <f>SUM(E31:E44)</f>
        <v>0.12421</v>
      </c>
      <c r="I45" s="59"/>
      <c r="J45" s="131" t="s">
        <v>466</v>
      </c>
      <c r="K45" s="125">
        <f>SUM(K31:K44)</f>
        <v>0.14329999999999998</v>
      </c>
      <c r="L45" s="130">
        <f t="shared" si="6"/>
        <v>1.9089999999999982E-2</v>
      </c>
      <c r="O45" s="92"/>
    </row>
    <row r="46" spans="2:15">
      <c r="B46" s="121"/>
      <c r="C46" s="59"/>
      <c r="D46" s="124"/>
      <c r="E46" s="125"/>
      <c r="I46" s="59"/>
      <c r="J46" s="124"/>
      <c r="K46" s="125"/>
      <c r="O46" s="92"/>
    </row>
    <row r="47" spans="2:15">
      <c r="B47" s="121" t="s">
        <v>444</v>
      </c>
      <c r="E47" s="125">
        <v>5.0000000000000001E-4</v>
      </c>
      <c r="I47" s="51" t="s">
        <v>444</v>
      </c>
      <c r="K47" s="125">
        <v>5.0000000000000001E-4</v>
      </c>
      <c r="L47" s="130">
        <f>+K47-E47</f>
        <v>0</v>
      </c>
      <c r="O47" s="92"/>
    </row>
    <row r="48" spans="2:15">
      <c r="B48" s="121"/>
      <c r="C48" s="59"/>
      <c r="E48" s="125"/>
      <c r="I48" s="59"/>
      <c r="K48" s="125"/>
      <c r="L48" s="130"/>
      <c r="O48" s="92"/>
    </row>
    <row r="49" spans="1:15">
      <c r="B49" s="121" t="s">
        <v>445</v>
      </c>
      <c r="C49" s="59"/>
      <c r="E49" s="125">
        <v>2.5000000000000001E-3</v>
      </c>
      <c r="I49" s="51" t="s">
        <v>445</v>
      </c>
      <c r="K49" s="125">
        <v>2.5000000000000001E-3</v>
      </c>
      <c r="L49" s="130">
        <f>+K49-E49</f>
        <v>0</v>
      </c>
      <c r="O49" s="92"/>
    </row>
    <row r="50" spans="1:15">
      <c r="B50" s="121" t="s">
        <v>446</v>
      </c>
      <c r="C50" s="59"/>
      <c r="E50" s="127">
        <v>9.7199999999999995E-3</v>
      </c>
      <c r="I50" s="51" t="s">
        <v>446</v>
      </c>
      <c r="K50" s="127">
        <v>9.7199999999999995E-3</v>
      </c>
      <c r="L50" s="130">
        <f>+K50-E50</f>
        <v>0</v>
      </c>
      <c r="O50" s="92"/>
    </row>
    <row r="51" spans="1:15">
      <c r="A51" s="92"/>
      <c r="B51" s="121"/>
      <c r="C51" s="59"/>
      <c r="D51" s="124" t="s">
        <v>463</v>
      </c>
      <c r="E51" s="125">
        <f>SUM(E49:E50)</f>
        <v>1.222E-2</v>
      </c>
      <c r="J51" s="124" t="s">
        <v>463</v>
      </c>
      <c r="K51" s="125">
        <f>SUM(K49:K50)</f>
        <v>1.222E-2</v>
      </c>
      <c r="L51" s="130">
        <f>+K51-E51</f>
        <v>0</v>
      </c>
      <c r="O51" s="92"/>
    </row>
    <row r="52" spans="1:15">
      <c r="B52" s="129"/>
      <c r="C52" s="59"/>
      <c r="E52" s="125"/>
      <c r="I52" s="59"/>
      <c r="K52" s="125"/>
      <c r="L52" s="130"/>
      <c r="O52" s="92"/>
    </row>
    <row r="53" spans="1:15">
      <c r="B53" s="129" t="s">
        <v>449</v>
      </c>
      <c r="C53" s="59"/>
      <c r="E53" s="125">
        <v>4.2700000000000004E-3</v>
      </c>
      <c r="I53" s="51" t="s">
        <v>449</v>
      </c>
      <c r="K53" s="125">
        <v>3.7000000000000002E-3</v>
      </c>
      <c r="L53" s="130">
        <f>+K53-E53</f>
        <v>-5.7000000000000019E-4</v>
      </c>
      <c r="O53" s="92"/>
    </row>
    <row r="54" spans="1:15">
      <c r="B54" s="121"/>
      <c r="C54" s="59"/>
      <c r="E54" s="125"/>
      <c r="I54" s="59"/>
      <c r="K54" s="125"/>
      <c r="O54" s="92"/>
    </row>
    <row r="55" spans="1:15" ht="12">
      <c r="B55" s="116" t="s">
        <v>450</v>
      </c>
      <c r="E55" s="125"/>
      <c r="I55" s="119" t="s">
        <v>450</v>
      </c>
      <c r="K55" s="125"/>
      <c r="L55" s="184"/>
      <c r="O55" s="92"/>
    </row>
    <row r="56" spans="1:15">
      <c r="B56" s="121" t="s">
        <v>451</v>
      </c>
      <c r="E56" s="127">
        <v>0.20609</v>
      </c>
      <c r="I56" s="59" t="str">
        <f>B56</f>
        <v>Generation Charge*</v>
      </c>
      <c r="K56" s="127">
        <v>0.20407999999999998</v>
      </c>
      <c r="L56" s="260">
        <f>+K56-E56</f>
        <v>-2.0100000000000118E-3</v>
      </c>
      <c r="O56" s="92"/>
    </row>
    <row r="57" spans="1:15">
      <c r="B57" s="68"/>
      <c r="E57" s="118"/>
      <c r="K57" s="118"/>
      <c r="O57" s="92"/>
    </row>
    <row r="58" spans="1:15">
      <c r="B58" s="68"/>
      <c r="D58" s="81" t="s">
        <v>493</v>
      </c>
      <c r="E58" s="125">
        <f>SUM(E56,E47,E51,E53,E45,E29)</f>
        <v>0.38</v>
      </c>
      <c r="J58" s="81" t="s">
        <v>493</v>
      </c>
      <c r="K58" s="125">
        <f>SUM(K56,K47,K51,K53,K45,K29)</f>
        <v>0.39641999999999999</v>
      </c>
      <c r="L58" s="130">
        <f>+K58-E58</f>
        <v>1.641999999999999E-2</v>
      </c>
      <c r="O58" s="92"/>
    </row>
    <row r="59" spans="1:15">
      <c r="B59" s="68"/>
      <c r="D59" s="81"/>
      <c r="E59" s="125"/>
      <c r="J59" s="81"/>
      <c r="K59" s="125"/>
      <c r="O59" s="92"/>
    </row>
    <row r="60" spans="1:15" hidden="1" outlineLevel="1">
      <c r="B60" s="68"/>
      <c r="D60" s="81"/>
      <c r="E60" s="125"/>
      <c r="J60" s="81"/>
      <c r="K60" s="125"/>
      <c r="O60" s="92"/>
    </row>
    <row r="61" spans="1:15" hidden="1" outlineLevel="1">
      <c r="B61" s="68" t="s">
        <v>168</v>
      </c>
      <c r="D61" s="81"/>
      <c r="E61" s="125"/>
      <c r="J61" s="81"/>
      <c r="K61" s="125"/>
      <c r="O61" s="92"/>
    </row>
    <row r="62" spans="1:15" hidden="1" outlineLevel="1">
      <c r="B62" s="68" t="s">
        <v>168</v>
      </c>
      <c r="D62" s="81"/>
      <c r="E62" s="125"/>
      <c r="J62" s="81"/>
      <c r="K62" s="125"/>
      <c r="O62" s="92"/>
    </row>
    <row r="63" spans="1:15" hidden="1" outlineLevel="1">
      <c r="B63" s="68" t="s">
        <v>168</v>
      </c>
      <c r="D63" s="81"/>
      <c r="E63" s="125"/>
      <c r="J63" s="81"/>
      <c r="K63" s="125"/>
      <c r="O63" s="92"/>
    </row>
    <row r="64" spans="1:15" collapsed="1">
      <c r="B64" s="1060" t="s">
        <v>452</v>
      </c>
      <c r="C64" s="1061"/>
      <c r="D64" s="1061"/>
      <c r="E64" s="1061"/>
      <c r="F64" s="1061"/>
      <c r="G64" s="1061"/>
      <c r="H64" s="1061"/>
      <c r="I64" s="1061"/>
      <c r="J64" s="1061"/>
      <c r="K64" s="1061"/>
      <c r="L64" s="1061"/>
      <c r="O64" s="92"/>
    </row>
    <row r="65" spans="2:18">
      <c r="B65" s="1060"/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O65" s="92"/>
    </row>
    <row r="66" spans="2:18" ht="1.2" customHeight="1">
      <c r="B66" s="1064"/>
      <c r="C66" s="1065"/>
      <c r="D66" s="1065"/>
      <c r="E66" s="1065"/>
      <c r="F66" s="1065"/>
      <c r="G66" s="1065"/>
      <c r="H66" s="1065"/>
      <c r="I66" s="1065"/>
      <c r="J66" s="1065"/>
      <c r="K66" s="1065"/>
      <c r="L66" s="1065"/>
      <c r="O66" s="92"/>
    </row>
    <row r="67" spans="2:18" ht="1.2" customHeight="1">
      <c r="B67" s="1062"/>
      <c r="C67" s="1063"/>
      <c r="D67" s="1063"/>
      <c r="E67" s="1063"/>
      <c r="F67" s="1063"/>
      <c r="G67" s="1063"/>
      <c r="H67" s="1063"/>
      <c r="I67" s="1063"/>
      <c r="J67" s="1063"/>
      <c r="K67" s="1063"/>
      <c r="L67" s="1063"/>
      <c r="M67" s="140"/>
      <c r="N67" s="140"/>
      <c r="O67" s="109"/>
    </row>
    <row r="68" spans="2:18" ht="2.1" customHeight="1">
      <c r="F68" s="130"/>
      <c r="G68" s="130"/>
      <c r="L68" s="130"/>
      <c r="O68" s="249"/>
    </row>
    <row r="69" spans="2:18" ht="12.6" customHeight="1">
      <c r="J69" s="153"/>
      <c r="O69" s="249"/>
      <c r="R69" s="249"/>
    </row>
    <row r="70" spans="2:18" ht="12.6" customHeight="1">
      <c r="D70" s="81" t="s">
        <v>454</v>
      </c>
      <c r="E70" s="130">
        <f>+E58-E56</f>
        <v>0.17391000000000001</v>
      </c>
      <c r="J70" s="81" t="s">
        <v>454</v>
      </c>
      <c r="K70" s="130">
        <f>+K58-K56</f>
        <v>0.19234000000000001</v>
      </c>
      <c r="O70" s="249"/>
      <c r="R70" s="249"/>
    </row>
    <row r="71" spans="2:18" ht="12.6" customHeight="1">
      <c r="J71" s="153"/>
    </row>
    <row r="72" spans="2:18">
      <c r="I72" s="184"/>
    </row>
  </sheetData>
  <mergeCells count="5">
    <mergeCell ref="B3:O3"/>
    <mergeCell ref="B4:O4"/>
    <mergeCell ref="B5:O5"/>
    <mergeCell ref="B64:L65"/>
    <mergeCell ref="B66:L67"/>
  </mergeCells>
  <printOptions horizontalCentered="1"/>
  <pageMargins left="0.5" right="0.5" top="0.75" bottom="0.25" header="0.5" footer="0.5"/>
  <pageSetup paperSize="9" orientation="portrait" blackAndWhite="1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FE48-8FFF-4094-988D-331106D6D0D7}">
  <sheetPr codeName="Sheet31">
    <tabColor theme="8"/>
  </sheetPr>
  <dimension ref="A1"/>
  <sheetViews>
    <sheetView workbookViewId="0"/>
  </sheetViews>
  <sheetFormatPr defaultRowHeight="13.8"/>
  <sheetData>
    <row r="1" spans="1:1">
      <c r="A1" t="s">
        <v>409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0E30-B8CC-4C89-820F-117B4A04DD03}">
  <sheetPr codeName="Sheet19">
    <tabColor rgb="FFFFFF00"/>
  </sheetPr>
  <dimension ref="A1:T122"/>
  <sheetViews>
    <sheetView workbookViewId="0"/>
  </sheetViews>
  <sheetFormatPr defaultColWidth="9.109375" defaultRowHeight="14.4" outlineLevelRow="1"/>
  <cols>
    <col min="1" max="1" width="5.44140625" style="44" customWidth="1"/>
    <col min="2" max="2" width="33.109375" style="44" customWidth="1"/>
    <col min="3" max="3" width="15.109375" style="44" customWidth="1"/>
    <col min="4" max="4" width="13.77734375" style="44" customWidth="1"/>
    <col min="5" max="5" width="14.5546875" style="44" customWidth="1"/>
    <col min="6" max="6" width="1.77734375" style="44" customWidth="1"/>
    <col min="7" max="7" width="13.21875" style="44" bestFit="1" customWidth="1"/>
    <col min="8" max="8" width="15.21875" style="44" bestFit="1" customWidth="1"/>
    <col min="9" max="9" width="1.77734375" style="44" customWidth="1"/>
    <col min="10" max="10" width="11.5546875" style="44" bestFit="1" customWidth="1"/>
    <col min="11" max="11" width="13.44140625" style="44" bestFit="1" customWidth="1"/>
    <col min="12" max="12" width="1.77734375" style="44" customWidth="1"/>
    <col min="13" max="13" width="11.5546875" style="44" bestFit="1" customWidth="1"/>
    <col min="14" max="14" width="13.44140625" style="44" bestFit="1" customWidth="1"/>
    <col min="15" max="15" width="1.77734375" style="44" customWidth="1"/>
    <col min="16" max="16" width="14.5546875" style="38" customWidth="1"/>
    <col min="17" max="17" width="13.109375" style="38" bestFit="1" customWidth="1"/>
    <col min="18" max="18" width="9.109375" style="38"/>
    <col min="19" max="19" width="14.5546875" style="44" bestFit="1" customWidth="1"/>
    <col min="20" max="16384" width="9.109375" style="44"/>
  </cols>
  <sheetData>
    <row r="1" spans="1:20">
      <c r="A1" s="30" t="s">
        <v>0</v>
      </c>
      <c r="B1" s="991"/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996"/>
      <c r="O1" s="996"/>
      <c r="P1" s="996"/>
      <c r="Q1" s="996"/>
      <c r="R1" s="996"/>
      <c r="S1" s="991"/>
      <c r="T1" s="991"/>
    </row>
    <row r="2" spans="1:20">
      <c r="A2" s="4" t="s">
        <v>52</v>
      </c>
      <c r="B2" s="991"/>
      <c r="C2" s="996"/>
      <c r="D2" s="996"/>
      <c r="E2" s="996"/>
      <c r="F2" s="996"/>
      <c r="G2" s="996"/>
      <c r="H2" s="996"/>
      <c r="I2" s="996"/>
      <c r="J2" s="996"/>
      <c r="K2" s="996"/>
      <c r="L2" s="996"/>
      <c r="M2" s="996"/>
      <c r="N2" s="996"/>
      <c r="O2" s="996"/>
      <c r="P2" s="996"/>
      <c r="Q2" s="996"/>
      <c r="R2" s="996"/>
      <c r="S2" s="991"/>
      <c r="T2" s="991"/>
    </row>
    <row r="3" spans="1:20">
      <c r="A3" s="36" t="s">
        <v>51</v>
      </c>
      <c r="B3" s="991"/>
      <c r="C3" s="996"/>
      <c r="D3" s="996"/>
      <c r="E3" s="996"/>
      <c r="F3" s="996"/>
      <c r="G3" s="996"/>
      <c r="H3" s="996"/>
      <c r="I3" s="996"/>
      <c r="J3" s="996"/>
      <c r="K3" s="996"/>
      <c r="L3" s="996"/>
      <c r="M3" s="996"/>
      <c r="N3" s="996"/>
      <c r="O3" s="996"/>
      <c r="P3" s="996"/>
      <c r="Q3" s="996"/>
      <c r="R3" s="996"/>
      <c r="S3" s="991"/>
      <c r="T3" s="991"/>
    </row>
    <row r="4" spans="1:20">
      <c r="A4" s="990" t="s">
        <v>369</v>
      </c>
      <c r="B4" s="988"/>
      <c r="C4" s="996"/>
      <c r="D4" s="996"/>
      <c r="E4" s="996"/>
      <c r="F4" s="996"/>
      <c r="G4" s="996"/>
      <c r="H4" s="996"/>
      <c r="I4" s="996"/>
      <c r="J4" s="996"/>
      <c r="K4" s="996"/>
      <c r="L4" s="996"/>
      <c r="M4" s="996"/>
      <c r="N4" s="996"/>
      <c r="O4" s="996"/>
      <c r="P4" s="996"/>
      <c r="Q4" s="996"/>
      <c r="R4" s="996"/>
      <c r="S4" s="991"/>
      <c r="T4" s="991"/>
    </row>
    <row r="5" spans="1:20">
      <c r="A5" s="997"/>
      <c r="B5" s="4"/>
      <c r="C5" s="997"/>
      <c r="D5" s="997"/>
      <c r="E5" s="997"/>
      <c r="F5" s="997"/>
      <c r="G5" s="997"/>
      <c r="H5" s="997"/>
      <c r="I5" s="997"/>
      <c r="J5" s="997"/>
      <c r="K5" s="997"/>
      <c r="L5" s="997"/>
      <c r="M5" s="997"/>
      <c r="N5" s="997"/>
      <c r="O5" s="997"/>
      <c r="P5" s="42"/>
      <c r="Q5" s="996"/>
      <c r="R5" s="996"/>
      <c r="S5" s="991"/>
      <c r="T5" s="991"/>
    </row>
    <row r="6" spans="1:20">
      <c r="A6" s="338" t="s">
        <v>505</v>
      </c>
      <c r="B6" s="338" t="s">
        <v>506</v>
      </c>
      <c r="C6" s="340" t="s">
        <v>507</v>
      </c>
      <c r="D6" s="340" t="s">
        <v>508</v>
      </c>
      <c r="E6" s="338" t="s">
        <v>509</v>
      </c>
      <c r="F6" s="27"/>
      <c r="G6" s="338" t="s">
        <v>510</v>
      </c>
      <c r="H6" s="338" t="s">
        <v>511</v>
      </c>
      <c r="I6" s="27"/>
      <c r="J6" s="338" t="s">
        <v>512</v>
      </c>
      <c r="K6" s="338" t="s">
        <v>513</v>
      </c>
      <c r="L6" s="20"/>
      <c r="M6" s="338" t="s">
        <v>514</v>
      </c>
      <c r="N6" s="338" t="s">
        <v>515</v>
      </c>
      <c r="O6" s="20"/>
      <c r="P6" s="338" t="s">
        <v>516</v>
      </c>
      <c r="Q6" s="338" t="s">
        <v>517</v>
      </c>
      <c r="R6" s="996"/>
      <c r="S6" s="991"/>
      <c r="T6" s="991"/>
    </row>
    <row r="7" spans="1:20" ht="48.6">
      <c r="A7" s="353" t="s">
        <v>3</v>
      </c>
      <c r="B7" s="353" t="s">
        <v>125</v>
      </c>
      <c r="C7" s="353" t="s">
        <v>518</v>
      </c>
      <c r="D7" s="353" t="s">
        <v>519</v>
      </c>
      <c r="E7" s="353" t="s">
        <v>520</v>
      </c>
      <c r="F7" s="353"/>
      <c r="G7" s="353" t="s">
        <v>126</v>
      </c>
      <c r="H7" s="353" t="s">
        <v>521</v>
      </c>
      <c r="I7" s="353"/>
      <c r="J7" s="353" t="s">
        <v>522</v>
      </c>
      <c r="K7" s="353" t="s">
        <v>523</v>
      </c>
      <c r="L7" s="353"/>
      <c r="M7" s="353" t="s">
        <v>524</v>
      </c>
      <c r="N7" s="353" t="s">
        <v>525</v>
      </c>
      <c r="O7" s="353"/>
      <c r="P7" s="353" t="s">
        <v>526</v>
      </c>
      <c r="Q7" s="353" t="s">
        <v>527</v>
      </c>
      <c r="R7" s="996"/>
      <c r="S7" s="991"/>
      <c r="T7" s="991"/>
    </row>
    <row r="8" spans="1:20" ht="16.2">
      <c r="A8" s="353"/>
      <c r="B8" s="353"/>
      <c r="C8" s="353"/>
      <c r="D8" s="353"/>
      <c r="E8" s="341" t="str">
        <f>C6&amp;" x "&amp;D6</f>
        <v>[C] x [D]</v>
      </c>
      <c r="F8" s="353"/>
      <c r="G8" s="341"/>
      <c r="H8" s="341" t="str">
        <f>"("&amp;G6&amp;"-"&amp;C6&amp;") x "&amp;$D6</f>
        <v>([F]-[C]) x [D]</v>
      </c>
      <c r="I8" s="353"/>
      <c r="J8" s="341"/>
      <c r="K8" s="341" t="str">
        <f>"("&amp;J6&amp;"-"&amp;D6&amp;") x "&amp;$G6</f>
        <v>([H]-[D]) x [F]</v>
      </c>
      <c r="L8" s="353"/>
      <c r="M8" s="353"/>
      <c r="N8" s="341" t="str">
        <f>"("&amp;M6&amp;"-"&amp;J6&amp;") x "&amp;$G6</f>
        <v>([J]-[H]) x [F]</v>
      </c>
      <c r="O8" s="353"/>
      <c r="P8" s="341" t="str">
        <f>H6&amp;" + "&amp;K6&amp;" + "&amp;N6</f>
        <v>[G] + [I] + [K]</v>
      </c>
      <c r="Q8" s="341" t="str">
        <f>E6&amp;" + "&amp;P6</f>
        <v>[E] + [L]</v>
      </c>
      <c r="R8" s="996"/>
      <c r="S8" s="991"/>
      <c r="T8" s="991"/>
    </row>
    <row r="9" spans="1:20">
      <c r="A9" s="992">
        <f>IF(AND(B9="",E9=""),"",MAX(A$7:A7)+1)</f>
        <v>1</v>
      </c>
      <c r="B9" s="27" t="s">
        <v>133</v>
      </c>
      <c r="C9" s="991"/>
      <c r="D9" s="991"/>
      <c r="E9" s="991"/>
      <c r="F9" s="991"/>
      <c r="G9" s="991"/>
      <c r="H9" s="991"/>
      <c r="I9" s="991"/>
      <c r="J9" s="991"/>
      <c r="K9" s="991"/>
      <c r="L9" s="991"/>
      <c r="M9" s="991"/>
      <c r="N9" s="991"/>
      <c r="O9" s="991"/>
      <c r="P9" s="996"/>
      <c r="Q9" s="996"/>
      <c r="R9" s="996"/>
      <c r="S9" s="991"/>
      <c r="T9" s="991"/>
    </row>
    <row r="10" spans="1:20">
      <c r="A10" s="992">
        <f>IF(AND(B10="",E10=""),"",MAX(A$7:A9)+1)</f>
        <v>2</v>
      </c>
      <c r="B10" s="998" t="s">
        <v>134</v>
      </c>
      <c r="C10" s="999">
        <f>SUMIFS(Rev_Billing_Det!$C$180:$C$186,Rev_Billing_Det!$A$180:$A$186,LEFT($B9,4))</f>
        <v>254959.89714285714</v>
      </c>
      <c r="D10" s="339">
        <f>INDEX('Rates and Eff Dates'!$C$9:$C$17,MATCH(LEFT($B9,4),'Rates and Eff Dates'!$A$9:$A$17,0))</f>
        <v>7</v>
      </c>
      <c r="E10" s="1000">
        <f>D10*C10</f>
        <v>1784719.28</v>
      </c>
      <c r="F10" s="991"/>
      <c r="G10" s="999">
        <f>C10</f>
        <v>254959.89714285714</v>
      </c>
      <c r="H10" s="1000">
        <f>ROUND((G10-C10)*D10,2)</f>
        <v>0</v>
      </c>
      <c r="I10" s="991"/>
      <c r="J10" s="339">
        <f>INDEX('Rates and Eff Dates'!$C$24:$C$32,MATCH(LEFT($B9,4),'Rates and Eff Dates'!$A$24:$A$32,0))</f>
        <v>7</v>
      </c>
      <c r="K10" s="1000">
        <f>(J10-D10)*$G10</f>
        <v>0</v>
      </c>
      <c r="L10" s="991"/>
      <c r="M10" s="339">
        <f>INDEX('Rates and Eff Dates'!$C$39:$C$47,MATCH(LEFT($B9,4),'Rates and Eff Dates'!$A$39:$A$47,0))</f>
        <v>7</v>
      </c>
      <c r="N10" s="1000">
        <f>(M10-J10)*$G10</f>
        <v>0</v>
      </c>
      <c r="O10" s="1001"/>
      <c r="P10" s="1002">
        <f>H10+K10+N10</f>
        <v>0</v>
      </c>
      <c r="Q10" s="1002">
        <f>E10+P10</f>
        <v>1784719.28</v>
      </c>
      <c r="R10" s="996"/>
      <c r="S10" s="45" t="s">
        <v>133</v>
      </c>
      <c r="T10" s="991"/>
    </row>
    <row r="11" spans="1:20" ht="16.2">
      <c r="A11" s="992">
        <f>IF(AND(B11="",E11=""),"",MAX(A$7:A10)+1)</f>
        <v>3</v>
      </c>
      <c r="B11" s="998" t="s">
        <v>135</v>
      </c>
      <c r="C11" s="999">
        <f>SUMIFS(Rev_Billing_Det!$E$180:$E$186,Rev_Billing_Det!$A$180:$A$186,LEFT($B9,4))</f>
        <v>137275588</v>
      </c>
      <c r="D11" s="350">
        <f>INDEX('Rates and Eff Dates'!$D$9:$D$17,MATCH(LEFT($B9,4),'Rates and Eff Dates'!$A$9:$A$17,0))</f>
        <v>7.7520000000000006E-2</v>
      </c>
      <c r="E11" s="46">
        <f>D11*C11</f>
        <v>10641603.58176</v>
      </c>
      <c r="F11" s="991"/>
      <c r="G11" s="999">
        <f>C11</f>
        <v>137275588</v>
      </c>
      <c r="H11" s="46">
        <f>ROUND((G11-C11)*D11,2)</f>
        <v>0</v>
      </c>
      <c r="I11" s="991"/>
      <c r="J11" s="350">
        <f>INDEX('Rates and Eff Dates'!$D$24:$D$32,MATCH(LEFT($B9,4),'Rates and Eff Dates'!$A$24:$A$32,0))</f>
        <v>7.9759999999999998E-2</v>
      </c>
      <c r="K11" s="46">
        <f>(J11-D11)*$G11</f>
        <v>307497.31711999892</v>
      </c>
      <c r="L11" s="991"/>
      <c r="M11" s="350">
        <f>INDEX('Rates and Eff Dates'!$D$39:$D$47,MATCH(LEFT($B9,4),'Rates and Eff Dates'!$A$39:$A$47,0))</f>
        <v>7.9030000000000003E-2</v>
      </c>
      <c r="N11" s="46">
        <f>(M11-J11)*$G11</f>
        <v>-100211.17923999926</v>
      </c>
      <c r="O11" s="1001"/>
      <c r="P11" s="43">
        <f>H11+K11+N11</f>
        <v>207286.13787999965</v>
      </c>
      <c r="Q11" s="43">
        <f>E11+P11</f>
        <v>10848889.71964</v>
      </c>
      <c r="R11" s="996"/>
      <c r="S11" s="45" t="s">
        <v>133</v>
      </c>
      <c r="T11" s="991"/>
    </row>
    <row r="12" spans="1:20">
      <c r="A12" s="992">
        <f>IF(AND(B12="",E12=""),"",MAX(A$7:A11)+1)</f>
        <v>4</v>
      </c>
      <c r="B12" s="991"/>
      <c r="C12" s="991"/>
      <c r="D12" s="350"/>
      <c r="E12" s="1003">
        <f>SUBTOTAL(9,E10:E11)</f>
        <v>12426322.86176</v>
      </c>
      <c r="F12" s="991"/>
      <c r="G12" s="991"/>
      <c r="H12" s="1003">
        <f>SUBTOTAL(9,H10:H11)</f>
        <v>0</v>
      </c>
      <c r="I12" s="991"/>
      <c r="J12" s="991"/>
      <c r="K12" s="1003">
        <f>SUBTOTAL(9,K10:K11)</f>
        <v>307497.31711999892</v>
      </c>
      <c r="L12" s="991"/>
      <c r="M12" s="350"/>
      <c r="N12" s="1003">
        <f>SUBTOTAL(9,N10:N11)</f>
        <v>-100211.17923999926</v>
      </c>
      <c r="O12" s="1003"/>
      <c r="P12" s="1003">
        <f>SUBTOTAL(9,P10:P11)</f>
        <v>207286.13787999965</v>
      </c>
      <c r="Q12" s="1003">
        <f>SUBTOTAL(9,Q10:Q11)</f>
        <v>12633608.999639999</v>
      </c>
      <c r="R12" s="996"/>
      <c r="S12" s="1001">
        <f>SUMPRODUCT(C10:C11,M10:M11)</f>
        <v>12633608.999639999</v>
      </c>
      <c r="T12" s="991" t="b">
        <f>Q12=S12</f>
        <v>1</v>
      </c>
    </row>
    <row r="13" spans="1:20">
      <c r="A13" s="992" t="str">
        <f>IF(AND(B13="",E13=""),"",MAX(A$7:A12)+1)</f>
        <v/>
      </c>
      <c r="B13" s="352"/>
      <c r="C13" s="991"/>
      <c r="D13" s="339"/>
      <c r="E13" s="1001"/>
      <c r="F13" s="991"/>
      <c r="G13" s="991"/>
      <c r="H13" s="1001"/>
      <c r="I13" s="991"/>
      <c r="J13" s="991"/>
      <c r="K13" s="1001"/>
      <c r="L13" s="991"/>
      <c r="M13" s="339"/>
      <c r="N13" s="1001"/>
      <c r="O13" s="1001"/>
      <c r="P13" s="1002"/>
      <c r="Q13" s="1004"/>
      <c r="R13" s="996"/>
      <c r="S13" s="1001"/>
      <c r="T13" s="991"/>
    </row>
    <row r="14" spans="1:20">
      <c r="A14" s="992">
        <f>IF(AND(B14="",E14=""),"",MAX(A$7:A13)+1)</f>
        <v>5</v>
      </c>
      <c r="B14" s="27" t="s">
        <v>137</v>
      </c>
      <c r="C14" s="991"/>
      <c r="D14" s="991"/>
      <c r="E14" s="991"/>
      <c r="F14" s="991"/>
      <c r="G14" s="991"/>
      <c r="H14" s="991"/>
      <c r="I14" s="991"/>
      <c r="J14" s="991"/>
      <c r="K14" s="991"/>
      <c r="L14" s="991"/>
      <c r="M14" s="991"/>
      <c r="N14" s="991"/>
      <c r="O14" s="991"/>
      <c r="P14" s="1002"/>
      <c r="Q14" s="1004"/>
      <c r="R14" s="996"/>
      <c r="S14" s="991"/>
      <c r="T14" s="991"/>
    </row>
    <row r="15" spans="1:20">
      <c r="A15" s="992">
        <f>IF(AND(B15="",E15=""),"",MAX(A$7:A14)+1)</f>
        <v>6</v>
      </c>
      <c r="B15" s="998" t="s">
        <v>134</v>
      </c>
      <c r="C15" s="999">
        <f>SUMIFS(Rev_Billing_Det!$C$180:$C$186,Rev_Billing_Det!$A$180:$A$186,LEFT($B14,4))</f>
        <v>61437.474285714277</v>
      </c>
      <c r="D15" s="339">
        <f>INDEX('Rates and Eff Dates'!$C$9:$C$17,MATCH(LEFT($B14,4),'Rates and Eff Dates'!$A$9:$A$17,0))</f>
        <v>7</v>
      </c>
      <c r="E15" s="1000">
        <f>D15*C15</f>
        <v>430062.31999999995</v>
      </c>
      <c r="F15" s="991"/>
      <c r="G15" s="999">
        <f>C15</f>
        <v>61437.474285714277</v>
      </c>
      <c r="H15" s="1000">
        <f>ROUND((G15-C15)*D15,2)</f>
        <v>0</v>
      </c>
      <c r="I15" s="991"/>
      <c r="J15" s="339">
        <f>INDEX('Rates and Eff Dates'!$C$24:$C$32,MATCH(LEFT($B14,4),'Rates and Eff Dates'!$A$24:$A$32,0))</f>
        <v>7</v>
      </c>
      <c r="K15" s="1000">
        <f>(J15-D15)*$G15</f>
        <v>0</v>
      </c>
      <c r="L15" s="991"/>
      <c r="M15" s="339">
        <f>INDEX('Rates and Eff Dates'!$C$39:$C$47,MATCH(LEFT($B14,4),'Rates and Eff Dates'!$A$39:$A$47,0))</f>
        <v>7</v>
      </c>
      <c r="N15" s="1000">
        <f>(M15-J15)*$G15</f>
        <v>0</v>
      </c>
      <c r="O15" s="1001"/>
      <c r="P15" s="1002">
        <f>H15+K15+N15</f>
        <v>0</v>
      </c>
      <c r="Q15" s="1002">
        <f>E15+P15</f>
        <v>430062.31999999995</v>
      </c>
      <c r="R15" s="996"/>
      <c r="S15" s="45" t="s">
        <v>137</v>
      </c>
      <c r="T15" s="991"/>
    </row>
    <row r="16" spans="1:20" ht="16.2">
      <c r="A16" s="992">
        <f>IF(AND(B16="",E16=""),"",MAX(A$7:A15)+1)</f>
        <v>7</v>
      </c>
      <c r="B16" s="998" t="s">
        <v>135</v>
      </c>
      <c r="C16" s="999">
        <f>SUMIFS(Rev_Billing_Det!$E$180:$E$186,Rev_Billing_Det!$A$180:$A$186,LEFT($B14,4))</f>
        <v>35064508</v>
      </c>
      <c r="D16" s="350">
        <f>INDEX('Rates and Eff Dates'!$D$9:$D$17,MATCH(LEFT($B14,4),'Rates and Eff Dates'!$A$9:$A$17,0))</f>
        <v>7.7520000000000006E-2</v>
      </c>
      <c r="E16" s="46">
        <f>D16*C16</f>
        <v>2718200.66016</v>
      </c>
      <c r="F16" s="991"/>
      <c r="G16" s="999">
        <f>C16</f>
        <v>35064508</v>
      </c>
      <c r="H16" s="46">
        <f>ROUND((G16-C16)*D16,2)</f>
        <v>0</v>
      </c>
      <c r="I16" s="991"/>
      <c r="J16" s="350">
        <f>INDEX('Rates and Eff Dates'!$D$24:$D$32,MATCH(LEFT($B14,4),'Rates and Eff Dates'!$A$24:$A$32,0))</f>
        <v>7.9759999999999998E-2</v>
      </c>
      <c r="K16" s="46">
        <f>(J16-D16)*$G16</f>
        <v>78544.497919999718</v>
      </c>
      <c r="L16" s="991"/>
      <c r="M16" s="350">
        <f>INDEX('Rates and Eff Dates'!$D$39:$D$47,MATCH(LEFT($B14,4),'Rates and Eff Dates'!$A$39:$A$47,0))</f>
        <v>7.9030000000000003E-2</v>
      </c>
      <c r="N16" s="46">
        <f>(M16-J16)*$G16</f>
        <v>-25597.090839999808</v>
      </c>
      <c r="O16" s="1001"/>
      <c r="P16" s="43">
        <f>H16+K16+N16</f>
        <v>52947.40707999991</v>
      </c>
      <c r="Q16" s="43">
        <f>E16+P16</f>
        <v>2771148.0672399998</v>
      </c>
      <c r="R16" s="996"/>
      <c r="S16" s="45" t="s">
        <v>137</v>
      </c>
      <c r="T16" s="991"/>
    </row>
    <row r="17" spans="1:20">
      <c r="A17" s="992">
        <f>IF(AND(B17="",E17=""),"",MAX(A$7:A16)+1)</f>
        <v>8</v>
      </c>
      <c r="B17" s="991"/>
      <c r="C17" s="991"/>
      <c r="D17" s="350"/>
      <c r="E17" s="1003">
        <f>SUBTOTAL(9,E15:E16)</f>
        <v>3148262.9801599998</v>
      </c>
      <c r="F17" s="991"/>
      <c r="G17" s="991"/>
      <c r="H17" s="1003">
        <f>SUBTOTAL(9,H15:H16)</f>
        <v>0</v>
      </c>
      <c r="I17" s="991"/>
      <c r="J17" s="991"/>
      <c r="K17" s="1003">
        <f>SUBTOTAL(9,K15:K16)</f>
        <v>78544.497919999718</v>
      </c>
      <c r="L17" s="991"/>
      <c r="M17" s="350"/>
      <c r="N17" s="1003">
        <f>SUBTOTAL(9,N15:N16)</f>
        <v>-25597.090839999808</v>
      </c>
      <c r="O17" s="1003"/>
      <c r="P17" s="1003">
        <f>SUBTOTAL(9,P15:P16)</f>
        <v>52947.40707999991</v>
      </c>
      <c r="Q17" s="1003">
        <f>SUBTOTAL(9,Q15:Q16)</f>
        <v>3201210.3872399996</v>
      </c>
      <c r="R17" s="996"/>
      <c r="S17" s="1001">
        <f>SUMPRODUCT(C15:C16,M15:M16)</f>
        <v>3201210.3872400001</v>
      </c>
      <c r="T17" s="991" t="b">
        <f>Q17=S17</f>
        <v>1</v>
      </c>
    </row>
    <row r="18" spans="1:20">
      <c r="A18" s="992" t="str">
        <f>IF(AND(B18="",E18=""),"",MAX(A$7:A17)+1)</f>
        <v/>
      </c>
      <c r="B18" s="991"/>
      <c r="C18" s="991"/>
      <c r="D18" s="339"/>
      <c r="E18" s="1001"/>
      <c r="F18" s="991"/>
      <c r="G18" s="991"/>
      <c r="H18" s="1001"/>
      <c r="I18" s="991"/>
      <c r="J18" s="991"/>
      <c r="K18" s="1001"/>
      <c r="L18" s="991"/>
      <c r="M18" s="339"/>
      <c r="N18" s="1001"/>
      <c r="O18" s="1001"/>
      <c r="P18" s="1002"/>
      <c r="Q18" s="1004"/>
      <c r="R18" s="996"/>
      <c r="S18" s="1001"/>
      <c r="T18" s="991"/>
    </row>
    <row r="19" spans="1:20">
      <c r="A19" s="992">
        <f>IF(AND(B19="",E19=""),"",MAX(A$7:A18)+1)</f>
        <v>9</v>
      </c>
      <c r="B19" s="27" t="s">
        <v>143</v>
      </c>
      <c r="C19" s="991"/>
      <c r="D19" s="991"/>
      <c r="E19" s="1003"/>
      <c r="F19" s="991"/>
      <c r="G19" s="991"/>
      <c r="H19" s="1003"/>
      <c r="I19" s="991"/>
      <c r="J19" s="991"/>
      <c r="K19" s="1003"/>
      <c r="L19" s="991"/>
      <c r="M19" s="991"/>
      <c r="N19" s="1003"/>
      <c r="O19" s="1003"/>
      <c r="P19" s="1003"/>
      <c r="Q19" s="1003"/>
      <c r="R19" s="1003"/>
      <c r="S19" s="1003"/>
      <c r="T19" s="991"/>
    </row>
    <row r="20" spans="1:20">
      <c r="A20" s="992">
        <f>IF(AND(B20="",E20=""),"",MAX(A$7:A19)+1)</f>
        <v>10</v>
      </c>
      <c r="B20" s="998" t="s">
        <v>134</v>
      </c>
      <c r="C20" s="999">
        <f>SUMIFS(Rev_Billing_Det!$C$180:$C$186,Rev_Billing_Det!$A$180:$A$186,LEFT($B19,4))</f>
        <v>30492.186000000002</v>
      </c>
      <c r="D20" s="339">
        <f>INDEX('Rates and Eff Dates'!$C$9:$C$17,MATCH(LEFT($B19,4),'Rates and Eff Dates'!$A$9:$A$17,0))</f>
        <v>10</v>
      </c>
      <c r="E20" s="1000">
        <f>D20*C20</f>
        <v>304921.86</v>
      </c>
      <c r="F20" s="991"/>
      <c r="G20" s="999">
        <f>C20</f>
        <v>30492.186000000002</v>
      </c>
      <c r="H20" s="1000">
        <f>ROUND((G20-C20)*D20,2)</f>
        <v>0</v>
      </c>
      <c r="I20" s="991"/>
      <c r="J20" s="339">
        <f>INDEX('Rates and Eff Dates'!$C$24:$C$32,MATCH(LEFT($B19,4),'Rates and Eff Dates'!$A$24:$A$32,0))</f>
        <v>10</v>
      </c>
      <c r="K20" s="1000">
        <f>(J20-D20)*$G20</f>
        <v>0</v>
      </c>
      <c r="L20" s="991"/>
      <c r="M20" s="339">
        <f>INDEX('Rates and Eff Dates'!$C$39:$C$47,MATCH(LEFT($B19,4),'Rates and Eff Dates'!$A$39:$A$47,0))</f>
        <v>10</v>
      </c>
      <c r="N20" s="1000">
        <f>(M20-J20)*$G20</f>
        <v>0</v>
      </c>
      <c r="O20" s="1001"/>
      <c r="P20" s="1002">
        <f>H20+K20+N20</f>
        <v>0</v>
      </c>
      <c r="Q20" s="1002">
        <f>E20+P20</f>
        <v>304921.86</v>
      </c>
      <c r="R20" s="1001"/>
      <c r="S20" s="45" t="s">
        <v>143</v>
      </c>
      <c r="T20" s="991"/>
    </row>
    <row r="21" spans="1:20" ht="16.2">
      <c r="A21" s="992">
        <f>IF(AND(B21="",E21=""),"",MAX(A$7:A20)+1)</f>
        <v>11</v>
      </c>
      <c r="B21" s="998" t="s">
        <v>135</v>
      </c>
      <c r="C21" s="999">
        <f>SUMIFS(Rev_Billing_Det!$E$180:$E$186,Rev_Billing_Det!$A$180:$A$186,LEFT($B19,4))</f>
        <v>5912347</v>
      </c>
      <c r="D21" s="350">
        <f>INDEX('Rates and Eff Dates'!$D$9:$D$17,MATCH(LEFT($B19,4),'Rates and Eff Dates'!$A$9:$A$17,0))</f>
        <v>7.7009999999999995E-2</v>
      </c>
      <c r="E21" s="46">
        <f>D21*C21</f>
        <v>455309.84246999997</v>
      </c>
      <c r="F21" s="991"/>
      <c r="G21" s="999">
        <f>C21</f>
        <v>5912347</v>
      </c>
      <c r="H21" s="46">
        <f>ROUND((G21-C21)*D21,2)</f>
        <v>0</v>
      </c>
      <c r="I21" s="991"/>
      <c r="J21" s="350">
        <f>INDEX('Rates and Eff Dates'!$D$24:$D$32,MATCH(LEFT($B19,4),'Rates and Eff Dates'!$A$24:$A$32,0))</f>
        <v>7.9229999999999995E-2</v>
      </c>
      <c r="K21" s="46">
        <f>(J21-D21)*$G21</f>
        <v>13125.410339999999</v>
      </c>
      <c r="L21" s="991"/>
      <c r="M21" s="350">
        <f>INDEX('Rates and Eff Dates'!$D$39:$D$47,MATCH(LEFT($B19,4),'Rates and Eff Dates'!$A$39:$A$47,0))</f>
        <v>7.85E-2</v>
      </c>
      <c r="N21" s="46">
        <f>(M21-J21)*$G21</f>
        <v>-4316.0133099999675</v>
      </c>
      <c r="O21" s="1001"/>
      <c r="P21" s="43">
        <f>H21+K21+N21</f>
        <v>8809.397030000031</v>
      </c>
      <c r="Q21" s="43">
        <f>E21+P21</f>
        <v>464119.23950000003</v>
      </c>
      <c r="R21" s="1001"/>
      <c r="S21" s="45" t="s">
        <v>143</v>
      </c>
      <c r="T21" s="991"/>
    </row>
    <row r="22" spans="1:20">
      <c r="A22" s="992">
        <f>IF(AND(B22="",E22=""),"",MAX(A$7:A21)+1)</f>
        <v>12</v>
      </c>
      <c r="B22" s="991"/>
      <c r="C22" s="991"/>
      <c r="D22" s="350"/>
      <c r="E22" s="1005">
        <f>SUBTOTAL(9,E20,E21)</f>
        <v>760231.7024699999</v>
      </c>
      <c r="F22" s="991"/>
      <c r="G22" s="991"/>
      <c r="H22" s="1005">
        <f>SUBTOTAL(9,H20,H21)</f>
        <v>0</v>
      </c>
      <c r="I22" s="991"/>
      <c r="J22" s="991"/>
      <c r="K22" s="1005">
        <f>SUBTOTAL(9,K20:K21)</f>
        <v>13125.410339999999</v>
      </c>
      <c r="L22" s="991"/>
      <c r="M22" s="350"/>
      <c r="N22" s="1005">
        <f>SUBTOTAL(9,N20:N21)</f>
        <v>-4316.0133099999675</v>
      </c>
      <c r="O22" s="1003"/>
      <c r="P22" s="1003">
        <f>SUBTOTAL(9,P20:P21)</f>
        <v>8809.397030000031</v>
      </c>
      <c r="Q22" s="1003">
        <f>SUBTOTAL(9,Q20:Q21)</f>
        <v>769041.09950000001</v>
      </c>
      <c r="R22" s="1003"/>
      <c r="S22" s="1001">
        <f>SUMPRODUCT(C20:C21,M20:M21)</f>
        <v>769041.09950000001</v>
      </c>
      <c r="T22" s="991" t="b">
        <f>Q22=S22</f>
        <v>1</v>
      </c>
    </row>
    <row r="23" spans="1:20">
      <c r="A23" s="992" t="str">
        <f>IF(AND(B23="",E23=""),"",MAX(A$7:A22)+1)</f>
        <v/>
      </c>
      <c r="B23" s="996"/>
      <c r="C23" s="1006"/>
      <c r="D23" s="1007"/>
      <c r="E23" s="991"/>
      <c r="F23" s="991"/>
      <c r="G23" s="991"/>
      <c r="H23" s="991"/>
      <c r="I23" s="991"/>
      <c r="J23" s="991"/>
      <c r="K23" s="991"/>
      <c r="L23" s="991"/>
      <c r="M23" s="991"/>
      <c r="N23" s="991"/>
      <c r="O23" s="1003"/>
      <c r="P23" s="1003"/>
      <c r="Q23" s="1003"/>
      <c r="R23" s="1008"/>
      <c r="S23" s="1008"/>
      <c r="T23" s="991"/>
    </row>
    <row r="24" spans="1:20">
      <c r="A24" s="992">
        <f>IF(AND(B24="",E24=""),"",MAX(A$7:A23)+1)</f>
        <v>13</v>
      </c>
      <c r="B24" s="27" t="s">
        <v>144</v>
      </c>
      <c r="C24" s="991"/>
      <c r="D24" s="991"/>
      <c r="E24" s="1003"/>
      <c r="F24" s="991"/>
      <c r="G24" s="991"/>
      <c r="H24" s="1003"/>
      <c r="I24" s="991"/>
      <c r="J24" s="991"/>
      <c r="K24" s="1003"/>
      <c r="L24" s="991"/>
      <c r="M24" s="991"/>
      <c r="N24" s="1003"/>
      <c r="O24" s="1003"/>
      <c r="P24" s="1003"/>
      <c r="Q24" s="1003"/>
      <c r="R24" s="1003"/>
      <c r="S24" s="1003"/>
      <c r="T24" s="991"/>
    </row>
    <row r="25" spans="1:20">
      <c r="A25" s="992">
        <f>IF(AND(B25="",E25=""),"",MAX(A$7:A24)+1)</f>
        <v>14</v>
      </c>
      <c r="B25" s="998" t="s">
        <v>134</v>
      </c>
      <c r="C25" s="999">
        <f>SUMIFS(Rev_Billing_Det!$C$180:$C$186,Rev_Billing_Det!$A$180:$A$186,LEFT($B24,4))</f>
        <v>18164.620999999999</v>
      </c>
      <c r="D25" s="339">
        <f>INDEX('Rates and Eff Dates'!$C$9:$C$17,MATCH(LEFT($B24,4),'Rates and Eff Dates'!$A$9:$A$17,0))</f>
        <v>10</v>
      </c>
      <c r="E25" s="1000">
        <f>C25*D25</f>
        <v>181646.21</v>
      </c>
      <c r="F25" s="991"/>
      <c r="G25" s="999">
        <f>C25</f>
        <v>18164.620999999999</v>
      </c>
      <c r="H25" s="1000">
        <f>ROUND((G25-C25)*D25,2)</f>
        <v>0</v>
      </c>
      <c r="I25" s="991"/>
      <c r="J25" s="339">
        <f>INDEX('Rates and Eff Dates'!$C$24:$C$32,MATCH(LEFT($B24,4),'Rates and Eff Dates'!$A$24:$A$32,0))</f>
        <v>10</v>
      </c>
      <c r="K25" s="1000">
        <f>(J25-D25)*$G25</f>
        <v>0</v>
      </c>
      <c r="L25" s="991"/>
      <c r="M25" s="339">
        <f>INDEX('Rates and Eff Dates'!$C$39:$C$47,MATCH(LEFT($B24,4),'Rates and Eff Dates'!$A$39:$A$47,0))</f>
        <v>10</v>
      </c>
      <c r="N25" s="1000">
        <f>(M25-J25)*$G25</f>
        <v>0</v>
      </c>
      <c r="O25" s="1001"/>
      <c r="P25" s="1002">
        <f>H25+K25+N25</f>
        <v>0</v>
      </c>
      <c r="Q25" s="1002">
        <f>E25+P25</f>
        <v>181646.21</v>
      </c>
      <c r="R25" s="1001"/>
      <c r="S25" s="45" t="s">
        <v>144</v>
      </c>
      <c r="T25" s="991"/>
    </row>
    <row r="26" spans="1:20">
      <c r="A26" s="992">
        <f>IF(AND(B26="",E26=""),"",MAX(A$7:A25)+1)</f>
        <v>15</v>
      </c>
      <c r="B26" s="998" t="s">
        <v>135</v>
      </c>
      <c r="C26" s="999">
        <f>SUMIFS(Rev_Billing_Det!$E$180:$E$186,Rev_Billing_Det!$A$180:$A$186,LEFT($B24,4))</f>
        <v>86826989</v>
      </c>
      <c r="D26" s="350">
        <f>INDEX('Rates and Eff Dates'!$D$9:$D$17,MATCH(LEFT($B24,4),'Rates and Eff Dates'!$A$9:$A$17,0))</f>
        <v>2.3259999999999999E-2</v>
      </c>
      <c r="E26" s="999">
        <f>C26*D26</f>
        <v>2019595.7641399999</v>
      </c>
      <c r="F26" s="991"/>
      <c r="G26" s="999">
        <f>C26</f>
        <v>86826989</v>
      </c>
      <c r="H26" s="999">
        <f>ROUND((G26-C26)*D26,2)</f>
        <v>0</v>
      </c>
      <c r="I26" s="991"/>
      <c r="J26" s="350">
        <f>INDEX('Rates and Eff Dates'!$D$24:$D$32,MATCH(LEFT($B24,4),'Rates and Eff Dates'!$A$24:$A$32,0))</f>
        <v>2.3959999999999999E-2</v>
      </c>
      <c r="K26" s="999">
        <f>(J26-D26)*$G26</f>
        <v>60778.892299999934</v>
      </c>
      <c r="L26" s="991"/>
      <c r="M26" s="350">
        <f>INDEX('Rates and Eff Dates'!$D$39:$D$47,MATCH(LEFT($B24,4),'Rates and Eff Dates'!$A$39:$A$47,0))</f>
        <v>2.3769999999999999E-2</v>
      </c>
      <c r="N26" s="999">
        <f>(M26-J26)*$G26</f>
        <v>-16497.12790999993</v>
      </c>
      <c r="O26" s="1001"/>
      <c r="P26" s="1009">
        <f>H26+K26+N26</f>
        <v>44281.764390000004</v>
      </c>
      <c r="Q26" s="1009">
        <f>E26+P26</f>
        <v>2063877.5285299998</v>
      </c>
      <c r="R26" s="1001"/>
      <c r="S26" s="45" t="s">
        <v>144</v>
      </c>
      <c r="T26" s="991"/>
    </row>
    <row r="27" spans="1:20">
      <c r="A27" s="992">
        <f>IF(AND(B27="",E27=""),"",MAX(A$7:A26)+1)</f>
        <v>16</v>
      </c>
      <c r="B27" s="1010" t="s">
        <v>145</v>
      </c>
      <c r="C27" s="999">
        <f>SUMIFS(Rev_Billing_Det!$M$180:$M$186,Rev_Billing_Det!$A$180:$A$186,LEFT($B24,4))</f>
        <v>323618.5</v>
      </c>
      <c r="D27" s="339">
        <f>INDEX('Rates and Eff Dates'!$F$9:$F$17,MATCH(LEFT($B24,4),'Rates and Eff Dates'!$A$9:$A$17,0))</f>
        <v>9.64</v>
      </c>
      <c r="E27" s="999">
        <f>C27*D27</f>
        <v>3119682.3400000003</v>
      </c>
      <c r="F27" s="991"/>
      <c r="G27" s="999">
        <f>C27</f>
        <v>323618.5</v>
      </c>
      <c r="H27" s="999">
        <f>ROUND((G27-C27)*D27,2)</f>
        <v>0</v>
      </c>
      <c r="I27" s="991"/>
      <c r="J27" s="339">
        <f>INDEX('Rates and Eff Dates'!$F$24:$F$32,MATCH(LEFT($B24,4),'Rates and Eff Dates'!$A$24:$A$32,0))</f>
        <v>9.91</v>
      </c>
      <c r="K27" s="999">
        <f>(J27-D27)*$G27</f>
        <v>87376.994999999864</v>
      </c>
      <c r="L27" s="991"/>
      <c r="M27" s="339">
        <f>INDEX('Rates and Eff Dates'!$F$39:$F$47,MATCH(LEFT($B24,4),'Rates and Eff Dates'!$A$39:$A$47,0))</f>
        <v>9.81</v>
      </c>
      <c r="N27" s="999">
        <f>(M27-J27)*$G27</f>
        <v>-32361.849999999886</v>
      </c>
      <c r="O27" s="1001"/>
      <c r="P27" s="1009">
        <f>H27+K27+N27</f>
        <v>55015.144999999975</v>
      </c>
      <c r="Q27" s="1009">
        <f>E27+P27</f>
        <v>3174697.4850000003</v>
      </c>
      <c r="R27" s="1001"/>
      <c r="S27" s="45" t="s">
        <v>144</v>
      </c>
      <c r="T27" s="991"/>
    </row>
    <row r="28" spans="1:20" ht="16.2">
      <c r="A28" s="992">
        <f>IF(AND(B28="",E28=""),"",MAX(A$7:A27)+1)</f>
        <v>17</v>
      </c>
      <c r="B28" s="1010" t="s">
        <v>146</v>
      </c>
      <c r="C28" s="999">
        <f>E28/D28</f>
        <v>24209.105263157893</v>
      </c>
      <c r="D28" s="886">
        <v>-0.19</v>
      </c>
      <c r="E28" s="46">
        <f>Rev_Billing_Det!D208</f>
        <v>-4599.7299999999996</v>
      </c>
      <c r="F28" s="991"/>
      <c r="G28" s="999">
        <f>C28</f>
        <v>24209.105263157893</v>
      </c>
      <c r="H28" s="46">
        <f>ROUND((G28-C28)*D28,2)</f>
        <v>0</v>
      </c>
      <c r="I28" s="991"/>
      <c r="J28" s="339">
        <f>D28</f>
        <v>-0.19</v>
      </c>
      <c r="K28" s="46">
        <f>(J28-D28)*$G28</f>
        <v>0</v>
      </c>
      <c r="L28" s="991"/>
      <c r="M28" s="339">
        <f>D28</f>
        <v>-0.19</v>
      </c>
      <c r="N28" s="46">
        <f>(M28-J28)*$G28</f>
        <v>0</v>
      </c>
      <c r="O28" s="1003"/>
      <c r="P28" s="43">
        <f>H28+K28+N28</f>
        <v>0</v>
      </c>
      <c r="Q28" s="43">
        <f>E28+P28</f>
        <v>-4599.7299999999996</v>
      </c>
      <c r="R28" s="1001"/>
      <c r="S28" s="45"/>
      <c r="T28" s="991"/>
    </row>
    <row r="29" spans="1:20">
      <c r="A29" s="992">
        <f>IF(AND(B29="",E29=""),"",MAX(A$7:A28)+1)</f>
        <v>18</v>
      </c>
      <c r="B29" s="991"/>
      <c r="C29" s="991"/>
      <c r="D29" s="991"/>
      <c r="E29" s="1001">
        <f>SUBTOTAL(9,E25:E28)</f>
        <v>5316324.5841399999</v>
      </c>
      <c r="F29" s="991"/>
      <c r="G29" s="991"/>
      <c r="H29" s="1001">
        <f>SUBTOTAL(9,H25:H28)</f>
        <v>0</v>
      </c>
      <c r="I29" s="991"/>
      <c r="J29" s="991"/>
      <c r="K29" s="1003">
        <f>SUBTOTAL(9,K25:K28)</f>
        <v>148155.8872999998</v>
      </c>
      <c r="L29" s="991"/>
      <c r="M29" s="991"/>
      <c r="N29" s="1003">
        <f>SUBTOTAL(9,N25:N28)</f>
        <v>-48858.977909999812</v>
      </c>
      <c r="O29" s="1003"/>
      <c r="P29" s="1003">
        <f>SUBTOTAL(9,P25:P28)</f>
        <v>99296.909389999986</v>
      </c>
      <c r="Q29" s="1003">
        <f>SUBTOTAL(9,Q25:Q28)</f>
        <v>5415621.4935299996</v>
      </c>
      <c r="R29" s="991"/>
      <c r="S29" s="1001">
        <f>SUMPRODUCT(C24:C27,M24:M27)+Q28</f>
        <v>5415621.4935299996</v>
      </c>
      <c r="T29" s="991" t="b">
        <f>Q29=S29</f>
        <v>1</v>
      </c>
    </row>
    <row r="30" spans="1:20">
      <c r="A30" s="992" t="str">
        <f>IF(AND(B30="",E30=""),"",MAX(A$7:A29)+1)</f>
        <v/>
      </c>
      <c r="B30" s="991"/>
      <c r="C30" s="991"/>
      <c r="D30" s="991"/>
      <c r="E30" s="991"/>
      <c r="F30" s="991"/>
      <c r="G30" s="991"/>
      <c r="H30" s="991"/>
      <c r="I30" s="991"/>
      <c r="J30" s="991"/>
      <c r="K30" s="991"/>
      <c r="L30" s="991"/>
      <c r="M30" s="991"/>
      <c r="N30" s="991"/>
      <c r="O30" s="991"/>
      <c r="P30" s="991"/>
      <c r="Q30" s="991"/>
      <c r="R30" s="991"/>
      <c r="S30" s="991"/>
      <c r="T30" s="991"/>
    </row>
    <row r="31" spans="1:20">
      <c r="A31" s="992">
        <f>IF(AND(B31="",E31=""),"",MAX(A$7:A30)+1)</f>
        <v>19</v>
      </c>
      <c r="B31" s="27" t="s">
        <v>147</v>
      </c>
      <c r="C31" s="991"/>
      <c r="D31" s="991"/>
      <c r="E31" s="991"/>
      <c r="F31" s="991"/>
      <c r="G31" s="991"/>
      <c r="H31" s="991"/>
      <c r="I31" s="991"/>
      <c r="J31" s="991"/>
      <c r="K31" s="991"/>
      <c r="L31" s="991"/>
      <c r="M31" s="991"/>
      <c r="N31" s="991"/>
      <c r="O31" s="991"/>
      <c r="P31" s="991"/>
      <c r="Q31" s="991"/>
      <c r="R31" s="1001"/>
      <c r="S31" s="1001"/>
      <c r="T31" s="991"/>
    </row>
    <row r="32" spans="1:20">
      <c r="A32" s="992">
        <f>IF(AND(B32="",E32=""),"",MAX(A$7:A31)+1)</f>
        <v>20</v>
      </c>
      <c r="B32" s="998" t="s">
        <v>134</v>
      </c>
      <c r="C32" s="999">
        <f>SUMIFS(Rev_Billing_Det!$C$180:$C$186,Rev_Billing_Det!$A$180:$A$186,LEFT($B31,4))</f>
        <v>339</v>
      </c>
      <c r="D32" s="339">
        <f>INDEX('Rates and Eff Dates'!$C$9:$C$17,MATCH(LEFT($B31,4),'Rates and Eff Dates'!$A$9:$A$17,0))</f>
        <v>300</v>
      </c>
      <c r="E32" s="1000">
        <f>C32*D32</f>
        <v>101700</v>
      </c>
      <c r="F32" s="991"/>
      <c r="G32" s="999">
        <f>C32</f>
        <v>339</v>
      </c>
      <c r="H32" s="1000">
        <f>ROUND((G32-C32)*D32,2)</f>
        <v>0</v>
      </c>
      <c r="I32" s="991"/>
      <c r="J32" s="339">
        <f>INDEX('Rates and Eff Dates'!$C$24:$C$32,MATCH(LEFT($B31,4),'Rates and Eff Dates'!$A$24:$A$32,0))</f>
        <v>300</v>
      </c>
      <c r="K32" s="1000">
        <f>(J32-D32)*$G32</f>
        <v>0</v>
      </c>
      <c r="L32" s="991"/>
      <c r="M32" s="339">
        <f>INDEX('Rates and Eff Dates'!$C$39:$C$47,MATCH(LEFT($B31,4),'Rates and Eff Dates'!$A$39:$A$47,0))</f>
        <v>300</v>
      </c>
      <c r="N32" s="1000">
        <f>(M32-J32)*$G32</f>
        <v>0</v>
      </c>
      <c r="O32" s="1001"/>
      <c r="P32" s="1002">
        <f>H32+K32+N32</f>
        <v>0</v>
      </c>
      <c r="Q32" s="1002">
        <f>E32+P32</f>
        <v>101700</v>
      </c>
      <c r="R32" s="1001"/>
      <c r="S32" s="45" t="s">
        <v>147</v>
      </c>
      <c r="T32" s="991"/>
    </row>
    <row r="33" spans="1:20">
      <c r="A33" s="992">
        <f>IF(AND(B33="",E33=""),"",MAX(A$7:A32)+1)</f>
        <v>21</v>
      </c>
      <c r="B33" s="1010" t="s">
        <v>148</v>
      </c>
      <c r="C33" s="999">
        <f>SUMIFS(Rev_Billing_Det!$E$180:$E$186,Rev_Billing_Det!$A$180:$A$186,LEFT($B31,4))</f>
        <v>50297243</v>
      </c>
      <c r="D33" s="350">
        <f>INDEX('Rates and Eff Dates'!$D$9:$D$17,MATCH(LEFT($B31,4),'Rates and Eff Dates'!$A$9:$A$17,0))</f>
        <v>1.9089999999999999E-2</v>
      </c>
      <c r="E33" s="999">
        <f>C33*D33</f>
        <v>960174.36887000001</v>
      </c>
      <c r="F33" s="991"/>
      <c r="G33" s="999">
        <f>C33</f>
        <v>50297243</v>
      </c>
      <c r="H33" s="999">
        <f>ROUND((G33-C33)*D33,2)</f>
        <v>0</v>
      </c>
      <c r="I33" s="991"/>
      <c r="J33" s="350">
        <f>INDEX('Rates and Eff Dates'!$D$24:$D$32,MATCH(LEFT($B31,4),'Rates and Eff Dates'!$A$24:$A$32,0))</f>
        <v>1.968E-2</v>
      </c>
      <c r="K33" s="999">
        <f>(J33-D33)*$G33</f>
        <v>29675.373370000012</v>
      </c>
      <c r="L33" s="991"/>
      <c r="M33" s="350">
        <f>INDEX('Rates and Eff Dates'!$D$39:$D$47,MATCH(LEFT($B31,4),'Rates and Eff Dates'!$A$39:$A$47,0))</f>
        <v>1.9519999999999999E-2</v>
      </c>
      <c r="N33" s="999">
        <f>(M33-J33)*$G33</f>
        <v>-8047.5588800000214</v>
      </c>
      <c r="O33" s="1001"/>
      <c r="P33" s="1009">
        <f>H33+K33+N33</f>
        <v>21627.81448999999</v>
      </c>
      <c r="Q33" s="1009">
        <f>E33+P33</f>
        <v>981802.18336000002</v>
      </c>
      <c r="R33" s="1001"/>
      <c r="S33" s="45" t="s">
        <v>147</v>
      </c>
      <c r="T33" s="991"/>
    </row>
    <row r="34" spans="1:20">
      <c r="A34" s="992">
        <f>IF(AND(B34="",E34=""),"",MAX(A$7:A33)+1)</f>
        <v>22</v>
      </c>
      <c r="B34" s="1010" t="s">
        <v>149</v>
      </c>
      <c r="C34" s="999">
        <f>SUMIFS(Rev_Billing_Det!$F$180:$F$186,Rev_Billing_Det!$A$180:$A$186,LEFT($B31,4))</f>
        <v>77729812</v>
      </c>
      <c r="D34" s="350">
        <f>INDEX('Rates and Eff Dates'!$E$9:$E$17,MATCH(LEFT($B31,4),'Rates and Eff Dates'!$A$9:$A$17,0))</f>
        <v>4.2599999999999999E-3</v>
      </c>
      <c r="E34" s="999">
        <f>C34*D34</f>
        <v>331128.99911999999</v>
      </c>
      <c r="F34" s="991"/>
      <c r="G34" s="999">
        <f>C34</f>
        <v>77729812</v>
      </c>
      <c r="H34" s="999">
        <f>ROUND((G34-C34)*D34,2)</f>
        <v>0</v>
      </c>
      <c r="I34" s="991"/>
      <c r="J34" s="350">
        <f>INDEX('Rates and Eff Dates'!$E$24:$E$32,MATCH(LEFT($B31,4),'Rates and Eff Dates'!$A$24:$A$32,0))</f>
        <v>4.3899999999999998E-3</v>
      </c>
      <c r="K34" s="999">
        <f>(J34-D34)*$G34</f>
        <v>10104.875559999993</v>
      </c>
      <c r="L34" s="991"/>
      <c r="M34" s="350">
        <f>INDEX('Rates and Eff Dates'!$E$39:$E$47,MATCH(LEFT($B31,4),'Rates and Eff Dates'!$A$39:$A$47,0))</f>
        <v>4.3499999999999997E-3</v>
      </c>
      <c r="N34" s="999">
        <f>(M34-J34)*$G34</f>
        <v>-3109.1924800000083</v>
      </c>
      <c r="O34" s="991"/>
      <c r="P34" s="1009">
        <f>H34+K34+N34</f>
        <v>6995.6830799999843</v>
      </c>
      <c r="Q34" s="1009">
        <f>E34+P34</f>
        <v>338124.68219999998</v>
      </c>
      <c r="R34" s="1001"/>
      <c r="S34" s="45" t="s">
        <v>147</v>
      </c>
      <c r="T34" s="991"/>
    </row>
    <row r="35" spans="1:20" ht="16.2">
      <c r="A35" s="992">
        <f>IF(AND(B35="",E35=""),"",MAX(A$7:A34)+1)</f>
        <v>23</v>
      </c>
      <c r="B35" s="1010" t="s">
        <v>145</v>
      </c>
      <c r="C35" s="999">
        <f>SUMIFS(Rev_Billing_Det!$M$180:$M$186,Rev_Billing_Det!$A$180:$A$186,LEFT($B31,4))</f>
        <v>296936</v>
      </c>
      <c r="D35" s="339">
        <f>INDEX('Rates and Eff Dates'!$F$9:$F$17,MATCH(LEFT($B31,4),'Rates and Eff Dates'!$A$9:$A$17,0))</f>
        <v>7.93</v>
      </c>
      <c r="E35" s="46">
        <f>C35*D35</f>
        <v>2354702.48</v>
      </c>
      <c r="F35" s="991"/>
      <c r="G35" s="999">
        <f>C35</f>
        <v>296936</v>
      </c>
      <c r="H35" s="46">
        <f>ROUND((G35-C35)*D35,2)</f>
        <v>0</v>
      </c>
      <c r="I35" s="991"/>
      <c r="J35" s="339">
        <f>INDEX('Rates and Eff Dates'!$F$24:$F$32,MATCH(LEFT($B31,4),'Rates and Eff Dates'!$A$24:$A$32,0))</f>
        <v>8.15</v>
      </c>
      <c r="K35" s="46">
        <f>(J35-D35)*$G35</f>
        <v>65325.920000000187</v>
      </c>
      <c r="L35" s="991"/>
      <c r="M35" s="339">
        <f>INDEX('Rates and Eff Dates'!$F$39:$F$47,MATCH(LEFT($B31,4),'Rates and Eff Dates'!$A$39:$A$47,0))</f>
        <v>8.07</v>
      </c>
      <c r="N35" s="46">
        <f>(M35-J35)*$G35</f>
        <v>-23754.880000000023</v>
      </c>
      <c r="O35" s="991"/>
      <c r="P35" s="43">
        <f>H35+K35+N35</f>
        <v>41571.040000000168</v>
      </c>
      <c r="Q35" s="43">
        <f>E35+P35</f>
        <v>2396273.52</v>
      </c>
      <c r="R35" s="1001"/>
      <c r="S35" s="45" t="s">
        <v>147</v>
      </c>
      <c r="T35" s="991"/>
    </row>
    <row r="36" spans="1:20">
      <c r="A36" s="992">
        <f>IF(AND(B36="",E36=""),"",MAX(A$7:A35)+1)</f>
        <v>24</v>
      </c>
      <c r="B36" s="1011"/>
      <c r="C36" s="1012"/>
      <c r="D36" s="29"/>
      <c r="E36" s="1001">
        <f>SUBTOTAL(9,E32:E35)</f>
        <v>3747705.8479899997</v>
      </c>
      <c r="F36" s="991"/>
      <c r="G36" s="991"/>
      <c r="H36" s="1001">
        <f>SUBTOTAL(9,H32:H35)</f>
        <v>0</v>
      </c>
      <c r="I36" s="991"/>
      <c r="J36" s="991"/>
      <c r="K36" s="1003">
        <f>SUBTOTAL(9,K32:K35)</f>
        <v>105106.16893000019</v>
      </c>
      <c r="L36" s="991"/>
      <c r="M36" s="991"/>
      <c r="N36" s="1003">
        <f>SUBTOTAL(9,N32:N35)</f>
        <v>-34911.63136000005</v>
      </c>
      <c r="O36" s="1003"/>
      <c r="P36" s="1003">
        <f>SUBTOTAL(9,P32:P35)</f>
        <v>70194.537570000146</v>
      </c>
      <c r="Q36" s="1003">
        <f>SUBTOTAL(9,Q32:Q35)</f>
        <v>3817900.3855600003</v>
      </c>
      <c r="R36" s="1001"/>
      <c r="S36" s="1001">
        <f>SUMPRODUCT(C32:C35,M32:M35)</f>
        <v>3817900.3855599998</v>
      </c>
      <c r="T36" s="991" t="b">
        <f>Q36=S36</f>
        <v>1</v>
      </c>
    </row>
    <row r="37" spans="1:20">
      <c r="A37" s="992" t="str">
        <f>IF(AND(B37="",E37=""),"",MAX(A$7:A36)+1)</f>
        <v/>
      </c>
      <c r="B37" s="991"/>
      <c r="C37" s="28"/>
      <c r="D37" s="47"/>
      <c r="E37" s="1003"/>
      <c r="F37" s="991"/>
      <c r="G37" s="991"/>
      <c r="H37" s="1003"/>
      <c r="I37" s="991"/>
      <c r="J37" s="991"/>
      <c r="K37" s="991"/>
      <c r="L37" s="991"/>
      <c r="M37" s="991"/>
      <c r="N37" s="991"/>
      <c r="O37" s="991"/>
      <c r="P37" s="991"/>
      <c r="Q37" s="991"/>
      <c r="R37" s="1001"/>
      <c r="S37" s="45"/>
      <c r="T37" s="991"/>
    </row>
    <row r="38" spans="1:20">
      <c r="A38" s="992">
        <f>IF(AND(B38="",E38=""),"",MAX(A$7:A37)+1)</f>
        <v>25</v>
      </c>
      <c r="B38" s="27" t="s">
        <v>150</v>
      </c>
      <c r="C38" s="991"/>
      <c r="D38" s="991"/>
      <c r="E38" s="991"/>
      <c r="F38" s="991"/>
      <c r="G38" s="991"/>
      <c r="H38" s="991"/>
      <c r="I38" s="991"/>
      <c r="J38" s="991"/>
      <c r="K38" s="1003"/>
      <c r="L38" s="991"/>
      <c r="M38" s="991"/>
      <c r="N38" s="1003"/>
      <c r="O38" s="1003"/>
      <c r="P38" s="1003"/>
      <c r="Q38" s="1003"/>
      <c r="R38" s="1003"/>
      <c r="S38" s="1003"/>
      <c r="T38" s="991"/>
    </row>
    <row r="39" spans="1:20">
      <c r="A39" s="992">
        <f>IF(AND(B39="",E39=""),"",MAX(A$7:A38)+1)</f>
        <v>26</v>
      </c>
      <c r="B39" s="998" t="s">
        <v>134</v>
      </c>
      <c r="C39" s="999">
        <f>SUMIFS(Rev_Billing_Det!$C$180:$C$186,Rev_Billing_Det!$A$180:$A$186,LEFT($B38,4))</f>
        <v>33</v>
      </c>
      <c r="D39" s="339">
        <f>INDEX('Rates and Eff Dates'!$C$9:$C$17,MATCH(LEFT($B38,4),'Rates and Eff Dates'!$A$9:$A$17,0))</f>
        <v>10</v>
      </c>
      <c r="E39" s="1000">
        <f>C39*D39</f>
        <v>330</v>
      </c>
      <c r="F39" s="991"/>
      <c r="G39" s="999">
        <f>C39</f>
        <v>33</v>
      </c>
      <c r="H39" s="1000">
        <f>ROUND((G39-C39)*D39,2)</f>
        <v>0</v>
      </c>
      <c r="I39" s="991"/>
      <c r="J39" s="339">
        <f>INDEX('Rates and Eff Dates'!$C$24:$C$32,MATCH(LEFT($B38,4),'Rates and Eff Dates'!$A$24:$A$32,0))</f>
        <v>10</v>
      </c>
      <c r="K39" s="1000">
        <f>(J39-D39)*$G39</f>
        <v>0</v>
      </c>
      <c r="L39" s="991"/>
      <c r="M39" s="339">
        <f>INDEX('Rates and Eff Dates'!$C$39:$C$47,MATCH(LEFT($B38,4),'Rates and Eff Dates'!$A$39:$A$47,0))</f>
        <v>10</v>
      </c>
      <c r="N39" s="1000">
        <f>(M39-J39)*$G39</f>
        <v>0</v>
      </c>
      <c r="O39" s="1001"/>
      <c r="P39" s="1002">
        <f>H39+K39+N39</f>
        <v>0</v>
      </c>
      <c r="Q39" s="1002">
        <f>E39+P39</f>
        <v>330</v>
      </c>
      <c r="R39" s="1008"/>
      <c r="S39" s="45" t="s">
        <v>150</v>
      </c>
      <c r="T39" s="991"/>
    </row>
    <row r="40" spans="1:20">
      <c r="A40" s="992">
        <f>IF(AND(B40="",E40=""),"",MAX(A$7:A39)+1)</f>
        <v>27</v>
      </c>
      <c r="B40" s="1010" t="s">
        <v>148</v>
      </c>
      <c r="C40" s="999">
        <f>SUMIFS(Rev_Billing_Det!$E$180:$E$186,Rev_Billing_Det!$A$180:$A$186,LEFT($B38,4))</f>
        <v>54449</v>
      </c>
      <c r="D40" s="350">
        <f>INDEX('Rates and Eff Dates'!$D$9:$D$17,MATCH(LEFT($B38,4),'Rates and Eff Dates'!$A$9:$A$17,0))</f>
        <v>1.0030000000000001E-2</v>
      </c>
      <c r="E40" s="999">
        <f>C40*D40</f>
        <v>546.12347</v>
      </c>
      <c r="F40" s="991"/>
      <c r="G40" s="999">
        <f>C40</f>
        <v>54449</v>
      </c>
      <c r="H40" s="999">
        <f>ROUND((G40-C40)*D40,2)</f>
        <v>0</v>
      </c>
      <c r="I40" s="991"/>
      <c r="J40" s="350">
        <f>INDEX('Rates and Eff Dates'!$D$24:$D$32,MATCH(LEFT($B38,4),'Rates and Eff Dates'!$A$24:$A$32,0))</f>
        <v>1.0330000000000001E-2</v>
      </c>
      <c r="K40" s="999">
        <f>(J40-D40)*$G40</f>
        <v>16.334699999999994</v>
      </c>
      <c r="L40" s="991"/>
      <c r="M40" s="350">
        <f>INDEX('Rates and Eff Dates'!$D$39:$D$47,MATCH(LEFT($B38,4),'Rates and Eff Dates'!$A$39:$A$47,0))</f>
        <v>1.027E-2</v>
      </c>
      <c r="N40" s="999">
        <f>(M40-J40)*$G40</f>
        <v>-3.2669400000000559</v>
      </c>
      <c r="O40" s="1001"/>
      <c r="P40" s="1009">
        <f>H40+K40+N40</f>
        <v>13.067759999999939</v>
      </c>
      <c r="Q40" s="1009">
        <f>E40+P40</f>
        <v>559.1912299999999</v>
      </c>
      <c r="R40" s="1008"/>
      <c r="S40" s="45" t="s">
        <v>150</v>
      </c>
      <c r="T40" s="991"/>
    </row>
    <row r="41" spans="1:20">
      <c r="A41" s="992">
        <f>IF(AND(B41="",E41=""),"",MAX(A$7:A40)+1)</f>
        <v>28</v>
      </c>
      <c r="B41" s="1010" t="s">
        <v>149</v>
      </c>
      <c r="C41" s="999">
        <f>SUMIFS(Rev_Billing_Det!$F$180:$F$186,Rev_Billing_Det!$A$180:$A$186,LEFT($B38,4))</f>
        <v>241496</v>
      </c>
      <c r="D41" s="350">
        <f>INDEX('Rates and Eff Dates'!$E$9:$E$17,MATCH(LEFT($B38,4),'Rates and Eff Dates'!$A$9:$A$17,0))</f>
        <v>2.1900000000000001E-3</v>
      </c>
      <c r="E41" s="999">
        <f>C41*D41</f>
        <v>528.87624000000005</v>
      </c>
      <c r="F41" s="991"/>
      <c r="G41" s="999">
        <f>C41</f>
        <v>241496</v>
      </c>
      <c r="H41" s="999">
        <f>ROUND((G41-C41)*D41,2)</f>
        <v>0</v>
      </c>
      <c r="I41" s="991"/>
      <c r="J41" s="350">
        <f>INDEX('Rates and Eff Dates'!$E$24:$E$32,MATCH(LEFT($B38,4),'Rates and Eff Dates'!$A$24:$A$32,0))</f>
        <v>2.2499999999999998E-3</v>
      </c>
      <c r="K41" s="999">
        <f>(J41-D41)*$G41</f>
        <v>14.489759999999933</v>
      </c>
      <c r="L41" s="991"/>
      <c r="M41" s="350">
        <f>INDEX('Rates and Eff Dates'!$E$39:$E$47,MATCH(LEFT($B38,4),'Rates and Eff Dates'!$A$39:$A$47,0))</f>
        <v>2.2300000000000002E-3</v>
      </c>
      <c r="N41" s="999">
        <f>(M41-J41)*$G41</f>
        <v>-4.8299199999999081</v>
      </c>
      <c r="O41" s="991"/>
      <c r="P41" s="1009">
        <f>H41+K41+N41</f>
        <v>9.659840000000024</v>
      </c>
      <c r="Q41" s="1009">
        <f>E41+P41</f>
        <v>538.53608000000008</v>
      </c>
      <c r="R41" s="1008"/>
      <c r="S41" s="45" t="s">
        <v>150</v>
      </c>
      <c r="T41" s="991"/>
    </row>
    <row r="42" spans="1:20">
      <c r="A42" s="992">
        <f>IF(AND(B42="",E42=""),"",MAX(A$7:A41)+1)</f>
        <v>29</v>
      </c>
      <c r="B42" s="1010" t="s">
        <v>145</v>
      </c>
      <c r="C42" s="999">
        <f>SUMIFS(Rev_Billing_Det!$M$180:$M$186,Rev_Billing_Det!$A$180:$A$186,LEFT($B38,4))</f>
        <v>1329.5</v>
      </c>
      <c r="D42" s="339">
        <f>INDEX('Rates and Eff Dates'!$F$9:$F$17,MATCH(LEFT($B38,4),'Rates and Eff Dates'!$A$9:$A$17,0))</f>
        <v>3.85</v>
      </c>
      <c r="E42" s="999">
        <f>C42*D42</f>
        <v>5118.5749999999998</v>
      </c>
      <c r="F42" s="991"/>
      <c r="G42" s="999">
        <f>C42</f>
        <v>1329.5</v>
      </c>
      <c r="H42" s="999">
        <f>ROUND((G42-C42)*D42,2)</f>
        <v>0</v>
      </c>
      <c r="I42" s="991"/>
      <c r="J42" s="339">
        <f>INDEX('Rates and Eff Dates'!$F$24:$F$32,MATCH(LEFT($B38,4),'Rates and Eff Dates'!$A$24:$A$32,0))</f>
        <v>3.96</v>
      </c>
      <c r="K42" s="999">
        <f>(J42-D42)*$G42</f>
        <v>146.24499999999983</v>
      </c>
      <c r="L42" s="991"/>
      <c r="M42" s="339">
        <f>INDEX('Rates and Eff Dates'!$F$39:$F$47,MATCH(LEFT($B38,4),'Rates and Eff Dates'!$A$39:$A$47,0))</f>
        <v>3.92</v>
      </c>
      <c r="N42" s="999">
        <f>(M42-J42)*$G42</f>
        <v>-53.180000000000049</v>
      </c>
      <c r="O42" s="991"/>
      <c r="P42" s="1009">
        <f>H42+K42+N42</f>
        <v>93.064999999999785</v>
      </c>
      <c r="Q42" s="1009">
        <f>E42+P42</f>
        <v>5211.6399999999994</v>
      </c>
      <c r="R42" s="1008"/>
      <c r="S42" s="45"/>
      <c r="T42" s="991"/>
    </row>
    <row r="43" spans="1:20" ht="16.2">
      <c r="A43" s="992">
        <f>IF(AND(B43="",E43=""),"",MAX(A$7:A42)+1)</f>
        <v>30</v>
      </c>
      <c r="B43" s="1010" t="s">
        <v>146</v>
      </c>
      <c r="C43" s="999">
        <f>E43/D43</f>
        <v>1162.6315789473683</v>
      </c>
      <c r="D43" s="886">
        <v>-0.19</v>
      </c>
      <c r="E43" s="46">
        <f>Rev_Billing_Det!E208</f>
        <v>-220.9</v>
      </c>
      <c r="F43" s="991"/>
      <c r="G43" s="999">
        <f>C43</f>
        <v>1162.6315789473683</v>
      </c>
      <c r="H43" s="46">
        <f>ROUND((G43-C43)*D43,2)</f>
        <v>0</v>
      </c>
      <c r="I43" s="991"/>
      <c r="J43" s="339">
        <f>D43</f>
        <v>-0.19</v>
      </c>
      <c r="K43" s="46">
        <f>(J43-D43)*$G43</f>
        <v>0</v>
      </c>
      <c r="L43" s="991"/>
      <c r="M43" s="339">
        <f>D43</f>
        <v>-0.19</v>
      </c>
      <c r="N43" s="46">
        <f>(M43-J43)*$G43</f>
        <v>0</v>
      </c>
      <c r="O43" s="1003"/>
      <c r="P43" s="43">
        <f>H43+K43+N43</f>
        <v>0</v>
      </c>
      <c r="Q43" s="43">
        <f>E43+P43</f>
        <v>-220.9</v>
      </c>
      <c r="R43" s="1008"/>
      <c r="S43" s="45"/>
      <c r="T43" s="991"/>
    </row>
    <row r="44" spans="1:20">
      <c r="A44" s="992">
        <f>IF(AND(B44="",E44=""),"",MAX(A$7:A43)+1)</f>
        <v>31</v>
      </c>
      <c r="B44" s="1011"/>
      <c r="C44" s="1012"/>
      <c r="D44" s="29"/>
      <c r="E44" s="1003">
        <f>SUBTOTAL(9,E39:E43)</f>
        <v>6302.6747100000002</v>
      </c>
      <c r="F44" s="991"/>
      <c r="G44" s="991"/>
      <c r="H44" s="1003">
        <f>SUBTOTAL(9,H39:H43)</f>
        <v>0</v>
      </c>
      <c r="I44" s="991"/>
      <c r="J44" s="991"/>
      <c r="K44" s="1003">
        <f>SUBTOTAL(9,K39:K43)</f>
        <v>177.06945999999976</v>
      </c>
      <c r="L44" s="991"/>
      <c r="M44" s="991"/>
      <c r="N44" s="1003">
        <f>SUBTOTAL(9,N39:N43)</f>
        <v>-61.276860000000013</v>
      </c>
      <c r="O44" s="1003"/>
      <c r="P44" s="1003">
        <f>SUBTOTAL(9,P39:P43)</f>
        <v>115.79259999999975</v>
      </c>
      <c r="Q44" s="1003">
        <f>SUBTOTAL(9,Q39:Q43)</f>
        <v>6418.46731</v>
      </c>
      <c r="R44" s="1008"/>
      <c r="S44" s="1001">
        <f>SUMPRODUCT(C39:C42,M39:M42)+Q43</f>
        <v>6418.4673100000009</v>
      </c>
      <c r="T44" s="991" t="b">
        <f>Q44=S44</f>
        <v>1</v>
      </c>
    </row>
    <row r="45" spans="1:20">
      <c r="A45" s="992" t="str">
        <f>IF(AND(B45="",E45=""),"",MAX(A$7:A44)+1)</f>
        <v/>
      </c>
      <c r="B45" s="1011"/>
      <c r="C45" s="1012"/>
      <c r="D45" s="29"/>
      <c r="E45" s="1003"/>
      <c r="F45" s="991"/>
      <c r="G45" s="991"/>
      <c r="H45" s="1003"/>
      <c r="I45" s="991"/>
      <c r="J45" s="991"/>
      <c r="K45" s="1003"/>
      <c r="L45" s="991"/>
      <c r="M45" s="991"/>
      <c r="N45" s="1003"/>
      <c r="O45" s="1003"/>
      <c r="P45" s="1003"/>
      <c r="Q45" s="1003"/>
      <c r="R45" s="1008"/>
      <c r="S45" s="45"/>
      <c r="T45" s="991"/>
    </row>
    <row r="46" spans="1:20">
      <c r="A46" s="992">
        <f>IF(AND(B46="",E46=""),"",MAX(A$7:A45)+1)</f>
        <v>32</v>
      </c>
      <c r="B46" s="27" t="s">
        <v>151</v>
      </c>
      <c r="C46" s="991"/>
      <c r="D46" s="991"/>
      <c r="E46" s="991"/>
      <c r="F46" s="991"/>
      <c r="G46" s="991"/>
      <c r="H46" s="991"/>
      <c r="I46" s="991"/>
      <c r="J46" s="991"/>
      <c r="K46" s="1003"/>
      <c r="L46" s="991"/>
      <c r="M46" s="991"/>
      <c r="N46" s="1003"/>
      <c r="O46" s="1003"/>
      <c r="P46" s="1003"/>
      <c r="Q46" s="1003"/>
      <c r="R46" s="1003"/>
      <c r="S46" s="1003"/>
      <c r="T46" s="991"/>
    </row>
    <row r="47" spans="1:20">
      <c r="A47" s="992">
        <f>IF(AND(B47="",E47=""),"",MAX(A$7:A46)+1)</f>
        <v>33</v>
      </c>
      <c r="B47" s="998" t="s">
        <v>134</v>
      </c>
      <c r="C47" s="999">
        <f>SUMIFS(Rev_Billing_Det!$C$180:$C$186,Rev_Billing_Det!$A$180:$A$186,LEFT($B46,4))</f>
        <v>78</v>
      </c>
      <c r="D47" s="339">
        <f>INDEX('Rates and Eff Dates'!$C$9:$C$17,MATCH(LEFT($B46,4),'Rates and Eff Dates'!$A$9:$A$17,0))</f>
        <v>0</v>
      </c>
      <c r="E47" s="1000">
        <f>D47*C47</f>
        <v>0</v>
      </c>
      <c r="F47" s="991"/>
      <c r="G47" s="999">
        <f>C47</f>
        <v>78</v>
      </c>
      <c r="H47" s="1000">
        <f>ROUND((G47-C47)*D47,2)</f>
        <v>0</v>
      </c>
      <c r="I47" s="991"/>
      <c r="J47" s="339">
        <f>INDEX('Rates and Eff Dates'!$C$24:$C$32,MATCH(LEFT($B46,4),'Rates and Eff Dates'!$A$24:$A$32,0))</f>
        <v>0</v>
      </c>
      <c r="K47" s="1000">
        <f>(J47-D47)*$G47</f>
        <v>0</v>
      </c>
      <c r="L47" s="991"/>
      <c r="M47" s="339">
        <f>INDEX('Rates and Eff Dates'!$C$39:$C$47,MATCH(LEFT($B46,4),'Rates and Eff Dates'!$A$39:$A$47,0))</f>
        <v>0</v>
      </c>
      <c r="N47" s="1000">
        <f>(M47-J47)*$G47</f>
        <v>0</v>
      </c>
      <c r="O47" s="1001"/>
      <c r="P47" s="1002">
        <f>H47+K47+N47</f>
        <v>0</v>
      </c>
      <c r="Q47" s="1002">
        <f>E47+P47</f>
        <v>0</v>
      </c>
      <c r="R47" s="1013"/>
      <c r="S47" s="45" t="s">
        <v>151</v>
      </c>
      <c r="T47" s="991"/>
    </row>
    <row r="48" spans="1:20" ht="16.2">
      <c r="A48" s="992">
        <f>IF(AND(B48="",E48=""),"",MAX(A$7:A47)+1)</f>
        <v>34</v>
      </c>
      <c r="B48" s="998" t="s">
        <v>135</v>
      </c>
      <c r="C48" s="999">
        <f>SUMIFS(Rev_Billing_Det!$E$180:$E$186,Rev_Billing_Det!$A$180:$A$186,LEFT($B46,4))</f>
        <v>343192</v>
      </c>
      <c r="D48" s="350">
        <f>INDEX('Rates and Eff Dates'!$D$9:$D$17,MATCH(LEFT($B46,4),'Rates and Eff Dates'!$A$9:$A$17,0))</f>
        <v>5.9560000000000002E-2</v>
      </c>
      <c r="E48" s="46">
        <f>D48*C48</f>
        <v>20440.515520000001</v>
      </c>
      <c r="F48" s="991"/>
      <c r="G48" s="999">
        <f>C48</f>
        <v>343192</v>
      </c>
      <c r="H48" s="46">
        <f>ROUND((G48-C48)*D48,2)</f>
        <v>0</v>
      </c>
      <c r="I48" s="991"/>
      <c r="J48" s="350">
        <f>INDEX('Rates and Eff Dates'!$D$24:$D$32,MATCH(LEFT($B46,4),'Rates and Eff Dates'!$A$24:$A$32,0))</f>
        <v>6.1280000000000001E-2</v>
      </c>
      <c r="K48" s="46">
        <f>(J48-D48)*$G48</f>
        <v>590.29023999999981</v>
      </c>
      <c r="L48" s="991"/>
      <c r="M48" s="350">
        <f>INDEX('Rates and Eff Dates'!$D$39:$D$47,MATCH(LEFT($B46,4),'Rates and Eff Dates'!$A$39:$A$47,0))</f>
        <v>6.071E-2</v>
      </c>
      <c r="N48" s="46">
        <f>(M48-J48)*$G48</f>
        <v>-195.61944000000037</v>
      </c>
      <c r="O48" s="1001"/>
      <c r="P48" s="43">
        <f>H48+K48+N48</f>
        <v>394.67079999999942</v>
      </c>
      <c r="Q48" s="43">
        <f>E48+P48</f>
        <v>20835.186320000001</v>
      </c>
      <c r="R48" s="1003"/>
      <c r="S48" s="45" t="s">
        <v>151</v>
      </c>
      <c r="T48" s="991"/>
    </row>
    <row r="49" spans="1:20">
      <c r="A49" s="992">
        <f>IF(AND(B49="",E49=""),"",MAX(A$7:A48)+1)</f>
        <v>35</v>
      </c>
      <c r="B49" s="991"/>
      <c r="C49" s="991"/>
      <c r="D49" s="350"/>
      <c r="E49" s="1003">
        <f>SUBTOTAL(9,E47:E48)</f>
        <v>20440.515520000001</v>
      </c>
      <c r="F49" s="991"/>
      <c r="G49" s="991"/>
      <c r="H49" s="1003">
        <f>SUBTOTAL(9,H47:H48)</f>
        <v>0</v>
      </c>
      <c r="I49" s="991"/>
      <c r="J49" s="991"/>
      <c r="K49" s="1005">
        <f>SUBTOTAL(9,K47:K48)</f>
        <v>590.29023999999981</v>
      </c>
      <c r="L49" s="991"/>
      <c r="M49" s="350"/>
      <c r="N49" s="1005">
        <f>SUBTOTAL(9,N47:N48)</f>
        <v>-195.61944000000037</v>
      </c>
      <c r="O49" s="1003"/>
      <c r="P49" s="1003">
        <f>SUBTOTAL(9,P47:P48)</f>
        <v>394.67079999999942</v>
      </c>
      <c r="Q49" s="1003">
        <f>SUBTOTAL(9,Q47:Q48)</f>
        <v>20835.186320000001</v>
      </c>
      <c r="R49" s="991"/>
      <c r="S49" s="1001">
        <f>SUMPRODUCT(C45:C48,M45:M48)</f>
        <v>20835.186320000001</v>
      </c>
      <c r="T49" s="991" t="b">
        <f>Q49=S49</f>
        <v>1</v>
      </c>
    </row>
    <row r="50" spans="1:20">
      <c r="A50" s="992" t="str">
        <f>IF(AND(B50="",E50=""),"",MAX(A$7:A49)+1)</f>
        <v/>
      </c>
      <c r="B50" s="991"/>
      <c r="C50" s="991"/>
      <c r="D50" s="339"/>
      <c r="E50" s="1005"/>
      <c r="F50" s="991"/>
      <c r="G50" s="991"/>
      <c r="H50" s="991"/>
      <c r="I50" s="991"/>
      <c r="J50" s="991"/>
      <c r="K50" s="1005"/>
      <c r="L50" s="991"/>
      <c r="M50" s="339"/>
      <c r="N50" s="1005"/>
      <c r="O50" s="1003"/>
      <c r="P50" s="1005"/>
      <c r="Q50" s="1004"/>
      <c r="R50" s="991"/>
      <c r="S50" s="45"/>
      <c r="T50" s="991"/>
    </row>
    <row r="51" spans="1:20">
      <c r="A51" s="992">
        <f>IF(AND(B51="",E51=""),"",MAX(A$7:A50)+1)</f>
        <v>36</v>
      </c>
      <c r="B51" s="27" t="s">
        <v>163</v>
      </c>
      <c r="C51" s="991"/>
      <c r="D51" s="339"/>
      <c r="E51" s="1005"/>
      <c r="F51" s="991"/>
      <c r="G51" s="991"/>
      <c r="H51" s="1005"/>
      <c r="I51" s="991"/>
      <c r="J51" s="991"/>
      <c r="K51" s="1005"/>
      <c r="L51" s="991"/>
      <c r="M51" s="339"/>
      <c r="N51" s="1005"/>
      <c r="O51" s="1003"/>
      <c r="P51" s="1005"/>
      <c r="Q51" s="1004"/>
      <c r="R51" s="991"/>
      <c r="S51" s="45"/>
      <c r="T51" s="991"/>
    </row>
    <row r="52" spans="1:20">
      <c r="A52" s="992">
        <f>IF(AND(B52="",E52=""),"",MAX(A$7:A51)+1)</f>
        <v>37</v>
      </c>
      <c r="B52" s="358" t="str">
        <f>'Rates and Eff Dates'!A52</f>
        <v>Mercury Vapor Luminaires</v>
      </c>
      <c r="C52" s="887" t="s">
        <v>528</v>
      </c>
      <c r="D52" s="339"/>
      <c r="E52" s="1005"/>
      <c r="F52" s="991"/>
      <c r="G52" s="991"/>
      <c r="H52" s="1005"/>
      <c r="I52" s="991"/>
      <c r="J52" s="991"/>
      <c r="K52" s="1005"/>
      <c r="L52" s="991"/>
      <c r="M52" s="339"/>
      <c r="N52" s="1005"/>
      <c r="O52" s="1003"/>
      <c r="P52" s="1005"/>
      <c r="Q52" s="1004"/>
      <c r="R52" s="991"/>
      <c r="S52" s="45"/>
      <c r="T52" s="991"/>
    </row>
    <row r="53" spans="1:20">
      <c r="A53" s="992">
        <f>IF(AND(B53="",E53=""),"",MAX(A$7:A52)+1)</f>
        <v>38</v>
      </c>
      <c r="B53" s="991" t="str">
        <f>'Rates and Eff Dates'!B53</f>
        <v>MV-3500 Street and Highway Type</v>
      </c>
      <c r="C53" s="888">
        <f>INDEX('Outdoor Lighting Update'!I:I,MATCH($B53,'Outdoor Lighting Update'!O:O,0))</f>
        <v>59.266365688487582</v>
      </c>
      <c r="D53" s="339">
        <f>INDEX('Rates and Eff Dates'!C:C,MATCH($B53,'Rates and Eff Dates'!$B:$B,0))</f>
        <v>13.29</v>
      </c>
      <c r="E53" s="1000">
        <f t="shared" ref="E53:E59" si="0">C53*D53</f>
        <v>787.64999999999986</v>
      </c>
      <c r="F53" s="991"/>
      <c r="G53" s="888">
        <f>ROUND(INDEX('Atrium + Updated Rates'!$E:$E,MATCH($B53,'Atrium + Updated Rates'!$O:$O,0)),0)</f>
        <v>48</v>
      </c>
      <c r="H53" s="1000">
        <f t="shared" ref="H53:H59" si="1">ROUND((G53-C53)*D53,2)</f>
        <v>-149.72999999999999</v>
      </c>
      <c r="I53" s="991"/>
      <c r="J53" s="339">
        <f>INDEX('Rates and Eff Dates'!D:D,MATCH($B53,'Rates and Eff Dates'!$B:$B,0))</f>
        <v>13.67</v>
      </c>
      <c r="K53" s="1000">
        <f t="shared" ref="K53:K59" si="2">(J53-D53)*$G53</f>
        <v>18.240000000000038</v>
      </c>
      <c r="L53" s="991"/>
      <c r="M53" s="339">
        <f>INDEX('Rates and Eff Dates'!E:E,MATCH($B53,'Rates and Eff Dates'!$B:$B,0))</f>
        <v>13.54</v>
      </c>
      <c r="N53" s="1000">
        <f t="shared" ref="N53:N59" si="3">(M53-J53)*$G53</f>
        <v>-6.2400000000000375</v>
      </c>
      <c r="O53" s="1001"/>
      <c r="P53" s="1002">
        <f t="shared" ref="P53:P59" si="4">H53+K53+N53</f>
        <v>-137.72999999999999</v>
      </c>
      <c r="Q53" s="1002">
        <f t="shared" ref="Q53:Q59" si="5">E53+P53</f>
        <v>649.91999999999985</v>
      </c>
      <c r="R53" s="991"/>
      <c r="S53" s="45"/>
      <c r="T53" s="991"/>
    </row>
    <row r="54" spans="1:20">
      <c r="A54" s="992">
        <f>IF(AND(B54="",E54=""),"",MAX(A$7:A53)+1)</f>
        <v>39</v>
      </c>
      <c r="B54" s="991" t="str">
        <f>'Rates and Eff Dates'!B54</f>
        <v>MV-7000 Street and Highway Type</v>
      </c>
      <c r="C54" s="888">
        <f>INDEX('Outdoor Lighting Update'!I:I,MATCH($B54,'Outdoor Lighting Update'!O:O,0))</f>
        <v>84</v>
      </c>
      <c r="D54" s="339">
        <f>INDEX('Rates and Eff Dates'!C:C,MATCH($B54,'Rates and Eff Dates'!$B:$B,0))</f>
        <v>14.74</v>
      </c>
      <c r="E54" s="999">
        <f t="shared" si="0"/>
        <v>1238.1600000000001</v>
      </c>
      <c r="F54" s="991"/>
      <c r="G54" s="888">
        <f>ROUND(INDEX('Atrium + Updated Rates'!$E:$E,MATCH($B54,'Atrium + Updated Rates'!$O:$O,0)),0)</f>
        <v>84</v>
      </c>
      <c r="H54" s="999">
        <f t="shared" si="1"/>
        <v>0</v>
      </c>
      <c r="I54" s="991"/>
      <c r="J54" s="339">
        <f>INDEX('Rates and Eff Dates'!D:D,MATCH($B54,'Rates and Eff Dates'!$B:$B,0))</f>
        <v>15.16</v>
      </c>
      <c r="K54" s="999">
        <f t="shared" si="2"/>
        <v>35.279999999999994</v>
      </c>
      <c r="L54" s="991"/>
      <c r="M54" s="339">
        <f>INDEX('Rates and Eff Dates'!E:E,MATCH($B54,'Rates and Eff Dates'!$B:$B,0))</f>
        <v>15.02</v>
      </c>
      <c r="N54" s="999">
        <f t="shared" si="3"/>
        <v>-11.760000000000048</v>
      </c>
      <c r="O54" s="1001"/>
      <c r="P54" s="1009">
        <f t="shared" si="4"/>
        <v>23.519999999999946</v>
      </c>
      <c r="Q54" s="1009">
        <f t="shared" si="5"/>
        <v>1261.68</v>
      </c>
      <c r="R54" s="991"/>
      <c r="S54" s="45"/>
      <c r="T54" s="991"/>
    </row>
    <row r="55" spans="1:20">
      <c r="A55" s="992">
        <f>IF(AND(B55="",E55=""),"",MAX(A$7:A54)+1)</f>
        <v>40</v>
      </c>
      <c r="B55" s="991" t="str">
        <f>'Rates and Eff Dates'!B55</f>
        <v>MV-20000 Street and Highway Type</v>
      </c>
      <c r="C55" s="888">
        <f>INDEX('Outdoor Lighting Update'!I:I,MATCH($B55,'Outdoor Lighting Update'!O:O,0))</f>
        <v>0</v>
      </c>
      <c r="D55" s="339">
        <f>INDEX('Rates and Eff Dates'!C:C,MATCH($B55,'Rates and Eff Dates'!$B:$B,0))</f>
        <v>26.78</v>
      </c>
      <c r="E55" s="28">
        <f t="shared" si="0"/>
        <v>0</v>
      </c>
      <c r="F55" s="369"/>
      <c r="G55" s="888">
        <f>ROUND(INDEX('Atrium + Updated Rates'!$E:$E,MATCH($B55,'Atrium + Updated Rates'!$O:$O,0)),0)</f>
        <v>0</v>
      </c>
      <c r="H55" s="28">
        <f t="shared" si="1"/>
        <v>0</v>
      </c>
      <c r="I55" s="369"/>
      <c r="J55" s="339">
        <f>INDEX('Rates and Eff Dates'!D:D,MATCH($B55,'Rates and Eff Dates'!$B:$B,0))</f>
        <v>27.55</v>
      </c>
      <c r="K55" s="28">
        <f t="shared" si="2"/>
        <v>0</v>
      </c>
      <c r="L55" s="369"/>
      <c r="M55" s="339">
        <f>INDEX('Rates and Eff Dates'!E:E,MATCH($B55,'Rates and Eff Dates'!$B:$B,0))</f>
        <v>27.29</v>
      </c>
      <c r="N55" s="28">
        <f t="shared" si="3"/>
        <v>0</v>
      </c>
      <c r="O55" s="369"/>
      <c r="P55" s="40">
        <f t="shared" si="4"/>
        <v>0</v>
      </c>
      <c r="Q55" s="1009">
        <f t="shared" si="5"/>
        <v>0</v>
      </c>
      <c r="R55" s="991"/>
      <c r="S55" s="45"/>
      <c r="T55" s="991"/>
    </row>
    <row r="56" spans="1:20">
      <c r="A56" s="992">
        <f>IF(AND(B56="",E56=""),"",MAX(A$7:A55)+1)</f>
        <v>41</v>
      </c>
      <c r="B56" s="991" t="str">
        <f>'Rates and Eff Dates'!B56</f>
        <v>MV-60000 Street and Highway Type</v>
      </c>
      <c r="C56" s="888">
        <f>INDEX('Outdoor Lighting Update'!I:I,MATCH($B56,'Outdoor Lighting Update'!O:O,0))</f>
        <v>84</v>
      </c>
      <c r="D56" s="339">
        <f>INDEX('Rates and Eff Dates'!C:C,MATCH($B56,'Rates and Eff Dates'!$B:$B,0))</f>
        <v>51.19</v>
      </c>
      <c r="E56" s="999">
        <f t="shared" si="0"/>
        <v>4299.96</v>
      </c>
      <c r="F56" s="991"/>
      <c r="G56" s="888">
        <f>ROUND(INDEX('Atrium + Updated Rates'!$E:$E,MATCH($B56,'Atrium + Updated Rates'!$O:$O,0)),0)</f>
        <v>84</v>
      </c>
      <c r="H56" s="999">
        <f t="shared" si="1"/>
        <v>0</v>
      </c>
      <c r="I56" s="991"/>
      <c r="J56" s="339">
        <f>INDEX('Rates and Eff Dates'!D:D,MATCH($B56,'Rates and Eff Dates'!$B:$B,0))</f>
        <v>52.67</v>
      </c>
      <c r="K56" s="999">
        <f t="shared" si="2"/>
        <v>124.32000000000033</v>
      </c>
      <c r="L56" s="991"/>
      <c r="M56" s="339">
        <f>INDEX('Rates and Eff Dates'!E:E,MATCH($B56,'Rates and Eff Dates'!$B:$B,0))</f>
        <v>52.18</v>
      </c>
      <c r="N56" s="999">
        <f t="shared" si="3"/>
        <v>-41.160000000000167</v>
      </c>
      <c r="O56" s="991"/>
      <c r="P56" s="1009">
        <f t="shared" si="4"/>
        <v>83.160000000000167</v>
      </c>
      <c r="Q56" s="1009">
        <f t="shared" si="5"/>
        <v>4383.12</v>
      </c>
      <c r="R56" s="991"/>
      <c r="S56" s="45"/>
      <c r="T56" s="991"/>
    </row>
    <row r="57" spans="1:20">
      <c r="A57" s="992">
        <f>IF(AND(B57="",E57=""),"",MAX(A$7:A56)+1)</f>
        <v>42</v>
      </c>
      <c r="B57" s="991" t="str">
        <f>'Rates and Eff Dates'!B57</f>
        <v>MV-20000 Flood Light Type</v>
      </c>
      <c r="C57" s="888">
        <f>INDEX('Outdoor Lighting Update'!I:I,MATCH($B57,'Outdoor Lighting Update'!O:O,0))</f>
        <v>300</v>
      </c>
      <c r="D57" s="339">
        <f>INDEX('Rates and Eff Dates'!C:C,MATCH($B57,'Rates and Eff Dates'!$B:$B,0))</f>
        <v>29.61</v>
      </c>
      <c r="E57" s="999">
        <f t="shared" si="0"/>
        <v>8883</v>
      </c>
      <c r="F57" s="991"/>
      <c r="G57" s="888">
        <f>ROUND(INDEX('Atrium + Updated Rates'!$E:$E,MATCH($B57,'Atrium + Updated Rates'!$O:$O,0)),0)</f>
        <v>300</v>
      </c>
      <c r="H57" s="999">
        <f t="shared" si="1"/>
        <v>0</v>
      </c>
      <c r="I57" s="991"/>
      <c r="J57" s="339">
        <f>INDEX('Rates and Eff Dates'!D:D,MATCH($B57,'Rates and Eff Dates'!$B:$B,0))</f>
        <v>30.46</v>
      </c>
      <c r="K57" s="999">
        <f t="shared" si="2"/>
        <v>255.00000000000043</v>
      </c>
      <c r="L57" s="991"/>
      <c r="M57" s="339">
        <f>INDEX('Rates and Eff Dates'!E:E,MATCH($B57,'Rates and Eff Dates'!$B:$B,0))</f>
        <v>30.18</v>
      </c>
      <c r="N57" s="999">
        <f t="shared" si="3"/>
        <v>-84.000000000000341</v>
      </c>
      <c r="O57" s="991"/>
      <c r="P57" s="1009">
        <f t="shared" si="4"/>
        <v>171.00000000000009</v>
      </c>
      <c r="Q57" s="1009">
        <f t="shared" si="5"/>
        <v>9054</v>
      </c>
      <c r="R57" s="991"/>
      <c r="S57" s="45"/>
      <c r="T57" s="991"/>
    </row>
    <row r="58" spans="1:20">
      <c r="A58" s="992">
        <f>IF(AND(B58="",E58=""),"",MAX(A$7:A57)+1)</f>
        <v>43</v>
      </c>
      <c r="B58" s="991" t="str">
        <f>'Rates and Eff Dates'!B58</f>
        <v>MV-3500 Power Bracket Included</v>
      </c>
      <c r="C58" s="888">
        <f>INDEX('Outdoor Lighting Update'!I:I,MATCH($B58,'Outdoor Lighting Update'!O:O,0))</f>
        <v>402.06609195402297</v>
      </c>
      <c r="D58" s="339">
        <f>INDEX('Rates and Eff Dates'!C:C,MATCH($B58,'Rates and Eff Dates'!$B:$B,0))</f>
        <v>13.92</v>
      </c>
      <c r="E58" s="999">
        <f t="shared" si="0"/>
        <v>5596.7599999999993</v>
      </c>
      <c r="F58" s="991"/>
      <c r="G58" s="888">
        <f>ROUND(INDEX('Atrium + Updated Rates'!$E:$E,MATCH($B58,'Atrium + Updated Rates'!$O:$O,0)),0)</f>
        <v>348</v>
      </c>
      <c r="H58" s="999">
        <f t="shared" si="1"/>
        <v>-752.6</v>
      </c>
      <c r="I58" s="991"/>
      <c r="J58" s="339">
        <f>INDEX('Rates and Eff Dates'!D:D,MATCH($B58,'Rates and Eff Dates'!$B:$B,0))</f>
        <v>14.32</v>
      </c>
      <c r="K58" s="999">
        <f t="shared" si="2"/>
        <v>139.20000000000013</v>
      </c>
      <c r="L58" s="991"/>
      <c r="M58" s="339">
        <f>INDEX('Rates and Eff Dates'!E:E,MATCH($B58,'Rates and Eff Dates'!$B:$B,0))</f>
        <v>14.18</v>
      </c>
      <c r="N58" s="999">
        <f t="shared" si="3"/>
        <v>-48.720000000000198</v>
      </c>
      <c r="O58" s="991"/>
      <c r="P58" s="1009">
        <f t="shared" si="4"/>
        <v>-662.12000000000012</v>
      </c>
      <c r="Q58" s="1009">
        <f t="shared" si="5"/>
        <v>4934.6399999999994</v>
      </c>
      <c r="R58" s="991"/>
      <c r="S58" s="45"/>
      <c r="T58" s="991"/>
    </row>
    <row r="59" spans="1:20">
      <c r="A59" s="992">
        <f>IF(AND(B59="",E59=""),"",MAX(A$7:A58)+1)</f>
        <v>44</v>
      </c>
      <c r="B59" s="991" t="str">
        <f>'Rates and Eff Dates'!B59</f>
        <v>MV-7000 Power Bracket Included</v>
      </c>
      <c r="C59" s="888">
        <f>INDEX('Outdoor Lighting Update'!I:I,MATCH($B59,'Outdoor Lighting Update'!O:O,0))</f>
        <v>323.96617740906191</v>
      </c>
      <c r="D59" s="339">
        <f>INDEX('Rates and Eff Dates'!C:C,MATCH($B59,'Rates and Eff Dates'!$B:$B,0))</f>
        <v>15.67</v>
      </c>
      <c r="E59" s="999">
        <f t="shared" si="0"/>
        <v>5076.55</v>
      </c>
      <c r="F59" s="991"/>
      <c r="G59" s="888">
        <f>ROUND(INDEX('Atrium + Updated Rates'!$E:$E,MATCH($B59,'Atrium + Updated Rates'!$O:$O,0)),0)</f>
        <v>300</v>
      </c>
      <c r="H59" s="999">
        <f t="shared" si="1"/>
        <v>-375.55</v>
      </c>
      <c r="I59" s="991"/>
      <c r="J59" s="339">
        <f>INDEX('Rates and Eff Dates'!D:D,MATCH($B59,'Rates and Eff Dates'!$B:$B,0))</f>
        <v>16.12</v>
      </c>
      <c r="K59" s="999">
        <f t="shared" si="2"/>
        <v>135.00000000000031</v>
      </c>
      <c r="L59" s="991"/>
      <c r="M59" s="339">
        <f>INDEX('Rates and Eff Dates'!E:E,MATCH($B59,'Rates and Eff Dates'!$B:$B,0))</f>
        <v>15.97</v>
      </c>
      <c r="N59" s="999">
        <f t="shared" si="3"/>
        <v>-45.000000000000107</v>
      </c>
      <c r="O59" s="991"/>
      <c r="P59" s="1009">
        <f t="shared" si="4"/>
        <v>-285.54999999999978</v>
      </c>
      <c r="Q59" s="1009">
        <f t="shared" si="5"/>
        <v>4791</v>
      </c>
      <c r="R59" s="991"/>
      <c r="S59" s="45"/>
      <c r="T59" s="991"/>
    </row>
    <row r="60" spans="1:20">
      <c r="A60" s="992">
        <f>IF(AND(B60="",E60=""),"",MAX(A$7:A59)+1)</f>
        <v>45</v>
      </c>
      <c r="B60" s="358" t="str">
        <f>'Rates and Eff Dates'!A61</f>
        <v>High Pressure Sodium Luminaires</v>
      </c>
      <c r="C60" s="888"/>
      <c r="D60" s="339"/>
      <c r="E60" s="999"/>
      <c r="F60" s="991"/>
      <c r="G60" s="339"/>
      <c r="H60" s="999"/>
      <c r="I60" s="991"/>
      <c r="J60" s="339"/>
      <c r="K60" s="999"/>
      <c r="L60" s="991"/>
      <c r="M60" s="339"/>
      <c r="N60" s="999"/>
      <c r="O60" s="991"/>
      <c r="P60" s="1009"/>
      <c r="Q60" s="1009"/>
      <c r="R60" s="991"/>
      <c r="S60" s="45"/>
      <c r="T60" s="991"/>
    </row>
    <row r="61" spans="1:20">
      <c r="A61" s="992">
        <f>IF(AND(B61="",E61=""),"",MAX(A$7:A60)+1)</f>
        <v>46</v>
      </c>
      <c r="B61" s="991" t="str">
        <f>'Rates and Eff Dates'!B62</f>
        <v>HPS-3300 Street and Highway Type</v>
      </c>
      <c r="C61" s="888">
        <f>INDEX('Outdoor Lighting Update'!I:I,MATCH($B61,'Outdoor Lighting Update'!O:O,0))</f>
        <v>3914.9661841293237</v>
      </c>
      <c r="D61" s="339">
        <f>INDEX('Rates and Eff Dates'!C:C,MATCH($B61,'Rates and Eff Dates'!$B:$B,0))</f>
        <v>11.53</v>
      </c>
      <c r="E61" s="999">
        <f t="shared" ref="E61:E66" si="6">C61*D61</f>
        <v>45139.560103011099</v>
      </c>
      <c r="F61" s="991"/>
      <c r="G61" s="888">
        <f>ROUND(INDEX('Atrium + Updated Rates'!$E:$E,MATCH($B61,'Atrium + Updated Rates'!$O:$O,0)),0)</f>
        <v>1580</v>
      </c>
      <c r="H61" s="999">
        <f t="shared" ref="H61:H66" si="7">ROUND((G61-C61)*D61,2)</f>
        <v>-26922.16</v>
      </c>
      <c r="I61" s="991"/>
      <c r="J61" s="339">
        <f>INDEX('Rates and Eff Dates'!D:D,MATCH($B61,'Rates and Eff Dates'!$B:$B,0))</f>
        <v>11.86</v>
      </c>
      <c r="K61" s="999">
        <f t="shared" ref="K61:K66" si="8">(J61-D61)*$G61</f>
        <v>521.40000000000009</v>
      </c>
      <c r="L61" s="991"/>
      <c r="M61" s="339">
        <f>INDEX('Rates and Eff Dates'!E:E,MATCH($B61,'Rates and Eff Dates'!$B:$B,0))</f>
        <v>11.75</v>
      </c>
      <c r="N61" s="999">
        <f t="shared" ref="N61:N66" si="9">(M61-J61)*$G61</f>
        <v>-173.7999999999991</v>
      </c>
      <c r="O61" s="991"/>
      <c r="P61" s="1009">
        <f t="shared" ref="P61:P66" si="10">H61+K61+N61</f>
        <v>-26574.559999999998</v>
      </c>
      <c r="Q61" s="1009">
        <f t="shared" ref="Q61:Q66" si="11">E61+P61</f>
        <v>18565.000103011102</v>
      </c>
      <c r="R61" s="991"/>
      <c r="S61" s="45"/>
      <c r="T61" s="991"/>
    </row>
    <row r="62" spans="1:20">
      <c r="A62" s="992">
        <f>IF(AND(B62="",E62=""),"",MAX(A$7:A61)+1)</f>
        <v>47</v>
      </c>
      <c r="B62" s="991" t="str">
        <f>'Rates and Eff Dates'!B63</f>
        <v>HPS-9500 Street and Highway Type</v>
      </c>
      <c r="C62" s="888">
        <f>INDEX('Outdoor Lighting Update'!I:I,MATCH($B62,'Outdoor Lighting Update'!O:O,0))</f>
        <v>1585.6214366877423</v>
      </c>
      <c r="D62" s="339">
        <f>INDEX('Rates and Eff Dates'!C:C,MATCH($B62,'Rates and Eff Dates'!$B:$B,0))</f>
        <v>13.71</v>
      </c>
      <c r="E62" s="999">
        <f t="shared" si="6"/>
        <v>21738.869896988948</v>
      </c>
      <c r="F62" s="991"/>
      <c r="G62" s="888">
        <f>ROUND(INDEX('Atrium + Updated Rates'!$E:$E,MATCH($B62,'Atrium + Updated Rates'!$O:$O,0)),0)</f>
        <v>996</v>
      </c>
      <c r="H62" s="999">
        <f t="shared" si="7"/>
        <v>-8083.71</v>
      </c>
      <c r="I62" s="991"/>
      <c r="J62" s="339">
        <f>INDEX('Rates and Eff Dates'!D:D,MATCH($B62,'Rates and Eff Dates'!$B:$B,0))</f>
        <v>14.1</v>
      </c>
      <c r="K62" s="999">
        <f t="shared" si="8"/>
        <v>388.4399999999988</v>
      </c>
      <c r="L62" s="991"/>
      <c r="M62" s="339">
        <f>INDEX('Rates and Eff Dates'!E:E,MATCH($B62,'Rates and Eff Dates'!$B:$B,0))</f>
        <v>13.97</v>
      </c>
      <c r="N62" s="999">
        <f t="shared" si="9"/>
        <v>-129.479999999999</v>
      </c>
      <c r="O62" s="991"/>
      <c r="P62" s="1009">
        <f t="shared" si="10"/>
        <v>-7824.75</v>
      </c>
      <c r="Q62" s="1009">
        <f t="shared" si="11"/>
        <v>13914.119896988948</v>
      </c>
      <c r="R62" s="991"/>
      <c r="S62" s="45"/>
      <c r="T62" s="991"/>
    </row>
    <row r="63" spans="1:20">
      <c r="A63" s="992">
        <f>IF(AND(B63="",E63=""),"",MAX(A$7:A62)+1)</f>
        <v>48</v>
      </c>
      <c r="B63" s="991" t="str">
        <f>'Rates and Eff Dates'!B64</f>
        <v>HPS-20000 Street and Highway Type</v>
      </c>
      <c r="C63" s="888">
        <f>INDEX('Outdoor Lighting Update'!I:I,MATCH($B63,'Outdoor Lighting Update'!O:O,0))</f>
        <v>402</v>
      </c>
      <c r="D63" s="339">
        <f>INDEX('Rates and Eff Dates'!C:C,MATCH($B63,'Rates and Eff Dates'!$B:$B,0))</f>
        <v>20.440000000000001</v>
      </c>
      <c r="E63" s="999">
        <f t="shared" si="6"/>
        <v>8216.880000000001</v>
      </c>
      <c r="F63" s="991"/>
      <c r="G63" s="888">
        <f>ROUND(INDEX('Atrium + Updated Rates'!$E:$E,MATCH($B63,'Atrium + Updated Rates'!$O:$O,0)),0)</f>
        <v>96</v>
      </c>
      <c r="H63" s="999">
        <f t="shared" si="7"/>
        <v>-6254.64</v>
      </c>
      <c r="I63" s="991"/>
      <c r="J63" s="339">
        <f>INDEX('Rates and Eff Dates'!D:D,MATCH($B63,'Rates and Eff Dates'!$B:$B,0))</f>
        <v>21.03</v>
      </c>
      <c r="K63" s="999">
        <f t="shared" si="8"/>
        <v>56.639999999999986</v>
      </c>
      <c r="L63" s="991"/>
      <c r="M63" s="339">
        <f>INDEX('Rates and Eff Dates'!E:E,MATCH($B63,'Rates and Eff Dates'!$B:$B,0))</f>
        <v>20.83</v>
      </c>
      <c r="N63" s="999">
        <f t="shared" si="9"/>
        <v>-19.200000000000273</v>
      </c>
      <c r="O63" s="991"/>
      <c r="P63" s="1009">
        <f t="shared" si="10"/>
        <v>-6217.2000000000007</v>
      </c>
      <c r="Q63" s="1009">
        <f t="shared" si="11"/>
        <v>1999.6800000000003</v>
      </c>
      <c r="R63" s="991"/>
      <c r="S63" s="45"/>
      <c r="T63" s="991"/>
    </row>
    <row r="64" spans="1:20">
      <c r="A64" s="992">
        <f>IF(AND(B64="",E64=""),"",MAX(A$7:A63)+1)</f>
        <v>49</v>
      </c>
      <c r="B64" s="991" t="str">
        <f>'Rates and Eff Dates'!B65</f>
        <v>HPS-50000 Street and Highway Type</v>
      </c>
      <c r="C64" s="888">
        <f>INDEX('Outdoor Lighting Update'!I:I,MATCH($B64,'Outdoor Lighting Update'!O:O,0))</f>
        <v>111</v>
      </c>
      <c r="D64" s="339">
        <f>INDEX('Rates and Eff Dates'!C:C,MATCH($B64,'Rates and Eff Dates'!$B:$B,0))</f>
        <v>29.06</v>
      </c>
      <c r="E64" s="999">
        <f t="shared" si="6"/>
        <v>3225.66</v>
      </c>
      <c r="F64" s="991"/>
      <c r="G64" s="888">
        <f>ROUND(INDEX('Atrium + Updated Rates'!$E:$E,MATCH($B64,'Atrium + Updated Rates'!$O:$O,0)),0)</f>
        <v>72</v>
      </c>
      <c r="H64" s="999">
        <f t="shared" si="7"/>
        <v>-1133.3399999999999</v>
      </c>
      <c r="I64" s="991"/>
      <c r="J64" s="339">
        <f>INDEX('Rates and Eff Dates'!D:D,MATCH($B64,'Rates and Eff Dates'!$B:$B,0))</f>
        <v>29.9</v>
      </c>
      <c r="K64" s="999">
        <f t="shared" si="8"/>
        <v>60.47999999999999</v>
      </c>
      <c r="L64" s="991"/>
      <c r="M64" s="339">
        <f>INDEX('Rates and Eff Dates'!E:E,MATCH($B64,'Rates and Eff Dates'!$B:$B,0))</f>
        <v>29.62</v>
      </c>
      <c r="N64" s="999">
        <f t="shared" si="9"/>
        <v>-20.159999999999826</v>
      </c>
      <c r="O64" s="991"/>
      <c r="P64" s="1009">
        <f t="shared" si="10"/>
        <v>-1093.0199999999998</v>
      </c>
      <c r="Q64" s="1009">
        <f t="shared" si="11"/>
        <v>2132.6400000000003</v>
      </c>
      <c r="R64" s="991"/>
      <c r="S64" s="45"/>
      <c r="T64" s="991"/>
    </row>
    <row r="65" spans="1:19">
      <c r="A65" s="992">
        <f>IF(AND(B65="",E65=""),"",MAX(A$7:A64)+1)</f>
        <v>50</v>
      </c>
      <c r="B65" s="991" t="str">
        <f>'Rates and Eff Dates'!B66</f>
        <v>HPS-140000 Street and Highway Type</v>
      </c>
      <c r="C65" s="354">
        <f>INDEX('Outdoor Lighting Update'!I:I,MATCH($B65,'Outdoor Lighting Update'!O:O,0))</f>
        <v>795.73129822207204</v>
      </c>
      <c r="D65" s="339">
        <f>INDEX('Rates and Eff Dates'!C:C,MATCH($B65,'Rates and Eff Dates'!$B:$B,0))</f>
        <v>59.62</v>
      </c>
      <c r="E65" s="999">
        <f t="shared" si="6"/>
        <v>47441.499999999935</v>
      </c>
      <c r="F65" s="991"/>
      <c r="G65" s="354">
        <f>ROUND(INDEX('Atrium + Updated Rates'!$E:$E,MATCH($B65,'Atrium + Updated Rates'!$O:$O,0)),0)</f>
        <v>516</v>
      </c>
      <c r="H65" s="999">
        <f t="shared" si="7"/>
        <v>-16677.580000000002</v>
      </c>
      <c r="I65" s="991"/>
      <c r="J65" s="339">
        <f>INDEX('Rates and Eff Dates'!D:D,MATCH($B65,'Rates and Eff Dates'!$B:$B,0))</f>
        <v>61.34</v>
      </c>
      <c r="K65" s="999">
        <f t="shared" si="8"/>
        <v>887.52000000000305</v>
      </c>
      <c r="L65" s="991"/>
      <c r="M65" s="339">
        <f>INDEX('Rates and Eff Dates'!E:E,MATCH($B65,'Rates and Eff Dates'!$B:$B,0))</f>
        <v>60.77</v>
      </c>
      <c r="N65" s="999">
        <f t="shared" si="9"/>
        <v>-294.12000000000012</v>
      </c>
      <c r="O65" s="991"/>
      <c r="P65" s="1009">
        <f t="shared" si="10"/>
        <v>-16084.18</v>
      </c>
      <c r="Q65" s="1009">
        <f t="shared" si="11"/>
        <v>31357.319999999934</v>
      </c>
      <c r="R65" s="991"/>
      <c r="S65" s="45"/>
    </row>
    <row r="66" spans="1:19">
      <c r="A66" s="992">
        <f>IF(AND(B66="",E66=""),"",MAX(A$7:A65)+1)</f>
        <v>51</v>
      </c>
      <c r="B66" s="991" t="str">
        <f>'Rates and Eff Dates'!B67</f>
        <v>HPS-50000 Flood Light Type</v>
      </c>
      <c r="C66" s="354">
        <f>INDEX('Outdoor Lighting Update'!I:I,MATCH($B66,'Outdoor Lighting Update'!O:O,0))</f>
        <v>4031.413281944825</v>
      </c>
      <c r="D66" s="339">
        <f>INDEX('Rates and Eff Dates'!C:C,MATCH($B66,'Rates and Eff Dates'!$B:$B,0))</f>
        <v>33.729999999999997</v>
      </c>
      <c r="E66" s="999">
        <f t="shared" si="6"/>
        <v>135979.56999999893</v>
      </c>
      <c r="F66" s="991"/>
      <c r="G66" s="354">
        <f>ROUND(INDEX('Atrium + Updated Rates'!$E:$E,MATCH($B66,'Atrium + Updated Rates'!$O:$O,0)),0)</f>
        <v>3480</v>
      </c>
      <c r="H66" s="999">
        <f t="shared" si="7"/>
        <v>-18599.169999999998</v>
      </c>
      <c r="I66" s="991"/>
      <c r="J66" s="339">
        <f>INDEX('Rates and Eff Dates'!D:D,MATCH($B66,'Rates and Eff Dates'!$B:$B,0))</f>
        <v>34.700000000000003</v>
      </c>
      <c r="K66" s="999">
        <f t="shared" si="8"/>
        <v>3375.6000000000208</v>
      </c>
      <c r="L66" s="991"/>
      <c r="M66" s="339">
        <f>INDEX('Rates and Eff Dates'!E:E,MATCH($B66,'Rates and Eff Dates'!$B:$B,0))</f>
        <v>34.380000000000003</v>
      </c>
      <c r="N66" s="999">
        <f t="shared" si="9"/>
        <v>-1113.600000000001</v>
      </c>
      <c r="O66" s="991"/>
      <c r="P66" s="1009">
        <f t="shared" si="10"/>
        <v>-16337.169999999978</v>
      </c>
      <c r="Q66" s="1009">
        <f t="shared" si="11"/>
        <v>119642.39999999895</v>
      </c>
      <c r="R66" s="991"/>
      <c r="S66" s="45"/>
    </row>
    <row r="67" spans="1:19" outlineLevel="1">
      <c r="A67" s="992">
        <f>IF(AND(B67="",E67=""),"",MAX(A$7:A66)+1)</f>
        <v>52</v>
      </c>
      <c r="B67" s="358" t="str">
        <f>'Rates and Eff Dates'!A69</f>
        <v>Metal Halide Luminaires</v>
      </c>
      <c r="C67" s="354"/>
      <c r="D67" s="339"/>
      <c r="E67" s="999"/>
      <c r="F67" s="991"/>
      <c r="G67" s="339"/>
      <c r="H67" s="999"/>
      <c r="I67" s="991"/>
      <c r="J67" s="339"/>
      <c r="K67" s="999"/>
      <c r="L67" s="991"/>
      <c r="M67" s="339"/>
      <c r="N67" s="999"/>
      <c r="O67" s="991"/>
      <c r="P67" s="1009"/>
      <c r="Q67" s="1009"/>
      <c r="R67" s="991"/>
      <c r="S67" s="45"/>
    </row>
    <row r="68" spans="1:19" outlineLevel="1">
      <c r="A68" s="992">
        <f>IF(AND(B68="",E68=""),"",MAX(A$7:A67)+1)</f>
        <v>53</v>
      </c>
      <c r="B68" s="991" t="str">
        <f>'Rates and Eff Dates'!B70</f>
        <v>MH-3700 Cobra Head Type</v>
      </c>
      <c r="C68" s="354"/>
      <c r="D68" s="339">
        <f>INDEX('Rates and Eff Dates'!C:C,MATCH($B68,'Rates and Eff Dates'!$B:$B,0))</f>
        <v>16.14</v>
      </c>
      <c r="E68" s="999">
        <f t="shared" ref="E68:E77" si="12">C68*D68</f>
        <v>0</v>
      </c>
      <c r="F68" s="991"/>
      <c r="G68" s="354"/>
      <c r="H68" s="999">
        <f t="shared" ref="H68:H77" si="13">ROUND((G68-C68)*D68,2)</f>
        <v>0</v>
      </c>
      <c r="I68" s="991"/>
      <c r="J68" s="339">
        <f>INDEX('Rates and Eff Dates'!D:D,MATCH($B68,'Rates and Eff Dates'!$B:$B,0))</f>
        <v>16.600000000000001</v>
      </c>
      <c r="K68" s="999">
        <f t="shared" ref="K68:K77" si="14">(J68-D68)*$G68</f>
        <v>0</v>
      </c>
      <c r="L68" s="991"/>
      <c r="M68" s="339">
        <f>INDEX('Rates and Eff Dates'!E:E,MATCH($B68,'Rates and Eff Dates'!$B:$B,0))</f>
        <v>16.440000000000001</v>
      </c>
      <c r="N68" s="999">
        <f t="shared" ref="N68:N77" si="15">(M68-J68)*$G68</f>
        <v>0</v>
      </c>
      <c r="O68" s="991"/>
      <c r="P68" s="1009">
        <f t="shared" ref="P68:P77" si="16">H68+K68+N68</f>
        <v>0</v>
      </c>
      <c r="Q68" s="1009">
        <f t="shared" ref="Q68:Q77" si="17">E68+P68</f>
        <v>0</v>
      </c>
      <c r="R68" s="991"/>
      <c r="S68" s="45"/>
    </row>
    <row r="69" spans="1:19" outlineLevel="1">
      <c r="A69" s="992">
        <f>IF(AND(B69="",E69=""),"",MAX(A$7:A68)+1)</f>
        <v>54</v>
      </c>
      <c r="B69" s="991" t="str">
        <f>'Rates and Eff Dates'!B71</f>
        <v>MH-5000 Cobra Head Type</v>
      </c>
      <c r="C69" s="354"/>
      <c r="D69" s="339">
        <f>INDEX('Rates and Eff Dates'!C:C,MATCH($B69,'Rates and Eff Dates'!$B:$B,0))</f>
        <v>18.440000000000001</v>
      </c>
      <c r="E69" s="999">
        <f t="shared" si="12"/>
        <v>0</v>
      </c>
      <c r="F69" s="991"/>
      <c r="G69" s="354"/>
      <c r="H69" s="999">
        <f t="shared" si="13"/>
        <v>0</v>
      </c>
      <c r="I69" s="991"/>
      <c r="J69" s="339">
        <f>INDEX('Rates and Eff Dates'!D:D,MATCH($B69,'Rates and Eff Dates'!$B:$B,0))</f>
        <v>18.97</v>
      </c>
      <c r="K69" s="999">
        <f t="shared" si="14"/>
        <v>0</v>
      </c>
      <c r="L69" s="991"/>
      <c r="M69" s="339">
        <f>INDEX('Rates and Eff Dates'!E:E,MATCH($B69,'Rates and Eff Dates'!$B:$B,0))</f>
        <v>18.79</v>
      </c>
      <c r="N69" s="999">
        <f t="shared" si="15"/>
        <v>0</v>
      </c>
      <c r="O69" s="991"/>
      <c r="P69" s="1009">
        <f t="shared" si="16"/>
        <v>0</v>
      </c>
      <c r="Q69" s="1009">
        <f t="shared" si="17"/>
        <v>0</v>
      </c>
      <c r="R69" s="991"/>
      <c r="S69" s="45"/>
    </row>
    <row r="70" spans="1:19" outlineLevel="1">
      <c r="A70" s="992">
        <f>IF(AND(B70="",E70=""),"",MAX(A$7:A69)+1)</f>
        <v>55</v>
      </c>
      <c r="B70" s="991" t="str">
        <f>'Rates and Eff Dates'!B72</f>
        <v>MH-10000 Cobra Head Type</v>
      </c>
      <c r="C70" s="354"/>
      <c r="D70" s="339">
        <f>INDEX('Rates and Eff Dates'!C:C,MATCH($B70,'Rates and Eff Dates'!$B:$B,0))</f>
        <v>22.79</v>
      </c>
      <c r="E70" s="999">
        <f t="shared" si="12"/>
        <v>0</v>
      </c>
      <c r="F70" s="991"/>
      <c r="G70" s="354"/>
      <c r="H70" s="999">
        <f t="shared" si="13"/>
        <v>0</v>
      </c>
      <c r="I70" s="991"/>
      <c r="J70" s="339">
        <f>INDEX('Rates and Eff Dates'!D:D,MATCH($B70,'Rates and Eff Dates'!$B:$B,0))</f>
        <v>23.44</v>
      </c>
      <c r="K70" s="999">
        <f t="shared" si="14"/>
        <v>0</v>
      </c>
      <c r="L70" s="991"/>
      <c r="M70" s="339">
        <f>INDEX('Rates and Eff Dates'!E:E,MATCH($B70,'Rates and Eff Dates'!$B:$B,0))</f>
        <v>23.22</v>
      </c>
      <c r="N70" s="999">
        <f t="shared" si="15"/>
        <v>0</v>
      </c>
      <c r="O70" s="991"/>
      <c r="P70" s="1009">
        <f t="shared" si="16"/>
        <v>0</v>
      </c>
      <c r="Q70" s="1009">
        <f t="shared" si="17"/>
        <v>0</v>
      </c>
      <c r="R70" s="991"/>
      <c r="S70" s="45"/>
    </row>
    <row r="71" spans="1:19" outlineLevel="1">
      <c r="A71" s="992">
        <f>IF(AND(B71="",E71=""),"",MAX(A$7:A70)+1)</f>
        <v>56</v>
      </c>
      <c r="B71" s="991" t="str">
        <f>'Rates and Eff Dates'!B73</f>
        <v>MH-3700 Flood Light Type</v>
      </c>
      <c r="C71" s="354"/>
      <c r="D71" s="339">
        <f>INDEX('Rates and Eff Dates'!C:C,MATCH($B71,'Rates and Eff Dates'!$B:$B,0))</f>
        <v>16.48</v>
      </c>
      <c r="E71" s="999">
        <f t="shared" si="12"/>
        <v>0</v>
      </c>
      <c r="F71" s="991"/>
      <c r="G71" s="354"/>
      <c r="H71" s="999">
        <f t="shared" si="13"/>
        <v>0</v>
      </c>
      <c r="I71" s="991"/>
      <c r="J71" s="339">
        <f>INDEX('Rates and Eff Dates'!D:D,MATCH($B71,'Rates and Eff Dates'!$B:$B,0))</f>
        <v>16.95</v>
      </c>
      <c r="K71" s="999">
        <f t="shared" si="14"/>
        <v>0</v>
      </c>
      <c r="L71" s="991"/>
      <c r="M71" s="339">
        <f>INDEX('Rates and Eff Dates'!E:E,MATCH($B71,'Rates and Eff Dates'!$B:$B,0))</f>
        <v>16.79</v>
      </c>
      <c r="N71" s="999">
        <f t="shared" si="15"/>
        <v>0</v>
      </c>
      <c r="O71" s="991"/>
      <c r="P71" s="1009">
        <f t="shared" si="16"/>
        <v>0</v>
      </c>
      <c r="Q71" s="1009">
        <f t="shared" si="17"/>
        <v>0</v>
      </c>
      <c r="R71" s="991"/>
      <c r="S71" s="45"/>
    </row>
    <row r="72" spans="1:19" outlineLevel="1">
      <c r="A72" s="992">
        <f>IF(AND(B72="",E72=""),"",MAX(A$7:A71)+1)</f>
        <v>57</v>
      </c>
      <c r="B72" s="991" t="str">
        <f>'Rates and Eff Dates'!B74</f>
        <v>MH-5000 Flood Light Type</v>
      </c>
      <c r="C72" s="354"/>
      <c r="D72" s="339">
        <f>INDEX('Rates and Eff Dates'!C:C,MATCH($B72,'Rates and Eff Dates'!$B:$B,0))</f>
        <v>19.059999999999999</v>
      </c>
      <c r="E72" s="999">
        <f t="shared" si="12"/>
        <v>0</v>
      </c>
      <c r="F72" s="991"/>
      <c r="G72" s="354"/>
      <c r="H72" s="999">
        <f t="shared" si="13"/>
        <v>0</v>
      </c>
      <c r="I72" s="991"/>
      <c r="J72" s="339">
        <f>INDEX('Rates and Eff Dates'!D:D,MATCH($B72,'Rates and Eff Dates'!$B:$B,0))</f>
        <v>19.61</v>
      </c>
      <c r="K72" s="999">
        <f t="shared" si="14"/>
        <v>0</v>
      </c>
      <c r="L72" s="991"/>
      <c r="M72" s="339">
        <f>INDEX('Rates and Eff Dates'!E:E,MATCH($B72,'Rates and Eff Dates'!$B:$B,0))</f>
        <v>19.43</v>
      </c>
      <c r="N72" s="999">
        <f t="shared" si="15"/>
        <v>0</v>
      </c>
      <c r="O72" s="991"/>
      <c r="P72" s="1009">
        <f t="shared" si="16"/>
        <v>0</v>
      </c>
      <c r="Q72" s="1009">
        <f t="shared" si="17"/>
        <v>0</v>
      </c>
      <c r="R72" s="991"/>
      <c r="S72" s="45"/>
    </row>
    <row r="73" spans="1:19" outlineLevel="1">
      <c r="A73" s="992">
        <f>IF(AND(B73="",E73=""),"",MAX(A$7:A72)+1)</f>
        <v>58</v>
      </c>
      <c r="B73" s="991" t="str">
        <f>'Rates and Eff Dates'!B75</f>
        <v>MH-10000 Flood Light Type</v>
      </c>
      <c r="C73" s="354"/>
      <c r="D73" s="339">
        <f>INDEX('Rates and Eff Dates'!C:C,MATCH($B73,'Rates and Eff Dates'!$B:$B,0))</f>
        <v>22.64</v>
      </c>
      <c r="E73" s="999">
        <f t="shared" si="12"/>
        <v>0</v>
      </c>
      <c r="F73" s="991"/>
      <c r="G73" s="354"/>
      <c r="H73" s="999">
        <f t="shared" si="13"/>
        <v>0</v>
      </c>
      <c r="I73" s="991"/>
      <c r="J73" s="339">
        <f>INDEX('Rates and Eff Dates'!D:D,MATCH($B73,'Rates and Eff Dates'!$B:$B,0))</f>
        <v>23.29</v>
      </c>
      <c r="K73" s="999">
        <f t="shared" si="14"/>
        <v>0</v>
      </c>
      <c r="L73" s="991"/>
      <c r="M73" s="339">
        <f>INDEX('Rates and Eff Dates'!E:E,MATCH($B73,'Rates and Eff Dates'!$B:$B,0))</f>
        <v>23.07</v>
      </c>
      <c r="N73" s="999">
        <f t="shared" si="15"/>
        <v>0</v>
      </c>
      <c r="O73" s="991"/>
      <c r="P73" s="1009">
        <f t="shared" si="16"/>
        <v>0</v>
      </c>
      <c r="Q73" s="1009">
        <f t="shared" si="17"/>
        <v>0</v>
      </c>
      <c r="R73" s="991"/>
      <c r="S73" s="45"/>
    </row>
    <row r="74" spans="1:19" outlineLevel="1">
      <c r="A74" s="992">
        <f>IF(AND(B74="",E74=""),"",MAX(A$7:A73)+1)</f>
        <v>59</v>
      </c>
      <c r="B74" s="991" t="str">
        <f>'Rates and Eff Dates'!B76</f>
        <v>MH-47000 Flood Light Type</v>
      </c>
      <c r="C74" s="354"/>
      <c r="D74" s="339">
        <f>INDEX('Rates and Eff Dates'!C:C,MATCH($B74,'Rates and Eff Dates'!$B:$B,0))</f>
        <v>48.66</v>
      </c>
      <c r="E74" s="999">
        <f t="shared" si="12"/>
        <v>0</v>
      </c>
      <c r="F74" s="991"/>
      <c r="G74" s="354"/>
      <c r="H74" s="999">
        <f t="shared" si="13"/>
        <v>0</v>
      </c>
      <c r="I74" s="991"/>
      <c r="J74" s="339">
        <f>INDEX('Rates and Eff Dates'!D:D,MATCH($B74,'Rates and Eff Dates'!$B:$B,0))</f>
        <v>50.06</v>
      </c>
      <c r="K74" s="999">
        <f t="shared" si="14"/>
        <v>0</v>
      </c>
      <c r="L74" s="991"/>
      <c r="M74" s="339">
        <f>INDEX('Rates and Eff Dates'!E:E,MATCH($B74,'Rates and Eff Dates'!$B:$B,0))</f>
        <v>49.6</v>
      </c>
      <c r="N74" s="999">
        <f t="shared" si="15"/>
        <v>0</v>
      </c>
      <c r="O74" s="991"/>
      <c r="P74" s="1009">
        <f t="shared" si="16"/>
        <v>0</v>
      </c>
      <c r="Q74" s="1009">
        <f t="shared" si="17"/>
        <v>0</v>
      </c>
      <c r="R74" s="991"/>
      <c r="S74" s="45"/>
    </row>
    <row r="75" spans="1:19" outlineLevel="1">
      <c r="A75" s="992">
        <f>IF(AND(B75="",E75=""),"",MAX(A$7:A74)+1)</f>
        <v>60</v>
      </c>
      <c r="B75" s="991" t="str">
        <f>'Rates and Eff Dates'!B77</f>
        <v>MH-3700 Power Bracket Included</v>
      </c>
      <c r="C75" s="354"/>
      <c r="D75" s="339">
        <f>INDEX('Rates and Eff Dates'!C:C,MATCH($B75,'Rates and Eff Dates'!$B:$B,0))</f>
        <v>16.420000000000002</v>
      </c>
      <c r="E75" s="999">
        <f t="shared" si="12"/>
        <v>0</v>
      </c>
      <c r="F75" s="991"/>
      <c r="G75" s="354"/>
      <c r="H75" s="999">
        <f t="shared" si="13"/>
        <v>0</v>
      </c>
      <c r="I75" s="991"/>
      <c r="J75" s="339">
        <f>INDEX('Rates and Eff Dates'!D:D,MATCH($B75,'Rates and Eff Dates'!$B:$B,0))</f>
        <v>16.89</v>
      </c>
      <c r="K75" s="999">
        <f t="shared" si="14"/>
        <v>0</v>
      </c>
      <c r="L75" s="991"/>
      <c r="M75" s="339">
        <f>INDEX('Rates and Eff Dates'!E:E,MATCH($B75,'Rates and Eff Dates'!$B:$B,0))</f>
        <v>16.73</v>
      </c>
      <c r="N75" s="999">
        <f t="shared" si="15"/>
        <v>0</v>
      </c>
      <c r="O75" s="991"/>
      <c r="P75" s="1009">
        <f t="shared" si="16"/>
        <v>0</v>
      </c>
      <c r="Q75" s="1009">
        <f t="shared" si="17"/>
        <v>0</v>
      </c>
      <c r="R75" s="991"/>
      <c r="S75" s="45"/>
    </row>
    <row r="76" spans="1:19" outlineLevel="1">
      <c r="A76" s="992">
        <f>IF(AND(B76="",E76=""),"",MAX(A$7:A75)+1)</f>
        <v>61</v>
      </c>
      <c r="B76" s="991" t="str">
        <f>'Rates and Eff Dates'!B78</f>
        <v>MH-5000 Power Bracket Included</v>
      </c>
      <c r="C76" s="354"/>
      <c r="D76" s="339">
        <f>INDEX('Rates and Eff Dates'!C:C,MATCH($B76,'Rates and Eff Dates'!$B:$B,0))</f>
        <v>18.739999999999998</v>
      </c>
      <c r="E76" s="999">
        <f t="shared" si="12"/>
        <v>0</v>
      </c>
      <c r="F76" s="991"/>
      <c r="G76" s="354"/>
      <c r="H76" s="999">
        <f t="shared" si="13"/>
        <v>0</v>
      </c>
      <c r="I76" s="991"/>
      <c r="J76" s="339">
        <f>INDEX('Rates and Eff Dates'!D:D,MATCH($B76,'Rates and Eff Dates'!$B:$B,0))</f>
        <v>19.28</v>
      </c>
      <c r="K76" s="999">
        <f t="shared" si="14"/>
        <v>0</v>
      </c>
      <c r="L76" s="991"/>
      <c r="M76" s="339">
        <f>INDEX('Rates and Eff Dates'!E:E,MATCH($B76,'Rates and Eff Dates'!$B:$B,0))</f>
        <v>19.100000000000001</v>
      </c>
      <c r="N76" s="999">
        <f t="shared" si="15"/>
        <v>0</v>
      </c>
      <c r="O76" s="991"/>
      <c r="P76" s="1009">
        <f t="shared" si="16"/>
        <v>0</v>
      </c>
      <c r="Q76" s="1009">
        <f t="shared" si="17"/>
        <v>0</v>
      </c>
      <c r="R76" s="991"/>
      <c r="S76" s="45"/>
    </row>
    <row r="77" spans="1:19" outlineLevel="1">
      <c r="A77" s="992">
        <f>IF(AND(B77="",E77=""),"",MAX(A$7:A76)+1)</f>
        <v>62</v>
      </c>
      <c r="B77" s="991" t="str">
        <f>'Rates and Eff Dates'!B79</f>
        <v>MH-10000 Power Bracket Included</v>
      </c>
      <c r="C77" s="354"/>
      <c r="D77" s="339">
        <f>INDEX('Rates and Eff Dates'!C:C,MATCH($B77,'Rates and Eff Dates'!$B:$B,0))</f>
        <v>23.15</v>
      </c>
      <c r="E77" s="999">
        <f t="shared" si="12"/>
        <v>0</v>
      </c>
      <c r="F77" s="991"/>
      <c r="G77" s="354"/>
      <c r="H77" s="999">
        <f t="shared" si="13"/>
        <v>0</v>
      </c>
      <c r="I77" s="991"/>
      <c r="J77" s="339">
        <f>INDEX('Rates and Eff Dates'!D:D,MATCH($B77,'Rates and Eff Dates'!$B:$B,0))</f>
        <v>23.82</v>
      </c>
      <c r="K77" s="999">
        <f t="shared" si="14"/>
        <v>0</v>
      </c>
      <c r="L77" s="991"/>
      <c r="M77" s="339">
        <f>INDEX('Rates and Eff Dates'!E:E,MATCH($B77,'Rates and Eff Dates'!$B:$B,0))</f>
        <v>23.6</v>
      </c>
      <c r="N77" s="999">
        <f t="shared" si="15"/>
        <v>0</v>
      </c>
      <c r="O77" s="991"/>
      <c r="P77" s="1009">
        <f t="shared" si="16"/>
        <v>0</v>
      </c>
      <c r="Q77" s="1009">
        <f t="shared" si="17"/>
        <v>0</v>
      </c>
      <c r="R77" s="991"/>
      <c r="S77" s="45"/>
    </row>
    <row r="78" spans="1:19">
      <c r="A78" s="992">
        <f>IF(AND(B78="",E78=""),"",MAX(A$7:A77)+1)</f>
        <v>63</v>
      </c>
      <c r="B78" s="358" t="str">
        <f>'Rates and Eff Dates'!A81</f>
        <v>Light Emitting Diode Luminaires</v>
      </c>
      <c r="C78" s="354"/>
      <c r="D78" s="339"/>
      <c r="E78" s="999"/>
      <c r="F78" s="991"/>
      <c r="G78" s="339"/>
      <c r="H78" s="999"/>
      <c r="I78" s="991"/>
      <c r="J78" s="339"/>
      <c r="K78" s="999"/>
      <c r="L78" s="991"/>
      <c r="M78" s="339"/>
      <c r="N78" s="999"/>
      <c r="O78" s="991"/>
      <c r="P78" s="1009"/>
      <c r="Q78" s="1009"/>
      <c r="R78" s="991"/>
      <c r="S78" s="45"/>
    </row>
    <row r="79" spans="1:19">
      <c r="A79" s="992">
        <f>IF(AND(B79="",E79=""),"",MAX(A$7:A78)+1)</f>
        <v>64</v>
      </c>
      <c r="B79" s="991" t="str">
        <f>'Rates and Eff Dates'!B82</f>
        <v>LED-3850 Cobra Head Type</v>
      </c>
      <c r="C79" s="354"/>
      <c r="D79" s="339">
        <f>INDEX('Rates and Eff Dates'!C:C,MATCH($B79,'Rates and Eff Dates'!$B:$B,0))</f>
        <v>9.9700000000000006</v>
      </c>
      <c r="E79" s="999">
        <f t="shared" ref="E79:E91" si="18">C79*D79</f>
        <v>0</v>
      </c>
      <c r="F79" s="991"/>
      <c r="G79" s="354"/>
      <c r="H79" s="999">
        <f t="shared" ref="H79:H91" si="19">ROUND((G79-C79)*D79,2)</f>
        <v>0</v>
      </c>
      <c r="I79" s="991"/>
      <c r="J79" s="339">
        <f>INDEX('Rates and Eff Dates'!D:D,MATCH($B79,'Rates and Eff Dates'!$B:$B,0))</f>
        <v>10.25</v>
      </c>
      <c r="K79" s="999">
        <f t="shared" ref="K79:K91" si="20">(J79-D79)*$G79</f>
        <v>0</v>
      </c>
      <c r="L79" s="991"/>
      <c r="M79" s="339">
        <f>INDEX('Rates and Eff Dates'!E:E,MATCH($B79,'Rates and Eff Dates'!$B:$B,0))</f>
        <v>10.15</v>
      </c>
      <c r="N79" s="999">
        <f t="shared" ref="N79:N91" si="21">(M79-J79)*$G79</f>
        <v>0</v>
      </c>
      <c r="O79" s="991"/>
      <c r="P79" s="1009">
        <f t="shared" ref="P79:P91" si="22">H79+K79+N79</f>
        <v>0</v>
      </c>
      <c r="Q79" s="1009">
        <f t="shared" ref="Q79:Q91" si="23">E79+P79</f>
        <v>0</v>
      </c>
      <c r="R79" s="991"/>
      <c r="S79" s="45"/>
    </row>
    <row r="80" spans="1:19">
      <c r="A80" s="992">
        <f>IF(AND(B80="",E80=""),"",MAX(A$7:A79)+1)</f>
        <v>65</v>
      </c>
      <c r="B80" s="991" t="str">
        <f>'Rates and Eff Dates'!B83</f>
        <v>LED-6100 Cobra Head Type</v>
      </c>
      <c r="C80" s="354"/>
      <c r="D80" s="339">
        <f>INDEX('Rates and Eff Dates'!C:C,MATCH($B80,'Rates and Eff Dates'!$B:$B,0))</f>
        <v>11.82</v>
      </c>
      <c r="E80" s="999">
        <f t="shared" si="18"/>
        <v>0</v>
      </c>
      <c r="F80" s="991"/>
      <c r="G80" s="354"/>
      <c r="H80" s="999">
        <f t="shared" si="19"/>
        <v>0</v>
      </c>
      <c r="I80" s="991"/>
      <c r="J80" s="339">
        <f>INDEX('Rates and Eff Dates'!D:D,MATCH($B80,'Rates and Eff Dates'!$B:$B,0))</f>
        <v>12.16</v>
      </c>
      <c r="K80" s="999">
        <f t="shared" si="20"/>
        <v>0</v>
      </c>
      <c r="L80" s="991"/>
      <c r="M80" s="339">
        <f>INDEX('Rates and Eff Dates'!E:E,MATCH($B80,'Rates and Eff Dates'!$B:$B,0))</f>
        <v>12.04</v>
      </c>
      <c r="N80" s="999">
        <f t="shared" si="21"/>
        <v>0</v>
      </c>
      <c r="O80" s="991"/>
      <c r="P80" s="1009">
        <f t="shared" si="22"/>
        <v>0</v>
      </c>
      <c r="Q80" s="1009">
        <f t="shared" si="23"/>
        <v>0</v>
      </c>
      <c r="R80" s="991"/>
      <c r="S80" s="45"/>
    </row>
    <row r="81" spans="1:19">
      <c r="A81" s="992">
        <f>IF(AND(B81="",E81=""),"",MAX(A$7:A80)+1)</f>
        <v>66</v>
      </c>
      <c r="B81" s="991" t="str">
        <f>'Rates and Eff Dates'!B84</f>
        <v>LED-10680 Cobra Head Type</v>
      </c>
      <c r="C81" s="354">
        <f>INDEX('Outdoor Lighting Update'!I:I,MATCH($B81,'Outdoor Lighting Update'!O:O,0))</f>
        <v>83.999999999999986</v>
      </c>
      <c r="D81" s="339">
        <f>INDEX('Rates and Eff Dates'!C:C,MATCH($B81,'Rates and Eff Dates'!$B:$B,0))</f>
        <v>14.82</v>
      </c>
      <c r="E81" s="999">
        <f t="shared" si="18"/>
        <v>1244.8799999999999</v>
      </c>
      <c r="F81" s="991"/>
      <c r="G81" s="354">
        <f>ROUND(INDEX('Atrium + Updated Rates'!$E:$E,MATCH($B81,'Atrium + Updated Rates'!$O:$O,0)),0)</f>
        <v>84</v>
      </c>
      <c r="H81" s="999">
        <f t="shared" si="19"/>
        <v>0</v>
      </c>
      <c r="I81" s="991"/>
      <c r="J81" s="339">
        <f>INDEX('Rates and Eff Dates'!D:D,MATCH($B81,'Rates and Eff Dates'!$B:$B,0))</f>
        <v>15.24</v>
      </c>
      <c r="K81" s="999">
        <f t="shared" si="20"/>
        <v>35.279999999999994</v>
      </c>
      <c r="L81" s="991"/>
      <c r="M81" s="339">
        <f>INDEX('Rates and Eff Dates'!E:E,MATCH($B81,'Rates and Eff Dates'!$B:$B,0))</f>
        <v>15.1</v>
      </c>
      <c r="N81" s="999">
        <f t="shared" si="21"/>
        <v>-11.760000000000048</v>
      </c>
      <c r="O81" s="991"/>
      <c r="P81" s="1009">
        <f t="shared" si="22"/>
        <v>23.519999999999946</v>
      </c>
      <c r="Q81" s="1009">
        <f t="shared" si="23"/>
        <v>1268.3999999999999</v>
      </c>
      <c r="R81" s="991"/>
      <c r="S81" s="45"/>
    </row>
    <row r="82" spans="1:19">
      <c r="A82" s="992">
        <f>IF(AND(B82="",E82=""),"",MAX(A$7:A81)+1)</f>
        <v>67</v>
      </c>
      <c r="B82" s="991" t="str">
        <f>'Rates and Eff Dates'!B85</f>
        <v>LED-20000 Cobra Head Type</v>
      </c>
      <c r="C82" s="354"/>
      <c r="D82" s="339">
        <f>INDEX('Rates and Eff Dates'!C:C,MATCH($B82,'Rates and Eff Dates'!$B:$B,0))</f>
        <v>23.88</v>
      </c>
      <c r="E82" s="999">
        <f t="shared" si="18"/>
        <v>0</v>
      </c>
      <c r="F82" s="991"/>
      <c r="G82" s="354"/>
      <c r="H82" s="999">
        <f t="shared" si="19"/>
        <v>0</v>
      </c>
      <c r="I82" s="991"/>
      <c r="J82" s="339">
        <f>INDEX('Rates and Eff Dates'!D:D,MATCH($B82,'Rates and Eff Dates'!$B:$B,0))</f>
        <v>24.57</v>
      </c>
      <c r="K82" s="999">
        <f t="shared" si="20"/>
        <v>0</v>
      </c>
      <c r="L82" s="991"/>
      <c r="M82" s="339">
        <f>INDEX('Rates and Eff Dates'!E:E,MATCH($B82,'Rates and Eff Dates'!$B:$B,0))</f>
        <v>24.34</v>
      </c>
      <c r="N82" s="999">
        <f t="shared" si="21"/>
        <v>0</v>
      </c>
      <c r="O82" s="991"/>
      <c r="P82" s="1009">
        <f t="shared" si="22"/>
        <v>0</v>
      </c>
      <c r="Q82" s="1009">
        <f t="shared" si="23"/>
        <v>0</v>
      </c>
      <c r="R82" s="991"/>
      <c r="S82" s="45"/>
    </row>
    <row r="83" spans="1:19">
      <c r="A83" s="992">
        <f>IF(AND(B83="",E83=""),"",MAX(A$7:A82)+1)</f>
        <v>68</v>
      </c>
      <c r="B83" s="991" t="str">
        <f>'Rates and Eff Dates'!B86</f>
        <v>LED-4572 Flood Light Type</v>
      </c>
      <c r="C83" s="354"/>
      <c r="D83" s="339">
        <f>INDEX('Rates and Eff Dates'!C:C,MATCH($B83,'Rates and Eff Dates'!$B:$B,0))</f>
        <v>15.59</v>
      </c>
      <c r="E83" s="999">
        <f t="shared" si="18"/>
        <v>0</v>
      </c>
      <c r="F83" s="991"/>
      <c r="G83" s="354"/>
      <c r="H83" s="999">
        <f t="shared" si="19"/>
        <v>0</v>
      </c>
      <c r="I83" s="991"/>
      <c r="J83" s="339">
        <f>INDEX('Rates and Eff Dates'!D:D,MATCH($B83,'Rates and Eff Dates'!$B:$B,0))</f>
        <v>16.04</v>
      </c>
      <c r="K83" s="999">
        <f t="shared" si="20"/>
        <v>0</v>
      </c>
      <c r="L83" s="991"/>
      <c r="M83" s="339">
        <f>INDEX('Rates and Eff Dates'!E:E,MATCH($B83,'Rates and Eff Dates'!$B:$B,0))</f>
        <v>15.89</v>
      </c>
      <c r="N83" s="999">
        <f t="shared" si="21"/>
        <v>0</v>
      </c>
      <c r="O83" s="991"/>
      <c r="P83" s="1009">
        <f t="shared" si="22"/>
        <v>0</v>
      </c>
      <c r="Q83" s="1009">
        <f t="shared" si="23"/>
        <v>0</v>
      </c>
      <c r="R83" s="991"/>
      <c r="S83" s="45"/>
    </row>
    <row r="84" spans="1:19">
      <c r="A84" s="992">
        <f>IF(AND(B84="",E84=""),"",MAX(A$7:A83)+1)</f>
        <v>69</v>
      </c>
      <c r="B84" s="991" t="str">
        <f>'Rates and Eff Dates'!B87</f>
        <v>LED-6810 Flood Light Type</v>
      </c>
      <c r="C84" s="354"/>
      <c r="D84" s="339">
        <f>INDEX('Rates and Eff Dates'!C:C,MATCH($B84,'Rates and Eff Dates'!$B:$B,0))</f>
        <v>16.39</v>
      </c>
      <c r="E84" s="999">
        <f t="shared" si="18"/>
        <v>0</v>
      </c>
      <c r="F84" s="991"/>
      <c r="G84" s="354"/>
      <c r="H84" s="999">
        <f t="shared" si="19"/>
        <v>0</v>
      </c>
      <c r="I84" s="991"/>
      <c r="J84" s="339">
        <f>INDEX('Rates and Eff Dates'!D:D,MATCH($B84,'Rates and Eff Dates'!$B:$B,0))</f>
        <v>16.86</v>
      </c>
      <c r="K84" s="999">
        <f t="shared" si="20"/>
        <v>0</v>
      </c>
      <c r="L84" s="991"/>
      <c r="M84" s="339">
        <f>INDEX('Rates and Eff Dates'!E:E,MATCH($B84,'Rates and Eff Dates'!$B:$B,0))</f>
        <v>16.7</v>
      </c>
      <c r="N84" s="999">
        <f t="shared" si="21"/>
        <v>0</v>
      </c>
      <c r="O84" s="991"/>
      <c r="P84" s="1009">
        <f t="shared" si="22"/>
        <v>0</v>
      </c>
      <c r="Q84" s="1009">
        <f t="shared" si="23"/>
        <v>0</v>
      </c>
      <c r="R84" s="991"/>
      <c r="S84" s="45"/>
    </row>
    <row r="85" spans="1:19">
      <c r="A85" s="992">
        <f>IF(AND(B85="",E85=""),"",MAX(A$7:A84)+1)</f>
        <v>70</v>
      </c>
      <c r="B85" s="991" t="str">
        <f>'Rates and Eff Dates'!B88</f>
        <v>LED-11253 Flood Light Type</v>
      </c>
      <c r="C85" s="354"/>
      <c r="D85" s="339">
        <f>INDEX('Rates and Eff Dates'!C:C,MATCH($B85,'Rates and Eff Dates'!$B:$B,0))</f>
        <v>25.39</v>
      </c>
      <c r="E85" s="999">
        <f t="shared" si="18"/>
        <v>0</v>
      </c>
      <c r="F85" s="991"/>
      <c r="G85" s="354"/>
      <c r="H85" s="999">
        <f t="shared" si="19"/>
        <v>0</v>
      </c>
      <c r="I85" s="991"/>
      <c r="J85" s="339">
        <f>INDEX('Rates and Eff Dates'!D:D,MATCH($B85,'Rates and Eff Dates'!$B:$B,0))</f>
        <v>26.12</v>
      </c>
      <c r="K85" s="999">
        <f t="shared" si="20"/>
        <v>0</v>
      </c>
      <c r="L85" s="991"/>
      <c r="M85" s="339">
        <f>INDEX('Rates and Eff Dates'!E:E,MATCH($B85,'Rates and Eff Dates'!$B:$B,0))</f>
        <v>25.88</v>
      </c>
      <c r="N85" s="999">
        <f t="shared" si="21"/>
        <v>0</v>
      </c>
      <c r="O85" s="991"/>
      <c r="P85" s="1009">
        <f t="shared" si="22"/>
        <v>0</v>
      </c>
      <c r="Q85" s="1009">
        <f t="shared" si="23"/>
        <v>0</v>
      </c>
      <c r="R85" s="991"/>
      <c r="S85" s="45"/>
    </row>
    <row r="86" spans="1:19">
      <c r="A86" s="992">
        <f>IF(AND(B86="",E86=""),"",MAX(A$7:A85)+1)</f>
        <v>71</v>
      </c>
      <c r="B86" s="991" t="str">
        <f>'Rates and Eff Dates'!B89</f>
        <v>LED-15300 Flood Light Type</v>
      </c>
      <c r="C86" s="354"/>
      <c r="D86" s="339">
        <f>INDEX('Rates and Eff Dates'!C:C,MATCH($B86,'Rates and Eff Dates'!$B:$B,0))</f>
        <v>25.3</v>
      </c>
      <c r="E86" s="999">
        <f t="shared" si="18"/>
        <v>0</v>
      </c>
      <c r="F86" s="991"/>
      <c r="G86" s="354"/>
      <c r="H86" s="999">
        <f t="shared" si="19"/>
        <v>0</v>
      </c>
      <c r="I86" s="991"/>
      <c r="J86" s="339">
        <f>INDEX('Rates and Eff Dates'!D:D,MATCH($B86,'Rates and Eff Dates'!$B:$B,0))</f>
        <v>26.03</v>
      </c>
      <c r="K86" s="999">
        <f t="shared" si="20"/>
        <v>0</v>
      </c>
      <c r="L86" s="991"/>
      <c r="M86" s="339">
        <f>INDEX('Rates and Eff Dates'!E:E,MATCH($B86,'Rates and Eff Dates'!$B:$B,0))</f>
        <v>25.79</v>
      </c>
      <c r="N86" s="999">
        <f t="shared" si="21"/>
        <v>0</v>
      </c>
      <c r="O86" s="991"/>
      <c r="P86" s="1009">
        <f t="shared" si="22"/>
        <v>0</v>
      </c>
      <c r="Q86" s="1009">
        <f t="shared" si="23"/>
        <v>0</v>
      </c>
      <c r="R86" s="991"/>
      <c r="S86" s="45"/>
    </row>
    <row r="87" spans="1:19">
      <c r="A87" s="992">
        <f>IF(AND(B87="",E87=""),"",MAX(A$7:A86)+1)</f>
        <v>72</v>
      </c>
      <c r="B87" s="991" t="str">
        <f>'Rates and Eff Dates'!B90</f>
        <v>LED-50403 Flood Light Type</v>
      </c>
      <c r="C87" s="354"/>
      <c r="D87" s="339">
        <f>INDEX('Rates and Eff Dates'!C:C,MATCH($B87,'Rates and Eff Dates'!$B:$B,0))</f>
        <v>54.63</v>
      </c>
      <c r="E87" s="999">
        <f t="shared" si="18"/>
        <v>0</v>
      </c>
      <c r="F87" s="991"/>
      <c r="G87" s="354"/>
      <c r="H87" s="999">
        <f t="shared" si="19"/>
        <v>0</v>
      </c>
      <c r="I87" s="991"/>
      <c r="J87" s="339">
        <f>INDEX('Rates and Eff Dates'!D:D,MATCH($B87,'Rates and Eff Dates'!$B:$B,0))</f>
        <v>56.21</v>
      </c>
      <c r="K87" s="999">
        <f t="shared" si="20"/>
        <v>0</v>
      </c>
      <c r="L87" s="991"/>
      <c r="M87" s="339">
        <f>INDEX('Rates and Eff Dates'!E:E,MATCH($B87,'Rates and Eff Dates'!$B:$B,0))</f>
        <v>55.69</v>
      </c>
      <c r="N87" s="999">
        <f t="shared" si="21"/>
        <v>0</v>
      </c>
      <c r="O87" s="991"/>
      <c r="P87" s="1009">
        <f t="shared" si="22"/>
        <v>0</v>
      </c>
      <c r="Q87" s="1009">
        <f t="shared" si="23"/>
        <v>0</v>
      </c>
      <c r="R87" s="991"/>
      <c r="S87" s="45"/>
    </row>
    <row r="88" spans="1:19">
      <c r="A88" s="992">
        <f>IF(AND(B88="",E88=""),"",MAX(A$7:A87)+1)</f>
        <v>73</v>
      </c>
      <c r="B88" s="991" t="str">
        <f>'Rates and Eff Dates'!B91</f>
        <v>LED-2887 Power Bracket Included</v>
      </c>
      <c r="C88" s="354"/>
      <c r="D88" s="339">
        <f>INDEX('Rates and Eff Dates'!C:C,MATCH($B88,'Rates and Eff Dates'!$B:$B,0))</f>
        <v>10.61</v>
      </c>
      <c r="E88" s="999">
        <f t="shared" si="18"/>
        <v>0</v>
      </c>
      <c r="F88" s="991"/>
      <c r="G88" s="354"/>
      <c r="H88" s="999">
        <f t="shared" si="19"/>
        <v>0</v>
      </c>
      <c r="I88" s="991"/>
      <c r="J88" s="339">
        <f>INDEX('Rates and Eff Dates'!D:D,MATCH($B88,'Rates and Eff Dates'!$B:$B,0))</f>
        <v>10.91</v>
      </c>
      <c r="K88" s="999">
        <f t="shared" si="20"/>
        <v>0</v>
      </c>
      <c r="L88" s="991"/>
      <c r="M88" s="339">
        <f>INDEX('Rates and Eff Dates'!E:E,MATCH($B88,'Rates and Eff Dates'!$B:$B,0))</f>
        <v>10.81</v>
      </c>
      <c r="N88" s="999">
        <f t="shared" si="21"/>
        <v>0</v>
      </c>
      <c r="O88" s="991"/>
      <c r="P88" s="1009">
        <f t="shared" si="22"/>
        <v>0</v>
      </c>
      <c r="Q88" s="1009">
        <f t="shared" si="23"/>
        <v>0</v>
      </c>
      <c r="R88" s="991"/>
      <c r="S88" s="45"/>
    </row>
    <row r="89" spans="1:19">
      <c r="A89" s="992">
        <f>IF(AND(B89="",E89=""),"",MAX(A$7:A88)+1)</f>
        <v>74</v>
      </c>
      <c r="B89" s="991" t="str">
        <f>'Rates and Eff Dates'!B92</f>
        <v>LED-6100 Power Bracket Included</v>
      </c>
      <c r="C89" s="354"/>
      <c r="D89" s="339">
        <f>INDEX('Rates and Eff Dates'!C:C,MATCH($B89,'Rates and Eff Dates'!$B:$B,0))</f>
        <v>11.82</v>
      </c>
      <c r="E89" s="999">
        <f t="shared" si="18"/>
        <v>0</v>
      </c>
      <c r="F89" s="991"/>
      <c r="G89" s="354"/>
      <c r="H89" s="999">
        <f t="shared" si="19"/>
        <v>0</v>
      </c>
      <c r="I89" s="991"/>
      <c r="J89" s="339">
        <f>INDEX('Rates and Eff Dates'!D:D,MATCH($B89,'Rates and Eff Dates'!$B:$B,0))</f>
        <v>12.16</v>
      </c>
      <c r="K89" s="999">
        <f t="shared" si="20"/>
        <v>0</v>
      </c>
      <c r="L89" s="991"/>
      <c r="M89" s="339">
        <f>INDEX('Rates and Eff Dates'!E:E,MATCH($B89,'Rates and Eff Dates'!$B:$B,0))</f>
        <v>12.04</v>
      </c>
      <c r="N89" s="999">
        <f t="shared" si="21"/>
        <v>0</v>
      </c>
      <c r="O89" s="991"/>
      <c r="P89" s="1009">
        <f t="shared" si="22"/>
        <v>0</v>
      </c>
      <c r="Q89" s="1009">
        <f t="shared" si="23"/>
        <v>0</v>
      </c>
      <c r="R89" s="991"/>
      <c r="S89" s="45"/>
    </row>
    <row r="90" spans="1:19">
      <c r="A90" s="992">
        <f>IF(AND(B90="",E90=""),"",MAX(A$7:A89)+1)</f>
        <v>75</v>
      </c>
      <c r="B90" s="991" t="str">
        <f>'Rates and Eff Dates'!B93</f>
        <v>LED-12290 Power Bracket Included</v>
      </c>
      <c r="C90" s="354"/>
      <c r="D90" s="339">
        <f>INDEX('Rates and Eff Dates'!C:C,MATCH($B90,'Rates and Eff Dates'!$B:$B,0))</f>
        <v>17.64</v>
      </c>
      <c r="E90" s="999">
        <f t="shared" si="18"/>
        <v>0</v>
      </c>
      <c r="F90" s="991"/>
      <c r="G90" s="354"/>
      <c r="H90" s="999">
        <f t="shared" si="19"/>
        <v>0</v>
      </c>
      <c r="I90" s="991"/>
      <c r="J90" s="339">
        <f>INDEX('Rates and Eff Dates'!D:D,MATCH($B90,'Rates and Eff Dates'!$B:$B,0))</f>
        <v>18.149999999999999</v>
      </c>
      <c r="K90" s="999">
        <f t="shared" si="20"/>
        <v>0</v>
      </c>
      <c r="L90" s="991"/>
      <c r="M90" s="339">
        <f>INDEX('Rates and Eff Dates'!E:E,MATCH($B90,'Rates and Eff Dates'!$B:$B,0))</f>
        <v>17.98</v>
      </c>
      <c r="N90" s="999">
        <f t="shared" si="21"/>
        <v>0</v>
      </c>
      <c r="O90" s="991"/>
      <c r="P90" s="1009">
        <f t="shared" si="22"/>
        <v>0</v>
      </c>
      <c r="Q90" s="1009">
        <f t="shared" si="23"/>
        <v>0</v>
      </c>
      <c r="R90" s="991"/>
      <c r="S90" s="45"/>
    </row>
    <row r="91" spans="1:19">
      <c r="A91" s="992">
        <f>IF(AND(B91="",E91=""),"",MAX(A$7:A90)+1)</f>
        <v>76</v>
      </c>
      <c r="B91" s="991" t="str">
        <f>'Rates and Eff Dates'!B94</f>
        <v>LED-17200 Power Bracket Included</v>
      </c>
      <c r="C91" s="354"/>
      <c r="D91" s="339">
        <f>INDEX('Rates and Eff Dates'!C:C,MATCH($B91,'Rates and Eff Dates'!$B:$B,0))</f>
        <v>21.06</v>
      </c>
      <c r="E91" s="999">
        <f t="shared" si="18"/>
        <v>0</v>
      </c>
      <c r="F91" s="991"/>
      <c r="G91" s="354"/>
      <c r="H91" s="999">
        <f t="shared" si="19"/>
        <v>0</v>
      </c>
      <c r="I91" s="991"/>
      <c r="J91" s="339">
        <f>INDEX('Rates and Eff Dates'!D:D,MATCH($B91,'Rates and Eff Dates'!$B:$B,0))</f>
        <v>21.66</v>
      </c>
      <c r="K91" s="999">
        <f t="shared" si="20"/>
        <v>0</v>
      </c>
      <c r="L91" s="991"/>
      <c r="M91" s="339">
        <f>INDEX('Rates and Eff Dates'!E:E,MATCH($B91,'Rates and Eff Dates'!$B:$B,0))</f>
        <v>21.46</v>
      </c>
      <c r="N91" s="999">
        <f t="shared" si="21"/>
        <v>0</v>
      </c>
      <c r="O91" s="991"/>
      <c r="P91" s="1009">
        <f t="shared" si="22"/>
        <v>0</v>
      </c>
      <c r="Q91" s="1009">
        <f t="shared" si="23"/>
        <v>0</v>
      </c>
      <c r="R91" s="991"/>
      <c r="S91" s="45"/>
    </row>
    <row r="92" spans="1:19">
      <c r="A92" s="992">
        <f>IF(AND(B92="",E92=""),"",MAX(A$7:A91)+1)</f>
        <v>77</v>
      </c>
      <c r="B92" s="358" t="str">
        <f>'Rates and Eff Dates'!A97</f>
        <v>Ornamental Lighting Luminaires</v>
      </c>
      <c r="C92" s="354"/>
      <c r="D92" s="339"/>
      <c r="E92" s="999"/>
      <c r="F92" s="991"/>
      <c r="G92" s="339"/>
      <c r="H92" s="999"/>
      <c r="I92" s="991"/>
      <c r="J92" s="339"/>
      <c r="K92" s="999"/>
      <c r="L92" s="991"/>
      <c r="M92" s="339"/>
      <c r="N92" s="999"/>
      <c r="O92" s="991"/>
      <c r="P92" s="1009"/>
      <c r="Q92" s="1009"/>
      <c r="R92" s="991"/>
      <c r="S92" s="45"/>
    </row>
    <row r="93" spans="1:19">
      <c r="A93" s="992">
        <f>IF(AND(B93="",E93=""),"",MAX(A$7:A92)+1)</f>
        <v>78</v>
      </c>
      <c r="B93" s="991" t="str">
        <f>'Rates and Eff Dates'!B98</f>
        <v>3300 Street and Highway-Ornament</v>
      </c>
      <c r="C93" s="354">
        <f>INDEX('Outdoor Lighting Update'!I:I,MATCH($B93,'Outdoor Lighting Update'!O:O,0))</f>
        <v>18</v>
      </c>
      <c r="D93" s="339">
        <f>INDEX('Rates and Eff Dates'!C:C,MATCH($B93,'Rates and Eff Dates'!$B:$B,0))</f>
        <v>9.26</v>
      </c>
      <c r="E93" s="28">
        <f>C93*D93</f>
        <v>166.68</v>
      </c>
      <c r="F93" s="369"/>
      <c r="G93" s="354">
        <f>ROUND(INDEX('Atrium + Updated Rates'!$E:$E,MATCH($B93,'Atrium + Updated Rates'!$O:$O,0)),0)</f>
        <v>0</v>
      </c>
      <c r="H93" s="28">
        <f>ROUND((G93-C93)*D93,2)</f>
        <v>-166.68</v>
      </c>
      <c r="I93" s="369"/>
      <c r="J93" s="339">
        <f>INDEX('Rates and Eff Dates'!D:D,MATCH($B93,'Rates and Eff Dates'!$B:$B,0))</f>
        <v>9.52</v>
      </c>
      <c r="K93" s="28">
        <f>(J93-D93)*$G93</f>
        <v>0</v>
      </c>
      <c r="L93" s="369"/>
      <c r="M93" s="339">
        <f>INDEX('Rates and Eff Dates'!E:E,MATCH($B93,'Rates and Eff Dates'!$B:$B,0))</f>
        <v>9.43</v>
      </c>
      <c r="N93" s="28">
        <f>(M93-J93)*$G93</f>
        <v>0</v>
      </c>
      <c r="O93" s="369"/>
      <c r="P93" s="40">
        <f>H93+K93+N93</f>
        <v>-166.68</v>
      </c>
      <c r="Q93" s="40">
        <f>E93+P93</f>
        <v>0</v>
      </c>
      <c r="R93" s="991"/>
      <c r="S93" s="45"/>
    </row>
    <row r="94" spans="1:19">
      <c r="A94" s="992">
        <f>IF(AND(B94="",E94=""),"",MAX(A$7:A93)+1)</f>
        <v>79</v>
      </c>
      <c r="B94" s="358" t="str">
        <f>'Rates and Eff Dates'!A100</f>
        <v>Special Agreement Luminaires</v>
      </c>
      <c r="C94" s="354"/>
      <c r="D94" s="339"/>
      <c r="E94" s="999"/>
      <c r="F94" s="991"/>
      <c r="G94" s="339"/>
      <c r="H94" s="999"/>
      <c r="I94" s="991"/>
      <c r="J94" s="339"/>
      <c r="K94" s="999"/>
      <c r="L94" s="991"/>
      <c r="M94" s="339"/>
      <c r="N94" s="999"/>
      <c r="O94" s="991"/>
      <c r="P94" s="1009"/>
      <c r="Q94" s="1009"/>
      <c r="R94" s="991"/>
      <c r="S94" s="45"/>
    </row>
    <row r="95" spans="1:19">
      <c r="A95" s="992">
        <f>IF(AND(B95="",E95=""),"",MAX(A$7:A94)+1)</f>
        <v>80</v>
      </c>
      <c r="B95" s="991" t="s">
        <v>176</v>
      </c>
      <c r="C95" s="354">
        <f>INDEX('Outdoor Lighting Update'!I:I,MATCH($B95,'Outdoor Lighting Update'!O:O,0))</f>
        <v>1176.5000000000005</v>
      </c>
      <c r="D95" s="339">
        <f>INDEX('Atrium + Updated Rates'!$F:$F,MATCH($B95,'Atrium + Updated Rates'!$O:$O,0))</f>
        <v>7.44</v>
      </c>
      <c r="E95" s="999">
        <f t="shared" ref="E95:E100" si="24">C95*D95</f>
        <v>8753.1600000000035</v>
      </c>
      <c r="F95" s="991"/>
      <c r="G95" s="354">
        <f>ROUND(INDEX('Atrium + Updated Rates'!$E:$E,MATCH($B95,'Atrium + Updated Rates'!$O:$O,0)),0)</f>
        <v>1296</v>
      </c>
      <c r="H95" s="999">
        <f t="shared" ref="H95:H100" si="25">ROUND((G95-C95)*D95,2)</f>
        <v>889.08</v>
      </c>
      <c r="I95" s="991"/>
      <c r="J95" s="339">
        <f>INDEX('Atrium + Updated Rates'!$G:$G,MATCH($B95,'Atrium + Updated Rates'!$O:$O,0))</f>
        <v>7.65</v>
      </c>
      <c r="K95" s="999">
        <f t="shared" ref="K95:K100" si="26">(J95-D95)*$G95</f>
        <v>272.15999999999997</v>
      </c>
      <c r="L95" s="991"/>
      <c r="M95" s="339">
        <f>INDEX('Atrium + Updated Rates'!$H:$H,MATCH($B95,'Atrium + Updated Rates'!$O:$O,0))</f>
        <v>7.58</v>
      </c>
      <c r="N95" s="999">
        <f t="shared" ref="N95:N100" si="27">(M95-J95)*$G95</f>
        <v>-90.720000000000368</v>
      </c>
      <c r="O95" s="991"/>
      <c r="P95" s="1009">
        <f t="shared" ref="P95:P100" si="28">H95+K95+N95</f>
        <v>1070.5199999999995</v>
      </c>
      <c r="Q95" s="1009">
        <f t="shared" ref="Q95:Q100" si="29">E95+P95</f>
        <v>9823.6800000000039</v>
      </c>
      <c r="R95" s="991"/>
      <c r="S95" s="45"/>
    </row>
    <row r="96" spans="1:19">
      <c r="A96" s="992">
        <f>IF(AND(B96="",E96=""),"",MAX(A$7:A95)+1)</f>
        <v>81</v>
      </c>
      <c r="B96" s="991" t="s">
        <v>177</v>
      </c>
      <c r="C96" s="354">
        <f>INDEX('Outdoor Lighting Update'!I:I,MATCH($B96,'Outdoor Lighting Update'!O:O,0))</f>
        <v>48.466504263093789</v>
      </c>
      <c r="D96" s="339">
        <f>INDEX('Atrium + Updated Rates'!$F:$F,MATCH($B96,'Atrium + Updated Rates'!$O:$O,0))</f>
        <v>8.2100000000000009</v>
      </c>
      <c r="E96" s="999">
        <f t="shared" si="24"/>
        <v>397.91</v>
      </c>
      <c r="F96" s="991"/>
      <c r="G96" s="354">
        <f>ROUND(INDEX('Atrium + Updated Rates'!$E:$E,MATCH($B96,'Atrium + Updated Rates'!$O:$O,0)),0)</f>
        <v>138</v>
      </c>
      <c r="H96" s="999">
        <f t="shared" si="25"/>
        <v>735.07</v>
      </c>
      <c r="I96" s="991"/>
      <c r="J96" s="339">
        <f>INDEX('Atrium + Updated Rates'!$G:$G,MATCH($B96,'Atrium + Updated Rates'!$O:$O,0))</f>
        <v>8.44</v>
      </c>
      <c r="K96" s="999">
        <f t="shared" si="26"/>
        <v>31.739999999999814</v>
      </c>
      <c r="L96" s="991"/>
      <c r="M96" s="339">
        <f>INDEX('Atrium + Updated Rates'!$H:$H,MATCH($B96,'Atrium + Updated Rates'!$O:$O,0))</f>
        <v>8.36</v>
      </c>
      <c r="N96" s="999">
        <f t="shared" si="27"/>
        <v>-11.04000000000001</v>
      </c>
      <c r="O96" s="991"/>
      <c r="P96" s="1009">
        <f t="shared" si="28"/>
        <v>755.76999999999987</v>
      </c>
      <c r="Q96" s="1009">
        <f t="shared" si="29"/>
        <v>1153.6799999999998</v>
      </c>
      <c r="R96" s="991"/>
      <c r="S96" s="45"/>
    </row>
    <row r="97" spans="1:19">
      <c r="A97" s="992">
        <f>IF(AND(B97="",E97=""),"",MAX(A$7:A96)+1)</f>
        <v>82</v>
      </c>
      <c r="B97" s="991" t="s">
        <v>178</v>
      </c>
      <c r="C97" s="354">
        <f>INDEX('Outdoor Lighting Update'!I:I,MATCH($B97,'Outdoor Lighting Update'!O:O,0))</f>
        <v>180</v>
      </c>
      <c r="D97" s="339">
        <f>INDEX('Atrium + Updated Rates'!$F:$F,MATCH($B97,'Atrium + Updated Rates'!$O:$O,0))</f>
        <v>8.49</v>
      </c>
      <c r="E97" s="999">
        <f t="shared" si="24"/>
        <v>1528.2</v>
      </c>
      <c r="F97" s="991"/>
      <c r="G97" s="354">
        <f>ROUND(INDEX('Atrium + Updated Rates'!$E:$E,MATCH($B97,'Atrium + Updated Rates'!$O:$O,0)),0)</f>
        <v>180</v>
      </c>
      <c r="H97" s="999">
        <f t="shared" si="25"/>
        <v>0</v>
      </c>
      <c r="I97" s="991"/>
      <c r="J97" s="339">
        <f>INDEX('Atrium + Updated Rates'!$G:$G,MATCH($B97,'Atrium + Updated Rates'!$O:$O,0))</f>
        <v>8.73</v>
      </c>
      <c r="K97" s="999">
        <f t="shared" si="26"/>
        <v>43.200000000000038</v>
      </c>
      <c r="L97" s="991"/>
      <c r="M97" s="339">
        <f>INDEX('Atrium + Updated Rates'!$H:$H,MATCH($B97,'Atrium + Updated Rates'!$O:$O,0))</f>
        <v>8.65</v>
      </c>
      <c r="N97" s="999">
        <f t="shared" si="27"/>
        <v>-14.400000000000013</v>
      </c>
      <c r="O97" s="991"/>
      <c r="P97" s="1009">
        <f t="shared" si="28"/>
        <v>28.800000000000026</v>
      </c>
      <c r="Q97" s="1009">
        <f t="shared" si="29"/>
        <v>1557</v>
      </c>
      <c r="R97" s="991"/>
      <c r="S97" s="45"/>
    </row>
    <row r="98" spans="1:19">
      <c r="A98" s="992">
        <f>IF(AND(B98="",E98=""),"",MAX(A$7:A97)+1)</f>
        <v>83</v>
      </c>
      <c r="B98" s="991" t="s">
        <v>179</v>
      </c>
      <c r="C98" s="354">
        <f>INDEX('Outdoor Lighting Update'!I:I,MATCH($B98,'Outdoor Lighting Update'!O:O,0))</f>
        <v>17.699761715647341</v>
      </c>
      <c r="D98" s="339">
        <f>INDEX('Atrium + Updated Rates'!$F:$F,MATCH($B98,'Atrium + Updated Rates'!$O:$O,0))</f>
        <v>12.59</v>
      </c>
      <c r="E98" s="999">
        <f t="shared" si="24"/>
        <v>222.84000000000003</v>
      </c>
      <c r="F98" s="991"/>
      <c r="G98" s="354">
        <f>ROUND(INDEX('Atrium + Updated Rates'!$E:$E,MATCH($B98,'Atrium + Updated Rates'!$O:$O,0)),0)</f>
        <v>12</v>
      </c>
      <c r="H98" s="999">
        <f t="shared" si="25"/>
        <v>-71.760000000000005</v>
      </c>
      <c r="I98" s="991"/>
      <c r="J98" s="339">
        <f>INDEX('Atrium + Updated Rates'!$G:$G,MATCH($B98,'Atrium + Updated Rates'!$O:$O,0))</f>
        <v>12.95</v>
      </c>
      <c r="K98" s="999">
        <f t="shared" si="26"/>
        <v>4.3199999999999932</v>
      </c>
      <c r="L98" s="991"/>
      <c r="M98" s="339">
        <f>INDEX('Atrium + Updated Rates'!$H:$H,MATCH($B98,'Atrium + Updated Rates'!$O:$O,0))</f>
        <v>12.83</v>
      </c>
      <c r="N98" s="999">
        <f t="shared" si="27"/>
        <v>-1.4399999999999906</v>
      </c>
      <c r="O98" s="991"/>
      <c r="P98" s="1009">
        <f t="shared" si="28"/>
        <v>-68.88</v>
      </c>
      <c r="Q98" s="1009">
        <f t="shared" si="29"/>
        <v>153.96000000000004</v>
      </c>
      <c r="R98" s="991"/>
      <c r="S98" s="45"/>
    </row>
    <row r="99" spans="1:19">
      <c r="A99" s="992">
        <f>IF(AND(B99="",E99=""),"",MAX(A$7:A98)+1)</f>
        <v>84</v>
      </c>
      <c r="B99" s="991" t="s">
        <v>180</v>
      </c>
      <c r="C99" s="354">
        <f>INDEX('Outdoor Lighting Update'!I:I,MATCH($B99,'Outdoor Lighting Update'!O:O,0))</f>
        <v>626.42770270270216</v>
      </c>
      <c r="D99" s="339">
        <f>INDEX('Atrium + Updated Rates'!$F:$F,MATCH($B99,'Atrium + Updated Rates'!$O:$O,0))</f>
        <v>14.8</v>
      </c>
      <c r="E99" s="999">
        <f t="shared" si="24"/>
        <v>9271.1299999999919</v>
      </c>
      <c r="F99" s="991"/>
      <c r="G99" s="354">
        <f>ROUND(INDEX('Atrium + Updated Rates'!$E:$E,MATCH($B99,'Atrium + Updated Rates'!$O:$O,0)),0)</f>
        <v>1448</v>
      </c>
      <c r="H99" s="999">
        <f t="shared" si="25"/>
        <v>12159.27</v>
      </c>
      <c r="I99" s="991"/>
      <c r="J99" s="339">
        <f>INDEX('Atrium + Updated Rates'!$G:$G,MATCH($B99,'Atrium + Updated Rates'!$O:$O,0))</f>
        <v>15.22</v>
      </c>
      <c r="K99" s="999">
        <f t="shared" si="26"/>
        <v>608.15999999999985</v>
      </c>
      <c r="L99" s="991"/>
      <c r="M99" s="339">
        <f>INDEX('Atrium + Updated Rates'!$H:$H,MATCH($B99,'Atrium + Updated Rates'!$O:$O,0))</f>
        <v>15.08</v>
      </c>
      <c r="N99" s="999">
        <f t="shared" si="27"/>
        <v>-202.72000000000082</v>
      </c>
      <c r="O99" s="991"/>
      <c r="P99" s="1009">
        <f t="shared" si="28"/>
        <v>12564.71</v>
      </c>
      <c r="Q99" s="1009">
        <f t="shared" si="29"/>
        <v>21835.839999999989</v>
      </c>
      <c r="R99" s="991"/>
      <c r="S99" s="45"/>
    </row>
    <row r="100" spans="1:19">
      <c r="A100" s="992">
        <f>IF(AND(B100="",E100=""),"",MAX(A$7:A99)+1)</f>
        <v>85</v>
      </c>
      <c r="B100" s="991" t="s">
        <v>181</v>
      </c>
      <c r="C100" s="354">
        <f>INDEX('Outdoor Lighting Update'!I:I,MATCH($B100,'Outdoor Lighting Update'!O:O,0))</f>
        <v>12</v>
      </c>
      <c r="D100" s="339">
        <f>INDEX('Atrium + Updated Rates'!$F:$F,MATCH($B100,'Atrium + Updated Rates'!$O:$O,0))</f>
        <v>25.29</v>
      </c>
      <c r="E100" s="999">
        <f t="shared" si="24"/>
        <v>303.48</v>
      </c>
      <c r="F100" s="991"/>
      <c r="G100" s="354">
        <f>ROUND(INDEX('Atrium + Updated Rates'!$E:$E,MATCH($B100,'Atrium + Updated Rates'!$O:$O,0)),0)</f>
        <v>12</v>
      </c>
      <c r="H100" s="999">
        <f t="shared" si="25"/>
        <v>0</v>
      </c>
      <c r="I100" s="991"/>
      <c r="J100" s="339">
        <f>INDEX('Atrium + Updated Rates'!$G:$G,MATCH($B100,'Atrium + Updated Rates'!$O:$O,0))</f>
        <v>26.02</v>
      </c>
      <c r="K100" s="999">
        <f t="shared" si="26"/>
        <v>8.7600000000000051</v>
      </c>
      <c r="L100" s="991"/>
      <c r="M100" s="339">
        <f>INDEX('Atrium + Updated Rates'!$H:$H,MATCH($B100,'Atrium + Updated Rates'!$O:$O,0))</f>
        <v>25.79</v>
      </c>
      <c r="N100" s="999">
        <f t="shared" si="27"/>
        <v>-2.7600000000000051</v>
      </c>
      <c r="O100" s="991"/>
      <c r="P100" s="1009">
        <f t="shared" si="28"/>
        <v>6</v>
      </c>
      <c r="Q100" s="1009">
        <f t="shared" si="29"/>
        <v>309.48</v>
      </c>
      <c r="R100" s="991"/>
      <c r="S100" s="45"/>
    </row>
    <row r="101" spans="1:19">
      <c r="A101" s="992" t="str">
        <f>IF(AND(B101="",E101=""),"",MAX(A$7:A100)+1)</f>
        <v/>
      </c>
      <c r="B101" s="357"/>
      <c r="C101" s="354"/>
      <c r="D101" s="339"/>
      <c r="E101" s="999"/>
      <c r="F101" s="991"/>
      <c r="G101" s="339"/>
      <c r="H101" s="999"/>
      <c r="I101" s="991"/>
      <c r="J101" s="339"/>
      <c r="K101" s="999"/>
      <c r="L101" s="991"/>
      <c r="M101" s="339"/>
      <c r="N101" s="999"/>
      <c r="O101" s="991"/>
      <c r="P101" s="1009"/>
      <c r="Q101" s="1009"/>
      <c r="R101" s="991"/>
      <c r="S101" s="45"/>
    </row>
    <row r="102" spans="1:19" ht="16.2">
      <c r="A102" s="992">
        <f>IF(AND(B102="",E102=""),"",MAX(A$7:A101)+1)</f>
        <v>86</v>
      </c>
      <c r="B102" s="991" t="s">
        <v>529</v>
      </c>
      <c r="C102" s="354"/>
      <c r="D102" s="339"/>
      <c r="E102" s="46">
        <f>'Outdoor Lighting Update'!H28+'Outdoor Lighting Update'!H30</f>
        <v>1690.29</v>
      </c>
      <c r="F102" s="991"/>
      <c r="G102" s="339"/>
      <c r="H102" s="46">
        <f>(G102-A102)*$C102</f>
        <v>0</v>
      </c>
      <c r="I102" s="991"/>
      <c r="J102" s="339"/>
      <c r="K102" s="46">
        <f>(J102-D102)*$G102</f>
        <v>0</v>
      </c>
      <c r="L102" s="991"/>
      <c r="M102" s="339"/>
      <c r="N102" s="46">
        <f>(M102-J102)*$G102</f>
        <v>0</v>
      </c>
      <c r="O102" s="1003"/>
      <c r="P102" s="43">
        <f>H102+K102+N102</f>
        <v>0</v>
      </c>
      <c r="Q102" s="43">
        <f>E102+P102</f>
        <v>1690.29</v>
      </c>
      <c r="R102" s="991"/>
      <c r="S102" s="45"/>
    </row>
    <row r="103" spans="1:19">
      <c r="A103" s="992">
        <f>IF(AND(B103="",E103=""),"",MAX(A$7:A102)+1)</f>
        <v>87</v>
      </c>
      <c r="B103" s="991"/>
      <c r="C103" s="339"/>
      <c r="D103" s="339"/>
      <c r="E103" s="1003">
        <f>SUBTOTAL(9,E53:E102)</f>
        <v>311202.6899999989</v>
      </c>
      <c r="F103" s="991"/>
      <c r="G103" s="991"/>
      <c r="H103" s="1003">
        <f>SUBTOTAL(9,H53:H102)</f>
        <v>-65403.499999999971</v>
      </c>
      <c r="I103" s="991"/>
      <c r="J103" s="991"/>
      <c r="K103" s="1003">
        <f>SUBTOTAL(9,K53:K102)</f>
        <v>7000.7400000000234</v>
      </c>
      <c r="L103" s="991"/>
      <c r="M103" s="339"/>
      <c r="N103" s="1003">
        <f>SUBTOTAL(9,N53:N102)</f>
        <v>-2322.0800000000017</v>
      </c>
      <c r="O103" s="1003"/>
      <c r="P103" s="1003">
        <f>SUBTOTAL(9,P53:P102)</f>
        <v>-60724.83999999996</v>
      </c>
      <c r="Q103" s="1003">
        <f>SUBTOTAL(9,Q53:Q102)</f>
        <v>250477.84999999893</v>
      </c>
      <c r="R103" s="991"/>
      <c r="S103" s="45"/>
    </row>
    <row r="104" spans="1:19">
      <c r="A104" s="992" t="str">
        <f>IF(AND(B104="",E104=""),"",MAX(A$7:A103)+1)</f>
        <v/>
      </c>
      <c r="B104" s="991"/>
      <c r="C104" s="339"/>
      <c r="D104" s="339"/>
      <c r="E104" s="1003"/>
      <c r="F104" s="991"/>
      <c r="G104" s="991"/>
      <c r="H104" s="1003"/>
      <c r="I104" s="991"/>
      <c r="J104" s="991"/>
      <c r="K104" s="1003"/>
      <c r="L104" s="991"/>
      <c r="M104" s="339"/>
      <c r="N104" s="1003"/>
      <c r="O104" s="1003"/>
      <c r="P104" s="1003"/>
      <c r="Q104" s="1003"/>
      <c r="R104" s="991"/>
      <c r="S104" s="45"/>
    </row>
    <row r="105" spans="1:19">
      <c r="A105" s="992">
        <f>IF(AND(B105="",E105=""),"",MAX(A$7:A104)+1)</f>
        <v>88</v>
      </c>
      <c r="B105" s="991" t="s">
        <v>530</v>
      </c>
      <c r="C105" s="999">
        <f>'Outdoor Lighting Update'!G32</f>
        <v>1307234</v>
      </c>
      <c r="D105" s="339"/>
      <c r="E105" s="1003"/>
      <c r="F105" s="991"/>
      <c r="G105" s="999">
        <f>'Atrium + Updated Rates'!M30</f>
        <v>1041430.8909952607</v>
      </c>
      <c r="H105" s="1003"/>
      <c r="I105" s="991"/>
      <c r="J105" s="991"/>
      <c r="K105" s="1003"/>
      <c r="L105" s="991"/>
      <c r="M105" s="339"/>
      <c r="N105" s="1003"/>
      <c r="O105" s="1003"/>
      <c r="P105" s="1003"/>
      <c r="Q105" s="1003"/>
      <c r="R105" s="991"/>
      <c r="S105" s="45"/>
    </row>
    <row r="106" spans="1:19">
      <c r="A106" s="992" t="str">
        <f>IF(AND(B106="",E106=""),"",MAX(A$7:A105)+1)</f>
        <v/>
      </c>
      <c r="B106" s="991"/>
      <c r="C106" s="991"/>
      <c r="D106" s="339"/>
      <c r="E106" s="1005"/>
      <c r="F106" s="991"/>
      <c r="G106" s="991"/>
      <c r="H106" s="1005"/>
      <c r="I106" s="991"/>
      <c r="J106" s="991"/>
      <c r="K106" s="1005"/>
      <c r="L106" s="991"/>
      <c r="M106" s="339"/>
      <c r="N106" s="1005"/>
      <c r="O106" s="1003"/>
      <c r="P106" s="1005"/>
      <c r="Q106" s="1004"/>
      <c r="R106" s="991"/>
      <c r="S106" s="45"/>
    </row>
    <row r="107" spans="1:19">
      <c r="A107" s="992">
        <f>IF(AND(B107="",E107=""),"",MAX(A$7:A106)+1)</f>
        <v>89</v>
      </c>
      <c r="B107" s="27" t="s">
        <v>212</v>
      </c>
      <c r="C107" s="991"/>
      <c r="D107" s="991"/>
      <c r="E107" s="991"/>
      <c r="F107" s="991"/>
      <c r="G107" s="991"/>
      <c r="H107" s="1003"/>
      <c r="I107" s="991"/>
      <c r="J107" s="991"/>
      <c r="K107" s="1003"/>
      <c r="L107" s="991"/>
      <c r="M107" s="991"/>
      <c r="N107" s="1003"/>
      <c r="O107" s="1003"/>
      <c r="P107" s="1003"/>
      <c r="Q107" s="1003"/>
      <c r="R107" s="1003"/>
      <c r="S107" s="45"/>
    </row>
    <row r="108" spans="1:19">
      <c r="A108" s="992">
        <f>IF(AND(B108="",E108=""),"",MAX(A$7:A107)+1)</f>
        <v>90</v>
      </c>
      <c r="B108" s="998" t="s">
        <v>531</v>
      </c>
      <c r="C108" s="999">
        <f>'Outdoor Lighting Update'!I45</f>
        <v>36192</v>
      </c>
      <c r="D108" s="339">
        <f>INDEX('Rates and Eff Dates'!$C$9:$C$17,MATCH(LEFT($B107,3),'Rates and Eff Dates'!$A$9:$A$17,0))</f>
        <v>0</v>
      </c>
      <c r="E108" s="1000">
        <f>D108*C108</f>
        <v>0</v>
      </c>
      <c r="F108" s="991"/>
      <c r="G108" s="999">
        <f>SUM('Customer Owned Lights'!C5:C14)*12</f>
        <v>39420</v>
      </c>
      <c r="H108" s="1000">
        <f>ROUND((G108-C108)*D108,2)</f>
        <v>0</v>
      </c>
      <c r="I108" s="991"/>
      <c r="J108" s="339">
        <f>INDEX('Rates and Eff Dates'!$C$24:$C$32,MATCH(LEFT($B107,3),'Rates and Eff Dates'!$A$24:$A$32,0))</f>
        <v>0</v>
      </c>
      <c r="K108" s="1000">
        <f>(J108-D108)*$G108</f>
        <v>0</v>
      </c>
      <c r="L108" s="991"/>
      <c r="M108" s="339">
        <f>INDEX('Rates and Eff Dates'!$C$39:$C$47,MATCH(LEFT($B107,3),'Rates and Eff Dates'!$A$39:$A$47,0))</f>
        <v>0</v>
      </c>
      <c r="N108" s="1000">
        <f>(M108-J108)*$G108</f>
        <v>0</v>
      </c>
      <c r="O108" s="1001"/>
      <c r="P108" s="1002">
        <f>H108+K108+N108</f>
        <v>0</v>
      </c>
      <c r="Q108" s="1002">
        <f>E108+P108</f>
        <v>0</v>
      </c>
      <c r="R108" s="1013"/>
      <c r="S108" s="45"/>
    </row>
    <row r="109" spans="1:19" ht="16.2">
      <c r="A109" s="992">
        <f>IF(AND(B109="",E109=""),"",MAX(A$7:A108)+1)</f>
        <v>91</v>
      </c>
      <c r="B109" s="998" t="s">
        <v>532</v>
      </c>
      <c r="C109" s="999">
        <f>'Outdoor Lighting Update'!G45</f>
        <v>498941</v>
      </c>
      <c r="D109" s="350">
        <f>INDEX('Rates and Eff Dates'!$D$9:$D$17,MATCH(LEFT($B107,3),'Rates and Eff Dates'!$A$9:$A$17,0))</f>
        <v>6.3070000000000001E-2</v>
      </c>
      <c r="E109" s="46">
        <f>D109*C109</f>
        <v>31468.208870000002</v>
      </c>
      <c r="F109" s="991"/>
      <c r="G109" s="999">
        <f>SUM('Customer Owned Lights'!E5:E14)</f>
        <v>593942.4</v>
      </c>
      <c r="H109" s="46">
        <f>ROUND((G109-C109)*D109,2)</f>
        <v>5991.74</v>
      </c>
      <c r="I109" s="991"/>
      <c r="J109" s="350">
        <f>INDEX('Rates and Eff Dates'!$D$24:$D$32,MATCH(LEFT($B107,3),'Rates and Eff Dates'!$A$24:$A$32,0))</f>
        <v>6.4890000000000003E-2</v>
      </c>
      <c r="K109" s="46">
        <f>(J109-D109)*$G109</f>
        <v>1080.9751680000013</v>
      </c>
      <c r="L109" s="991"/>
      <c r="M109" s="350">
        <f>INDEX('Rates and Eff Dates'!$D$39:$D$47,MATCH(LEFT($B107,3),'Rates and Eff Dates'!$A$39:$A$47,0))</f>
        <v>6.429E-2</v>
      </c>
      <c r="N109" s="46">
        <f>(M109-J109)*$G109</f>
        <v>-356.36544000000197</v>
      </c>
      <c r="O109" s="1001"/>
      <c r="P109" s="43">
        <f>H109+K109+N109</f>
        <v>6716.3497279999983</v>
      </c>
      <c r="Q109" s="43">
        <f>E109+P109</f>
        <v>38184.558598000003</v>
      </c>
      <c r="R109" s="1003"/>
      <c r="S109" s="45"/>
    </row>
    <row r="110" spans="1:19">
      <c r="A110" s="992">
        <f>IF(AND(B110="",E110=""),"",MAX(A$7:A109)+1)</f>
        <v>92</v>
      </c>
      <c r="B110" s="991"/>
      <c r="C110" s="991"/>
      <c r="D110" s="350"/>
      <c r="E110" s="1003">
        <f>SUBTOTAL(9,E108:E109)</f>
        <v>31468.208870000002</v>
      </c>
      <c r="F110" s="991"/>
      <c r="G110" s="991"/>
      <c r="H110" s="1003">
        <f>SUBTOTAL(9,H108:H109)</f>
        <v>5991.74</v>
      </c>
      <c r="I110" s="991"/>
      <c r="J110" s="991"/>
      <c r="K110" s="1005">
        <f>SUBTOTAL(9,K108:K109)</f>
        <v>1080.9751680000013</v>
      </c>
      <c r="L110" s="991"/>
      <c r="M110" s="350"/>
      <c r="N110" s="1005">
        <f>SUBTOTAL(9,N108:N109)</f>
        <v>-356.36544000000197</v>
      </c>
      <c r="O110" s="1003"/>
      <c r="P110" s="1003">
        <f>SUBTOTAL(9,P108:P109)</f>
        <v>6716.3497279999983</v>
      </c>
      <c r="Q110" s="1003">
        <f>SUBTOTAL(9,Q108:Q109)</f>
        <v>38184.558598000003</v>
      </c>
      <c r="R110" s="991"/>
      <c r="S110" s="45"/>
    </row>
    <row r="111" spans="1:19">
      <c r="A111" s="992" t="str">
        <f>IF(AND(B111="",E111=""),"",MAX(A$7:A110)+1)</f>
        <v/>
      </c>
      <c r="B111" s="991"/>
      <c r="C111" s="991"/>
      <c r="D111" s="350"/>
      <c r="E111" s="1003"/>
      <c r="F111" s="991"/>
      <c r="G111" s="991"/>
      <c r="H111" s="1005"/>
      <c r="I111" s="991"/>
      <c r="J111" s="991"/>
      <c r="K111" s="1005"/>
      <c r="L111" s="991"/>
      <c r="M111" s="350"/>
      <c r="N111" s="1005"/>
      <c r="O111" s="1003"/>
      <c r="P111" s="1003"/>
      <c r="Q111" s="1003"/>
      <c r="R111" s="991"/>
      <c r="S111" s="45"/>
    </row>
    <row r="112" spans="1:19">
      <c r="A112" s="988"/>
      <c r="B112" s="988" t="s">
        <v>34</v>
      </c>
      <c r="C112" s="988"/>
      <c r="D112" s="988"/>
      <c r="E112" s="988"/>
      <c r="F112" s="988"/>
      <c r="G112" s="988"/>
      <c r="H112" s="988"/>
      <c r="I112" s="988"/>
      <c r="J112" s="988"/>
      <c r="K112" s="988"/>
      <c r="L112" s="988"/>
      <c r="M112" s="988"/>
      <c r="N112" s="988"/>
      <c r="O112" s="988"/>
      <c r="P112" s="1014"/>
      <c r="Q112" s="1014"/>
      <c r="R112" s="996"/>
      <c r="S112" s="991"/>
    </row>
    <row r="113" spans="1:19">
      <c r="A113" s="988"/>
      <c r="B113" s="988" t="s">
        <v>34</v>
      </c>
      <c r="C113" s="988"/>
      <c r="D113" s="988"/>
      <c r="E113" s="988"/>
      <c r="F113" s="988"/>
      <c r="G113" s="988"/>
      <c r="H113" s="988"/>
      <c r="I113" s="988"/>
      <c r="J113" s="988"/>
      <c r="K113" s="988"/>
      <c r="L113" s="988"/>
      <c r="M113" s="988"/>
      <c r="N113" s="988"/>
      <c r="O113" s="988"/>
      <c r="P113" s="1014"/>
      <c r="Q113" s="1014"/>
      <c r="R113" s="996"/>
      <c r="S113" s="991"/>
    </row>
    <row r="114" spans="1:19">
      <c r="A114" s="988"/>
      <c r="B114" s="988" t="s">
        <v>34</v>
      </c>
      <c r="C114" s="988"/>
      <c r="D114" s="988"/>
      <c r="E114" s="988"/>
      <c r="F114" s="988"/>
      <c r="G114" s="988"/>
      <c r="H114" s="988"/>
      <c r="I114" s="988"/>
      <c r="J114" s="988"/>
      <c r="K114" s="988"/>
      <c r="L114" s="988"/>
      <c r="M114" s="988"/>
      <c r="N114" s="988"/>
      <c r="O114" s="988"/>
      <c r="P114" s="1014"/>
      <c r="Q114" s="1014"/>
      <c r="R114" s="996"/>
      <c r="S114" s="991"/>
    </row>
    <row r="117" spans="1:19">
      <c r="A117" s="991"/>
      <c r="B117" s="991"/>
      <c r="C117" s="991"/>
      <c r="D117" s="991"/>
      <c r="E117" s="991"/>
      <c r="F117" s="991"/>
      <c r="G117" s="991"/>
      <c r="H117" s="991"/>
      <c r="I117" s="991"/>
      <c r="J117" s="991"/>
      <c r="K117" s="991"/>
      <c r="L117" s="991"/>
      <c r="M117" s="991"/>
      <c r="N117" s="991"/>
      <c r="O117" s="991"/>
      <c r="P117" s="991"/>
      <c r="Q117" s="991"/>
      <c r="R117" s="991"/>
      <c r="S117" s="45"/>
    </row>
    <row r="118" spans="1:19">
      <c r="A118" s="991"/>
      <c r="B118" s="991"/>
      <c r="C118" s="991"/>
      <c r="D118" s="991"/>
      <c r="E118" s="991"/>
      <c r="F118" s="991"/>
      <c r="G118" s="991"/>
      <c r="H118" s="991"/>
      <c r="I118" s="991"/>
      <c r="J118" s="991"/>
      <c r="K118" s="991"/>
      <c r="L118" s="991"/>
      <c r="M118" s="991"/>
      <c r="N118" s="991"/>
      <c r="O118" s="991"/>
      <c r="P118" s="991"/>
      <c r="Q118" s="991"/>
      <c r="R118" s="991"/>
      <c r="S118" s="991"/>
    </row>
    <row r="119" spans="1:19">
      <c r="A119" s="991"/>
      <c r="B119" s="991"/>
      <c r="C119" s="991"/>
      <c r="D119" s="991"/>
      <c r="E119" s="991"/>
      <c r="F119" s="991"/>
      <c r="G119" s="991"/>
      <c r="H119" s="991"/>
      <c r="I119" s="991"/>
      <c r="J119" s="991"/>
      <c r="K119" s="991"/>
      <c r="L119" s="991"/>
      <c r="M119" s="991"/>
      <c r="N119" s="991"/>
      <c r="O119" s="991"/>
      <c r="P119" s="991"/>
      <c r="Q119" s="991"/>
      <c r="R119" s="991"/>
      <c r="S119" s="991"/>
    </row>
    <row r="120" spans="1:19">
      <c r="A120" s="991"/>
      <c r="B120" s="991"/>
      <c r="C120" s="991"/>
      <c r="D120" s="991"/>
      <c r="E120" s="991"/>
      <c r="F120" s="991"/>
      <c r="G120" s="991"/>
      <c r="H120" s="991"/>
      <c r="I120" s="991"/>
      <c r="J120" s="991"/>
      <c r="K120" s="991"/>
      <c r="L120" s="991"/>
      <c r="M120" s="991"/>
      <c r="N120" s="991"/>
      <c r="O120" s="991"/>
      <c r="P120" s="991"/>
      <c r="Q120" s="991"/>
      <c r="R120" s="991"/>
      <c r="S120" s="991"/>
    </row>
    <row r="121" spans="1:19">
      <c r="A121" s="991"/>
      <c r="B121" s="991"/>
      <c r="C121" s="991"/>
      <c r="D121" s="991"/>
      <c r="E121" s="991"/>
      <c r="F121" s="991"/>
      <c r="G121" s="991"/>
      <c r="H121" s="991"/>
      <c r="I121" s="991"/>
      <c r="J121" s="991"/>
      <c r="K121" s="991"/>
      <c r="L121" s="991"/>
      <c r="M121" s="991"/>
      <c r="N121" s="991"/>
      <c r="O121" s="991"/>
      <c r="P121" s="991"/>
      <c r="Q121" s="991"/>
      <c r="R121" s="991"/>
      <c r="S121" s="991"/>
    </row>
    <row r="122" spans="1:19">
      <c r="A122" s="991"/>
      <c r="B122" s="991"/>
      <c r="C122" s="991"/>
      <c r="D122" s="991"/>
      <c r="E122" s="991"/>
      <c r="F122" s="991"/>
      <c r="G122" s="991"/>
      <c r="H122" s="991"/>
      <c r="I122" s="991"/>
      <c r="J122" s="991"/>
      <c r="K122" s="991"/>
      <c r="L122" s="991"/>
      <c r="M122" s="991"/>
      <c r="N122" s="991"/>
      <c r="O122" s="991"/>
      <c r="P122" s="991"/>
      <c r="Q122" s="991"/>
      <c r="R122" s="991"/>
      <c r="S122" s="991"/>
    </row>
  </sheetData>
  <printOptions horizontalCentered="1"/>
  <pageMargins left="0.5" right="0.5" top="0.5" bottom="0.5" header="0.5" footer="0.5"/>
  <pageSetup scale="48" firstPageNumber="3" orientation="landscape" horizontalDpi="1200" verticalDpi="1200" r:id="rId1"/>
  <headerFooter alignWithMargins="0"/>
  <rowBreaks count="1" manualBreakCount="1">
    <brk id="50" max="1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F277-BED3-47F2-B639-663727B6D6DB}">
  <sheetPr codeName="Sheet32"/>
  <dimension ref="A1:O36"/>
  <sheetViews>
    <sheetView workbookViewId="0"/>
  </sheetViews>
  <sheetFormatPr defaultColWidth="8.77734375" defaultRowHeight="15" customHeight="1" outlineLevelRow="1"/>
  <cols>
    <col min="1" max="1" width="8.77734375" style="721" customWidth="1"/>
    <col min="2" max="2" width="15.44140625" style="721" customWidth="1"/>
    <col min="3" max="3" width="12.77734375" style="721" bestFit="1" customWidth="1"/>
    <col min="4" max="4" width="17.5546875" style="721" customWidth="1"/>
    <col min="5" max="5" width="11.5546875" style="721" bestFit="1" customWidth="1"/>
    <col min="6" max="6" width="14.44140625" style="721" customWidth="1"/>
    <col min="7" max="7" width="9.21875" style="721" bestFit="1" customWidth="1"/>
    <col min="8" max="8" width="11.21875" style="721" customWidth="1"/>
    <col min="9" max="9" width="13.77734375" style="721" bestFit="1" customWidth="1"/>
    <col min="10" max="10" width="14.77734375" style="721" bestFit="1" customWidth="1"/>
    <col min="11" max="11" width="21.109375" style="721" bestFit="1" customWidth="1"/>
    <col min="12" max="12" width="15.21875" style="721" bestFit="1" customWidth="1"/>
    <col min="13" max="13" width="20.109375" style="721" bestFit="1" customWidth="1"/>
    <col min="14" max="14" width="16.77734375" style="721" bestFit="1" customWidth="1"/>
    <col min="15" max="15" width="20.5546875" style="721" customWidth="1"/>
    <col min="16" max="16384" width="8.77734375" style="721"/>
  </cols>
  <sheetData>
    <row r="1" spans="1:15" ht="14.4">
      <c r="A1" s="716" t="s">
        <v>0</v>
      </c>
      <c r="B1" s="717"/>
      <c r="C1" s="717"/>
      <c r="D1" s="718"/>
      <c r="E1" s="718"/>
      <c r="F1" s="718"/>
      <c r="G1" s="718"/>
      <c r="H1" s="718"/>
      <c r="I1" s="719"/>
      <c r="J1" s="719"/>
      <c r="K1" s="719"/>
      <c r="L1" s="719"/>
      <c r="M1" s="720"/>
      <c r="N1" s="719"/>
    </row>
    <row r="2" spans="1:15" ht="14.4">
      <c r="A2" s="716" t="s">
        <v>21</v>
      </c>
      <c r="B2" s="717"/>
      <c r="C2" s="717"/>
      <c r="D2" s="718"/>
      <c r="E2" s="718"/>
      <c r="F2" s="718"/>
      <c r="G2" s="718"/>
      <c r="H2" s="718"/>
      <c r="I2" s="719"/>
      <c r="J2" s="719"/>
      <c r="K2" s="719"/>
      <c r="L2" s="719"/>
      <c r="M2" s="720"/>
      <c r="N2" s="719"/>
    </row>
    <row r="3" spans="1:15" ht="14.4">
      <c r="A3" s="884" t="s">
        <v>805</v>
      </c>
      <c r="B3" s="717"/>
      <c r="C3" s="717"/>
      <c r="D3" s="718"/>
      <c r="E3" s="718"/>
      <c r="F3" s="718"/>
      <c r="G3" s="718"/>
      <c r="H3" s="718"/>
      <c r="I3" s="719"/>
      <c r="J3" s="719"/>
      <c r="K3" s="719"/>
      <c r="L3" s="719"/>
      <c r="M3" s="720"/>
      <c r="N3" s="719"/>
    </row>
    <row r="4" spans="1:15" ht="28.35" customHeight="1">
      <c r="A4" s="719"/>
      <c r="B4" s="722" t="s">
        <v>533</v>
      </c>
      <c r="C4" s="722"/>
      <c r="D4" s="723" t="s">
        <v>534</v>
      </c>
      <c r="E4" s="723" t="s">
        <v>535</v>
      </c>
      <c r="F4" s="723" t="s">
        <v>536</v>
      </c>
      <c r="G4" s="723" t="s">
        <v>537</v>
      </c>
      <c r="H4" s="723" t="s">
        <v>538</v>
      </c>
      <c r="I4" s="723" t="s">
        <v>539</v>
      </c>
      <c r="J4" s="723" t="s">
        <v>540</v>
      </c>
      <c r="K4" s="723" t="s">
        <v>541</v>
      </c>
      <c r="L4" s="723" t="s">
        <v>542</v>
      </c>
      <c r="M4" s="723" t="s">
        <v>543</v>
      </c>
      <c r="N4" s="723" t="s">
        <v>544</v>
      </c>
      <c r="O4" s="723" t="s">
        <v>545</v>
      </c>
    </row>
    <row r="5" spans="1:15" ht="48.6">
      <c r="A5" s="724" t="s">
        <v>3</v>
      </c>
      <c r="B5" s="725" t="s">
        <v>546</v>
      </c>
      <c r="C5" s="725"/>
      <c r="D5" s="726" t="s">
        <v>547</v>
      </c>
      <c r="E5" s="726" t="s">
        <v>548</v>
      </c>
      <c r="F5" s="727" t="s">
        <v>549</v>
      </c>
      <c r="G5" s="726" t="s">
        <v>550</v>
      </c>
      <c r="H5" s="727" t="s">
        <v>551</v>
      </c>
      <c r="I5" s="726" t="s">
        <v>552</v>
      </c>
      <c r="J5" s="726" t="s">
        <v>553</v>
      </c>
      <c r="K5" s="727" t="s">
        <v>554</v>
      </c>
      <c r="L5" s="727" t="s">
        <v>555</v>
      </c>
      <c r="M5" s="728" t="s">
        <v>556</v>
      </c>
      <c r="N5" s="727" t="s">
        <v>557</v>
      </c>
      <c r="O5" s="727" t="s">
        <v>558</v>
      </c>
    </row>
    <row r="6" spans="1:15" ht="28.8">
      <c r="A6" s="719"/>
      <c r="B6" s="719"/>
      <c r="C6" s="719"/>
      <c r="D6" s="718"/>
      <c r="E6" s="718"/>
      <c r="F6" s="718"/>
      <c r="G6" s="718"/>
      <c r="H6" s="729" t="str">
        <f>E4&amp;"+"&amp;F4&amp;"+"&amp;G4</f>
        <v>C+D+E</v>
      </c>
      <c r="I6" s="730" t="str">
        <f>D4&amp;" x Demand Cost/1000"</f>
        <v>B x Demand Cost/1000</v>
      </c>
      <c r="J6" s="730" t="s">
        <v>559</v>
      </c>
      <c r="K6" s="729" t="str">
        <f>I4&amp;"+"&amp;J4</f>
        <v>G+H</v>
      </c>
      <c r="L6" s="729" t="str">
        <f>H4&amp;" x ECCR"</f>
        <v>F x ECCR</v>
      </c>
      <c r="M6" s="729" t="str">
        <f>K4&amp;"+"&amp;L4</f>
        <v>I+J</v>
      </c>
      <c r="N6" s="718" t="str">
        <f>M4&amp;"/12"</f>
        <v>K/12</v>
      </c>
      <c r="O6" s="718" t="str">
        <f>N4&amp;" x "&amp;TEXT(E31,"0.##")</f>
        <v>L x 0.78</v>
      </c>
    </row>
    <row r="7" spans="1:15" ht="14.4">
      <c r="A7" s="719"/>
      <c r="B7" s="731"/>
      <c r="C7" s="731"/>
      <c r="D7" s="732"/>
      <c r="E7" s="732"/>
      <c r="F7" s="732"/>
      <c r="G7" s="732"/>
      <c r="H7" s="733"/>
      <c r="I7" s="719"/>
      <c r="J7" s="719"/>
      <c r="K7" s="719"/>
      <c r="L7" s="719"/>
      <c r="M7" s="720"/>
      <c r="N7" s="719"/>
    </row>
    <row r="8" spans="1:15" ht="19.5" customHeight="1">
      <c r="A8" s="718">
        <v>1</v>
      </c>
      <c r="B8" s="719" t="s">
        <v>560</v>
      </c>
      <c r="C8" s="719" t="s">
        <v>561</v>
      </c>
      <c r="D8" s="718" t="s">
        <v>562</v>
      </c>
      <c r="E8" s="734">
        <v>196.7</v>
      </c>
      <c r="F8" s="734">
        <v>148.55799999999999</v>
      </c>
      <c r="G8" s="734">
        <v>211.55226875</v>
      </c>
      <c r="H8" s="735">
        <f>SUM(E8:G8)</f>
        <v>556.81026874999998</v>
      </c>
      <c r="I8" s="733">
        <f t="shared" ref="I8:I18" si="0">D8*$E$25/1000</f>
        <v>4.9070181926220746</v>
      </c>
      <c r="J8" s="733">
        <f>$E$30*12</f>
        <v>159.08522137312465</v>
      </c>
      <c r="K8" s="733">
        <f>SUM(I8:J8)</f>
        <v>163.99223956574673</v>
      </c>
      <c r="L8" s="733">
        <v>78.123498335624276</v>
      </c>
      <c r="M8" s="733">
        <f>K8+L8</f>
        <v>242.11573790137101</v>
      </c>
      <c r="N8" s="733">
        <f>M8/12</f>
        <v>20.176311491780918</v>
      </c>
      <c r="O8" s="733">
        <f>N8*$E$31</f>
        <v>15.814766513321292</v>
      </c>
    </row>
    <row r="9" spans="1:15" ht="19.5" customHeight="1">
      <c r="A9" s="718">
        <f>A8+1</f>
        <v>2</v>
      </c>
      <c r="B9" s="719" t="s">
        <v>560</v>
      </c>
      <c r="C9" s="719" t="s">
        <v>563</v>
      </c>
      <c r="D9" s="718" t="s">
        <v>564</v>
      </c>
      <c r="E9" s="734">
        <v>174.73</v>
      </c>
      <c r="F9" s="734">
        <v>148.55800000000002</v>
      </c>
      <c r="G9" s="734">
        <f>G8</f>
        <v>211.55226875</v>
      </c>
      <c r="H9" s="735">
        <f t="shared" ref="H9:H18" si="1">SUM(E9:G9)</f>
        <v>534.84026874999995</v>
      </c>
      <c r="I9" s="733">
        <f t="shared" si="0"/>
        <v>8.1783636543701252</v>
      </c>
      <c r="J9" s="733">
        <f t="shared" ref="J9:J18" si="2">$E$30*12</f>
        <v>159.08522137312465</v>
      </c>
      <c r="K9" s="733">
        <f>SUM(I9:J9)</f>
        <v>167.26358502749477</v>
      </c>
      <c r="L9" s="733">
        <v>75.040988269337589</v>
      </c>
      <c r="M9" s="733">
        <f t="shared" ref="M9:M18" si="3">K9+L9</f>
        <v>242.30457329683236</v>
      </c>
      <c r="N9" s="733">
        <f>M9/12</f>
        <v>20.192047774736029</v>
      </c>
      <c r="O9" s="733">
        <f t="shared" ref="O9:O18" si="4">N9*$E$31</f>
        <v>15.827101059247786</v>
      </c>
    </row>
    <row r="10" spans="1:15" ht="19.5" customHeight="1">
      <c r="A10" s="718">
        <f>A9+1</f>
        <v>3</v>
      </c>
      <c r="B10" s="719" t="s">
        <v>560</v>
      </c>
      <c r="C10" s="719" t="s">
        <v>565</v>
      </c>
      <c r="D10" s="718" t="s">
        <v>566</v>
      </c>
      <c r="E10" s="734">
        <v>235.16</v>
      </c>
      <c r="F10" s="734">
        <v>148.55800000000002</v>
      </c>
      <c r="G10" s="734">
        <f t="shared" ref="G10:G18" si="5">G9</f>
        <v>211.55226875</v>
      </c>
      <c r="H10" s="735">
        <f t="shared" si="1"/>
        <v>595.27026875000001</v>
      </c>
      <c r="I10" s="733">
        <f t="shared" si="0"/>
        <v>16.35672730874025</v>
      </c>
      <c r="J10" s="733">
        <f t="shared" si="2"/>
        <v>159.08522137312465</v>
      </c>
      <c r="K10" s="733">
        <f t="shared" ref="K10:K18" si="6">SUM(I10:J10)</f>
        <v>175.44194868186491</v>
      </c>
      <c r="L10" s="733">
        <v>83.519644769369634</v>
      </c>
      <c r="M10" s="733">
        <f t="shared" si="3"/>
        <v>258.96159345123453</v>
      </c>
      <c r="N10" s="733">
        <f t="shared" ref="N10:N18" si="7">M10/12</f>
        <v>21.580132787602878</v>
      </c>
      <c r="O10" s="733">
        <f t="shared" si="4"/>
        <v>16.915121552392549</v>
      </c>
    </row>
    <row r="11" spans="1:15" ht="19.5" customHeight="1">
      <c r="A11" s="718">
        <f>A10+1</f>
        <v>4</v>
      </c>
      <c r="B11" s="719" t="s">
        <v>560</v>
      </c>
      <c r="C11" s="719" t="s">
        <v>567</v>
      </c>
      <c r="D11" s="718" t="s">
        <v>568</v>
      </c>
      <c r="E11" s="734">
        <v>396.7</v>
      </c>
      <c r="F11" s="734">
        <v>148.55799999999994</v>
      </c>
      <c r="G11" s="734">
        <f t="shared" si="5"/>
        <v>211.55226875</v>
      </c>
      <c r="H11" s="735">
        <f t="shared" si="1"/>
        <v>756.81026874999998</v>
      </c>
      <c r="I11" s="733">
        <f t="shared" si="0"/>
        <v>22.89941823223635</v>
      </c>
      <c r="J11" s="733">
        <f t="shared" si="2"/>
        <v>159.08522137312465</v>
      </c>
      <c r="K11" s="733">
        <f t="shared" si="6"/>
        <v>181.984639605361</v>
      </c>
      <c r="L11" s="733">
        <v>106.18458223445612</v>
      </c>
      <c r="M11" s="733">
        <f t="shared" si="3"/>
        <v>288.16922183981711</v>
      </c>
      <c r="N11" s="733">
        <f t="shared" si="7"/>
        <v>24.014101819984759</v>
      </c>
      <c r="O11" s="733">
        <f>N11*$E$31</f>
        <v>18.822935672106873</v>
      </c>
    </row>
    <row r="12" spans="1:15" ht="29.1" customHeight="1">
      <c r="A12" s="718">
        <f>A11+1</f>
        <v>5</v>
      </c>
      <c r="B12" s="719" t="s">
        <v>569</v>
      </c>
      <c r="C12" s="719" t="s">
        <v>570</v>
      </c>
      <c r="D12" s="718" t="s">
        <v>564</v>
      </c>
      <c r="E12" s="734">
        <v>391.76</v>
      </c>
      <c r="F12" s="734">
        <v>151.798</v>
      </c>
      <c r="G12" s="734">
        <f>G11</f>
        <v>211.55226875</v>
      </c>
      <c r="H12" s="735">
        <f t="shared" si="1"/>
        <v>755.11026874999993</v>
      </c>
      <c r="I12" s="733">
        <f t="shared" si="0"/>
        <v>8.1783636543701252</v>
      </c>
      <c r="J12" s="733">
        <f t="shared" si="2"/>
        <v>159.08522137312465</v>
      </c>
      <c r="K12" s="733">
        <f t="shared" si="6"/>
        <v>167.26358502749477</v>
      </c>
      <c r="L12" s="733">
        <v>105.94606302131604</v>
      </c>
      <c r="M12" s="733">
        <f t="shared" si="3"/>
        <v>273.20964804881078</v>
      </c>
      <c r="N12" s="733">
        <f t="shared" si="7"/>
        <v>22.76747067073423</v>
      </c>
      <c r="O12" s="733">
        <f t="shared" si="4"/>
        <v>17.845790738472111</v>
      </c>
    </row>
    <row r="13" spans="1:15" ht="19.5" customHeight="1">
      <c r="A13" s="718">
        <f t="shared" ref="A13:A31" si="8">A12+1</f>
        <v>6</v>
      </c>
      <c r="B13" s="719" t="s">
        <v>569</v>
      </c>
      <c r="C13" s="719" t="s">
        <v>565</v>
      </c>
      <c r="D13" s="718" t="s">
        <v>571</v>
      </c>
      <c r="E13" s="734">
        <v>519.4</v>
      </c>
      <c r="F13" s="734">
        <v>151.79799999999989</v>
      </c>
      <c r="G13" s="734">
        <f t="shared" si="5"/>
        <v>211.55226875</v>
      </c>
      <c r="H13" s="735">
        <f t="shared" si="1"/>
        <v>882.7502687499998</v>
      </c>
      <c r="I13" s="733">
        <f t="shared" si="0"/>
        <v>11.449709116118175</v>
      </c>
      <c r="J13" s="733">
        <f t="shared" si="2"/>
        <v>159.08522137312465</v>
      </c>
      <c r="K13" s="733">
        <f t="shared" si="6"/>
        <v>170.53493048924284</v>
      </c>
      <c r="L13" s="733">
        <v>123.8546467655505</v>
      </c>
      <c r="M13" s="733">
        <f t="shared" si="3"/>
        <v>294.38957725479332</v>
      </c>
      <c r="N13" s="733">
        <f t="shared" si="7"/>
        <v>24.532464771232778</v>
      </c>
      <c r="O13" s="733">
        <f t="shared" si="4"/>
        <v>19.229243289159822</v>
      </c>
    </row>
    <row r="14" spans="1:15" ht="19.5" customHeight="1">
      <c r="A14" s="718">
        <f t="shared" si="8"/>
        <v>7</v>
      </c>
      <c r="B14" s="719" t="s">
        <v>569</v>
      </c>
      <c r="C14" s="719" t="s">
        <v>572</v>
      </c>
      <c r="D14" s="718" t="s">
        <v>573</v>
      </c>
      <c r="E14" s="734">
        <v>615.44000000000005</v>
      </c>
      <c r="F14" s="734">
        <v>151.798</v>
      </c>
      <c r="G14" s="734">
        <f t="shared" si="5"/>
        <v>211.55226875</v>
      </c>
      <c r="H14" s="735">
        <f t="shared" si="1"/>
        <v>978.79026875</v>
      </c>
      <c r="I14" s="733">
        <f t="shared" si="0"/>
        <v>17.992400039614278</v>
      </c>
      <c r="J14" s="733">
        <f t="shared" si="2"/>
        <v>159.08522137312465</v>
      </c>
      <c r="K14" s="733">
        <f t="shared" si="6"/>
        <v>177.07762141273892</v>
      </c>
      <c r="L14" s="733">
        <v>137.32957925376957</v>
      </c>
      <c r="M14" s="733">
        <f t="shared" si="3"/>
        <v>314.40720066650852</v>
      </c>
      <c r="N14" s="733">
        <f t="shared" si="7"/>
        <v>26.200600055542377</v>
      </c>
      <c r="O14" s="733">
        <f t="shared" si="4"/>
        <v>20.536775146245585</v>
      </c>
    </row>
    <row r="15" spans="1:15" ht="19.5" customHeight="1">
      <c r="A15" s="718">
        <f t="shared" si="8"/>
        <v>8</v>
      </c>
      <c r="B15" s="719" t="s">
        <v>569</v>
      </c>
      <c r="C15" s="719" t="s">
        <v>574</v>
      </c>
      <c r="D15" s="718" t="s">
        <v>575</v>
      </c>
      <c r="E15" s="734">
        <v>1407.8</v>
      </c>
      <c r="F15" s="734">
        <v>148.55800000000022</v>
      </c>
      <c r="G15" s="734">
        <f t="shared" si="5"/>
        <v>211.55226875</v>
      </c>
      <c r="H15" s="735">
        <f t="shared" si="1"/>
        <v>1767.9102687500001</v>
      </c>
      <c r="I15" s="733">
        <f t="shared" si="0"/>
        <v>60.519891042338926</v>
      </c>
      <c r="J15" s="733">
        <f t="shared" si="2"/>
        <v>159.08522137312465</v>
      </c>
      <c r="K15" s="733">
        <f t="shared" si="6"/>
        <v>219.60511241546357</v>
      </c>
      <c r="L15" s="733">
        <v>248.04739188500051</v>
      </c>
      <c r="M15" s="733">
        <f t="shared" si="3"/>
        <v>467.6525043004641</v>
      </c>
      <c r="N15" s="733">
        <f t="shared" si="7"/>
        <v>38.971042025038678</v>
      </c>
      <c r="O15" s="733">
        <f t="shared" si="4"/>
        <v>30.546610596187691</v>
      </c>
    </row>
    <row r="16" spans="1:15" ht="29.1" customHeight="1">
      <c r="A16" s="718">
        <f t="shared" si="8"/>
        <v>9</v>
      </c>
      <c r="B16" s="719" t="s">
        <v>576</v>
      </c>
      <c r="C16" s="719" t="s">
        <v>577</v>
      </c>
      <c r="D16" s="718" t="s">
        <v>578</v>
      </c>
      <c r="E16" s="734">
        <v>325.27</v>
      </c>
      <c r="F16" s="734">
        <v>30.368000000000052</v>
      </c>
      <c r="G16" s="734">
        <f t="shared" si="5"/>
        <v>211.55226875</v>
      </c>
      <c r="H16" s="735">
        <f t="shared" si="1"/>
        <v>567.19026875000009</v>
      </c>
      <c r="I16" s="733">
        <f t="shared" si="0"/>
        <v>5.7248545580590875</v>
      </c>
      <c r="J16" s="733">
        <f t="shared" si="2"/>
        <v>159.08522137312465</v>
      </c>
      <c r="K16" s="733">
        <f t="shared" si="6"/>
        <v>164.81007593118375</v>
      </c>
      <c r="L16" s="733">
        <v>79.579868589973657</v>
      </c>
      <c r="M16" s="733">
        <f t="shared" si="3"/>
        <v>244.38994452115742</v>
      </c>
      <c r="N16" s="733">
        <f t="shared" si="7"/>
        <v>20.365828710096451</v>
      </c>
      <c r="O16" s="733">
        <f t="shared" si="4"/>
        <v>15.963315496575007</v>
      </c>
    </row>
    <row r="17" spans="1:15" ht="19.5" customHeight="1">
      <c r="A17" s="718">
        <f t="shared" si="8"/>
        <v>10</v>
      </c>
      <c r="B17" s="719" t="s">
        <v>576</v>
      </c>
      <c r="C17" s="719" t="s">
        <v>579</v>
      </c>
      <c r="D17" s="718" t="s">
        <v>580</v>
      </c>
      <c r="E17" s="734">
        <v>325.27</v>
      </c>
      <c r="F17" s="734">
        <v>30.368000000000052</v>
      </c>
      <c r="G17" s="734">
        <f t="shared" si="5"/>
        <v>211.55226875</v>
      </c>
      <c r="H17" s="735">
        <f t="shared" si="1"/>
        <v>567.19026875000009</v>
      </c>
      <c r="I17" s="733">
        <f t="shared" si="0"/>
        <v>7.6876618351079182</v>
      </c>
      <c r="J17" s="733">
        <f t="shared" si="2"/>
        <v>159.08522137312465</v>
      </c>
      <c r="K17" s="733">
        <f t="shared" si="6"/>
        <v>166.77288320823257</v>
      </c>
      <c r="L17" s="733">
        <v>79.579868589973657</v>
      </c>
      <c r="M17" s="733">
        <f t="shared" si="3"/>
        <v>246.35275179820621</v>
      </c>
      <c r="N17" s="733">
        <f t="shared" si="7"/>
        <v>20.52939598318385</v>
      </c>
      <c r="O17" s="733">
        <f t="shared" si="4"/>
        <v>16.091524175061735</v>
      </c>
    </row>
    <row r="18" spans="1:15" ht="19.5" customHeight="1">
      <c r="A18" s="718">
        <f t="shared" si="8"/>
        <v>11</v>
      </c>
      <c r="B18" s="719" t="s">
        <v>576</v>
      </c>
      <c r="C18" s="719" t="s">
        <v>581</v>
      </c>
      <c r="D18" s="718" t="s">
        <v>566</v>
      </c>
      <c r="E18" s="734">
        <v>554.95000000000005</v>
      </c>
      <c r="F18" s="734">
        <v>30.367999999999938</v>
      </c>
      <c r="G18" s="734">
        <f t="shared" si="5"/>
        <v>211.55226875</v>
      </c>
      <c r="H18" s="735">
        <f t="shared" si="1"/>
        <v>796.87026874999992</v>
      </c>
      <c r="I18" s="733">
        <f t="shared" si="0"/>
        <v>16.35672730874025</v>
      </c>
      <c r="J18" s="733">
        <f t="shared" si="2"/>
        <v>159.08522137312465</v>
      </c>
      <c r="K18" s="733">
        <f t="shared" si="6"/>
        <v>175.44194868186491</v>
      </c>
      <c r="L18" s="733">
        <v>111.80521733939212</v>
      </c>
      <c r="M18" s="733">
        <f t="shared" si="3"/>
        <v>287.24716602125704</v>
      </c>
      <c r="N18" s="733">
        <f t="shared" si="7"/>
        <v>23.937263835104755</v>
      </c>
      <c r="O18" s="733">
        <f t="shared" si="4"/>
        <v>18.762707875230994</v>
      </c>
    </row>
    <row r="19" spans="1:15" ht="19.5" customHeight="1">
      <c r="A19" s="718">
        <f t="shared" si="8"/>
        <v>12</v>
      </c>
      <c r="B19" s="719"/>
      <c r="C19" s="719"/>
      <c r="D19" s="718"/>
      <c r="E19" s="718"/>
      <c r="F19" s="718"/>
      <c r="G19" s="734"/>
      <c r="H19" s="733"/>
      <c r="I19" s="733"/>
      <c r="J19" s="733"/>
      <c r="K19" s="733"/>
      <c r="L19" s="733"/>
      <c r="M19" s="733"/>
      <c r="N19" s="733"/>
    </row>
    <row r="20" spans="1:15" ht="19.5" customHeight="1">
      <c r="A20" s="718">
        <f t="shared" si="8"/>
        <v>13</v>
      </c>
      <c r="B20" s="719"/>
      <c r="C20" s="719"/>
      <c r="D20" s="718"/>
      <c r="E20" s="718"/>
      <c r="F20" s="718"/>
      <c r="G20" s="734"/>
      <c r="H20" s="733"/>
      <c r="I20" s="733"/>
      <c r="J20" s="733"/>
      <c r="K20" s="733"/>
      <c r="L20" s="733"/>
      <c r="M20" s="733"/>
      <c r="N20" s="733"/>
    </row>
    <row r="21" spans="1:15" ht="19.5" customHeight="1">
      <c r="A21" s="718">
        <f t="shared" si="8"/>
        <v>14</v>
      </c>
      <c r="B21" s="719"/>
      <c r="C21" s="719"/>
      <c r="D21" s="718"/>
      <c r="E21" s="718"/>
      <c r="F21" s="718"/>
      <c r="G21" s="734"/>
      <c r="H21" s="733"/>
      <c r="I21" s="733"/>
      <c r="J21" s="733"/>
      <c r="K21" s="733"/>
      <c r="L21" s="733"/>
      <c r="M21" s="733"/>
      <c r="N21" s="733"/>
    </row>
    <row r="22" spans="1:15" ht="14.4" outlineLevel="1">
      <c r="A22" s="718">
        <f t="shared" si="8"/>
        <v>15</v>
      </c>
      <c r="B22" s="736" t="s">
        <v>125</v>
      </c>
      <c r="D22" s="736"/>
      <c r="E22" s="737" t="s">
        <v>582</v>
      </c>
      <c r="F22" s="736" t="s">
        <v>583</v>
      </c>
      <c r="G22" s="737"/>
      <c r="H22" s="737"/>
      <c r="K22" s="719"/>
      <c r="L22" s="719"/>
      <c r="M22" s="720"/>
      <c r="N22" s="719"/>
    </row>
    <row r="23" spans="1:15" ht="14.4" outlineLevel="1">
      <c r="A23" s="718">
        <f t="shared" si="8"/>
        <v>16</v>
      </c>
      <c r="D23" s="738" t="s">
        <v>584</v>
      </c>
      <c r="E23" s="739">
        <v>60029.189223076719</v>
      </c>
      <c r="F23" s="719" t="s">
        <v>585</v>
      </c>
      <c r="G23" s="734"/>
      <c r="H23" s="734"/>
      <c r="J23" s="719"/>
      <c r="K23" s="719"/>
      <c r="L23" s="719"/>
      <c r="M23" s="720"/>
      <c r="N23" s="719"/>
    </row>
    <row r="24" spans="1:15" ht="14.4" outlineLevel="1">
      <c r="A24" s="718"/>
      <c r="D24" s="738" t="s">
        <v>586</v>
      </c>
      <c r="E24" s="739">
        <v>367</v>
      </c>
      <c r="F24" s="719" t="s">
        <v>587</v>
      </c>
      <c r="G24" s="734"/>
      <c r="H24" s="734"/>
      <c r="J24" s="719"/>
      <c r="K24" s="719"/>
      <c r="L24" s="719"/>
      <c r="M24" s="720"/>
      <c r="N24" s="719"/>
    </row>
    <row r="25" spans="1:15" ht="14.4" outlineLevel="1">
      <c r="A25" s="718"/>
      <c r="D25" s="738" t="s">
        <v>588</v>
      </c>
      <c r="E25" s="734">
        <f>E23/E24</f>
        <v>163.5672730874025</v>
      </c>
      <c r="F25" s="719"/>
      <c r="G25" s="734"/>
      <c r="H25" s="734"/>
      <c r="J25" s="719"/>
      <c r="K25" s="719"/>
      <c r="L25" s="719"/>
      <c r="M25" s="720"/>
      <c r="N25" s="719"/>
    </row>
    <row r="26" spans="1:15" ht="14.4" outlineLevel="1">
      <c r="A26" s="718">
        <f>A23+1</f>
        <v>17</v>
      </c>
      <c r="D26" s="738" t="s">
        <v>589</v>
      </c>
      <c r="E26" s="739">
        <v>368191.99522276758</v>
      </c>
      <c r="F26" s="719" t="s">
        <v>585</v>
      </c>
      <c r="G26" s="739"/>
      <c r="H26" s="734"/>
      <c r="J26" s="740"/>
      <c r="K26" s="740"/>
      <c r="L26" s="719"/>
      <c r="M26" s="720"/>
      <c r="N26" s="719"/>
    </row>
    <row r="27" spans="1:15" ht="14.4" outlineLevel="1">
      <c r="A27" s="718">
        <f t="shared" si="8"/>
        <v>18</v>
      </c>
      <c r="D27" s="738" t="s">
        <v>590</v>
      </c>
      <c r="E27" s="739">
        <v>221382.85009893571</v>
      </c>
      <c r="F27" s="719" t="s">
        <v>585</v>
      </c>
      <c r="G27" s="739"/>
      <c r="H27" s="734"/>
      <c r="J27" s="740"/>
      <c r="K27" s="740"/>
      <c r="L27" s="719"/>
      <c r="M27" s="720"/>
      <c r="N27" s="719"/>
    </row>
    <row r="28" spans="1:15" ht="14.4" outlineLevel="1">
      <c r="A28" s="718">
        <f t="shared" si="8"/>
        <v>19</v>
      </c>
      <c r="D28" s="738" t="s">
        <v>591</v>
      </c>
      <c r="E28" s="741">
        <f>E26-E27</f>
        <v>146809.14512383187</v>
      </c>
      <c r="G28" s="739"/>
      <c r="H28" s="734"/>
      <c r="J28" s="740"/>
      <c r="K28" s="740"/>
      <c r="L28" s="719"/>
      <c r="M28" s="720"/>
      <c r="N28" s="719"/>
    </row>
    <row r="29" spans="1:15" ht="14.4" outlineLevel="1">
      <c r="A29" s="718">
        <f t="shared" si="8"/>
        <v>20</v>
      </c>
      <c r="D29" s="738" t="s">
        <v>592</v>
      </c>
      <c r="E29" s="742">
        <v>11074</v>
      </c>
      <c r="F29" s="719" t="s">
        <v>585</v>
      </c>
      <c r="G29" s="742"/>
      <c r="H29" s="734"/>
      <c r="J29" s="740"/>
      <c r="K29" s="740"/>
      <c r="L29" s="719"/>
      <c r="M29" s="720"/>
      <c r="N29" s="719"/>
    </row>
    <row r="30" spans="1:15" ht="14.4" outlineLevel="1">
      <c r="A30" s="718">
        <f t="shared" si="8"/>
        <v>21</v>
      </c>
      <c r="D30" s="738" t="s">
        <v>593</v>
      </c>
      <c r="E30" s="734">
        <f>E28/E29</f>
        <v>13.257101781093722</v>
      </c>
      <c r="F30" s="719"/>
      <c r="G30" s="734"/>
      <c r="H30" s="734"/>
      <c r="J30" s="740"/>
      <c r="K30" s="740"/>
      <c r="L30" s="719"/>
      <c r="M30" s="720"/>
      <c r="N30" s="719"/>
    </row>
    <row r="31" spans="1:15" ht="14.4" outlineLevel="1">
      <c r="A31" s="718">
        <f t="shared" si="8"/>
        <v>22</v>
      </c>
      <c r="D31" s="738" t="s">
        <v>594</v>
      </c>
      <c r="E31" s="1015">
        <v>0.78382842769668981</v>
      </c>
      <c r="F31" s="719" t="s">
        <v>585</v>
      </c>
      <c r="G31" s="1016"/>
      <c r="H31" s="1016"/>
      <c r="J31" s="719"/>
      <c r="K31" s="719"/>
      <c r="L31" s="719"/>
      <c r="M31" s="720"/>
      <c r="N31" s="719"/>
    </row>
    <row r="32" spans="1:15" ht="14.4" outlineLevel="1">
      <c r="A32" s="718"/>
      <c r="D32" s="738"/>
      <c r="E32" s="1016"/>
      <c r="F32" s="1016"/>
      <c r="G32" s="1016"/>
      <c r="H32" s="1016"/>
      <c r="I32" s="719"/>
      <c r="J32" s="719"/>
      <c r="K32" s="719"/>
      <c r="L32" s="719"/>
      <c r="M32" s="720"/>
      <c r="N32" s="719"/>
    </row>
    <row r="33" spans="1:14" ht="14.4" outlineLevel="1">
      <c r="A33" s="718"/>
      <c r="B33" s="738"/>
      <c r="C33" s="738"/>
      <c r="D33" s="1016"/>
      <c r="E33" s="1016"/>
      <c r="F33" s="1016"/>
      <c r="G33" s="1016"/>
      <c r="H33" s="1016"/>
      <c r="I33" s="719"/>
      <c r="J33" s="719"/>
      <c r="K33" s="719"/>
      <c r="L33" s="719"/>
      <c r="M33" s="720"/>
      <c r="N33" s="719"/>
    </row>
    <row r="34" spans="1:14" ht="14.4" outlineLevel="1">
      <c r="A34" s="718"/>
      <c r="B34" s="738"/>
      <c r="C34" s="738"/>
      <c r="D34" s="1016"/>
      <c r="E34" s="1016"/>
      <c r="F34" s="1016"/>
      <c r="G34" s="1016"/>
      <c r="H34" s="1016"/>
      <c r="I34" s="719"/>
      <c r="J34" s="719"/>
      <c r="K34" s="719"/>
      <c r="L34" s="719"/>
      <c r="M34" s="720"/>
      <c r="N34" s="719"/>
    </row>
    <row r="35" spans="1:14" ht="14.4" outlineLevel="1">
      <c r="A35" s="719"/>
      <c r="B35" s="719"/>
      <c r="C35" s="719"/>
      <c r="D35" s="718"/>
      <c r="E35" s="718"/>
      <c r="F35" s="718"/>
      <c r="G35" s="718"/>
      <c r="H35" s="718"/>
      <c r="I35" s="719"/>
      <c r="J35" s="719"/>
      <c r="K35" s="719"/>
      <c r="L35" s="719"/>
      <c r="M35" s="720"/>
      <c r="N35" s="719"/>
    </row>
    <row r="36" spans="1:14" ht="14.4" outlineLevel="1">
      <c r="A36" s="719"/>
      <c r="B36" s="719"/>
      <c r="C36" s="719"/>
      <c r="D36" s="718"/>
      <c r="E36" s="718"/>
      <c r="F36" s="718"/>
      <c r="G36" s="718"/>
      <c r="H36" s="718"/>
      <c r="I36" s="719"/>
      <c r="J36" s="719"/>
      <c r="K36" s="719"/>
      <c r="L36" s="719"/>
      <c r="M36" s="720"/>
      <c r="N36" s="719"/>
    </row>
  </sheetData>
  <pageMargins left="0.5" right="0.5" top="1" bottom="0.74583333333333302" header="0.25" footer="0.25"/>
  <pageSetup scale="62" pageOrder="overThenDown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1D58-48B8-4D69-907A-26C74B58D987}">
  <sheetPr codeName="Sheet20">
    <tabColor rgb="FFFFFF00"/>
    <pageSetUpPr fitToPage="1"/>
  </sheetPr>
  <dimension ref="A1:BC224"/>
  <sheetViews>
    <sheetView workbookViewId="0"/>
  </sheetViews>
  <sheetFormatPr defaultColWidth="9.21875" defaultRowHeight="13.8"/>
  <cols>
    <col min="1" max="1" width="5.77734375" style="49" customWidth="1"/>
    <col min="2" max="2" width="40" style="49" customWidth="1"/>
    <col min="3" max="4" width="12.77734375" style="49" customWidth="1"/>
    <col min="5" max="5" width="13.5546875" style="49" customWidth="1"/>
    <col min="6" max="6" width="15.44140625" style="49" customWidth="1"/>
    <col min="7" max="7" width="12.21875" style="49" bestFit="1" customWidth="1"/>
    <col min="8" max="8" width="16.21875" style="293" customWidth="1"/>
    <col min="9" max="9" width="12.5546875" style="293" customWidth="1"/>
    <col min="10" max="10" width="11.77734375" style="49" customWidth="1"/>
    <col min="11" max="11" width="8.77734375" style="294" customWidth="1"/>
    <col min="12" max="12" width="2.77734375" style="49" customWidth="1"/>
    <col min="13" max="13" width="10.77734375" style="49" customWidth="1"/>
    <col min="14" max="14" width="11.21875" style="49" bestFit="1" customWidth="1"/>
    <col min="15" max="15" width="10.21875" style="49" customWidth="1"/>
    <col min="16" max="16" width="10.77734375" style="49" customWidth="1"/>
    <col min="17" max="19" width="8.21875" style="49" customWidth="1"/>
    <col min="20" max="20" width="11.5546875" style="49" bestFit="1" customWidth="1"/>
    <col min="21" max="21" width="2.77734375" style="49" customWidth="1"/>
    <col min="22" max="22" width="10.21875" style="49" customWidth="1"/>
    <col min="23" max="23" width="20.77734375" style="49" customWidth="1"/>
    <col min="24" max="25" width="12.77734375" style="49" bestFit="1" customWidth="1"/>
    <col min="26" max="26" width="13.21875" style="49" bestFit="1" customWidth="1"/>
    <col min="27" max="30" width="10.21875" style="49" bestFit="1" customWidth="1"/>
    <col min="31" max="31" width="8.21875" style="49" customWidth="1"/>
    <col min="32" max="33" width="9.21875" style="49"/>
    <col min="34" max="36" width="10.21875" style="49" bestFit="1" customWidth="1"/>
    <col min="37" max="39" width="9.21875" style="49"/>
    <col min="40" max="40" width="10.21875" style="49" bestFit="1" customWidth="1"/>
    <col min="41" max="41" width="9.77734375" style="49" bestFit="1" customWidth="1"/>
    <col min="42" max="43" width="12.77734375" style="49" bestFit="1" customWidth="1"/>
    <col min="44" max="44" width="13.21875" style="49" bestFit="1" customWidth="1"/>
    <col min="45" max="48" width="10.21875" style="49" bestFit="1" customWidth="1"/>
    <col min="49" max="49" width="8.21875" style="49" customWidth="1"/>
    <col min="50" max="51" width="9.21875" style="49"/>
    <col min="52" max="54" width="10.21875" style="49" bestFit="1" customWidth="1"/>
    <col min="55" max="16384" width="9.21875" style="49"/>
  </cols>
  <sheetData>
    <row r="1" spans="1:22" s="5" customFormat="1" ht="14.4">
      <c r="A1" s="990" t="s">
        <v>369</v>
      </c>
      <c r="B1" s="988"/>
      <c r="H1" s="1017"/>
      <c r="I1" s="1017"/>
      <c r="K1" s="1018"/>
    </row>
    <row r="2" spans="1:22" s="5" customFormat="1" ht="14.4">
      <c r="H2" s="1017"/>
      <c r="I2" s="1017"/>
      <c r="K2" s="1018"/>
    </row>
    <row r="3" spans="1:22" s="5" customFormat="1" ht="14.4">
      <c r="A3" s="716" t="s">
        <v>0</v>
      </c>
      <c r="H3" s="1017"/>
      <c r="I3" s="1017"/>
      <c r="K3" s="1018"/>
    </row>
    <row r="4" spans="1:22" s="5" customFormat="1" ht="14.4">
      <c r="A4" s="716" t="s">
        <v>21</v>
      </c>
      <c r="H4" s="1017"/>
      <c r="I4" s="1017"/>
      <c r="K4" s="1018"/>
    </row>
    <row r="5" spans="1:22" ht="14.4">
      <c r="A5" s="884" t="s">
        <v>806</v>
      </c>
      <c r="B5" s="286"/>
      <c r="C5" s="286"/>
      <c r="D5" s="286"/>
      <c r="E5" s="287"/>
      <c r="F5" s="287"/>
      <c r="G5" s="287"/>
      <c r="H5" s="288"/>
      <c r="I5" s="288"/>
      <c r="J5" s="286"/>
      <c r="K5" s="289"/>
      <c r="L5" s="286"/>
      <c r="M5" s="286"/>
      <c r="N5" s="286"/>
      <c r="O5" s="286"/>
      <c r="P5" s="286"/>
      <c r="Q5" s="286"/>
      <c r="R5" s="286"/>
      <c r="S5" s="286"/>
    </row>
    <row r="6" spans="1:22">
      <c r="A6" s="285"/>
      <c r="B6" s="286"/>
      <c r="C6" s="286"/>
      <c r="D6" s="286"/>
      <c r="E6" s="287"/>
      <c r="F6" s="287"/>
      <c r="G6" s="287"/>
      <c r="H6" s="288"/>
      <c r="I6" s="288"/>
      <c r="J6" s="286"/>
      <c r="K6" s="289"/>
      <c r="L6" s="286"/>
      <c r="M6" s="286"/>
      <c r="N6" s="286"/>
      <c r="O6" s="286"/>
      <c r="P6" s="286"/>
      <c r="Q6" s="286"/>
      <c r="R6" s="286"/>
      <c r="S6" s="286"/>
    </row>
    <row r="7" spans="1:22">
      <c r="A7" s="290"/>
      <c r="B7" s="291"/>
      <c r="C7" s="291"/>
      <c r="D7" s="291"/>
      <c r="E7" s="292"/>
      <c r="F7" s="292"/>
      <c r="G7" s="292"/>
    </row>
    <row r="8" spans="1:22">
      <c r="A8" s="295"/>
      <c r="B8" s="296" t="s">
        <v>595</v>
      </c>
      <c r="C8" s="297"/>
      <c r="D8" s="298"/>
      <c r="E8" s="299"/>
      <c r="F8" s="299"/>
      <c r="G8" s="300"/>
      <c r="H8" s="301"/>
      <c r="I8" s="301"/>
      <c r="J8" s="290" t="s">
        <v>596</v>
      </c>
      <c r="N8" s="290"/>
      <c r="P8" s="290" t="s">
        <v>596</v>
      </c>
    </row>
    <row r="9" spans="1:22">
      <c r="A9" s="290"/>
      <c r="B9" s="290"/>
      <c r="C9" s="297"/>
      <c r="D9" s="290"/>
      <c r="E9" s="302" t="s">
        <v>597</v>
      </c>
      <c r="F9" s="302"/>
      <c r="G9" s="300" t="s">
        <v>262</v>
      </c>
      <c r="H9" s="301" t="s">
        <v>262</v>
      </c>
      <c r="I9" s="301" t="s">
        <v>262</v>
      </c>
      <c r="J9" s="290" t="s">
        <v>262</v>
      </c>
      <c r="K9" s="303" t="s">
        <v>598</v>
      </c>
      <c r="L9" s="304"/>
      <c r="M9" s="292"/>
      <c r="N9" s="290" t="s">
        <v>262</v>
      </c>
      <c r="O9" s="290" t="s">
        <v>262</v>
      </c>
      <c r="P9" s="290" t="s">
        <v>262</v>
      </c>
      <c r="Q9" s="304" t="s">
        <v>598</v>
      </c>
      <c r="R9" s="304"/>
      <c r="S9" s="304"/>
    </row>
    <row r="10" spans="1:22">
      <c r="A10" s="290" t="s">
        <v>404</v>
      </c>
      <c r="B10" s="290"/>
      <c r="C10" s="300" t="s">
        <v>418</v>
      </c>
      <c r="D10" s="290" t="s">
        <v>599</v>
      </c>
      <c r="E10" s="302" t="s">
        <v>600</v>
      </c>
      <c r="F10" s="302" t="s">
        <v>601</v>
      </c>
      <c r="G10" s="300" t="s">
        <v>421</v>
      </c>
      <c r="H10" s="305" t="s">
        <v>602</v>
      </c>
      <c r="I10" s="305" t="s">
        <v>603</v>
      </c>
      <c r="J10" s="304" t="s">
        <v>421</v>
      </c>
      <c r="K10" s="306" t="s">
        <v>421</v>
      </c>
      <c r="L10" s="290"/>
      <c r="M10" s="292" t="s">
        <v>408</v>
      </c>
      <c r="N10" s="292" t="s">
        <v>408</v>
      </c>
      <c r="O10" s="290" t="s">
        <v>408</v>
      </c>
      <c r="P10" s="290" t="s">
        <v>408</v>
      </c>
      <c r="Q10" s="290" t="s">
        <v>408</v>
      </c>
      <c r="R10" s="290"/>
      <c r="S10" s="290"/>
      <c r="T10" s="307" t="s">
        <v>279</v>
      </c>
      <c r="U10" s="45"/>
      <c r="V10" s="307" t="s">
        <v>604</v>
      </c>
    </row>
    <row r="11" spans="1:22" ht="13.2">
      <c r="A11" s="308" t="s">
        <v>90</v>
      </c>
      <c r="B11" s="308" t="s">
        <v>125</v>
      </c>
      <c r="C11" s="309" t="s">
        <v>605</v>
      </c>
      <c r="D11" s="308" t="s">
        <v>162</v>
      </c>
      <c r="E11" s="309" t="s">
        <v>421</v>
      </c>
      <c r="F11" s="309" t="s">
        <v>421</v>
      </c>
      <c r="G11" s="310" t="s">
        <v>162</v>
      </c>
      <c r="H11" s="311" t="s">
        <v>404</v>
      </c>
      <c r="I11" s="311" t="s">
        <v>404</v>
      </c>
      <c r="J11" s="308" t="s">
        <v>162</v>
      </c>
      <c r="K11" s="312" t="s">
        <v>606</v>
      </c>
      <c r="L11" s="308"/>
      <c r="M11" s="313" t="s">
        <v>607</v>
      </c>
      <c r="N11" s="314" t="s">
        <v>162</v>
      </c>
      <c r="O11" s="308" t="s">
        <v>404</v>
      </c>
      <c r="P11" s="308" t="s">
        <v>162</v>
      </c>
      <c r="Q11" s="308" t="s">
        <v>606</v>
      </c>
      <c r="R11" s="308"/>
      <c r="S11" s="308"/>
      <c r="T11" s="315" t="s">
        <v>608</v>
      </c>
      <c r="U11" s="45"/>
      <c r="V11" s="315" t="s">
        <v>609</v>
      </c>
    </row>
    <row r="12" spans="1:22">
      <c r="A12" s="49" t="s">
        <v>39</v>
      </c>
      <c r="B12" s="316" t="s">
        <v>610</v>
      </c>
      <c r="C12" s="297">
        <f>+D12/7</f>
        <v>21519.007142857143</v>
      </c>
      <c r="D12" s="317">
        <v>150633.04999999999</v>
      </c>
      <c r="E12" s="318">
        <v>14729564</v>
      </c>
      <c r="F12" s="318"/>
      <c r="G12" s="317">
        <v>1141837.8700000001</v>
      </c>
      <c r="H12" s="319">
        <v>7.7520000000000006E-2</v>
      </c>
      <c r="I12" s="319"/>
      <c r="J12" s="317">
        <f t="shared" ref="J12:J18" si="0">+E12*H12+F12*I12</f>
        <v>1141835.80128</v>
      </c>
      <c r="K12" s="320">
        <f t="shared" ref="K12:K18" si="1">+J12/G12-1</f>
        <v>-1.8117458304711676E-6</v>
      </c>
      <c r="L12" s="321"/>
      <c r="M12" s="322"/>
      <c r="N12" s="317"/>
      <c r="O12" s="320"/>
      <c r="P12" s="317"/>
      <c r="Q12" s="323"/>
      <c r="R12" s="323"/>
      <c r="S12" s="349" t="s">
        <v>227</v>
      </c>
      <c r="T12" s="324">
        <f t="shared" ref="T12:T43" si="2">IFERROR(D12+G12+N12,"")</f>
        <v>1292470.9200000002</v>
      </c>
      <c r="U12" s="45"/>
      <c r="V12" s="45" t="s">
        <v>133</v>
      </c>
    </row>
    <row r="13" spans="1:22">
      <c r="A13" s="49" t="s">
        <v>42</v>
      </c>
      <c r="B13" s="316" t="s">
        <v>104</v>
      </c>
      <c r="C13" s="297">
        <f>+D13/7</f>
        <v>4810.5714285714284</v>
      </c>
      <c r="D13" s="317">
        <v>33674</v>
      </c>
      <c r="E13" s="318">
        <v>3396487</v>
      </c>
      <c r="F13" s="318"/>
      <c r="G13" s="317">
        <v>263296.51</v>
      </c>
      <c r="H13" s="319">
        <v>7.7520000000000006E-2</v>
      </c>
      <c r="I13" s="319"/>
      <c r="J13" s="317">
        <f t="shared" si="0"/>
        <v>263295.67224000004</v>
      </c>
      <c r="K13" s="320">
        <f t="shared" si="1"/>
        <v>-3.1818120185267418E-6</v>
      </c>
      <c r="L13" s="321"/>
      <c r="M13" s="322"/>
      <c r="N13" s="317"/>
      <c r="O13" s="320"/>
      <c r="P13" s="317"/>
      <c r="Q13" s="323"/>
      <c r="R13" s="323"/>
      <c r="S13" s="349" t="str">
        <f t="shared" ref="S13:S20" si="3">S12</f>
        <v>January</v>
      </c>
      <c r="T13" s="324">
        <f t="shared" si="2"/>
        <v>296970.51</v>
      </c>
      <c r="U13" s="45"/>
      <c r="V13" s="45" t="s">
        <v>137</v>
      </c>
    </row>
    <row r="14" spans="1:22">
      <c r="A14" s="49" t="s">
        <v>43</v>
      </c>
      <c r="B14" s="298" t="s">
        <v>106</v>
      </c>
      <c r="C14" s="297">
        <f>+D14/10</f>
        <v>2519</v>
      </c>
      <c r="D14" s="317">
        <v>25190</v>
      </c>
      <c r="E14" s="318">
        <v>632834</v>
      </c>
      <c r="F14" s="318"/>
      <c r="G14" s="317">
        <v>48735.659999999996</v>
      </c>
      <c r="H14" s="319">
        <v>7.7009999999999995E-2</v>
      </c>
      <c r="I14" s="319"/>
      <c r="J14" s="317">
        <f t="shared" si="0"/>
        <v>48734.546339999994</v>
      </c>
      <c r="K14" s="320">
        <f t="shared" si="1"/>
        <v>-2.2851029410575485E-5</v>
      </c>
      <c r="L14" s="321"/>
      <c r="M14" s="322"/>
      <c r="N14" s="317"/>
      <c r="O14" s="320"/>
      <c r="P14" s="317"/>
      <c r="Q14" s="323"/>
      <c r="R14" s="323"/>
      <c r="S14" s="349" t="str">
        <f t="shared" si="3"/>
        <v>January</v>
      </c>
      <c r="T14" s="324">
        <f t="shared" si="2"/>
        <v>73925.66</v>
      </c>
      <c r="U14" s="45"/>
      <c r="V14" s="45" t="s">
        <v>143</v>
      </c>
    </row>
    <row r="15" spans="1:22">
      <c r="A15" s="49" t="s">
        <v>44</v>
      </c>
      <c r="B15" s="298" t="s">
        <v>107</v>
      </c>
      <c r="C15" s="297">
        <f>+D15/10</f>
        <v>1510</v>
      </c>
      <c r="D15" s="317">
        <v>15100</v>
      </c>
      <c r="E15" s="318">
        <v>7514126</v>
      </c>
      <c r="F15" s="318"/>
      <c r="G15" s="317">
        <v>174778.34</v>
      </c>
      <c r="H15" s="319">
        <v>2.3259999999999999E-2</v>
      </c>
      <c r="I15" s="319"/>
      <c r="J15" s="317">
        <f t="shared" si="0"/>
        <v>174778.57076</v>
      </c>
      <c r="K15" s="320">
        <f t="shared" si="1"/>
        <v>1.3203009023854406E-6</v>
      </c>
      <c r="L15" s="321"/>
      <c r="M15" s="322">
        <v>25497</v>
      </c>
      <c r="N15" s="317">
        <v>245791.08</v>
      </c>
      <c r="O15" s="325">
        <v>9.64</v>
      </c>
      <c r="P15" s="317">
        <f>+O15*M15</f>
        <v>245791.08000000002</v>
      </c>
      <c r="Q15" s="320">
        <f>+P15/N15-1</f>
        <v>0</v>
      </c>
      <c r="R15" s="320"/>
      <c r="S15" s="349" t="str">
        <f t="shared" si="3"/>
        <v>January</v>
      </c>
      <c r="T15" s="324">
        <f t="shared" si="2"/>
        <v>435669.42</v>
      </c>
      <c r="U15" s="45"/>
      <c r="V15" s="45" t="s">
        <v>144</v>
      </c>
    </row>
    <row r="16" spans="1:22">
      <c r="A16" s="49" t="s">
        <v>45</v>
      </c>
      <c r="B16" s="298" t="s">
        <v>108</v>
      </c>
      <c r="C16" s="297">
        <f>D16/300</f>
        <v>29</v>
      </c>
      <c r="D16" s="317">
        <v>8700</v>
      </c>
      <c r="E16" s="318">
        <v>4125011</v>
      </c>
      <c r="F16" s="318">
        <v>6907280</v>
      </c>
      <c r="G16" s="317">
        <v>108171.53</v>
      </c>
      <c r="H16" s="319">
        <v>1.9089999999999999E-2</v>
      </c>
      <c r="I16" s="319">
        <v>4.2599999999999999E-3</v>
      </c>
      <c r="J16" s="317">
        <f t="shared" si="0"/>
        <v>108171.47279</v>
      </c>
      <c r="K16" s="320">
        <f t="shared" si="1"/>
        <v>-5.288822298998852E-7</v>
      </c>
      <c r="L16" s="321"/>
      <c r="M16" s="322">
        <v>23419.5</v>
      </c>
      <c r="N16" s="317">
        <v>185716.68999999997</v>
      </c>
      <c r="O16" s="325">
        <v>7.93</v>
      </c>
      <c r="P16" s="317">
        <f>+O16*M16</f>
        <v>185716.63499999998</v>
      </c>
      <c r="Q16" s="320">
        <f>+P16/N16-1</f>
        <v>-2.96150012069063E-7</v>
      </c>
      <c r="R16" s="320"/>
      <c r="S16" s="349" t="str">
        <f t="shared" si="3"/>
        <v>January</v>
      </c>
      <c r="T16" s="324">
        <f t="shared" si="2"/>
        <v>302588.21999999997</v>
      </c>
      <c r="U16" s="45"/>
      <c r="V16" s="45" t="s">
        <v>147</v>
      </c>
    </row>
    <row r="17" spans="1:22">
      <c r="A17" s="298" t="s">
        <v>46</v>
      </c>
      <c r="B17" s="298" t="s">
        <v>109</v>
      </c>
      <c r="C17" s="297">
        <f>+D17/10</f>
        <v>3</v>
      </c>
      <c r="D17" s="317">
        <v>30</v>
      </c>
      <c r="E17" s="318">
        <v>4605</v>
      </c>
      <c r="F17" s="318">
        <v>24331</v>
      </c>
      <c r="G17" s="317">
        <v>99.47</v>
      </c>
      <c r="H17" s="319">
        <v>1.0030000000000001E-2</v>
      </c>
      <c r="I17" s="319">
        <v>2.1900000000000001E-3</v>
      </c>
      <c r="J17" s="317">
        <f t="shared" si="0"/>
        <v>99.473039999999997</v>
      </c>
      <c r="K17" s="320">
        <f t="shared" si="1"/>
        <v>3.0561978485943442E-5</v>
      </c>
      <c r="L17" s="321"/>
      <c r="M17" s="322">
        <v>134</v>
      </c>
      <c r="N17" s="317">
        <v>515.91</v>
      </c>
      <c r="O17" s="325">
        <v>3.85</v>
      </c>
      <c r="P17" s="317">
        <f>+O17*M17</f>
        <v>515.9</v>
      </c>
      <c r="Q17" s="320">
        <f>+P17/N17-1</f>
        <v>-1.9383225756453015E-5</v>
      </c>
      <c r="R17" s="320"/>
      <c r="S17" s="349" t="str">
        <f t="shared" si="3"/>
        <v>January</v>
      </c>
      <c r="T17" s="324">
        <f t="shared" si="2"/>
        <v>645.38</v>
      </c>
      <c r="U17" s="45"/>
      <c r="V17" s="45" t="s">
        <v>150</v>
      </c>
    </row>
    <row r="18" spans="1:22">
      <c r="A18" s="49" t="s">
        <v>47</v>
      </c>
      <c r="B18" s="298" t="s">
        <v>110</v>
      </c>
      <c r="C18" s="297">
        <v>7</v>
      </c>
      <c r="D18" s="317">
        <v>0</v>
      </c>
      <c r="E18" s="318">
        <v>67636</v>
      </c>
      <c r="F18" s="318"/>
      <c r="G18" s="317">
        <v>4028.42</v>
      </c>
      <c r="H18" s="319">
        <v>5.9560000000000002E-2</v>
      </c>
      <c r="I18" s="319"/>
      <c r="J18" s="317">
        <f t="shared" si="0"/>
        <v>4028.4001600000001</v>
      </c>
      <c r="K18" s="320">
        <f t="shared" si="1"/>
        <v>-4.9250078194562619E-6</v>
      </c>
      <c r="L18" s="321"/>
      <c r="M18" s="322"/>
      <c r="N18" s="317"/>
      <c r="O18" s="320"/>
      <c r="P18" s="317"/>
      <c r="Q18" s="323"/>
      <c r="R18" s="323"/>
      <c r="S18" s="349" t="str">
        <f t="shared" si="3"/>
        <v>January</v>
      </c>
      <c r="T18" s="324">
        <f t="shared" si="2"/>
        <v>4028.42</v>
      </c>
      <c r="U18" s="45"/>
      <c r="V18" s="45" t="s">
        <v>151</v>
      </c>
    </row>
    <row r="19" spans="1:22">
      <c r="C19" s="297"/>
      <c r="D19" s="316"/>
      <c r="Q19" s="323"/>
      <c r="R19" s="323"/>
      <c r="S19" s="349" t="str">
        <f t="shared" si="3"/>
        <v>January</v>
      </c>
      <c r="T19" s="324">
        <f t="shared" si="2"/>
        <v>0</v>
      </c>
      <c r="U19" s="45"/>
      <c r="V19" s="45" t="str">
        <f t="shared" ref="V19:V50" si="4">_xlfn.IFNA(VLOOKUP(A19,$A$12:$V$18,22,FALSE),"")</f>
        <v/>
      </c>
    </row>
    <row r="20" spans="1:22">
      <c r="B20" s="49" t="s">
        <v>279</v>
      </c>
      <c r="C20" s="297">
        <f>SUM(C12:C18)</f>
        <v>30397.57857142857</v>
      </c>
      <c r="D20" s="317">
        <f>SUM(D12:D18)</f>
        <v>233327.05</v>
      </c>
      <c r="E20" s="297">
        <f>SUM(E12:E18)</f>
        <v>30470263</v>
      </c>
      <c r="F20" s="297">
        <f>SUM(F12:F18)</f>
        <v>6931611</v>
      </c>
      <c r="G20" s="317">
        <f>SUM(G12:G18)</f>
        <v>1740947.8</v>
      </c>
      <c r="J20" s="317">
        <f>SUM(J12:J18)</f>
        <v>1740943.93661</v>
      </c>
      <c r="K20" s="320">
        <f>+J20/G20-1</f>
        <v>-2.2191302921914513E-6</v>
      </c>
      <c r="L20" s="321"/>
      <c r="M20" s="322">
        <f>SUM(M12:M18)</f>
        <v>49050.5</v>
      </c>
      <c r="N20" s="317">
        <f>SUM(N12:N18)</f>
        <v>432023.67999999993</v>
      </c>
      <c r="P20" s="317">
        <f>SUM(P12:P18)</f>
        <v>432023.61499999999</v>
      </c>
      <c r="Q20" s="320">
        <f>+P20/N20-1</f>
        <v>-1.5045471568608804E-7</v>
      </c>
      <c r="R20" s="320"/>
      <c r="S20" s="349" t="str">
        <f t="shared" si="3"/>
        <v>January</v>
      </c>
      <c r="T20" s="324">
        <f t="shared" si="2"/>
        <v>2406298.5300000003</v>
      </c>
      <c r="U20" s="45"/>
      <c r="V20" s="45" t="str">
        <f t="shared" si="4"/>
        <v/>
      </c>
    </row>
    <row r="21" spans="1:22">
      <c r="C21" s="297"/>
      <c r="D21" s="317"/>
      <c r="E21" s="297"/>
      <c r="F21" s="297"/>
      <c r="G21" s="317"/>
      <c r="J21" s="317"/>
      <c r="K21" s="320"/>
      <c r="L21" s="321"/>
      <c r="M21" s="297"/>
      <c r="N21" s="317"/>
      <c r="P21" s="317"/>
      <c r="Q21" s="320"/>
      <c r="R21" s="320"/>
      <c r="T21" s="324">
        <f t="shared" si="2"/>
        <v>0</v>
      </c>
      <c r="U21" s="45"/>
      <c r="V21" s="45" t="str">
        <f t="shared" si="4"/>
        <v/>
      </c>
    </row>
    <row r="22" spans="1:22">
      <c r="A22" s="295"/>
      <c r="B22" s="296" t="s">
        <v>611</v>
      </c>
      <c r="C22" s="297"/>
      <c r="D22" s="298"/>
      <c r="E22" s="299"/>
      <c r="F22" s="299"/>
      <c r="G22" s="300"/>
      <c r="H22" s="301" t="s">
        <v>612</v>
      </c>
      <c r="I22" s="301" t="s">
        <v>613</v>
      </c>
      <c r="J22" s="290" t="s">
        <v>596</v>
      </c>
      <c r="N22" s="290"/>
      <c r="P22" s="290" t="s">
        <v>596</v>
      </c>
      <c r="T22" s="324">
        <f t="shared" si="2"/>
        <v>0</v>
      </c>
      <c r="U22" s="45"/>
      <c r="V22" s="45" t="str">
        <f t="shared" si="4"/>
        <v/>
      </c>
    </row>
    <row r="23" spans="1:22">
      <c r="A23" s="290"/>
      <c r="B23" s="290"/>
      <c r="C23" s="297"/>
      <c r="D23" s="290"/>
      <c r="E23" s="302" t="s">
        <v>614</v>
      </c>
      <c r="F23" s="302" t="s">
        <v>615</v>
      </c>
      <c r="G23" s="300" t="s">
        <v>262</v>
      </c>
      <c r="H23" s="301" t="s">
        <v>262</v>
      </c>
      <c r="I23" s="301" t="s">
        <v>262</v>
      </c>
      <c r="J23" s="290" t="s">
        <v>262</v>
      </c>
      <c r="K23" s="303" t="s">
        <v>598</v>
      </c>
      <c r="L23" s="304"/>
      <c r="M23" s="292"/>
      <c r="N23" s="290" t="s">
        <v>262</v>
      </c>
      <c r="O23" s="290" t="s">
        <v>262</v>
      </c>
      <c r="P23" s="290" t="s">
        <v>262</v>
      </c>
      <c r="Q23" s="304" t="s">
        <v>598</v>
      </c>
      <c r="R23" s="304"/>
      <c r="T23" s="324" t="str">
        <f t="shared" si="2"/>
        <v/>
      </c>
      <c r="U23" s="45"/>
      <c r="V23" s="45" t="str">
        <f t="shared" si="4"/>
        <v/>
      </c>
    </row>
    <row r="24" spans="1:22">
      <c r="A24" s="290" t="s">
        <v>404</v>
      </c>
      <c r="B24" s="290"/>
      <c r="C24" s="300" t="s">
        <v>418</v>
      </c>
      <c r="D24" s="290" t="s">
        <v>599</v>
      </c>
      <c r="E24" s="302" t="s">
        <v>600</v>
      </c>
      <c r="F24" s="302" t="s">
        <v>601</v>
      </c>
      <c r="G24" s="300" t="s">
        <v>421</v>
      </c>
      <c r="H24" s="305" t="s">
        <v>602</v>
      </c>
      <c r="I24" s="305" t="s">
        <v>603</v>
      </c>
      <c r="J24" s="304" t="s">
        <v>421</v>
      </c>
      <c r="K24" s="306" t="s">
        <v>421</v>
      </c>
      <c r="L24" s="290"/>
      <c r="M24" s="292" t="s">
        <v>408</v>
      </c>
      <c r="N24" s="292" t="s">
        <v>408</v>
      </c>
      <c r="O24" s="290" t="s">
        <v>408</v>
      </c>
      <c r="P24" s="290" t="s">
        <v>408</v>
      </c>
      <c r="Q24" s="290" t="s">
        <v>408</v>
      </c>
      <c r="R24" s="290"/>
      <c r="S24" s="290"/>
      <c r="T24" s="324" t="str">
        <f t="shared" si="2"/>
        <v/>
      </c>
      <c r="U24" s="45"/>
      <c r="V24" s="45" t="str">
        <f t="shared" si="4"/>
        <v/>
      </c>
    </row>
    <row r="25" spans="1:22" ht="13.2">
      <c r="A25" s="308" t="s">
        <v>90</v>
      </c>
      <c r="B25" s="308" t="s">
        <v>125</v>
      </c>
      <c r="C25" s="309" t="s">
        <v>605</v>
      </c>
      <c r="D25" s="308" t="s">
        <v>162</v>
      </c>
      <c r="E25" s="309" t="s">
        <v>421</v>
      </c>
      <c r="F25" s="309" t="s">
        <v>421</v>
      </c>
      <c r="G25" s="310" t="s">
        <v>162</v>
      </c>
      <c r="H25" s="311" t="s">
        <v>404</v>
      </c>
      <c r="I25" s="311" t="s">
        <v>404</v>
      </c>
      <c r="J25" s="308" t="s">
        <v>162</v>
      </c>
      <c r="K25" s="312" t="s">
        <v>606</v>
      </c>
      <c r="L25" s="308"/>
      <c r="M25" s="313" t="s">
        <v>607</v>
      </c>
      <c r="N25" s="314" t="s">
        <v>162</v>
      </c>
      <c r="O25" s="308" t="s">
        <v>404</v>
      </c>
      <c r="P25" s="308" t="s">
        <v>162</v>
      </c>
      <c r="Q25" s="308" t="s">
        <v>606</v>
      </c>
      <c r="R25" s="308"/>
      <c r="T25" s="324" t="str">
        <f t="shared" si="2"/>
        <v/>
      </c>
      <c r="U25" s="45"/>
      <c r="V25" s="45" t="str">
        <f t="shared" si="4"/>
        <v/>
      </c>
    </row>
    <row r="26" spans="1:22">
      <c r="A26" s="49" t="s">
        <v>39</v>
      </c>
      <c r="B26" s="316" t="s">
        <v>610</v>
      </c>
      <c r="C26" s="297">
        <f>+D26/7</f>
        <v>21409.63714285714</v>
      </c>
      <c r="D26" s="317">
        <v>149867.46</v>
      </c>
      <c r="E26" s="318">
        <v>13584416</v>
      </c>
      <c r="F26" s="318"/>
      <c r="G26" s="317">
        <v>1053065.7899999998</v>
      </c>
      <c r="H26" s="319">
        <f t="shared" ref="H26:H32" si="5">H12</f>
        <v>7.7520000000000006E-2</v>
      </c>
      <c r="I26" s="319"/>
      <c r="J26" s="317">
        <f t="shared" ref="J26:J32" si="6">+E26*H26+F26*I26</f>
        <v>1053063.9283200002</v>
      </c>
      <c r="K26" s="320">
        <f t="shared" ref="K26:K32" si="7">+J26/G26-1</f>
        <v>-1.7678667537657233E-6</v>
      </c>
      <c r="L26" s="321"/>
      <c r="M26" s="322"/>
      <c r="N26" s="317"/>
      <c r="O26" s="320"/>
      <c r="P26" s="317"/>
      <c r="Q26" s="323"/>
      <c r="R26" s="323"/>
      <c r="S26" s="349" t="s">
        <v>228</v>
      </c>
      <c r="T26" s="324">
        <f t="shared" si="2"/>
        <v>1202933.2499999998</v>
      </c>
      <c r="U26" s="45"/>
      <c r="V26" s="45" t="str">
        <f t="shared" si="4"/>
        <v>RD-1: Residential</v>
      </c>
    </row>
    <row r="27" spans="1:22">
      <c r="A27" s="49" t="s">
        <v>42</v>
      </c>
      <c r="B27" s="316" t="s">
        <v>104</v>
      </c>
      <c r="C27" s="297">
        <f>+D27/7</f>
        <v>4895.8328571428574</v>
      </c>
      <c r="D27" s="317">
        <v>34270.83</v>
      </c>
      <c r="E27" s="318">
        <v>3431836</v>
      </c>
      <c r="F27" s="318"/>
      <c r="G27" s="317">
        <v>266036.49</v>
      </c>
      <c r="H27" s="319">
        <f t="shared" si="5"/>
        <v>7.7520000000000006E-2</v>
      </c>
      <c r="I27" s="319"/>
      <c r="J27" s="317">
        <f t="shared" si="6"/>
        <v>266035.92672000005</v>
      </c>
      <c r="K27" s="320">
        <f t="shared" si="7"/>
        <v>-2.1173035320565248E-6</v>
      </c>
      <c r="L27" s="321"/>
      <c r="M27" s="322"/>
      <c r="N27" s="317"/>
      <c r="O27" s="320"/>
      <c r="P27" s="317"/>
      <c r="Q27" s="323"/>
      <c r="R27" s="323"/>
      <c r="S27" s="349" t="str">
        <f t="shared" ref="S27:S34" si="8">S26</f>
        <v>February</v>
      </c>
      <c r="T27" s="324">
        <f t="shared" si="2"/>
        <v>300307.32</v>
      </c>
      <c r="U27" s="45"/>
      <c r="V27" s="45" t="str">
        <f t="shared" si="4"/>
        <v>RD-2: Residential, Low Income</v>
      </c>
    </row>
    <row r="28" spans="1:22">
      <c r="A28" s="49" t="s">
        <v>43</v>
      </c>
      <c r="B28" s="298" t="s">
        <v>106</v>
      </c>
      <c r="C28" s="297">
        <f>+D28/10</f>
        <v>2518</v>
      </c>
      <c r="D28" s="317">
        <v>25180</v>
      </c>
      <c r="E28" s="318">
        <v>645792</v>
      </c>
      <c r="F28" s="318"/>
      <c r="G28" s="317">
        <v>49732.709999999985</v>
      </c>
      <c r="H28" s="319">
        <f t="shared" si="5"/>
        <v>7.7009999999999995E-2</v>
      </c>
      <c r="I28" s="319"/>
      <c r="J28" s="317">
        <f t="shared" si="6"/>
        <v>49732.441919999997</v>
      </c>
      <c r="K28" s="320">
        <f t="shared" si="7"/>
        <v>-5.3904160860485106E-6</v>
      </c>
      <c r="L28" s="321"/>
      <c r="M28" s="322"/>
      <c r="N28" s="317"/>
      <c r="O28" s="320"/>
      <c r="P28" s="317"/>
      <c r="Q28" s="323"/>
      <c r="R28" s="323"/>
      <c r="S28" s="349" t="str">
        <f t="shared" si="8"/>
        <v>February</v>
      </c>
      <c r="T28" s="324">
        <f t="shared" si="2"/>
        <v>74912.709999999992</v>
      </c>
      <c r="U28" s="45"/>
      <c r="V28" s="45" t="str">
        <f t="shared" si="4"/>
        <v>GD-1: Small General</v>
      </c>
    </row>
    <row r="29" spans="1:22">
      <c r="A29" s="49" t="s">
        <v>44</v>
      </c>
      <c r="B29" s="298" t="s">
        <v>107</v>
      </c>
      <c r="C29" s="297">
        <f>+D29/10</f>
        <v>1514</v>
      </c>
      <c r="D29" s="317">
        <v>15140</v>
      </c>
      <c r="E29" s="318">
        <v>7715175</v>
      </c>
      <c r="F29" s="318"/>
      <c r="G29" s="317">
        <v>179455.06</v>
      </c>
      <c r="H29" s="319">
        <f t="shared" si="5"/>
        <v>2.3259999999999999E-2</v>
      </c>
      <c r="I29" s="319"/>
      <c r="J29" s="317">
        <f t="shared" si="6"/>
        <v>179454.9705</v>
      </c>
      <c r="K29" s="320">
        <f t="shared" si="7"/>
        <v>-4.9873210594686412E-7</v>
      </c>
      <c r="L29" s="321"/>
      <c r="M29" s="322">
        <v>26192.5</v>
      </c>
      <c r="N29" s="317">
        <v>252495.7</v>
      </c>
      <c r="O29" s="326">
        <f>O15</f>
        <v>9.64</v>
      </c>
      <c r="P29" s="317">
        <f>+O29*M29</f>
        <v>252495.7</v>
      </c>
      <c r="Q29" s="320">
        <f>+P29/N29-1</f>
        <v>0</v>
      </c>
      <c r="R29" s="320"/>
      <c r="S29" s="349" t="str">
        <f t="shared" si="8"/>
        <v>February</v>
      </c>
      <c r="T29" s="324">
        <f t="shared" si="2"/>
        <v>447090.76</v>
      </c>
      <c r="U29" s="45"/>
      <c r="V29" s="45" t="str">
        <f t="shared" si="4"/>
        <v>GD-2: Regular General</v>
      </c>
    </row>
    <row r="30" spans="1:22">
      <c r="A30" s="49" t="s">
        <v>45</v>
      </c>
      <c r="B30" s="298" t="s">
        <v>108</v>
      </c>
      <c r="C30" s="297">
        <f>D30/300</f>
        <v>29</v>
      </c>
      <c r="D30" s="317">
        <v>8700</v>
      </c>
      <c r="E30" s="318">
        <v>4104234</v>
      </c>
      <c r="F30" s="318">
        <v>6347478</v>
      </c>
      <c r="G30" s="317">
        <v>105390.09</v>
      </c>
      <c r="H30" s="319">
        <f t="shared" si="5"/>
        <v>1.9089999999999999E-2</v>
      </c>
      <c r="I30" s="319">
        <f>I16</f>
        <v>4.2599999999999999E-3</v>
      </c>
      <c r="J30" s="317">
        <f t="shared" si="6"/>
        <v>105390.08334</v>
      </c>
      <c r="K30" s="320">
        <f t="shared" si="7"/>
        <v>-6.3193797417149256E-8</v>
      </c>
      <c r="L30" s="321"/>
      <c r="M30" s="322">
        <v>23606</v>
      </c>
      <c r="N30" s="317">
        <v>187195.65</v>
      </c>
      <c r="O30" s="326">
        <f>O16</f>
        <v>7.93</v>
      </c>
      <c r="P30" s="317">
        <f>+O30*M30</f>
        <v>187195.58</v>
      </c>
      <c r="Q30" s="320">
        <f>+P30/N30-1</f>
        <v>-3.7394031326964949E-7</v>
      </c>
      <c r="R30" s="320"/>
      <c r="S30" s="349" t="str">
        <f t="shared" si="8"/>
        <v>February</v>
      </c>
      <c r="T30" s="324">
        <f t="shared" si="2"/>
        <v>301285.74</v>
      </c>
      <c r="U30" s="45"/>
      <c r="V30" s="45" t="str">
        <f t="shared" si="4"/>
        <v>GD-3: Large General</v>
      </c>
    </row>
    <row r="31" spans="1:22">
      <c r="A31" s="298" t="s">
        <v>46</v>
      </c>
      <c r="B31" s="298" t="s">
        <v>109</v>
      </c>
      <c r="C31" s="297">
        <f>+D31/10</f>
        <v>3</v>
      </c>
      <c r="D31" s="317">
        <v>30</v>
      </c>
      <c r="E31" s="318">
        <v>5226</v>
      </c>
      <c r="F31" s="318">
        <v>22150</v>
      </c>
      <c r="G31" s="317">
        <v>100.91999999999999</v>
      </c>
      <c r="H31" s="319">
        <f t="shared" si="5"/>
        <v>1.0030000000000001E-2</v>
      </c>
      <c r="I31" s="319">
        <f>I17</f>
        <v>2.1900000000000001E-3</v>
      </c>
      <c r="J31" s="317">
        <f t="shared" si="6"/>
        <v>100.92528000000001</v>
      </c>
      <c r="K31" s="320">
        <f t="shared" si="7"/>
        <v>5.2318668252393508E-5</v>
      </c>
      <c r="L31" s="321"/>
      <c r="M31" s="322">
        <v>90</v>
      </c>
      <c r="N31" s="317">
        <v>346.5</v>
      </c>
      <c r="O31" s="326">
        <f>O17</f>
        <v>3.85</v>
      </c>
      <c r="P31" s="317">
        <f>+O31*M31</f>
        <v>346.5</v>
      </c>
      <c r="Q31" s="320">
        <f>+P31/N31-1</f>
        <v>0</v>
      </c>
      <c r="R31" s="320"/>
      <c r="S31" s="349" t="str">
        <f t="shared" si="8"/>
        <v>February</v>
      </c>
      <c r="T31" s="324">
        <f t="shared" si="2"/>
        <v>477.41999999999996</v>
      </c>
      <c r="U31" s="45"/>
      <c r="V31" s="45" t="str">
        <f t="shared" si="4"/>
        <v>GD-4: Regular General Optional TOU</v>
      </c>
    </row>
    <row r="32" spans="1:22">
      <c r="A32" s="49" t="s">
        <v>47</v>
      </c>
      <c r="B32" s="298" t="s">
        <v>110</v>
      </c>
      <c r="C32" s="297">
        <v>7</v>
      </c>
      <c r="D32" s="317">
        <v>0</v>
      </c>
      <c r="E32" s="318">
        <v>89415</v>
      </c>
      <c r="F32" s="318"/>
      <c r="G32" s="317">
        <v>5325.5499999999993</v>
      </c>
      <c r="H32" s="319">
        <f t="shared" si="5"/>
        <v>5.9560000000000002E-2</v>
      </c>
      <c r="I32" s="319"/>
      <c r="J32" s="317">
        <f t="shared" si="6"/>
        <v>5325.5574000000006</v>
      </c>
      <c r="K32" s="320">
        <f t="shared" si="7"/>
        <v>1.3895278423436963E-6</v>
      </c>
      <c r="L32" s="321"/>
      <c r="M32" s="322"/>
      <c r="N32" s="317"/>
      <c r="O32" s="320"/>
      <c r="P32" s="317"/>
      <c r="Q32" s="323"/>
      <c r="R32" s="323"/>
      <c r="S32" s="349" t="str">
        <f t="shared" si="8"/>
        <v>February</v>
      </c>
      <c r="T32" s="324">
        <f t="shared" si="2"/>
        <v>5325.5499999999993</v>
      </c>
      <c r="U32" s="45"/>
      <c r="V32" s="45" t="str">
        <f t="shared" si="4"/>
        <v>GD-5: Water and/or Space Heating Rider</v>
      </c>
    </row>
    <row r="33" spans="1:22">
      <c r="C33" s="297"/>
      <c r="D33" s="316"/>
      <c r="Q33" s="323"/>
      <c r="R33" s="323"/>
      <c r="S33" s="349" t="str">
        <f t="shared" si="8"/>
        <v>February</v>
      </c>
      <c r="T33" s="324">
        <f t="shared" si="2"/>
        <v>0</v>
      </c>
      <c r="U33" s="45"/>
      <c r="V33" s="45" t="str">
        <f t="shared" si="4"/>
        <v/>
      </c>
    </row>
    <row r="34" spans="1:22">
      <c r="B34" s="49" t="s">
        <v>279</v>
      </c>
      <c r="C34" s="297">
        <f>SUM(C26:C32)</f>
        <v>30376.469999999998</v>
      </c>
      <c r="D34" s="317">
        <f>SUM(D26:D32)</f>
        <v>233188.28999999998</v>
      </c>
      <c r="E34" s="297">
        <f>SUM(E26:E32)</f>
        <v>29576094</v>
      </c>
      <c r="F34" s="297">
        <f>SUM(F26:F32)</f>
        <v>6369628</v>
      </c>
      <c r="G34" s="317">
        <f>SUM(G26:G32)</f>
        <v>1659106.6099999999</v>
      </c>
      <c r="J34" s="317">
        <f>SUM(J26:J32)</f>
        <v>1659103.8334800003</v>
      </c>
      <c r="K34" s="320">
        <f>+J34/G34-1</f>
        <v>-1.673503066568216E-6</v>
      </c>
      <c r="L34" s="321"/>
      <c r="M34" s="322">
        <f>SUM(M26:M32)</f>
        <v>49888.5</v>
      </c>
      <c r="N34" s="317">
        <f>SUM(N26:N32)</f>
        <v>440037.85</v>
      </c>
      <c r="P34" s="317">
        <f>SUM(P26:P32)</f>
        <v>440037.78</v>
      </c>
      <c r="Q34" s="320">
        <f>+P34/N34-1</f>
        <v>-1.5907722472618957E-7</v>
      </c>
      <c r="R34" s="320"/>
      <c r="S34" s="349" t="str">
        <f t="shared" si="8"/>
        <v>February</v>
      </c>
      <c r="T34" s="324">
        <f t="shared" si="2"/>
        <v>2332332.75</v>
      </c>
      <c r="U34" s="45"/>
      <c r="V34" s="45" t="str">
        <f t="shared" si="4"/>
        <v/>
      </c>
    </row>
    <row r="35" spans="1:22">
      <c r="C35" s="297"/>
      <c r="D35" s="317"/>
      <c r="E35" s="297"/>
      <c r="F35" s="297"/>
      <c r="G35" s="317"/>
      <c r="J35" s="317"/>
      <c r="K35" s="320"/>
      <c r="L35" s="321"/>
      <c r="M35" s="322"/>
      <c r="N35" s="317"/>
      <c r="P35" s="317"/>
      <c r="Q35" s="320"/>
      <c r="R35" s="320"/>
      <c r="S35" s="320"/>
      <c r="T35" s="324">
        <f t="shared" si="2"/>
        <v>0</v>
      </c>
      <c r="U35" s="45"/>
      <c r="V35" s="45" t="str">
        <f t="shared" si="4"/>
        <v/>
      </c>
    </row>
    <row r="36" spans="1:22">
      <c r="A36" s="295"/>
      <c r="B36" s="296" t="s">
        <v>616</v>
      </c>
      <c r="C36" s="297"/>
      <c r="D36" s="298"/>
      <c r="E36" s="299"/>
      <c r="F36" s="299"/>
      <c r="G36" s="300"/>
      <c r="H36" s="301" t="s">
        <v>612</v>
      </c>
      <c r="I36" s="301" t="s">
        <v>613</v>
      </c>
      <c r="J36" s="290" t="s">
        <v>596</v>
      </c>
      <c r="N36" s="290"/>
      <c r="P36" s="290" t="s">
        <v>596</v>
      </c>
      <c r="T36" s="324">
        <f t="shared" si="2"/>
        <v>0</v>
      </c>
      <c r="U36" s="45"/>
      <c r="V36" s="45" t="str">
        <f t="shared" si="4"/>
        <v/>
      </c>
    </row>
    <row r="37" spans="1:22">
      <c r="A37" s="290"/>
      <c r="B37" s="290"/>
      <c r="C37" s="297"/>
      <c r="D37" s="290"/>
      <c r="E37" s="302" t="s">
        <v>614</v>
      </c>
      <c r="F37" s="302" t="s">
        <v>615</v>
      </c>
      <c r="G37" s="300" t="s">
        <v>262</v>
      </c>
      <c r="H37" s="301" t="s">
        <v>262</v>
      </c>
      <c r="I37" s="301" t="s">
        <v>262</v>
      </c>
      <c r="J37" s="290" t="s">
        <v>262</v>
      </c>
      <c r="K37" s="303" t="s">
        <v>598</v>
      </c>
      <c r="L37" s="304"/>
      <c r="M37" s="292"/>
      <c r="N37" s="290" t="s">
        <v>262</v>
      </c>
      <c r="O37" s="290" t="s">
        <v>262</v>
      </c>
      <c r="P37" s="290" t="s">
        <v>262</v>
      </c>
      <c r="Q37" s="304" t="s">
        <v>598</v>
      </c>
      <c r="R37" s="304"/>
      <c r="S37" s="304"/>
      <c r="T37" s="324" t="str">
        <f t="shared" si="2"/>
        <v/>
      </c>
      <c r="U37" s="45"/>
      <c r="V37" s="45" t="str">
        <f t="shared" si="4"/>
        <v/>
      </c>
    </row>
    <row r="38" spans="1:22">
      <c r="A38" s="290" t="s">
        <v>404</v>
      </c>
      <c r="B38" s="290"/>
      <c r="C38" s="300" t="s">
        <v>418</v>
      </c>
      <c r="D38" s="290" t="s">
        <v>599</v>
      </c>
      <c r="E38" s="302" t="s">
        <v>600</v>
      </c>
      <c r="F38" s="302" t="s">
        <v>601</v>
      </c>
      <c r="G38" s="300" t="s">
        <v>421</v>
      </c>
      <c r="H38" s="305" t="s">
        <v>602</v>
      </c>
      <c r="I38" s="305" t="s">
        <v>603</v>
      </c>
      <c r="J38" s="304" t="s">
        <v>421</v>
      </c>
      <c r="K38" s="306" t="s">
        <v>421</v>
      </c>
      <c r="L38" s="290"/>
      <c r="M38" s="292" t="s">
        <v>408</v>
      </c>
      <c r="N38" s="292" t="s">
        <v>408</v>
      </c>
      <c r="O38" s="290" t="s">
        <v>408</v>
      </c>
      <c r="P38" s="290" t="s">
        <v>408</v>
      </c>
      <c r="Q38" s="290" t="s">
        <v>408</v>
      </c>
      <c r="R38" s="290"/>
      <c r="S38" s="290"/>
      <c r="T38" s="324" t="str">
        <f t="shared" si="2"/>
        <v/>
      </c>
      <c r="U38" s="45"/>
      <c r="V38" s="45" t="str">
        <f t="shared" si="4"/>
        <v/>
      </c>
    </row>
    <row r="39" spans="1:22" ht="13.2">
      <c r="A39" s="308" t="s">
        <v>90</v>
      </c>
      <c r="B39" s="308" t="s">
        <v>125</v>
      </c>
      <c r="C39" s="309" t="s">
        <v>605</v>
      </c>
      <c r="D39" s="308" t="s">
        <v>162</v>
      </c>
      <c r="E39" s="309" t="s">
        <v>421</v>
      </c>
      <c r="F39" s="309" t="s">
        <v>421</v>
      </c>
      <c r="G39" s="310" t="s">
        <v>162</v>
      </c>
      <c r="H39" s="311" t="s">
        <v>404</v>
      </c>
      <c r="I39" s="311" t="s">
        <v>404</v>
      </c>
      <c r="J39" s="308" t="s">
        <v>162</v>
      </c>
      <c r="K39" s="312" t="s">
        <v>606</v>
      </c>
      <c r="L39" s="308"/>
      <c r="M39" s="313" t="s">
        <v>607</v>
      </c>
      <c r="N39" s="314" t="s">
        <v>162</v>
      </c>
      <c r="O39" s="308" t="s">
        <v>404</v>
      </c>
      <c r="P39" s="308" t="s">
        <v>162</v>
      </c>
      <c r="Q39" s="308" t="s">
        <v>606</v>
      </c>
      <c r="R39" s="308"/>
      <c r="S39" s="308"/>
      <c r="T39" s="324" t="str">
        <f t="shared" si="2"/>
        <v/>
      </c>
      <c r="U39" s="45"/>
      <c r="V39" s="45" t="str">
        <f t="shared" si="4"/>
        <v/>
      </c>
    </row>
    <row r="40" spans="1:22">
      <c r="A40" s="49" t="s">
        <v>39</v>
      </c>
      <c r="B40" s="316" t="s">
        <v>610</v>
      </c>
      <c r="C40" s="297">
        <f>+D40/7</f>
        <v>21353.600000000002</v>
      </c>
      <c r="D40" s="317">
        <v>149475.20000000001</v>
      </c>
      <c r="E40" s="318">
        <v>11799437</v>
      </c>
      <c r="F40" s="318"/>
      <c r="G40" s="317">
        <v>914694.5</v>
      </c>
      <c r="H40" s="319">
        <f t="shared" ref="H40:H46" si="9">H26</f>
        <v>7.7520000000000006E-2</v>
      </c>
      <c r="I40" s="319"/>
      <c r="J40" s="317">
        <f t="shared" ref="J40:J46" si="10">+E40*H40+F40*I40</f>
        <v>914692.35624000011</v>
      </c>
      <c r="K40" s="320">
        <f t="shared" ref="K40:K46" si="11">+J40/G40-1</f>
        <v>-2.343689614270339E-6</v>
      </c>
      <c r="L40" s="321"/>
      <c r="M40" s="322"/>
      <c r="N40" s="317"/>
      <c r="O40" s="320"/>
      <c r="P40" s="317"/>
      <c r="Q40" s="323"/>
      <c r="R40" s="323"/>
      <c r="S40" s="349" t="s">
        <v>229</v>
      </c>
      <c r="T40" s="324">
        <f t="shared" si="2"/>
        <v>1064169.7</v>
      </c>
      <c r="U40" s="45"/>
      <c r="V40" s="45" t="str">
        <f t="shared" si="4"/>
        <v>RD-1: Residential</v>
      </c>
    </row>
    <row r="41" spans="1:22">
      <c r="A41" s="49" t="s">
        <v>42</v>
      </c>
      <c r="B41" s="316" t="s">
        <v>104</v>
      </c>
      <c r="C41" s="297">
        <f>+D41/7</f>
        <v>5034</v>
      </c>
      <c r="D41" s="317">
        <v>35238</v>
      </c>
      <c r="E41" s="318">
        <v>3259396</v>
      </c>
      <c r="F41" s="318"/>
      <c r="G41" s="317">
        <v>252668.69999999998</v>
      </c>
      <c r="H41" s="319">
        <f t="shared" si="9"/>
        <v>7.7520000000000006E-2</v>
      </c>
      <c r="I41" s="319"/>
      <c r="J41" s="317">
        <f t="shared" si="10"/>
        <v>252668.37792000003</v>
      </c>
      <c r="K41" s="320">
        <f t="shared" si="11"/>
        <v>-1.2747126967305178E-6</v>
      </c>
      <c r="L41" s="321"/>
      <c r="M41" s="322"/>
      <c r="N41" s="317"/>
      <c r="O41" s="320"/>
      <c r="P41" s="317"/>
      <c r="Q41" s="323"/>
      <c r="R41" s="323"/>
      <c r="S41" s="349" t="str">
        <f t="shared" ref="S41:S48" si="12">S40</f>
        <v>March</v>
      </c>
      <c r="T41" s="324">
        <f t="shared" si="2"/>
        <v>287906.69999999995</v>
      </c>
      <c r="U41" s="45"/>
      <c r="V41" s="45" t="str">
        <f t="shared" si="4"/>
        <v>RD-2: Residential, Low Income</v>
      </c>
    </row>
    <row r="42" spans="1:22">
      <c r="A42" s="49" t="s">
        <v>43</v>
      </c>
      <c r="B42" s="298" t="s">
        <v>106</v>
      </c>
      <c r="C42" s="297">
        <f>+D42/10</f>
        <v>2551.0009999999997</v>
      </c>
      <c r="D42" s="317">
        <v>25510.01</v>
      </c>
      <c r="E42" s="318">
        <v>601021</v>
      </c>
      <c r="F42" s="318"/>
      <c r="G42" s="317">
        <v>46284.85</v>
      </c>
      <c r="H42" s="319">
        <f t="shared" si="9"/>
        <v>7.7009999999999995E-2</v>
      </c>
      <c r="I42" s="319"/>
      <c r="J42" s="317">
        <f t="shared" si="10"/>
        <v>46284.627209999999</v>
      </c>
      <c r="K42" s="320">
        <f t="shared" si="11"/>
        <v>-4.8134540784339208E-6</v>
      </c>
      <c r="L42" s="321"/>
      <c r="M42" s="322"/>
      <c r="N42" s="317"/>
      <c r="O42" s="320"/>
      <c r="P42" s="317"/>
      <c r="Q42" s="323"/>
      <c r="R42" s="323"/>
      <c r="S42" s="349" t="str">
        <f t="shared" si="12"/>
        <v>March</v>
      </c>
      <c r="T42" s="324">
        <f t="shared" si="2"/>
        <v>71794.86</v>
      </c>
      <c r="U42" s="45"/>
      <c r="V42" s="45" t="str">
        <f t="shared" si="4"/>
        <v>GD-1: Small General</v>
      </c>
    </row>
    <row r="43" spans="1:22">
      <c r="A43" s="49" t="s">
        <v>44</v>
      </c>
      <c r="B43" s="298" t="s">
        <v>107</v>
      </c>
      <c r="C43" s="297">
        <f>+D43/10</f>
        <v>1512</v>
      </c>
      <c r="D43" s="317">
        <v>15120</v>
      </c>
      <c r="E43" s="318">
        <v>7461768</v>
      </c>
      <c r="F43" s="318"/>
      <c r="G43" s="317">
        <v>173560.92</v>
      </c>
      <c r="H43" s="319">
        <f t="shared" si="9"/>
        <v>2.3259999999999999E-2</v>
      </c>
      <c r="I43" s="319"/>
      <c r="J43" s="317">
        <f t="shared" si="10"/>
        <v>173560.72368</v>
      </c>
      <c r="K43" s="320">
        <f t="shared" si="11"/>
        <v>-1.1311302107186449E-6</v>
      </c>
      <c r="L43" s="321"/>
      <c r="M43" s="322">
        <v>25515.5</v>
      </c>
      <c r="N43" s="317">
        <v>245969.42</v>
      </c>
      <c r="O43" s="326">
        <f>O29</f>
        <v>9.64</v>
      </c>
      <c r="P43" s="317">
        <f>+O43*M43</f>
        <v>245969.42</v>
      </c>
      <c r="Q43" s="320">
        <f>+P43/N43-1</f>
        <v>0</v>
      </c>
      <c r="R43" s="320"/>
      <c r="S43" s="349" t="str">
        <f t="shared" si="12"/>
        <v>March</v>
      </c>
      <c r="T43" s="324">
        <f t="shared" si="2"/>
        <v>434650.34</v>
      </c>
      <c r="U43" s="45"/>
      <c r="V43" s="45" t="str">
        <f t="shared" si="4"/>
        <v>GD-2: Regular General</v>
      </c>
    </row>
    <row r="44" spans="1:22">
      <c r="A44" s="49" t="s">
        <v>45</v>
      </c>
      <c r="B44" s="298" t="s">
        <v>108</v>
      </c>
      <c r="C44" s="297">
        <f>D44/300</f>
        <v>29</v>
      </c>
      <c r="D44" s="317">
        <v>8700</v>
      </c>
      <c r="E44" s="318">
        <v>4475607</v>
      </c>
      <c r="F44" s="318">
        <v>6361023</v>
      </c>
      <c r="G44" s="317">
        <v>112537.31000000001</v>
      </c>
      <c r="H44" s="319">
        <f t="shared" si="9"/>
        <v>1.9089999999999999E-2</v>
      </c>
      <c r="I44" s="319">
        <f>I30</f>
        <v>4.2599999999999999E-3</v>
      </c>
      <c r="J44" s="317">
        <f t="shared" si="10"/>
        <v>112537.29561</v>
      </c>
      <c r="K44" s="320">
        <f t="shared" si="11"/>
        <v>-1.2786870429160047E-7</v>
      </c>
      <c r="L44" s="321"/>
      <c r="M44" s="322">
        <v>24206.5</v>
      </c>
      <c r="N44" s="317">
        <v>191957.65</v>
      </c>
      <c r="O44" s="326">
        <f>O30</f>
        <v>7.93</v>
      </c>
      <c r="P44" s="317">
        <f>+O44*M44</f>
        <v>191957.54499999998</v>
      </c>
      <c r="Q44" s="320">
        <f>+P44/N44-1</f>
        <v>-5.469956524395414E-7</v>
      </c>
      <c r="R44" s="320"/>
      <c r="S44" s="349" t="str">
        <f t="shared" si="12"/>
        <v>March</v>
      </c>
      <c r="T44" s="324">
        <f t="shared" ref="T44:T75" si="13">IFERROR(D44+G44+N44,"")</f>
        <v>313194.96000000002</v>
      </c>
      <c r="U44" s="45"/>
      <c r="V44" s="45" t="str">
        <f t="shared" si="4"/>
        <v>GD-3: Large General</v>
      </c>
    </row>
    <row r="45" spans="1:22">
      <c r="A45" s="298" t="s">
        <v>46</v>
      </c>
      <c r="B45" s="298" t="s">
        <v>109</v>
      </c>
      <c r="C45" s="297">
        <f>+D45/10</f>
        <v>3</v>
      </c>
      <c r="D45" s="317">
        <v>30</v>
      </c>
      <c r="E45" s="318">
        <v>4865</v>
      </c>
      <c r="F45" s="318">
        <v>33792</v>
      </c>
      <c r="G45" s="317">
        <v>122.8</v>
      </c>
      <c r="H45" s="319">
        <f t="shared" si="9"/>
        <v>1.0030000000000001E-2</v>
      </c>
      <c r="I45" s="319">
        <f>I31</f>
        <v>2.1900000000000001E-3</v>
      </c>
      <c r="J45" s="317">
        <f t="shared" si="10"/>
        <v>122.80043000000001</v>
      </c>
      <c r="K45" s="320">
        <f t="shared" si="11"/>
        <v>3.5016286645817019E-6</v>
      </c>
      <c r="L45" s="321"/>
      <c r="M45" s="322">
        <v>143</v>
      </c>
      <c r="N45" s="317">
        <v>550.55999999999995</v>
      </c>
      <c r="O45" s="326">
        <f>O31</f>
        <v>3.85</v>
      </c>
      <c r="P45" s="317">
        <f>+O45*M45</f>
        <v>550.55000000000007</v>
      </c>
      <c r="Q45" s="320">
        <f>+P45/N45-1</f>
        <v>-1.8163324614683951E-5</v>
      </c>
      <c r="R45" s="320"/>
      <c r="S45" s="349" t="str">
        <f t="shared" si="12"/>
        <v>March</v>
      </c>
      <c r="T45" s="324">
        <f t="shared" si="13"/>
        <v>703.3599999999999</v>
      </c>
      <c r="U45" s="45"/>
      <c r="V45" s="45" t="str">
        <f t="shared" si="4"/>
        <v>GD-4: Regular General Optional TOU</v>
      </c>
    </row>
    <row r="46" spans="1:22">
      <c r="A46" s="49" t="s">
        <v>47</v>
      </c>
      <c r="B46" s="298" t="s">
        <v>110</v>
      </c>
      <c r="C46" s="297">
        <v>7</v>
      </c>
      <c r="D46" s="317">
        <v>-300</v>
      </c>
      <c r="E46" s="318">
        <v>59889</v>
      </c>
      <c r="F46" s="318"/>
      <c r="G46" s="317">
        <v>3566.9900000000002</v>
      </c>
      <c r="H46" s="319">
        <f t="shared" si="9"/>
        <v>5.9560000000000002E-2</v>
      </c>
      <c r="I46" s="319"/>
      <c r="J46" s="317">
        <f t="shared" si="10"/>
        <v>3566.98884</v>
      </c>
      <c r="K46" s="320">
        <f t="shared" si="11"/>
        <v>-3.2520416382020301E-7</v>
      </c>
      <c r="L46" s="321"/>
      <c r="M46" s="322"/>
      <c r="N46" s="317"/>
      <c r="O46" s="320"/>
      <c r="P46" s="317"/>
      <c r="Q46" s="323"/>
      <c r="R46" s="323"/>
      <c r="S46" s="349" t="str">
        <f t="shared" si="12"/>
        <v>March</v>
      </c>
      <c r="T46" s="324">
        <f t="shared" si="13"/>
        <v>3266.9900000000002</v>
      </c>
      <c r="U46" s="45"/>
      <c r="V46" s="45" t="str">
        <f t="shared" si="4"/>
        <v>GD-5: Water and/or Space Heating Rider</v>
      </c>
    </row>
    <row r="47" spans="1:22">
      <c r="C47" s="297"/>
      <c r="D47" s="316"/>
      <c r="Q47" s="323"/>
      <c r="R47" s="323"/>
      <c r="S47" s="349" t="str">
        <f t="shared" si="12"/>
        <v>March</v>
      </c>
      <c r="T47" s="324">
        <f t="shared" si="13"/>
        <v>0</v>
      </c>
      <c r="U47" s="45"/>
      <c r="V47" s="45" t="str">
        <f t="shared" si="4"/>
        <v/>
      </c>
    </row>
    <row r="48" spans="1:22">
      <c r="B48" s="49" t="s">
        <v>279</v>
      </c>
      <c r="C48" s="297">
        <f>SUM(C40:C46)</f>
        <v>30489.601000000002</v>
      </c>
      <c r="D48" s="317">
        <f>SUM(D40:D46)</f>
        <v>233773.21000000002</v>
      </c>
      <c r="E48" s="297">
        <f>SUM(E40:E46)</f>
        <v>27661983</v>
      </c>
      <c r="F48" s="297">
        <f>SUM(F40:F46)</f>
        <v>6394815</v>
      </c>
      <c r="G48" s="317">
        <f>SUM(G40:G46)</f>
        <v>1503436.07</v>
      </c>
      <c r="J48" s="317">
        <f>SUM(J40:J46)</f>
        <v>1503433.1699300003</v>
      </c>
      <c r="K48" s="320">
        <f>+J48/G48-1</f>
        <v>-1.9289613024664476E-6</v>
      </c>
      <c r="L48" s="321"/>
      <c r="M48" s="322">
        <f>SUM(M40:M46)</f>
        <v>49865</v>
      </c>
      <c r="N48" s="317">
        <f>SUM(N40:N46)</f>
        <v>438477.63</v>
      </c>
      <c r="P48" s="317">
        <f>SUM(P40:P46)</f>
        <v>438477.51499999996</v>
      </c>
      <c r="Q48" s="320">
        <f>+P48/N48-1</f>
        <v>-2.622710765232128E-7</v>
      </c>
      <c r="R48" s="320"/>
      <c r="S48" s="349" t="str">
        <f t="shared" si="12"/>
        <v>March</v>
      </c>
      <c r="T48" s="324">
        <f t="shared" si="13"/>
        <v>2175686.91</v>
      </c>
      <c r="U48" s="45"/>
      <c r="V48" s="45" t="str">
        <f t="shared" si="4"/>
        <v/>
      </c>
    </row>
    <row r="49" spans="1:22">
      <c r="C49" s="297"/>
      <c r="D49" s="317"/>
      <c r="E49" s="297"/>
      <c r="F49" s="297"/>
      <c r="G49" s="317"/>
      <c r="J49" s="317"/>
      <c r="K49" s="320"/>
      <c r="L49" s="321"/>
      <c r="M49" s="322"/>
      <c r="N49" s="317"/>
      <c r="P49" s="317"/>
      <c r="Q49" s="320"/>
      <c r="R49" s="320"/>
      <c r="S49" s="320"/>
      <c r="T49" s="324">
        <f t="shared" si="13"/>
        <v>0</v>
      </c>
      <c r="U49" s="45"/>
      <c r="V49" s="45" t="str">
        <f t="shared" si="4"/>
        <v/>
      </c>
    </row>
    <row r="50" spans="1:22">
      <c r="A50" s="295"/>
      <c r="B50" s="296" t="s">
        <v>617</v>
      </c>
      <c r="C50" s="297"/>
      <c r="D50" s="298"/>
      <c r="E50" s="299"/>
      <c r="F50" s="299"/>
      <c r="G50" s="300"/>
      <c r="H50" s="301" t="s">
        <v>612</v>
      </c>
      <c r="I50" s="301" t="s">
        <v>613</v>
      </c>
      <c r="J50" s="290" t="s">
        <v>596</v>
      </c>
      <c r="N50" s="290"/>
      <c r="P50" s="290" t="s">
        <v>596</v>
      </c>
      <c r="T50" s="324">
        <f t="shared" si="13"/>
        <v>0</v>
      </c>
      <c r="U50" s="45"/>
      <c r="V50" s="45" t="str">
        <f t="shared" si="4"/>
        <v/>
      </c>
    </row>
    <row r="51" spans="1:22">
      <c r="A51" s="290"/>
      <c r="B51" s="290"/>
      <c r="C51" s="297"/>
      <c r="D51" s="290"/>
      <c r="E51" s="302" t="s">
        <v>614</v>
      </c>
      <c r="F51" s="302" t="s">
        <v>615</v>
      </c>
      <c r="G51" s="300" t="s">
        <v>262</v>
      </c>
      <c r="H51" s="301" t="s">
        <v>262</v>
      </c>
      <c r="I51" s="301" t="s">
        <v>262</v>
      </c>
      <c r="J51" s="290" t="s">
        <v>262</v>
      </c>
      <c r="K51" s="303" t="s">
        <v>598</v>
      </c>
      <c r="L51" s="304"/>
      <c r="M51" s="292"/>
      <c r="N51" s="290" t="s">
        <v>262</v>
      </c>
      <c r="O51" s="290" t="s">
        <v>262</v>
      </c>
      <c r="P51" s="290" t="s">
        <v>262</v>
      </c>
      <c r="Q51" s="304" t="s">
        <v>598</v>
      </c>
      <c r="R51" s="304"/>
      <c r="S51" s="304"/>
      <c r="T51" s="324" t="str">
        <f t="shared" si="13"/>
        <v/>
      </c>
      <c r="U51" s="45"/>
      <c r="V51" s="45" t="str">
        <f t="shared" ref="V51:V82" si="14">_xlfn.IFNA(VLOOKUP(A51,$A$12:$V$18,22,FALSE),"")</f>
        <v/>
      </c>
    </row>
    <row r="52" spans="1:22">
      <c r="A52" s="290" t="s">
        <v>404</v>
      </c>
      <c r="B52" s="290"/>
      <c r="C52" s="300" t="s">
        <v>418</v>
      </c>
      <c r="D52" s="290" t="s">
        <v>599</v>
      </c>
      <c r="E52" s="302" t="s">
        <v>600</v>
      </c>
      <c r="F52" s="302" t="s">
        <v>601</v>
      </c>
      <c r="G52" s="300" t="s">
        <v>421</v>
      </c>
      <c r="H52" s="305" t="s">
        <v>602</v>
      </c>
      <c r="I52" s="305" t="s">
        <v>603</v>
      </c>
      <c r="J52" s="304" t="s">
        <v>421</v>
      </c>
      <c r="K52" s="306" t="s">
        <v>421</v>
      </c>
      <c r="L52" s="290"/>
      <c r="M52" s="292" t="s">
        <v>408</v>
      </c>
      <c r="N52" s="292" t="s">
        <v>408</v>
      </c>
      <c r="O52" s="290" t="s">
        <v>408</v>
      </c>
      <c r="P52" s="290" t="s">
        <v>408</v>
      </c>
      <c r="Q52" s="290" t="s">
        <v>408</v>
      </c>
      <c r="R52" s="290"/>
      <c r="S52" s="290"/>
      <c r="T52" s="324" t="str">
        <f t="shared" si="13"/>
        <v/>
      </c>
      <c r="U52" s="45"/>
      <c r="V52" s="45" t="str">
        <f t="shared" si="14"/>
        <v/>
      </c>
    </row>
    <row r="53" spans="1:22" ht="13.2">
      <c r="A53" s="308" t="s">
        <v>90</v>
      </c>
      <c r="B53" s="308" t="s">
        <v>125</v>
      </c>
      <c r="C53" s="309" t="s">
        <v>605</v>
      </c>
      <c r="D53" s="308" t="s">
        <v>162</v>
      </c>
      <c r="E53" s="309" t="s">
        <v>421</v>
      </c>
      <c r="F53" s="309" t="s">
        <v>421</v>
      </c>
      <c r="G53" s="310" t="s">
        <v>162</v>
      </c>
      <c r="H53" s="311" t="s">
        <v>404</v>
      </c>
      <c r="I53" s="311" t="s">
        <v>404</v>
      </c>
      <c r="J53" s="308" t="s">
        <v>162</v>
      </c>
      <c r="K53" s="312" t="s">
        <v>606</v>
      </c>
      <c r="L53" s="308"/>
      <c r="M53" s="313" t="s">
        <v>607</v>
      </c>
      <c r="N53" s="314" t="s">
        <v>162</v>
      </c>
      <c r="O53" s="308" t="s">
        <v>404</v>
      </c>
      <c r="P53" s="308" t="s">
        <v>162</v>
      </c>
      <c r="Q53" s="308" t="s">
        <v>606</v>
      </c>
      <c r="R53" s="308"/>
      <c r="S53" s="308"/>
      <c r="T53" s="324" t="str">
        <f t="shared" si="13"/>
        <v/>
      </c>
      <c r="U53" s="45"/>
      <c r="V53" s="45" t="str">
        <f t="shared" si="14"/>
        <v/>
      </c>
    </row>
    <row r="54" spans="1:22">
      <c r="A54" s="49" t="s">
        <v>39</v>
      </c>
      <c r="B54" s="316" t="s">
        <v>610</v>
      </c>
      <c r="C54" s="297">
        <f>+D54/7</f>
        <v>21271</v>
      </c>
      <c r="D54" s="317">
        <v>148897</v>
      </c>
      <c r="E54" s="318">
        <v>9401099</v>
      </c>
      <c r="F54" s="318"/>
      <c r="G54" s="317">
        <v>728775.13</v>
      </c>
      <c r="H54" s="319">
        <f t="shared" ref="H54:H60" si="15">H40</f>
        <v>7.7520000000000006E-2</v>
      </c>
      <c r="I54" s="319"/>
      <c r="J54" s="317">
        <f t="shared" ref="J54:J60" si="16">+E54*H54+F54*I54</f>
        <v>728773.19448000006</v>
      </c>
      <c r="K54" s="320">
        <f t="shared" ref="K54:K60" si="17">+J54/G54-1</f>
        <v>-2.6558535277665385E-6</v>
      </c>
      <c r="L54" s="321"/>
      <c r="M54" s="322"/>
      <c r="N54" s="317"/>
      <c r="O54" s="320"/>
      <c r="P54" s="317"/>
      <c r="Q54" s="323"/>
      <c r="R54" s="323"/>
      <c r="S54" s="349" t="s">
        <v>230</v>
      </c>
      <c r="T54" s="324">
        <f t="shared" si="13"/>
        <v>877672.13</v>
      </c>
      <c r="U54" s="45"/>
      <c r="V54" s="45" t="str">
        <f t="shared" si="14"/>
        <v>RD-1: Residential</v>
      </c>
    </row>
    <row r="55" spans="1:22">
      <c r="A55" s="49" t="s">
        <v>42</v>
      </c>
      <c r="B55" s="316" t="s">
        <v>104</v>
      </c>
      <c r="C55" s="297">
        <f>+D55/7</f>
        <v>4999</v>
      </c>
      <c r="D55" s="317">
        <v>34993</v>
      </c>
      <c r="E55" s="318">
        <v>2548752</v>
      </c>
      <c r="F55" s="318"/>
      <c r="G55" s="317">
        <v>197579.89999999997</v>
      </c>
      <c r="H55" s="319">
        <f t="shared" si="15"/>
        <v>7.7520000000000006E-2</v>
      </c>
      <c r="I55" s="319"/>
      <c r="J55" s="317">
        <f t="shared" si="16"/>
        <v>197579.25504000002</v>
      </c>
      <c r="K55" s="320">
        <f t="shared" si="17"/>
        <v>-3.2642996576903727E-6</v>
      </c>
      <c r="L55" s="321"/>
      <c r="M55" s="322"/>
      <c r="N55" s="317"/>
      <c r="O55" s="320"/>
      <c r="P55" s="317"/>
      <c r="Q55" s="323"/>
      <c r="R55" s="323"/>
      <c r="S55" s="349" t="str">
        <f t="shared" ref="S55:S62" si="18">S54</f>
        <v>April</v>
      </c>
      <c r="T55" s="324">
        <f t="shared" si="13"/>
        <v>232572.89999999997</v>
      </c>
      <c r="U55" s="45"/>
      <c r="V55" s="45" t="str">
        <f t="shared" si="14"/>
        <v>RD-2: Residential, Low Income</v>
      </c>
    </row>
    <row r="56" spans="1:22">
      <c r="A56" s="49" t="s">
        <v>43</v>
      </c>
      <c r="B56" s="298" t="s">
        <v>106</v>
      </c>
      <c r="C56" s="297">
        <f>+D56/10</f>
        <v>2538</v>
      </c>
      <c r="D56" s="317">
        <v>25380</v>
      </c>
      <c r="E56" s="318">
        <v>484813</v>
      </c>
      <c r="F56" s="318"/>
      <c r="G56" s="317">
        <v>37335.819999999992</v>
      </c>
      <c r="H56" s="319">
        <f t="shared" si="15"/>
        <v>7.7009999999999995E-2</v>
      </c>
      <c r="I56" s="319"/>
      <c r="J56" s="317">
        <f t="shared" si="16"/>
        <v>37335.449130000001</v>
      </c>
      <c r="K56" s="320">
        <f t="shared" si="17"/>
        <v>-9.9333562244563467E-6</v>
      </c>
      <c r="L56" s="321"/>
      <c r="M56" s="322"/>
      <c r="N56" s="317"/>
      <c r="O56" s="320"/>
      <c r="P56" s="317"/>
      <c r="Q56" s="323"/>
      <c r="R56" s="323"/>
      <c r="S56" s="349" t="str">
        <f t="shared" si="18"/>
        <v>April</v>
      </c>
      <c r="T56" s="324">
        <f t="shared" si="13"/>
        <v>62715.819999999992</v>
      </c>
      <c r="U56" s="45"/>
      <c r="V56" s="45" t="str">
        <f t="shared" si="14"/>
        <v>GD-1: Small General</v>
      </c>
    </row>
    <row r="57" spans="1:22">
      <c r="A57" s="49" t="s">
        <v>44</v>
      </c>
      <c r="B57" s="298" t="s">
        <v>107</v>
      </c>
      <c r="C57" s="297">
        <f>+D57/10</f>
        <v>1508</v>
      </c>
      <c r="D57" s="317">
        <v>15080</v>
      </c>
      <c r="E57" s="318">
        <v>6434589</v>
      </c>
      <c r="F57" s="318"/>
      <c r="G57" s="317">
        <v>149668.76999999999</v>
      </c>
      <c r="H57" s="319">
        <f t="shared" si="15"/>
        <v>2.3259999999999999E-2</v>
      </c>
      <c r="I57" s="319"/>
      <c r="J57" s="317">
        <f t="shared" si="16"/>
        <v>149668.54014</v>
      </c>
      <c r="K57" s="320">
        <f t="shared" si="17"/>
        <v>-1.5357913343283514E-6</v>
      </c>
      <c r="L57" s="321"/>
      <c r="M57" s="322">
        <v>24730</v>
      </c>
      <c r="N57" s="317">
        <v>238397.19999999998</v>
      </c>
      <c r="O57" s="326">
        <f>O43</f>
        <v>9.64</v>
      </c>
      <c r="P57" s="317">
        <f>+O57*M57</f>
        <v>238397.2</v>
      </c>
      <c r="Q57" s="320">
        <f>+P57/N57-1</f>
        <v>0</v>
      </c>
      <c r="R57" s="320"/>
      <c r="S57" s="349" t="str">
        <f t="shared" si="18"/>
        <v>April</v>
      </c>
      <c r="T57" s="324">
        <f t="shared" si="13"/>
        <v>403145.97</v>
      </c>
      <c r="U57" s="45"/>
      <c r="V57" s="45" t="str">
        <f t="shared" si="14"/>
        <v>GD-2: Regular General</v>
      </c>
    </row>
    <row r="58" spans="1:22">
      <c r="A58" s="49" t="s">
        <v>45</v>
      </c>
      <c r="B58" s="298" t="s">
        <v>108</v>
      </c>
      <c r="C58" s="297">
        <f>D58/300</f>
        <v>28</v>
      </c>
      <c r="D58" s="317">
        <v>8400</v>
      </c>
      <c r="E58" s="318">
        <v>3893982</v>
      </c>
      <c r="F58" s="318">
        <v>6688267</v>
      </c>
      <c r="G58" s="317">
        <v>102828.09</v>
      </c>
      <c r="H58" s="319">
        <f t="shared" si="15"/>
        <v>1.9089999999999999E-2</v>
      </c>
      <c r="I58" s="319">
        <f>I44</f>
        <v>4.2599999999999999E-3</v>
      </c>
      <c r="J58" s="317">
        <f t="shared" si="16"/>
        <v>102828.1338</v>
      </c>
      <c r="K58" s="320">
        <f t="shared" si="17"/>
        <v>4.2595364746489395E-7</v>
      </c>
      <c r="L58" s="321"/>
      <c r="M58" s="322">
        <v>23527.5</v>
      </c>
      <c r="N58" s="317">
        <v>186573.15999999997</v>
      </c>
      <c r="O58" s="326">
        <f>O44</f>
        <v>7.93</v>
      </c>
      <c r="P58" s="317">
        <f>+O58*M58</f>
        <v>186573.07499999998</v>
      </c>
      <c r="Q58" s="320">
        <f>+P58/N58-1</f>
        <v>-4.5558535854972604E-7</v>
      </c>
      <c r="R58" s="320"/>
      <c r="S58" s="349" t="str">
        <f t="shared" si="18"/>
        <v>April</v>
      </c>
      <c r="T58" s="324">
        <f t="shared" si="13"/>
        <v>297801.25</v>
      </c>
      <c r="U58" s="45"/>
      <c r="V58" s="45" t="str">
        <f t="shared" si="14"/>
        <v>GD-3: Large General</v>
      </c>
    </row>
    <row r="59" spans="1:22">
      <c r="A59" s="298" t="s">
        <v>46</v>
      </c>
      <c r="B59" s="298" t="s">
        <v>109</v>
      </c>
      <c r="C59" s="297">
        <f>+D59/10</f>
        <v>3</v>
      </c>
      <c r="D59" s="317">
        <v>30</v>
      </c>
      <c r="E59" s="318">
        <v>5447</v>
      </c>
      <c r="F59" s="318">
        <v>18923</v>
      </c>
      <c r="G59" s="317">
        <v>96.07</v>
      </c>
      <c r="H59" s="319">
        <f t="shared" si="15"/>
        <v>1.0030000000000001E-2</v>
      </c>
      <c r="I59" s="319">
        <f>I45</f>
        <v>2.1900000000000001E-3</v>
      </c>
      <c r="J59" s="317">
        <f t="shared" si="16"/>
        <v>96.074780000000004</v>
      </c>
      <c r="K59" s="320">
        <f t="shared" si="17"/>
        <v>4.9755386697380999E-5</v>
      </c>
      <c r="L59" s="321"/>
      <c r="M59" s="322">
        <v>140.5</v>
      </c>
      <c r="N59" s="317">
        <v>540.92999999999995</v>
      </c>
      <c r="O59" s="326">
        <f>O45</f>
        <v>3.85</v>
      </c>
      <c r="P59" s="317">
        <f>+O59*M59</f>
        <v>540.92500000000007</v>
      </c>
      <c r="Q59" s="320">
        <f>+P59/N59-1</f>
        <v>-9.243340173159531E-6</v>
      </c>
      <c r="R59" s="320"/>
      <c r="S59" s="349" t="str">
        <f t="shared" si="18"/>
        <v>April</v>
      </c>
      <c r="T59" s="324">
        <f t="shared" si="13"/>
        <v>667</v>
      </c>
      <c r="U59" s="45"/>
      <c r="V59" s="45" t="str">
        <f t="shared" si="14"/>
        <v>GD-4: Regular General Optional TOU</v>
      </c>
    </row>
    <row r="60" spans="1:22">
      <c r="A60" s="49" t="s">
        <v>47</v>
      </c>
      <c r="B60" s="298" t="s">
        <v>110</v>
      </c>
      <c r="C60" s="297">
        <v>7</v>
      </c>
      <c r="D60" s="317">
        <v>0</v>
      </c>
      <c r="E60" s="318">
        <v>24313</v>
      </c>
      <c r="F60" s="318"/>
      <c r="G60" s="317">
        <v>1448.09</v>
      </c>
      <c r="H60" s="319">
        <f t="shared" si="15"/>
        <v>5.9560000000000002E-2</v>
      </c>
      <c r="I60" s="319"/>
      <c r="J60" s="317">
        <f t="shared" si="16"/>
        <v>1448.0822800000001</v>
      </c>
      <c r="K60" s="320">
        <f t="shared" si="17"/>
        <v>-5.3311603559480503E-6</v>
      </c>
      <c r="L60" s="321"/>
      <c r="M60" s="322"/>
      <c r="N60" s="317"/>
      <c r="O60" s="320"/>
      <c r="P60" s="317"/>
      <c r="Q60" s="323"/>
      <c r="R60" s="323"/>
      <c r="S60" s="349" t="str">
        <f t="shared" si="18"/>
        <v>April</v>
      </c>
      <c r="T60" s="324">
        <f t="shared" si="13"/>
        <v>1448.09</v>
      </c>
      <c r="U60" s="45"/>
      <c r="V60" s="45" t="str">
        <f t="shared" si="14"/>
        <v>GD-5: Water and/or Space Heating Rider</v>
      </c>
    </row>
    <row r="61" spans="1:22">
      <c r="C61" s="297"/>
      <c r="D61" s="316"/>
      <c r="Q61" s="323"/>
      <c r="R61" s="323"/>
      <c r="S61" s="349" t="str">
        <f t="shared" si="18"/>
        <v>April</v>
      </c>
      <c r="T61" s="324">
        <f t="shared" si="13"/>
        <v>0</v>
      </c>
      <c r="U61" s="45"/>
      <c r="V61" s="45" t="str">
        <f t="shared" si="14"/>
        <v/>
      </c>
    </row>
    <row r="62" spans="1:22">
      <c r="B62" s="49" t="s">
        <v>279</v>
      </c>
      <c r="C62" s="297">
        <f>SUM(C54:C60)</f>
        <v>30354</v>
      </c>
      <c r="D62" s="317">
        <f>SUM(D54:D60)</f>
        <v>232780</v>
      </c>
      <c r="E62" s="297">
        <f>SUM(E54:E60)</f>
        <v>22792995</v>
      </c>
      <c r="F62" s="297">
        <f>SUM(F54:F60)</f>
        <v>6707190</v>
      </c>
      <c r="G62" s="317">
        <f>SUM(G54:G60)</f>
        <v>1217731.8700000001</v>
      </c>
      <c r="J62" s="317">
        <f>SUM(J54:J60)</f>
        <v>1217728.7296499999</v>
      </c>
      <c r="K62" s="320">
        <f>+J62/G62-1</f>
        <v>-2.5788517797886712E-6</v>
      </c>
      <c r="L62" s="321"/>
      <c r="M62" s="322">
        <f>SUM(M54:M60)</f>
        <v>48398</v>
      </c>
      <c r="N62" s="317">
        <f>SUM(N54:N60)</f>
        <v>425511.29</v>
      </c>
      <c r="P62" s="317">
        <f>SUM(P54:P60)</f>
        <v>425511.2</v>
      </c>
      <c r="Q62" s="320">
        <f>+P62/N62-1</f>
        <v>-2.1151025153542946E-7</v>
      </c>
      <c r="R62" s="320"/>
      <c r="S62" s="349" t="str">
        <f t="shared" si="18"/>
        <v>April</v>
      </c>
      <c r="T62" s="324">
        <f t="shared" si="13"/>
        <v>1876023.1600000001</v>
      </c>
      <c r="U62" s="45"/>
      <c r="V62" s="45" t="str">
        <f t="shared" si="14"/>
        <v/>
      </c>
    </row>
    <row r="63" spans="1:22">
      <c r="C63" s="297"/>
      <c r="D63" s="317"/>
      <c r="E63" s="297"/>
      <c r="F63" s="297"/>
      <c r="G63" s="317"/>
      <c r="J63" s="317"/>
      <c r="K63" s="320"/>
      <c r="L63" s="321"/>
      <c r="M63" s="322"/>
      <c r="N63" s="317"/>
      <c r="P63" s="317"/>
      <c r="Q63" s="320"/>
      <c r="R63" s="320"/>
      <c r="S63" s="320"/>
      <c r="T63" s="324">
        <f t="shared" si="13"/>
        <v>0</v>
      </c>
      <c r="U63" s="45"/>
      <c r="V63" s="45" t="str">
        <f t="shared" si="14"/>
        <v/>
      </c>
    </row>
    <row r="64" spans="1:22">
      <c r="A64" s="295"/>
      <c r="B64" s="296" t="s">
        <v>618</v>
      </c>
      <c r="C64" s="297"/>
      <c r="D64" s="298"/>
      <c r="E64" s="299"/>
      <c r="F64" s="299"/>
      <c r="G64" s="300"/>
      <c r="H64" s="301" t="s">
        <v>612</v>
      </c>
      <c r="I64" s="301" t="s">
        <v>613</v>
      </c>
      <c r="J64" s="290" t="s">
        <v>596</v>
      </c>
      <c r="N64" s="290"/>
      <c r="P64" s="290" t="s">
        <v>596</v>
      </c>
      <c r="T64" s="324">
        <f t="shared" si="13"/>
        <v>0</v>
      </c>
      <c r="U64" s="45"/>
      <c r="V64" s="45" t="str">
        <f t="shared" si="14"/>
        <v/>
      </c>
    </row>
    <row r="65" spans="1:55">
      <c r="A65" s="290"/>
      <c r="B65" s="290"/>
      <c r="C65" s="297"/>
      <c r="D65" s="290"/>
      <c r="E65" s="302" t="s">
        <v>614</v>
      </c>
      <c r="F65" s="302" t="s">
        <v>615</v>
      </c>
      <c r="G65" s="300" t="s">
        <v>262</v>
      </c>
      <c r="H65" s="301" t="s">
        <v>262</v>
      </c>
      <c r="I65" s="301" t="s">
        <v>262</v>
      </c>
      <c r="J65" s="290" t="s">
        <v>262</v>
      </c>
      <c r="K65" s="303" t="s">
        <v>598</v>
      </c>
      <c r="L65" s="304"/>
      <c r="M65" s="292"/>
      <c r="N65" s="290" t="s">
        <v>262</v>
      </c>
      <c r="O65" s="290" t="s">
        <v>262</v>
      </c>
      <c r="P65" s="290" t="s">
        <v>262</v>
      </c>
      <c r="Q65" s="304" t="s">
        <v>598</v>
      </c>
      <c r="R65" s="304"/>
      <c r="S65" s="304"/>
      <c r="T65" s="324" t="str">
        <f t="shared" si="13"/>
        <v/>
      </c>
      <c r="U65" s="45"/>
      <c r="V65" s="45" t="str">
        <f t="shared" si="14"/>
        <v/>
      </c>
    </row>
    <row r="66" spans="1:55">
      <c r="A66" s="290" t="s">
        <v>404</v>
      </c>
      <c r="B66" s="290"/>
      <c r="C66" s="300" t="s">
        <v>418</v>
      </c>
      <c r="D66" s="290" t="s">
        <v>599</v>
      </c>
      <c r="E66" s="302" t="s">
        <v>600</v>
      </c>
      <c r="F66" s="302" t="s">
        <v>601</v>
      </c>
      <c r="G66" s="300" t="s">
        <v>421</v>
      </c>
      <c r="H66" s="305" t="s">
        <v>602</v>
      </c>
      <c r="I66" s="305" t="s">
        <v>603</v>
      </c>
      <c r="J66" s="304" t="s">
        <v>421</v>
      </c>
      <c r="K66" s="306" t="s">
        <v>421</v>
      </c>
      <c r="L66" s="290"/>
      <c r="M66" s="292" t="s">
        <v>408</v>
      </c>
      <c r="N66" s="292" t="s">
        <v>408</v>
      </c>
      <c r="O66" s="290" t="s">
        <v>408</v>
      </c>
      <c r="P66" s="290" t="s">
        <v>408</v>
      </c>
      <c r="Q66" s="290" t="s">
        <v>408</v>
      </c>
      <c r="R66" s="290"/>
      <c r="S66" s="290"/>
      <c r="T66" s="324" t="str">
        <f t="shared" si="13"/>
        <v/>
      </c>
      <c r="U66" s="45"/>
      <c r="V66" s="45" t="str">
        <f t="shared" si="14"/>
        <v/>
      </c>
    </row>
    <row r="67" spans="1:55" ht="13.2">
      <c r="A67" s="308" t="s">
        <v>90</v>
      </c>
      <c r="B67" s="308" t="s">
        <v>125</v>
      </c>
      <c r="C67" s="309" t="s">
        <v>605</v>
      </c>
      <c r="D67" s="308" t="s">
        <v>162</v>
      </c>
      <c r="E67" s="309" t="s">
        <v>421</v>
      </c>
      <c r="F67" s="309" t="s">
        <v>421</v>
      </c>
      <c r="G67" s="310" t="s">
        <v>162</v>
      </c>
      <c r="H67" s="311" t="s">
        <v>404</v>
      </c>
      <c r="I67" s="311" t="s">
        <v>404</v>
      </c>
      <c r="J67" s="308" t="s">
        <v>162</v>
      </c>
      <c r="K67" s="312" t="s">
        <v>606</v>
      </c>
      <c r="L67" s="308"/>
      <c r="M67" s="313" t="s">
        <v>607</v>
      </c>
      <c r="N67" s="314" t="s">
        <v>162</v>
      </c>
      <c r="O67" s="308" t="s">
        <v>404</v>
      </c>
      <c r="P67" s="308" t="s">
        <v>162</v>
      </c>
      <c r="Q67" s="308" t="s">
        <v>606</v>
      </c>
      <c r="R67" s="308"/>
      <c r="S67" s="308"/>
      <c r="T67" s="324" t="str">
        <f t="shared" si="13"/>
        <v/>
      </c>
      <c r="U67" s="45"/>
      <c r="V67" s="45" t="str">
        <f t="shared" si="14"/>
        <v/>
      </c>
    </row>
    <row r="68" spans="1:55">
      <c r="A68" s="49" t="s">
        <v>39</v>
      </c>
      <c r="B68" s="316" t="s">
        <v>610</v>
      </c>
      <c r="C68" s="297">
        <f>+D68/7</f>
        <v>21065.71</v>
      </c>
      <c r="D68" s="317">
        <v>147459.97</v>
      </c>
      <c r="E68" s="318">
        <v>9159762</v>
      </c>
      <c r="F68" s="318"/>
      <c r="G68" s="317">
        <v>710066.8600000001</v>
      </c>
      <c r="H68" s="319">
        <f t="shared" ref="H68:H74" si="19">H54</f>
        <v>7.7520000000000006E-2</v>
      </c>
      <c r="I68" s="319"/>
      <c r="J68" s="317">
        <f t="shared" ref="J68:J74" si="20">+E68*H68+F68*I68</f>
        <v>710064.75024000008</v>
      </c>
      <c r="K68" s="320">
        <f t="shared" ref="K68:K74" si="21">+J68/G68-1</f>
        <v>-2.9712131616177473E-6</v>
      </c>
      <c r="L68" s="321"/>
      <c r="M68" s="322"/>
      <c r="N68" s="317"/>
      <c r="O68" s="320"/>
      <c r="P68" s="317"/>
      <c r="Q68" s="323"/>
      <c r="R68" s="323"/>
      <c r="S68" s="349" t="s">
        <v>231</v>
      </c>
      <c r="T68" s="324">
        <f t="shared" si="13"/>
        <v>857526.83000000007</v>
      </c>
      <c r="U68" s="45"/>
      <c r="V68" s="45" t="str">
        <f t="shared" si="14"/>
        <v>RD-1: Residential</v>
      </c>
    </row>
    <row r="69" spans="1:55">
      <c r="A69" s="49" t="s">
        <v>42</v>
      </c>
      <c r="B69" s="316" t="s">
        <v>104</v>
      </c>
      <c r="C69" s="297">
        <f>+D69/7</f>
        <v>5254</v>
      </c>
      <c r="D69" s="317">
        <v>36778</v>
      </c>
      <c r="E69" s="318">
        <v>2479439</v>
      </c>
      <c r="F69" s="318"/>
      <c r="G69" s="317">
        <v>192206.79</v>
      </c>
      <c r="H69" s="319">
        <f t="shared" si="19"/>
        <v>7.7520000000000006E-2</v>
      </c>
      <c r="I69" s="319"/>
      <c r="J69" s="317">
        <f t="shared" si="20"/>
        <v>192206.11128000001</v>
      </c>
      <c r="K69" s="320">
        <f t="shared" si="21"/>
        <v>-3.5311967906404007E-6</v>
      </c>
      <c r="L69" s="321"/>
      <c r="M69" s="322"/>
      <c r="N69" s="317"/>
      <c r="O69" s="320"/>
      <c r="P69" s="317"/>
      <c r="Q69" s="323"/>
      <c r="R69" s="323"/>
      <c r="S69" s="349" t="str">
        <f t="shared" ref="S69:S76" si="22">S68</f>
        <v>May</v>
      </c>
      <c r="T69" s="324">
        <f t="shared" si="13"/>
        <v>228984.79</v>
      </c>
      <c r="U69" s="45"/>
      <c r="V69" s="45" t="str">
        <f t="shared" si="14"/>
        <v>RD-2: Residential, Low Income</v>
      </c>
    </row>
    <row r="70" spans="1:55">
      <c r="A70" s="49" t="s">
        <v>43</v>
      </c>
      <c r="B70" s="298" t="s">
        <v>106</v>
      </c>
      <c r="C70" s="297">
        <f>+D70/10</f>
        <v>2530.0330000000004</v>
      </c>
      <c r="D70" s="317">
        <v>25300.33</v>
      </c>
      <c r="E70" s="318">
        <v>445734</v>
      </c>
      <c r="F70" s="318"/>
      <c r="G70" s="317">
        <v>34326.320000000007</v>
      </c>
      <c r="H70" s="319">
        <f t="shared" si="19"/>
        <v>7.7009999999999995E-2</v>
      </c>
      <c r="I70" s="319"/>
      <c r="J70" s="317">
        <f t="shared" si="20"/>
        <v>34325.975339999997</v>
      </c>
      <c r="K70" s="320">
        <f t="shared" si="21"/>
        <v>-1.0040691807655655E-5</v>
      </c>
      <c r="L70" s="321"/>
      <c r="M70" s="322"/>
      <c r="N70" s="317"/>
      <c r="O70" s="320"/>
      <c r="P70" s="317"/>
      <c r="Q70" s="323"/>
      <c r="R70" s="323"/>
      <c r="S70" s="349" t="str">
        <f t="shared" si="22"/>
        <v>May</v>
      </c>
      <c r="T70" s="324">
        <f t="shared" si="13"/>
        <v>59626.650000000009</v>
      </c>
      <c r="U70" s="45"/>
      <c r="V70" s="45" t="str">
        <f t="shared" si="14"/>
        <v>GD-1: Small General</v>
      </c>
    </row>
    <row r="71" spans="1:55">
      <c r="A71" s="49" t="s">
        <v>44</v>
      </c>
      <c r="B71" s="298" t="s">
        <v>107</v>
      </c>
      <c r="C71" s="297">
        <f>+D71/10</f>
        <v>1516</v>
      </c>
      <c r="D71" s="317">
        <v>15160</v>
      </c>
      <c r="E71" s="318">
        <v>6559802</v>
      </c>
      <c r="F71" s="318"/>
      <c r="G71" s="317">
        <v>152581.06</v>
      </c>
      <c r="H71" s="319">
        <f t="shared" si="19"/>
        <v>2.3259999999999999E-2</v>
      </c>
      <c r="I71" s="319"/>
      <c r="J71" s="317">
        <f t="shared" si="20"/>
        <v>152580.99452000001</v>
      </c>
      <c r="K71" s="320">
        <f t="shared" si="21"/>
        <v>-4.2914893882972649E-7</v>
      </c>
      <c r="L71" s="321"/>
      <c r="M71" s="322">
        <v>28853.5</v>
      </c>
      <c r="N71" s="317">
        <v>278147.74000000005</v>
      </c>
      <c r="O71" s="326">
        <f>O57</f>
        <v>9.64</v>
      </c>
      <c r="P71" s="317">
        <f>+O71*M71</f>
        <v>278147.74</v>
      </c>
      <c r="Q71" s="320">
        <f>+P71/N71-1</f>
        <v>0</v>
      </c>
      <c r="R71" s="320"/>
      <c r="S71" s="349" t="str">
        <f t="shared" si="22"/>
        <v>May</v>
      </c>
      <c r="T71" s="324">
        <f t="shared" si="13"/>
        <v>445888.80000000005</v>
      </c>
      <c r="U71" s="45"/>
      <c r="V71" s="45" t="str">
        <f t="shared" si="14"/>
        <v>GD-2: Regular General</v>
      </c>
    </row>
    <row r="72" spans="1:55">
      <c r="A72" s="49" t="s">
        <v>45</v>
      </c>
      <c r="B72" s="298" t="s">
        <v>108</v>
      </c>
      <c r="C72" s="297">
        <f>D72/300</f>
        <v>28</v>
      </c>
      <c r="D72" s="317">
        <v>8400</v>
      </c>
      <c r="E72" s="318">
        <v>4403320</v>
      </c>
      <c r="F72" s="318">
        <v>6228694</v>
      </c>
      <c r="G72" s="317">
        <v>110593.63</v>
      </c>
      <c r="H72" s="319">
        <f t="shared" si="19"/>
        <v>1.9089999999999999E-2</v>
      </c>
      <c r="I72" s="319">
        <f>I58</f>
        <v>4.2599999999999999E-3</v>
      </c>
      <c r="J72" s="317">
        <f t="shared" si="20"/>
        <v>110593.61523999998</v>
      </c>
      <c r="K72" s="320">
        <f t="shared" si="21"/>
        <v>-1.334615747916601E-7</v>
      </c>
      <c r="L72" s="321"/>
      <c r="M72" s="322">
        <v>25381.5</v>
      </c>
      <c r="N72" s="317">
        <v>201275.36000000002</v>
      </c>
      <c r="O72" s="326">
        <f>O58</f>
        <v>7.93</v>
      </c>
      <c r="P72" s="317">
        <f>+O72*M72</f>
        <v>201275.29499999998</v>
      </c>
      <c r="Q72" s="320">
        <f>+P72/N72-1</f>
        <v>-3.2294067209281963E-7</v>
      </c>
      <c r="R72" s="320"/>
      <c r="S72" s="349" t="str">
        <f t="shared" si="22"/>
        <v>May</v>
      </c>
      <c r="T72" s="324">
        <f t="shared" si="13"/>
        <v>320268.99</v>
      </c>
      <c r="U72" s="45"/>
      <c r="V72" s="45" t="str">
        <f t="shared" si="14"/>
        <v>GD-3: Large General</v>
      </c>
    </row>
    <row r="73" spans="1:55">
      <c r="A73" s="298" t="s">
        <v>46</v>
      </c>
      <c r="B73" s="298" t="s">
        <v>109</v>
      </c>
      <c r="C73" s="297">
        <f>+D73/10</f>
        <v>3</v>
      </c>
      <c r="D73" s="317">
        <v>30</v>
      </c>
      <c r="E73" s="318">
        <v>5505</v>
      </c>
      <c r="F73" s="318">
        <v>29982</v>
      </c>
      <c r="G73" s="317">
        <v>120.88000000000001</v>
      </c>
      <c r="H73" s="319">
        <f t="shared" si="19"/>
        <v>1.0030000000000001E-2</v>
      </c>
      <c r="I73" s="319">
        <f>I59</f>
        <v>2.1900000000000001E-3</v>
      </c>
      <c r="J73" s="317">
        <f t="shared" si="20"/>
        <v>120.87573</v>
      </c>
      <c r="K73" s="320">
        <f t="shared" si="21"/>
        <v>-3.5324288550686589E-5</v>
      </c>
      <c r="L73" s="321"/>
      <c r="M73" s="322">
        <v>150.5</v>
      </c>
      <c r="N73" s="317">
        <v>579.42999999999995</v>
      </c>
      <c r="O73" s="326">
        <f>O59</f>
        <v>3.85</v>
      </c>
      <c r="P73" s="317">
        <f>+O73*M73</f>
        <v>579.42500000000007</v>
      </c>
      <c r="Q73" s="320">
        <f>+P73/N73-1</f>
        <v>-8.6291700461815779E-6</v>
      </c>
      <c r="R73" s="320"/>
      <c r="S73" s="349" t="str">
        <f t="shared" si="22"/>
        <v>May</v>
      </c>
      <c r="T73" s="324">
        <f t="shared" si="13"/>
        <v>730.31</v>
      </c>
      <c r="U73" s="45"/>
      <c r="V73" s="45" t="str">
        <f t="shared" si="14"/>
        <v>GD-4: Regular General Optional TOU</v>
      </c>
    </row>
    <row r="74" spans="1:55">
      <c r="A74" s="49" t="s">
        <v>47</v>
      </c>
      <c r="B74" s="298" t="s">
        <v>110</v>
      </c>
      <c r="C74" s="297">
        <v>7</v>
      </c>
      <c r="D74" s="317">
        <v>0</v>
      </c>
      <c r="E74" s="318">
        <v>14722</v>
      </c>
      <c r="F74" s="318"/>
      <c r="G74" s="317">
        <v>876.83999999999992</v>
      </c>
      <c r="H74" s="319">
        <f t="shared" si="19"/>
        <v>5.9560000000000002E-2</v>
      </c>
      <c r="I74" s="319"/>
      <c r="J74" s="317">
        <f t="shared" si="20"/>
        <v>876.84231999999997</v>
      </c>
      <c r="K74" s="320">
        <f t="shared" si="21"/>
        <v>2.6458646960048071E-6</v>
      </c>
      <c r="L74" s="321"/>
      <c r="M74" s="322"/>
      <c r="N74" s="317"/>
      <c r="O74" s="320"/>
      <c r="P74" s="317"/>
      <c r="Q74" s="323"/>
      <c r="R74" s="323"/>
      <c r="S74" s="349" t="str">
        <f t="shared" si="22"/>
        <v>May</v>
      </c>
      <c r="T74" s="324">
        <f t="shared" si="13"/>
        <v>876.83999999999992</v>
      </c>
      <c r="U74" s="45"/>
      <c r="V74" s="45" t="str">
        <f t="shared" si="14"/>
        <v>GD-5: Water and/or Space Heating Rider</v>
      </c>
    </row>
    <row r="75" spans="1:55">
      <c r="C75" s="297"/>
      <c r="D75" s="316"/>
      <c r="Q75" s="323"/>
      <c r="R75" s="323"/>
      <c r="S75" s="349" t="str">
        <f t="shared" si="22"/>
        <v>May</v>
      </c>
      <c r="T75" s="324">
        <f t="shared" si="13"/>
        <v>0</v>
      </c>
      <c r="U75" s="45"/>
      <c r="V75" s="45" t="str">
        <f t="shared" si="14"/>
        <v/>
      </c>
    </row>
    <row r="76" spans="1:55">
      <c r="B76" s="49" t="s">
        <v>279</v>
      </c>
      <c r="C76" s="297">
        <f>SUM(C68:C74)</f>
        <v>30403.742999999999</v>
      </c>
      <c r="D76" s="317">
        <f>SUM(D68:D74)</f>
        <v>233128.3</v>
      </c>
      <c r="E76" s="297">
        <f>SUM(E68:E74)</f>
        <v>23068284</v>
      </c>
      <c r="F76" s="297">
        <f>SUM(F68:F74)</f>
        <v>6258676</v>
      </c>
      <c r="G76" s="317">
        <f>SUM(G68:G74)</f>
        <v>1200772.3800000001</v>
      </c>
      <c r="J76" s="317">
        <f>SUM(J68:J74)</f>
        <v>1200769.1646700001</v>
      </c>
      <c r="K76" s="320">
        <f>+J76/G76-1</f>
        <v>-2.677718153432096E-6</v>
      </c>
      <c r="L76" s="321"/>
      <c r="M76" s="322">
        <f>SUM(M68:M74)</f>
        <v>54385.5</v>
      </c>
      <c r="N76" s="317">
        <f>SUM(N68:N74)</f>
        <v>480002.53000000009</v>
      </c>
      <c r="P76" s="317">
        <f>SUM(P68:P74)</f>
        <v>480002.45999999996</v>
      </c>
      <c r="Q76" s="320">
        <f>+P76/N76-1</f>
        <v>-1.4583256491285113E-7</v>
      </c>
      <c r="R76" s="320"/>
      <c r="S76" s="349" t="str">
        <f t="shared" si="22"/>
        <v>May</v>
      </c>
      <c r="T76" s="324">
        <f t="shared" ref="T76:T107" si="23">IFERROR(D76+G76+N76,"")</f>
        <v>1913903.2100000002</v>
      </c>
      <c r="U76" s="45"/>
      <c r="V76" s="45" t="str">
        <f t="shared" si="14"/>
        <v/>
      </c>
    </row>
    <row r="77" spans="1:55">
      <c r="C77" s="297"/>
      <c r="D77" s="317"/>
      <c r="E77" s="297"/>
      <c r="F77" s="297"/>
      <c r="G77" s="317"/>
      <c r="H77" s="327"/>
      <c r="I77" s="327"/>
      <c r="J77" s="317"/>
      <c r="K77" s="320"/>
      <c r="L77" s="321"/>
      <c r="M77" s="322"/>
      <c r="N77" s="317"/>
      <c r="P77" s="317"/>
      <c r="Q77" s="320"/>
      <c r="R77" s="320"/>
      <c r="S77" s="320"/>
      <c r="T77" s="324">
        <f t="shared" si="23"/>
        <v>0</v>
      </c>
      <c r="U77" s="45"/>
      <c r="V77" s="45" t="str">
        <f t="shared" si="14"/>
        <v/>
      </c>
      <c r="AM77" s="316"/>
    </row>
    <row r="78" spans="1:55">
      <c r="A78" s="295"/>
      <c r="B78" s="296" t="s">
        <v>619</v>
      </c>
      <c r="C78" s="297"/>
      <c r="D78" s="298"/>
      <c r="E78" s="299"/>
      <c r="F78" s="299"/>
      <c r="G78" s="300"/>
      <c r="H78" s="301" t="s">
        <v>612</v>
      </c>
      <c r="I78" s="301" t="s">
        <v>613</v>
      </c>
      <c r="J78" s="290" t="s">
        <v>596</v>
      </c>
      <c r="N78" s="290"/>
      <c r="O78" s="327"/>
      <c r="P78" s="290" t="s">
        <v>596</v>
      </c>
      <c r="T78" s="324">
        <f t="shared" si="23"/>
        <v>0</v>
      </c>
      <c r="U78" s="328"/>
      <c r="V78" s="45" t="str">
        <f t="shared" si="14"/>
        <v/>
      </c>
      <c r="W78" s="297"/>
      <c r="Y78" s="299"/>
      <c r="Z78" s="299"/>
      <c r="AA78" s="300"/>
      <c r="AB78" s="301"/>
      <c r="AC78" s="301"/>
      <c r="AD78" s="290"/>
      <c r="AE78" s="294"/>
      <c r="AH78" s="290"/>
      <c r="AJ78" s="290"/>
      <c r="AM78" s="295"/>
      <c r="AN78" s="296"/>
      <c r="AO78" s="297"/>
      <c r="AP78" s="298"/>
      <c r="AQ78" s="299"/>
      <c r="AR78" s="299"/>
      <c r="AS78" s="300"/>
      <c r="AT78" s="301"/>
      <c r="AU78" s="301"/>
      <c r="AV78" s="290"/>
      <c r="AW78" s="294"/>
      <c r="AZ78" s="290"/>
      <c r="BB78" s="290"/>
    </row>
    <row r="79" spans="1:55">
      <c r="A79" s="290"/>
      <c r="B79" s="290"/>
      <c r="C79" s="297"/>
      <c r="D79" s="290"/>
      <c r="E79" s="302" t="s">
        <v>614</v>
      </c>
      <c r="F79" s="302" t="s">
        <v>615</v>
      </c>
      <c r="G79" s="300" t="s">
        <v>262</v>
      </c>
      <c r="H79" s="301" t="s">
        <v>262</v>
      </c>
      <c r="I79" s="301" t="s">
        <v>262</v>
      </c>
      <c r="J79" s="290" t="s">
        <v>262</v>
      </c>
      <c r="K79" s="303" t="s">
        <v>598</v>
      </c>
      <c r="L79" s="304"/>
      <c r="M79" s="292"/>
      <c r="N79" s="290" t="s">
        <v>262</v>
      </c>
      <c r="O79" s="290" t="s">
        <v>262</v>
      </c>
      <c r="P79" s="290" t="s">
        <v>262</v>
      </c>
      <c r="Q79" s="304" t="s">
        <v>598</v>
      </c>
      <c r="R79" s="304"/>
      <c r="S79" s="304"/>
      <c r="T79" s="324" t="str">
        <f t="shared" si="23"/>
        <v/>
      </c>
      <c r="U79" s="329"/>
      <c r="V79" s="45" t="str">
        <f t="shared" si="14"/>
        <v/>
      </c>
      <c r="W79" s="297"/>
      <c r="Y79" s="302"/>
      <c r="Z79" s="302"/>
      <c r="AA79" s="300"/>
      <c r="AB79" s="301"/>
      <c r="AC79" s="301"/>
      <c r="AD79" s="290"/>
      <c r="AE79" s="303"/>
      <c r="AF79" s="304"/>
      <c r="AG79" s="292"/>
      <c r="AH79" s="290"/>
      <c r="AI79" s="290"/>
      <c r="AJ79" s="290"/>
      <c r="AK79" s="304"/>
      <c r="AM79" s="290"/>
      <c r="AN79" s="290"/>
      <c r="AO79" s="297"/>
      <c r="AP79" s="290"/>
      <c r="AQ79" s="302"/>
      <c r="AR79" s="302"/>
      <c r="AS79" s="300"/>
      <c r="AT79" s="301"/>
      <c r="AU79" s="301"/>
      <c r="AV79" s="290"/>
      <c r="AW79" s="303"/>
      <c r="AX79" s="304"/>
      <c r="AY79" s="292"/>
      <c r="AZ79" s="290"/>
      <c r="BA79" s="290"/>
      <c r="BB79" s="290"/>
      <c r="BC79" s="304"/>
    </row>
    <row r="80" spans="1:55">
      <c r="A80" s="290" t="s">
        <v>404</v>
      </c>
      <c r="B80" s="290"/>
      <c r="C80" s="300" t="s">
        <v>418</v>
      </c>
      <c r="D80" s="290" t="s">
        <v>599</v>
      </c>
      <c r="E80" s="302" t="s">
        <v>600</v>
      </c>
      <c r="F80" s="302" t="s">
        <v>601</v>
      </c>
      <c r="G80" s="300" t="s">
        <v>421</v>
      </c>
      <c r="H80" s="305" t="s">
        <v>602</v>
      </c>
      <c r="I80" s="305" t="s">
        <v>603</v>
      </c>
      <c r="J80" s="304" t="s">
        <v>421</v>
      </c>
      <c r="K80" s="306" t="s">
        <v>421</v>
      </c>
      <c r="L80" s="290"/>
      <c r="M80" s="292" t="s">
        <v>408</v>
      </c>
      <c r="N80" s="292" t="s">
        <v>408</v>
      </c>
      <c r="O80" s="290" t="s">
        <v>408</v>
      </c>
      <c r="P80" s="290" t="s">
        <v>408</v>
      </c>
      <c r="Q80" s="290" t="s">
        <v>408</v>
      </c>
      <c r="R80" s="290"/>
      <c r="S80" s="290"/>
      <c r="T80" s="324" t="str">
        <f t="shared" si="23"/>
        <v/>
      </c>
      <c r="U80" s="329"/>
      <c r="V80" s="45" t="str">
        <f t="shared" si="14"/>
        <v/>
      </c>
      <c r="W80" s="300"/>
      <c r="Y80" s="302"/>
      <c r="Z80" s="302"/>
      <c r="AA80" s="300"/>
      <c r="AB80" s="305"/>
      <c r="AC80" s="305"/>
      <c r="AD80" s="304"/>
      <c r="AE80" s="306"/>
      <c r="AF80" s="290"/>
      <c r="AG80" s="292"/>
      <c r="AH80" s="292"/>
      <c r="AI80" s="290"/>
      <c r="AJ80" s="290"/>
      <c r="AK80" s="290"/>
      <c r="AM80" s="290"/>
      <c r="AN80" s="290"/>
      <c r="AO80" s="300"/>
      <c r="AP80" s="290"/>
      <c r="AQ80" s="302"/>
      <c r="AR80" s="302"/>
      <c r="AS80" s="300"/>
      <c r="AT80" s="305"/>
      <c r="AU80" s="305"/>
      <c r="AV80" s="304"/>
      <c r="AW80" s="306"/>
      <c r="AX80" s="290"/>
      <c r="AY80" s="292"/>
      <c r="AZ80" s="292"/>
      <c r="BA80" s="290"/>
      <c r="BB80" s="290"/>
      <c r="BC80" s="290"/>
    </row>
    <row r="81" spans="1:55" ht="13.2">
      <c r="A81" s="308" t="s">
        <v>90</v>
      </c>
      <c r="B81" s="308" t="s">
        <v>125</v>
      </c>
      <c r="C81" s="309" t="s">
        <v>605</v>
      </c>
      <c r="D81" s="308" t="s">
        <v>162</v>
      </c>
      <c r="E81" s="309" t="s">
        <v>421</v>
      </c>
      <c r="F81" s="309" t="s">
        <v>421</v>
      </c>
      <c r="G81" s="310" t="s">
        <v>162</v>
      </c>
      <c r="H81" s="311" t="s">
        <v>404</v>
      </c>
      <c r="I81" s="311" t="s">
        <v>404</v>
      </c>
      <c r="J81" s="308" t="s">
        <v>162</v>
      </c>
      <c r="K81" s="312" t="s">
        <v>606</v>
      </c>
      <c r="L81" s="308"/>
      <c r="M81" s="313" t="s">
        <v>607</v>
      </c>
      <c r="N81" s="314" t="s">
        <v>162</v>
      </c>
      <c r="O81" s="308" t="s">
        <v>404</v>
      </c>
      <c r="P81" s="308" t="s">
        <v>162</v>
      </c>
      <c r="Q81" s="308" t="s">
        <v>606</v>
      </c>
      <c r="R81" s="308"/>
      <c r="S81" s="308"/>
      <c r="T81" s="324" t="str">
        <f t="shared" si="23"/>
        <v/>
      </c>
      <c r="U81" s="330"/>
      <c r="V81" s="45" t="str">
        <f t="shared" si="14"/>
        <v/>
      </c>
      <c r="W81" s="309"/>
      <c r="Y81" s="309"/>
      <c r="Z81" s="309"/>
      <c r="AA81" s="310"/>
      <c r="AB81" s="311"/>
      <c r="AC81" s="311"/>
      <c r="AD81" s="308"/>
      <c r="AE81" s="312"/>
      <c r="AF81" s="308"/>
      <c r="AG81" s="313"/>
      <c r="AH81" s="314"/>
      <c r="AI81" s="308"/>
      <c r="AJ81" s="308"/>
      <c r="AK81" s="308"/>
      <c r="AM81" s="308"/>
      <c r="AN81" s="308"/>
      <c r="AO81" s="309"/>
      <c r="AP81" s="308"/>
      <c r="AQ81" s="309"/>
      <c r="AR81" s="309"/>
      <c r="AS81" s="310"/>
      <c r="AT81" s="311"/>
      <c r="AU81" s="311"/>
      <c r="AV81" s="308"/>
      <c r="AW81" s="312"/>
      <c r="AX81" s="308"/>
      <c r="AY81" s="313"/>
      <c r="AZ81" s="314"/>
      <c r="BA81" s="308"/>
      <c r="BB81" s="308"/>
      <c r="BC81" s="308"/>
    </row>
    <row r="82" spans="1:55">
      <c r="A82" s="49" t="s">
        <v>39</v>
      </c>
      <c r="B82" s="316" t="s">
        <v>610</v>
      </c>
      <c r="C82" s="297">
        <f>+D82/7</f>
        <v>21037.198571428573</v>
      </c>
      <c r="D82" s="317">
        <v>147260.39000000001</v>
      </c>
      <c r="E82" s="318">
        <v>9935659</v>
      </c>
      <c r="F82" s="318"/>
      <c r="G82" s="317">
        <v>770216.51</v>
      </c>
      <c r="H82" s="319">
        <f t="shared" ref="H82:H88" si="24">H68</f>
        <v>7.7520000000000006E-2</v>
      </c>
      <c r="I82" s="319"/>
      <c r="J82" s="317">
        <f t="shared" ref="J82:J88" si="25">+E82*H82+F82*I82</f>
        <v>770212.28568000009</v>
      </c>
      <c r="K82" s="320">
        <f t="shared" ref="K82:K88" si="26">+J82/G82-1</f>
        <v>-5.4845877036635571E-6</v>
      </c>
      <c r="L82" s="321"/>
      <c r="M82" s="322"/>
      <c r="N82" s="317"/>
      <c r="O82" s="320"/>
      <c r="P82" s="317"/>
      <c r="Q82" s="323"/>
      <c r="R82" s="323"/>
      <c r="S82" s="349" t="s">
        <v>232</v>
      </c>
      <c r="T82" s="324">
        <f t="shared" si="23"/>
        <v>917476.9</v>
      </c>
      <c r="U82" s="45"/>
      <c r="V82" s="45" t="str">
        <f t="shared" si="14"/>
        <v>RD-1: Residential</v>
      </c>
      <c r="W82" s="297"/>
      <c r="Y82" s="318"/>
      <c r="Z82" s="318"/>
      <c r="AA82" s="317"/>
      <c r="AB82" s="319"/>
      <c r="AC82" s="319"/>
      <c r="AD82" s="317"/>
      <c r="AE82" s="320"/>
      <c r="AF82" s="321"/>
      <c r="AG82" s="322"/>
      <c r="AH82" s="317"/>
      <c r="AI82" s="320"/>
      <c r="AJ82" s="317"/>
      <c r="AK82" s="323"/>
      <c r="AN82" s="316"/>
      <c r="AO82" s="297"/>
      <c r="AP82" s="317"/>
      <c r="AQ82" s="318"/>
      <c r="AR82" s="318"/>
      <c r="AS82" s="317"/>
      <c r="AT82" s="319"/>
      <c r="AU82" s="319"/>
      <c r="AV82" s="317"/>
      <c r="AW82" s="320"/>
      <c r="AX82" s="321"/>
      <c r="AY82" s="322"/>
      <c r="AZ82" s="317"/>
      <c r="BA82" s="320"/>
      <c r="BB82" s="317"/>
      <c r="BC82" s="323"/>
    </row>
    <row r="83" spans="1:55">
      <c r="A83" s="49" t="s">
        <v>42</v>
      </c>
      <c r="B83" s="316" t="s">
        <v>104</v>
      </c>
      <c r="C83" s="297">
        <f>+D83/7</f>
        <v>5339.0328571428563</v>
      </c>
      <c r="D83" s="317">
        <v>37373.229999999996</v>
      </c>
      <c r="E83" s="318">
        <v>2642210</v>
      </c>
      <c r="F83" s="318"/>
      <c r="G83" s="317">
        <v>204825.07000000004</v>
      </c>
      <c r="H83" s="319">
        <f t="shared" si="24"/>
        <v>7.7520000000000006E-2</v>
      </c>
      <c r="I83" s="319"/>
      <c r="J83" s="317">
        <f t="shared" si="25"/>
        <v>204824.11920000002</v>
      </c>
      <c r="K83" s="320">
        <f t="shared" si="26"/>
        <v>-4.6420098869237592E-6</v>
      </c>
      <c r="L83" s="321"/>
      <c r="M83" s="322"/>
      <c r="N83" s="317"/>
      <c r="O83" s="320"/>
      <c r="P83" s="317"/>
      <c r="Q83" s="323"/>
      <c r="R83" s="323"/>
      <c r="S83" s="349" t="str">
        <f t="shared" ref="S83:S90" si="27">S82</f>
        <v>June</v>
      </c>
      <c r="T83" s="324">
        <f t="shared" si="23"/>
        <v>242198.30000000005</v>
      </c>
      <c r="U83" s="45"/>
      <c r="V83" s="45" t="str">
        <f t="shared" ref="V83:V114" si="28">_xlfn.IFNA(VLOOKUP(A83,$A$12:$V$18,22,FALSE),"")</f>
        <v>RD-2: Residential, Low Income</v>
      </c>
      <c r="W83" s="297"/>
      <c r="Y83" s="318"/>
      <c r="Z83" s="318"/>
      <c r="AA83" s="317"/>
      <c r="AB83" s="319"/>
      <c r="AC83" s="319"/>
      <c r="AD83" s="317"/>
      <c r="AE83" s="320"/>
      <c r="AF83" s="321"/>
      <c r="AG83" s="322"/>
      <c r="AH83" s="317"/>
      <c r="AI83" s="320"/>
      <c r="AJ83" s="317"/>
      <c r="AK83" s="323"/>
      <c r="AN83" s="316"/>
      <c r="AO83" s="297"/>
      <c r="AP83" s="317"/>
      <c r="AQ83" s="318"/>
      <c r="AR83" s="318"/>
      <c r="AS83" s="317"/>
      <c r="AT83" s="319"/>
      <c r="AU83" s="319"/>
      <c r="AV83" s="317"/>
      <c r="AW83" s="320"/>
      <c r="AX83" s="321"/>
      <c r="AY83" s="322"/>
      <c r="AZ83" s="317"/>
      <c r="BA83" s="320"/>
      <c r="BB83" s="317"/>
      <c r="BC83" s="323"/>
    </row>
    <row r="84" spans="1:55">
      <c r="A84" s="49" t="s">
        <v>43</v>
      </c>
      <c r="B84" s="298" t="s">
        <v>106</v>
      </c>
      <c r="C84" s="297">
        <f>+D84/10</f>
        <v>2535.933</v>
      </c>
      <c r="D84" s="317">
        <v>25359.329999999998</v>
      </c>
      <c r="E84" s="318">
        <v>401241</v>
      </c>
      <c r="F84" s="318"/>
      <c r="G84" s="317">
        <v>30900.19</v>
      </c>
      <c r="H84" s="319">
        <f t="shared" si="24"/>
        <v>7.7009999999999995E-2</v>
      </c>
      <c r="I84" s="319"/>
      <c r="J84" s="317">
        <f t="shared" si="25"/>
        <v>30899.569409999996</v>
      </c>
      <c r="K84" s="320">
        <f t="shared" si="26"/>
        <v>-2.0083695278283464E-5</v>
      </c>
      <c r="L84" s="321"/>
      <c r="M84" s="322"/>
      <c r="N84" s="317"/>
      <c r="O84" s="320"/>
      <c r="P84" s="317"/>
      <c r="Q84" s="323"/>
      <c r="R84" s="323"/>
      <c r="S84" s="349" t="str">
        <f t="shared" si="27"/>
        <v>June</v>
      </c>
      <c r="T84" s="324">
        <f t="shared" si="23"/>
        <v>56259.519999999997</v>
      </c>
      <c r="U84" s="45"/>
      <c r="V84" s="45" t="str">
        <f t="shared" si="28"/>
        <v>GD-1: Small General</v>
      </c>
      <c r="W84" s="297"/>
      <c r="Y84" s="318"/>
      <c r="Z84" s="318"/>
      <c r="AA84" s="317"/>
      <c r="AB84" s="319"/>
      <c r="AC84" s="319"/>
      <c r="AD84" s="317"/>
      <c r="AE84" s="320"/>
      <c r="AF84" s="321"/>
      <c r="AG84" s="322"/>
      <c r="AH84" s="317"/>
      <c r="AI84" s="320"/>
      <c r="AJ84" s="317"/>
      <c r="AK84" s="323"/>
      <c r="AN84" s="298"/>
      <c r="AO84" s="297"/>
      <c r="AP84" s="317"/>
      <c r="AQ84" s="318"/>
      <c r="AR84" s="318"/>
      <c r="AS84" s="317"/>
      <c r="AT84" s="319"/>
      <c r="AU84" s="319"/>
      <c r="AV84" s="317"/>
      <c r="AW84" s="320"/>
      <c r="AX84" s="321"/>
      <c r="AY84" s="322"/>
      <c r="AZ84" s="317"/>
      <c r="BA84" s="320"/>
      <c r="BB84" s="317"/>
      <c r="BC84" s="323"/>
    </row>
    <row r="85" spans="1:55">
      <c r="A85" s="49" t="s">
        <v>44</v>
      </c>
      <c r="B85" s="298" t="s">
        <v>107</v>
      </c>
      <c r="C85" s="297">
        <f>+D85/10</f>
        <v>1515</v>
      </c>
      <c r="D85" s="317">
        <v>15150</v>
      </c>
      <c r="E85" s="318">
        <v>7219402</v>
      </c>
      <c r="F85" s="318"/>
      <c r="G85" s="317">
        <v>167923.25000000003</v>
      </c>
      <c r="H85" s="319">
        <f t="shared" si="24"/>
        <v>2.3259999999999999E-2</v>
      </c>
      <c r="I85" s="319"/>
      <c r="J85" s="317">
        <f t="shared" si="25"/>
        <v>167923.29052000001</v>
      </c>
      <c r="K85" s="320">
        <f t="shared" si="26"/>
        <v>2.413007131885081E-7</v>
      </c>
      <c r="L85" s="321"/>
      <c r="M85" s="322">
        <v>26318.5</v>
      </c>
      <c r="N85" s="317">
        <v>253710.34</v>
      </c>
      <c r="O85" s="326">
        <f>O71</f>
        <v>9.64</v>
      </c>
      <c r="P85" s="317">
        <f>+O85*M85</f>
        <v>253710.34000000003</v>
      </c>
      <c r="Q85" s="320">
        <f>+P85/N85-1</f>
        <v>0</v>
      </c>
      <c r="R85" s="320"/>
      <c r="S85" s="349" t="str">
        <f t="shared" si="27"/>
        <v>June</v>
      </c>
      <c r="T85" s="324">
        <f t="shared" si="23"/>
        <v>436783.59</v>
      </c>
      <c r="U85" s="45"/>
      <c r="V85" s="45" t="str">
        <f t="shared" si="28"/>
        <v>GD-2: Regular General</v>
      </c>
      <c r="W85" s="297"/>
      <c r="Y85" s="318"/>
      <c r="Z85" s="318"/>
      <c r="AA85" s="317"/>
      <c r="AB85" s="319"/>
      <c r="AC85" s="319"/>
      <c r="AD85" s="317"/>
      <c r="AE85" s="320"/>
      <c r="AF85" s="321"/>
      <c r="AG85" s="322"/>
      <c r="AH85" s="317"/>
      <c r="AI85" s="325"/>
      <c r="AJ85" s="317"/>
      <c r="AK85" s="320"/>
      <c r="AN85" s="298"/>
      <c r="AO85" s="297"/>
      <c r="AP85" s="317"/>
      <c r="AQ85" s="318"/>
      <c r="AR85" s="318"/>
      <c r="AS85" s="317"/>
      <c r="AT85" s="319"/>
      <c r="AU85" s="319"/>
      <c r="AV85" s="317"/>
      <c r="AW85" s="320"/>
      <c r="AX85" s="321"/>
      <c r="AY85" s="322"/>
      <c r="AZ85" s="317"/>
      <c r="BA85" s="325"/>
      <c r="BB85" s="317"/>
      <c r="BC85" s="320"/>
    </row>
    <row r="86" spans="1:55">
      <c r="A86" s="49" t="s">
        <v>45</v>
      </c>
      <c r="B86" s="298" t="s">
        <v>108</v>
      </c>
      <c r="C86" s="297">
        <f>D86/300</f>
        <v>28</v>
      </c>
      <c r="D86" s="317">
        <v>8400</v>
      </c>
      <c r="E86" s="318">
        <v>4147214</v>
      </c>
      <c r="F86" s="318">
        <v>6555980</v>
      </c>
      <c r="G86" s="317">
        <v>107098.81</v>
      </c>
      <c r="H86" s="319">
        <f t="shared" si="24"/>
        <v>1.9089999999999999E-2</v>
      </c>
      <c r="I86" s="319">
        <f>I72</f>
        <v>4.2599999999999999E-3</v>
      </c>
      <c r="J86" s="317">
        <f t="shared" si="25"/>
        <v>107098.79006</v>
      </c>
      <c r="K86" s="320">
        <f t="shared" si="26"/>
        <v>-1.8618320785090958E-7</v>
      </c>
      <c r="L86" s="321"/>
      <c r="M86" s="322">
        <v>25439</v>
      </c>
      <c r="N86" s="317">
        <v>201731.34</v>
      </c>
      <c r="O86" s="326">
        <f>O72</f>
        <v>7.93</v>
      </c>
      <c r="P86" s="317">
        <f>+O86*M86</f>
        <v>201731.27</v>
      </c>
      <c r="Q86" s="320">
        <f>+P86/N86-1</f>
        <v>-3.4699615836242259E-7</v>
      </c>
      <c r="R86" s="320"/>
      <c r="S86" s="349" t="str">
        <f t="shared" si="27"/>
        <v>June</v>
      </c>
      <c r="T86" s="324">
        <f t="shared" si="23"/>
        <v>317230.15000000002</v>
      </c>
      <c r="U86" s="45"/>
      <c r="V86" s="45" t="str">
        <f t="shared" si="28"/>
        <v>GD-3: Large General</v>
      </c>
      <c r="W86" s="297"/>
      <c r="Y86" s="318"/>
      <c r="Z86" s="318"/>
      <c r="AA86" s="317"/>
      <c r="AB86" s="319"/>
      <c r="AC86" s="319"/>
      <c r="AD86" s="317"/>
      <c r="AE86" s="320"/>
      <c r="AF86" s="321"/>
      <c r="AG86" s="322"/>
      <c r="AH86" s="317"/>
      <c r="AI86" s="325"/>
      <c r="AJ86" s="317"/>
      <c r="AK86" s="320"/>
      <c r="AN86" s="298"/>
      <c r="AO86" s="297"/>
      <c r="AP86" s="317"/>
      <c r="AQ86" s="318"/>
      <c r="AR86" s="318"/>
      <c r="AS86" s="317"/>
      <c r="AT86" s="319"/>
      <c r="AU86" s="319"/>
      <c r="AV86" s="317"/>
      <c r="AW86" s="320"/>
      <c r="AX86" s="321"/>
      <c r="AY86" s="322"/>
      <c r="AZ86" s="317"/>
      <c r="BA86" s="325"/>
      <c r="BB86" s="317"/>
      <c r="BC86" s="320"/>
    </row>
    <row r="87" spans="1:55">
      <c r="A87" s="298" t="s">
        <v>46</v>
      </c>
      <c r="B87" s="298" t="s">
        <v>109</v>
      </c>
      <c r="C87" s="297">
        <f>+D87/10</f>
        <v>3</v>
      </c>
      <c r="D87" s="317">
        <v>30</v>
      </c>
      <c r="E87" s="318">
        <v>6576</v>
      </c>
      <c r="F87" s="318">
        <v>21162</v>
      </c>
      <c r="G87" s="317">
        <v>112.31</v>
      </c>
      <c r="H87" s="319">
        <f t="shared" si="24"/>
        <v>1.0030000000000001E-2</v>
      </c>
      <c r="I87" s="319">
        <f>I73</f>
        <v>2.1900000000000001E-3</v>
      </c>
      <c r="J87" s="317">
        <f t="shared" si="25"/>
        <v>112.30206000000001</v>
      </c>
      <c r="K87" s="320">
        <f t="shared" si="26"/>
        <v>-7.0697177455225635E-5</v>
      </c>
      <c r="L87" s="321"/>
      <c r="M87" s="322">
        <v>112.5</v>
      </c>
      <c r="N87" s="317">
        <v>433.13</v>
      </c>
      <c r="O87" s="326">
        <f>O73</f>
        <v>3.85</v>
      </c>
      <c r="P87" s="317">
        <f>+O87*M87</f>
        <v>433.125</v>
      </c>
      <c r="Q87" s="320">
        <f>+P87/N87-1</f>
        <v>-1.1543878281283781E-5</v>
      </c>
      <c r="R87" s="320"/>
      <c r="S87" s="349" t="str">
        <f t="shared" si="27"/>
        <v>June</v>
      </c>
      <c r="T87" s="324">
        <f t="shared" si="23"/>
        <v>575.44000000000005</v>
      </c>
      <c r="U87" s="331"/>
      <c r="V87" s="45" t="str">
        <f t="shared" si="28"/>
        <v>GD-4: Regular General Optional TOU</v>
      </c>
      <c r="W87" s="297"/>
      <c r="Y87" s="318"/>
      <c r="Z87" s="318"/>
      <c r="AA87" s="317"/>
      <c r="AB87" s="319"/>
      <c r="AC87" s="319"/>
      <c r="AD87" s="317"/>
      <c r="AE87" s="320"/>
      <c r="AF87" s="321"/>
      <c r="AG87" s="322"/>
      <c r="AH87" s="317"/>
      <c r="AI87" s="325"/>
      <c r="AJ87" s="317"/>
      <c r="AK87" s="320"/>
      <c r="AM87" s="298"/>
      <c r="AN87" s="298"/>
      <c r="AO87" s="297"/>
      <c r="AP87" s="317"/>
      <c r="AQ87" s="318"/>
      <c r="AR87" s="318"/>
      <c r="AS87" s="317"/>
      <c r="AT87" s="319"/>
      <c r="AU87" s="319"/>
      <c r="AV87" s="317"/>
      <c r="AW87" s="320"/>
      <c r="AX87" s="321"/>
      <c r="AY87" s="322"/>
      <c r="AZ87" s="317"/>
      <c r="BA87" s="325"/>
      <c r="BB87" s="317"/>
      <c r="BC87" s="320"/>
    </row>
    <row r="88" spans="1:55">
      <c r="A88" s="49" t="s">
        <v>47</v>
      </c>
      <c r="B88" s="298" t="s">
        <v>110</v>
      </c>
      <c r="C88" s="297">
        <v>7</v>
      </c>
      <c r="D88" s="317">
        <v>0</v>
      </c>
      <c r="E88" s="318">
        <v>11086</v>
      </c>
      <c r="F88" s="318"/>
      <c r="G88" s="317">
        <v>660.30000000000007</v>
      </c>
      <c r="H88" s="319">
        <f t="shared" si="24"/>
        <v>5.9560000000000002E-2</v>
      </c>
      <c r="I88" s="319"/>
      <c r="J88" s="317">
        <f t="shared" si="25"/>
        <v>660.28215999999998</v>
      </c>
      <c r="K88" s="320">
        <f t="shared" si="26"/>
        <v>-2.7018022111247042E-5</v>
      </c>
      <c r="L88" s="321"/>
      <c r="M88" s="322"/>
      <c r="N88" s="317"/>
      <c r="O88" s="332"/>
      <c r="P88" s="317"/>
      <c r="Q88" s="323"/>
      <c r="R88" s="323"/>
      <c r="S88" s="349" t="str">
        <f t="shared" si="27"/>
        <v>June</v>
      </c>
      <c r="T88" s="324">
        <f t="shared" si="23"/>
        <v>660.30000000000007</v>
      </c>
      <c r="U88" s="45"/>
      <c r="V88" s="45" t="str">
        <f t="shared" si="28"/>
        <v>GD-5: Water and/or Space Heating Rider</v>
      </c>
      <c r="W88" s="297"/>
      <c r="Y88" s="318"/>
      <c r="Z88" s="318"/>
      <c r="AA88" s="317"/>
      <c r="AB88" s="319"/>
      <c r="AC88" s="319"/>
      <c r="AD88" s="317"/>
      <c r="AE88" s="320"/>
      <c r="AF88" s="321"/>
      <c r="AG88" s="322"/>
      <c r="AH88" s="317"/>
      <c r="AI88" s="320"/>
      <c r="AJ88" s="317"/>
      <c r="AK88" s="323"/>
      <c r="AN88" s="298"/>
      <c r="AO88" s="297"/>
      <c r="AP88" s="317"/>
      <c r="AQ88" s="318"/>
      <c r="AR88" s="318"/>
      <c r="AS88" s="317"/>
      <c r="AT88" s="319"/>
      <c r="AU88" s="319"/>
      <c r="AV88" s="317"/>
      <c r="AW88" s="320"/>
      <c r="AX88" s="321"/>
      <c r="AY88" s="322"/>
      <c r="AZ88" s="317"/>
      <c r="BA88" s="320"/>
      <c r="BB88" s="317"/>
      <c r="BC88" s="323"/>
    </row>
    <row r="89" spans="1:55">
      <c r="C89" s="297"/>
      <c r="D89" s="316"/>
      <c r="Q89" s="323"/>
      <c r="R89" s="323"/>
      <c r="S89" s="349" t="str">
        <f t="shared" si="27"/>
        <v>June</v>
      </c>
      <c r="T89" s="324">
        <f t="shared" si="23"/>
        <v>0</v>
      </c>
      <c r="U89" s="45"/>
      <c r="V89" s="45" t="str">
        <f t="shared" si="28"/>
        <v/>
      </c>
      <c r="W89" s="297"/>
      <c r="AB89" s="293"/>
      <c r="AC89" s="293"/>
      <c r="AE89" s="294"/>
      <c r="AK89" s="323"/>
      <c r="AO89" s="297"/>
      <c r="AP89" s="316"/>
      <c r="AT89" s="293"/>
      <c r="AU89" s="293"/>
      <c r="AW89" s="294"/>
      <c r="BC89" s="323"/>
    </row>
    <row r="90" spans="1:55">
      <c r="B90" s="49" t="s">
        <v>279</v>
      </c>
      <c r="C90" s="297">
        <f>SUM(C82:C88)</f>
        <v>30465.164428571432</v>
      </c>
      <c r="D90" s="317">
        <f>SUM(D82:D88)</f>
        <v>233572.94999999998</v>
      </c>
      <c r="E90" s="297">
        <f>SUM(E82:E88)</f>
        <v>24363388</v>
      </c>
      <c r="F90" s="297">
        <f>SUM(F82:F88)</f>
        <v>6577142</v>
      </c>
      <c r="G90" s="317">
        <f>SUM(G82:G88)</f>
        <v>1281736.4400000002</v>
      </c>
      <c r="J90" s="317">
        <f>SUM(J82:J88)</f>
        <v>1281730.63909</v>
      </c>
      <c r="K90" s="320">
        <f>+J90/G90-1</f>
        <v>-4.5258212368892714E-6</v>
      </c>
      <c r="L90" s="321"/>
      <c r="M90" s="322">
        <f>SUM(M82:M88)</f>
        <v>51870</v>
      </c>
      <c r="N90" s="317">
        <f>SUM(N82:N88)</f>
        <v>455874.81</v>
      </c>
      <c r="P90" s="317">
        <f>SUM(P82:P88)</f>
        <v>455874.73499999999</v>
      </c>
      <c r="Q90" s="320">
        <f>+P90/N90-1</f>
        <v>-1.6451885120893905E-7</v>
      </c>
      <c r="R90" s="320"/>
      <c r="S90" s="349" t="str">
        <f t="shared" si="27"/>
        <v>June</v>
      </c>
      <c r="T90" s="324">
        <f t="shared" si="23"/>
        <v>1971184.2000000002</v>
      </c>
      <c r="U90" s="45"/>
      <c r="V90" s="45" t="str">
        <f t="shared" si="28"/>
        <v/>
      </c>
      <c r="W90" s="297"/>
      <c r="Y90" s="297"/>
      <c r="Z90" s="297"/>
      <c r="AA90" s="317"/>
      <c r="AB90" s="293"/>
      <c r="AC90" s="293"/>
      <c r="AD90" s="317"/>
      <c r="AE90" s="320"/>
      <c r="AF90" s="321"/>
      <c r="AG90" s="322"/>
      <c r="AH90" s="317"/>
      <c r="AJ90" s="317"/>
      <c r="AK90" s="320"/>
      <c r="AO90" s="297"/>
      <c r="AP90" s="317"/>
      <c r="AQ90" s="297"/>
      <c r="AR90" s="297"/>
      <c r="AS90" s="317"/>
      <c r="AT90" s="293"/>
      <c r="AU90" s="293"/>
      <c r="AV90" s="317"/>
      <c r="AW90" s="320"/>
      <c r="AX90" s="321"/>
      <c r="AY90" s="322"/>
      <c r="AZ90" s="317"/>
      <c r="BB90" s="317"/>
      <c r="BC90" s="320"/>
    </row>
    <row r="91" spans="1:55">
      <c r="C91" s="297"/>
      <c r="D91" s="317"/>
      <c r="E91" s="297"/>
      <c r="F91" s="297"/>
      <c r="G91" s="317"/>
      <c r="J91" s="317"/>
      <c r="K91" s="320"/>
      <c r="L91" s="321"/>
      <c r="M91" s="322"/>
      <c r="N91" s="317"/>
      <c r="P91" s="317"/>
      <c r="Q91" s="320"/>
      <c r="R91" s="320"/>
      <c r="S91" s="320"/>
      <c r="T91" s="324">
        <f t="shared" si="23"/>
        <v>0</v>
      </c>
      <c r="U91" s="45"/>
      <c r="V91" s="45" t="str">
        <f t="shared" si="28"/>
        <v/>
      </c>
    </row>
    <row r="92" spans="1:55">
      <c r="A92" s="295"/>
      <c r="B92" s="296" t="s">
        <v>620</v>
      </c>
      <c r="C92" s="297"/>
      <c r="D92" s="298"/>
      <c r="E92" s="299"/>
      <c r="F92" s="299"/>
      <c r="G92" s="300"/>
      <c r="H92" s="301" t="s">
        <v>612</v>
      </c>
      <c r="I92" s="301" t="s">
        <v>613</v>
      </c>
      <c r="J92" s="290" t="s">
        <v>596</v>
      </c>
      <c r="N92" s="290"/>
      <c r="P92" s="290" t="s">
        <v>596</v>
      </c>
      <c r="T92" s="324">
        <f t="shared" si="23"/>
        <v>0</v>
      </c>
      <c r="U92" s="45"/>
      <c r="V92" s="45" t="str">
        <f t="shared" si="28"/>
        <v/>
      </c>
    </row>
    <row r="93" spans="1:55">
      <c r="A93" s="290"/>
      <c r="B93" s="290"/>
      <c r="C93" s="297"/>
      <c r="D93" s="290"/>
      <c r="E93" s="302" t="s">
        <v>614</v>
      </c>
      <c r="F93" s="302" t="s">
        <v>615</v>
      </c>
      <c r="G93" s="300" t="s">
        <v>262</v>
      </c>
      <c r="H93" s="301" t="s">
        <v>262</v>
      </c>
      <c r="I93" s="301" t="s">
        <v>262</v>
      </c>
      <c r="J93" s="290" t="s">
        <v>262</v>
      </c>
      <c r="K93" s="303" t="s">
        <v>598</v>
      </c>
      <c r="L93" s="304"/>
      <c r="M93" s="292"/>
      <c r="N93" s="290" t="s">
        <v>262</v>
      </c>
      <c r="O93" s="290" t="s">
        <v>262</v>
      </c>
      <c r="P93" s="290" t="s">
        <v>262</v>
      </c>
      <c r="Q93" s="304" t="s">
        <v>598</v>
      </c>
      <c r="R93" s="304"/>
      <c r="S93" s="304"/>
      <c r="T93" s="324" t="str">
        <f t="shared" si="23"/>
        <v/>
      </c>
      <c r="U93" s="45"/>
      <c r="V93" s="45" t="str">
        <f t="shared" si="28"/>
        <v/>
      </c>
    </row>
    <row r="94" spans="1:55">
      <c r="A94" s="290" t="s">
        <v>404</v>
      </c>
      <c r="B94" s="290"/>
      <c r="C94" s="300" t="s">
        <v>418</v>
      </c>
      <c r="D94" s="290" t="s">
        <v>599</v>
      </c>
      <c r="E94" s="302" t="s">
        <v>600</v>
      </c>
      <c r="F94" s="302" t="s">
        <v>601</v>
      </c>
      <c r="G94" s="300" t="s">
        <v>421</v>
      </c>
      <c r="H94" s="305" t="s">
        <v>602</v>
      </c>
      <c r="I94" s="305" t="s">
        <v>603</v>
      </c>
      <c r="J94" s="304" t="s">
        <v>421</v>
      </c>
      <c r="K94" s="306" t="s">
        <v>421</v>
      </c>
      <c r="L94" s="290"/>
      <c r="M94" s="292" t="s">
        <v>408</v>
      </c>
      <c r="N94" s="292" t="s">
        <v>408</v>
      </c>
      <c r="O94" s="290" t="s">
        <v>408</v>
      </c>
      <c r="P94" s="290" t="s">
        <v>408</v>
      </c>
      <c r="Q94" s="290" t="s">
        <v>408</v>
      </c>
      <c r="R94" s="290"/>
      <c r="S94" s="290"/>
      <c r="T94" s="324" t="str">
        <f t="shared" si="23"/>
        <v/>
      </c>
      <c r="U94" s="45"/>
      <c r="V94" s="45" t="str">
        <f t="shared" si="28"/>
        <v/>
      </c>
    </row>
    <row r="95" spans="1:55" ht="13.2">
      <c r="A95" s="308" t="s">
        <v>90</v>
      </c>
      <c r="B95" s="308" t="s">
        <v>125</v>
      </c>
      <c r="C95" s="309" t="s">
        <v>605</v>
      </c>
      <c r="D95" s="308" t="s">
        <v>162</v>
      </c>
      <c r="E95" s="309" t="s">
        <v>421</v>
      </c>
      <c r="F95" s="309" t="s">
        <v>421</v>
      </c>
      <c r="G95" s="310" t="s">
        <v>162</v>
      </c>
      <c r="H95" s="311" t="s">
        <v>404</v>
      </c>
      <c r="I95" s="311" t="s">
        <v>404</v>
      </c>
      <c r="J95" s="308" t="s">
        <v>162</v>
      </c>
      <c r="K95" s="312" t="s">
        <v>606</v>
      </c>
      <c r="L95" s="308"/>
      <c r="M95" s="313" t="s">
        <v>607</v>
      </c>
      <c r="N95" s="314" t="s">
        <v>162</v>
      </c>
      <c r="O95" s="308" t="s">
        <v>404</v>
      </c>
      <c r="P95" s="308" t="s">
        <v>162</v>
      </c>
      <c r="Q95" s="308" t="s">
        <v>606</v>
      </c>
      <c r="R95" s="308"/>
      <c r="S95" s="308"/>
      <c r="T95" s="324" t="str">
        <f t="shared" si="23"/>
        <v/>
      </c>
      <c r="U95" s="45"/>
      <c r="V95" s="45" t="str">
        <f t="shared" si="28"/>
        <v/>
      </c>
    </row>
    <row r="96" spans="1:55">
      <c r="A96" s="49" t="s">
        <v>39</v>
      </c>
      <c r="B96" s="316" t="s">
        <v>610</v>
      </c>
      <c r="C96" s="297">
        <f>+D96/7</f>
        <v>21180.197142857145</v>
      </c>
      <c r="D96" s="317">
        <v>148261.38</v>
      </c>
      <c r="E96" s="318">
        <v>12628232</v>
      </c>
      <c r="F96" s="318"/>
      <c r="G96" s="317">
        <v>978941.85000000009</v>
      </c>
      <c r="H96" s="319">
        <f t="shared" ref="H96:H102" si="29">H82</f>
        <v>7.7520000000000006E-2</v>
      </c>
      <c r="I96" s="319"/>
      <c r="J96" s="317">
        <f t="shared" ref="J96:J102" si="30">+E96*H96+F96*I96</f>
        <v>978940.54464000009</v>
      </c>
      <c r="K96" s="320">
        <f t="shared" ref="K96:K102" si="31">+J96/G96-1</f>
        <v>-1.3334397748199223E-6</v>
      </c>
      <c r="L96" s="321"/>
      <c r="M96" s="322"/>
      <c r="N96" s="317"/>
      <c r="O96" s="320"/>
      <c r="P96" s="317"/>
      <c r="Q96" s="323"/>
      <c r="R96" s="323"/>
      <c r="S96" s="349" t="s">
        <v>233</v>
      </c>
      <c r="T96" s="324">
        <f t="shared" si="23"/>
        <v>1127203.23</v>
      </c>
      <c r="U96" s="45"/>
      <c r="V96" s="45" t="str">
        <f t="shared" si="28"/>
        <v>RD-1: Residential</v>
      </c>
    </row>
    <row r="97" spans="1:22">
      <c r="A97" s="49" t="s">
        <v>42</v>
      </c>
      <c r="B97" s="316" t="s">
        <v>104</v>
      </c>
      <c r="C97" s="297">
        <f>+D97/7</f>
        <v>5107.0014285714287</v>
      </c>
      <c r="D97" s="317">
        <v>35749.01</v>
      </c>
      <c r="E97" s="318">
        <v>2945657</v>
      </c>
      <c r="F97" s="318"/>
      <c r="G97" s="317">
        <v>228347.78000000003</v>
      </c>
      <c r="H97" s="319">
        <f t="shared" si="29"/>
        <v>7.7520000000000006E-2</v>
      </c>
      <c r="I97" s="319"/>
      <c r="J97" s="317">
        <f t="shared" si="30"/>
        <v>228347.33064000003</v>
      </c>
      <c r="K97" s="320">
        <f t="shared" si="31"/>
        <v>-1.9678754923369013E-6</v>
      </c>
      <c r="L97" s="321"/>
      <c r="M97" s="322"/>
      <c r="N97" s="317"/>
      <c r="O97" s="320"/>
      <c r="P97" s="317"/>
      <c r="Q97" s="323"/>
      <c r="R97" s="323"/>
      <c r="S97" s="349" t="str">
        <f t="shared" ref="S97:S104" si="32">S96</f>
        <v>July</v>
      </c>
      <c r="T97" s="324">
        <f t="shared" si="23"/>
        <v>264096.79000000004</v>
      </c>
      <c r="U97" s="45"/>
      <c r="V97" s="45" t="str">
        <f t="shared" si="28"/>
        <v>RD-2: Residential, Low Income</v>
      </c>
    </row>
    <row r="98" spans="1:22">
      <c r="A98" s="49" t="s">
        <v>43</v>
      </c>
      <c r="B98" s="298" t="s">
        <v>106</v>
      </c>
      <c r="C98" s="297">
        <f>+D98/10</f>
        <v>2542</v>
      </c>
      <c r="D98" s="317">
        <v>25420</v>
      </c>
      <c r="E98" s="318">
        <v>433277</v>
      </c>
      <c r="F98" s="318"/>
      <c r="G98" s="317">
        <v>33366.810000000063</v>
      </c>
      <c r="H98" s="319">
        <f t="shared" si="29"/>
        <v>7.7009999999999995E-2</v>
      </c>
      <c r="I98" s="319"/>
      <c r="J98" s="317">
        <f t="shared" si="30"/>
        <v>33366.661769999999</v>
      </c>
      <c r="K98" s="320">
        <f t="shared" si="31"/>
        <v>-4.4424384609831336E-6</v>
      </c>
      <c r="L98" s="321"/>
      <c r="M98" s="322"/>
      <c r="N98" s="317"/>
      <c r="O98" s="320"/>
      <c r="P98" s="317"/>
      <c r="Q98" s="323"/>
      <c r="R98" s="323"/>
      <c r="S98" s="349" t="str">
        <f t="shared" si="32"/>
        <v>July</v>
      </c>
      <c r="T98" s="324">
        <f t="shared" si="23"/>
        <v>58786.810000000063</v>
      </c>
      <c r="U98" s="45"/>
      <c r="V98" s="45" t="str">
        <f t="shared" si="28"/>
        <v>GD-1: Small General</v>
      </c>
    </row>
    <row r="99" spans="1:22">
      <c r="A99" s="49" t="s">
        <v>44</v>
      </c>
      <c r="B99" s="298" t="s">
        <v>107</v>
      </c>
      <c r="C99" s="297">
        <f>+D99/10</f>
        <v>1501</v>
      </c>
      <c r="D99" s="317">
        <v>15010</v>
      </c>
      <c r="E99" s="318">
        <v>7765390</v>
      </c>
      <c r="F99" s="318"/>
      <c r="G99" s="317">
        <v>180622.83</v>
      </c>
      <c r="H99" s="319">
        <f t="shared" si="29"/>
        <v>2.3259999999999999E-2</v>
      </c>
      <c r="I99" s="319"/>
      <c r="J99" s="317">
        <f t="shared" si="30"/>
        <v>180622.97140000001</v>
      </c>
      <c r="K99" s="320">
        <f t="shared" si="31"/>
        <v>7.8284677540452208E-7</v>
      </c>
      <c r="L99" s="321"/>
      <c r="M99" s="322">
        <v>28683.5</v>
      </c>
      <c r="N99" s="317">
        <v>276508.93999999994</v>
      </c>
      <c r="O99" s="326">
        <f>O85</f>
        <v>9.64</v>
      </c>
      <c r="P99" s="317">
        <f>+O99*M99</f>
        <v>276508.94</v>
      </c>
      <c r="Q99" s="320">
        <f>+P99/N99-1</f>
        <v>0</v>
      </c>
      <c r="R99" s="320"/>
      <c r="S99" s="349" t="str">
        <f t="shared" si="32"/>
        <v>July</v>
      </c>
      <c r="T99" s="324">
        <f t="shared" si="23"/>
        <v>472141.7699999999</v>
      </c>
      <c r="U99" s="45"/>
      <c r="V99" s="45" t="str">
        <f t="shared" si="28"/>
        <v>GD-2: Regular General</v>
      </c>
    </row>
    <row r="100" spans="1:22">
      <c r="A100" s="49" t="s">
        <v>45</v>
      </c>
      <c r="B100" s="298" t="s">
        <v>108</v>
      </c>
      <c r="C100" s="297">
        <f>D100/300</f>
        <v>28</v>
      </c>
      <c r="D100" s="317">
        <v>8400</v>
      </c>
      <c r="E100" s="318">
        <v>4384043</v>
      </c>
      <c r="F100" s="318">
        <v>7143916</v>
      </c>
      <c r="G100" s="317">
        <v>114124.47</v>
      </c>
      <c r="H100" s="319">
        <f t="shared" si="29"/>
        <v>1.9089999999999999E-2</v>
      </c>
      <c r="I100" s="319">
        <f>I86</f>
        <v>4.2599999999999999E-3</v>
      </c>
      <c r="J100" s="317">
        <f t="shared" si="30"/>
        <v>114124.46302999998</v>
      </c>
      <c r="K100" s="320">
        <f t="shared" si="31"/>
        <v>-6.1073668233824208E-8</v>
      </c>
      <c r="L100" s="321"/>
      <c r="M100" s="322">
        <v>26142</v>
      </c>
      <c r="N100" s="317">
        <v>207306.12</v>
      </c>
      <c r="O100" s="326">
        <f>O86</f>
        <v>7.93</v>
      </c>
      <c r="P100" s="317">
        <f>+O100*M100</f>
        <v>207306.06</v>
      </c>
      <c r="Q100" s="320">
        <f>+P100/N100-1</f>
        <v>-2.8942705598833385E-7</v>
      </c>
      <c r="R100" s="320"/>
      <c r="S100" s="349" t="str">
        <f t="shared" si="32"/>
        <v>July</v>
      </c>
      <c r="T100" s="324">
        <f t="shared" si="23"/>
        <v>329830.58999999997</v>
      </c>
      <c r="U100" s="45"/>
      <c r="V100" s="45" t="str">
        <f t="shared" si="28"/>
        <v>GD-3: Large General</v>
      </c>
    </row>
    <row r="101" spans="1:22">
      <c r="A101" s="298" t="s">
        <v>46</v>
      </c>
      <c r="B101" s="298" t="s">
        <v>109</v>
      </c>
      <c r="C101" s="297">
        <f>+D101/10</f>
        <v>3</v>
      </c>
      <c r="D101" s="317">
        <v>30</v>
      </c>
      <c r="E101" s="318">
        <v>7680</v>
      </c>
      <c r="F101" s="318">
        <v>23324</v>
      </c>
      <c r="G101" s="317">
        <v>128.10999999999999</v>
      </c>
      <c r="H101" s="319">
        <f t="shared" si="29"/>
        <v>1.0030000000000001E-2</v>
      </c>
      <c r="I101" s="319">
        <f>I87</f>
        <v>2.1900000000000001E-3</v>
      </c>
      <c r="J101" s="317">
        <f t="shared" si="30"/>
        <v>128.10996</v>
      </c>
      <c r="K101" s="320">
        <f t="shared" si="31"/>
        <v>-3.1223167573646293E-7</v>
      </c>
      <c r="L101" s="321"/>
      <c r="M101" s="322">
        <v>112</v>
      </c>
      <c r="N101" s="317">
        <v>431.2</v>
      </c>
      <c r="O101" s="326">
        <f>O87</f>
        <v>3.85</v>
      </c>
      <c r="P101" s="317">
        <f>+O101*M101</f>
        <v>431.2</v>
      </c>
      <c r="Q101" s="320">
        <f>+P101/N101-1</f>
        <v>0</v>
      </c>
      <c r="R101" s="320"/>
      <c r="S101" s="349" t="str">
        <f t="shared" si="32"/>
        <v>July</v>
      </c>
      <c r="T101" s="324">
        <f t="shared" si="23"/>
        <v>589.30999999999995</v>
      </c>
      <c r="U101" s="45"/>
      <c r="V101" s="45" t="str">
        <f t="shared" si="28"/>
        <v>GD-4: Regular General Optional TOU</v>
      </c>
    </row>
    <row r="102" spans="1:22">
      <c r="A102" s="49" t="s">
        <v>47</v>
      </c>
      <c r="B102" s="298" t="s">
        <v>110</v>
      </c>
      <c r="C102" s="297">
        <v>7</v>
      </c>
      <c r="D102" s="317">
        <v>0</v>
      </c>
      <c r="E102" s="318">
        <v>13376</v>
      </c>
      <c r="F102" s="318"/>
      <c r="G102" s="317">
        <v>796.68</v>
      </c>
      <c r="H102" s="319">
        <f t="shared" si="29"/>
        <v>5.9560000000000002E-2</v>
      </c>
      <c r="I102" s="319"/>
      <c r="J102" s="317">
        <f t="shared" si="30"/>
        <v>796.67456000000004</v>
      </c>
      <c r="K102" s="320">
        <f t="shared" si="31"/>
        <v>-6.8283376009059538E-6</v>
      </c>
      <c r="L102" s="321"/>
      <c r="M102" s="322"/>
      <c r="N102" s="317"/>
      <c r="O102" s="320"/>
      <c r="P102" s="317"/>
      <c r="Q102" s="323"/>
      <c r="R102" s="323"/>
      <c r="S102" s="349" t="str">
        <f t="shared" si="32"/>
        <v>July</v>
      </c>
      <c r="T102" s="324">
        <f t="shared" si="23"/>
        <v>796.68</v>
      </c>
      <c r="U102" s="45"/>
      <c r="V102" s="45" t="str">
        <f t="shared" si="28"/>
        <v>GD-5: Water and/or Space Heating Rider</v>
      </c>
    </row>
    <row r="103" spans="1:22">
      <c r="C103" s="297"/>
      <c r="D103" s="316"/>
      <c r="Q103" s="323"/>
      <c r="R103" s="323"/>
      <c r="S103" s="349" t="str">
        <f t="shared" si="32"/>
        <v>July</v>
      </c>
      <c r="T103" s="324">
        <f t="shared" si="23"/>
        <v>0</v>
      </c>
      <c r="U103" s="45"/>
      <c r="V103" s="45" t="str">
        <f t="shared" si="28"/>
        <v/>
      </c>
    </row>
    <row r="104" spans="1:22">
      <c r="B104" s="49" t="s">
        <v>279</v>
      </c>
      <c r="C104" s="297">
        <f>SUM(C96:C102)</f>
        <v>30368.198571428573</v>
      </c>
      <c r="D104" s="317">
        <f>SUM(D96:D102)</f>
        <v>232870.39</v>
      </c>
      <c r="E104" s="297">
        <f>SUM(E96:E102)</f>
        <v>28177655</v>
      </c>
      <c r="F104" s="297">
        <f>SUM(F96:F102)</f>
        <v>7167240</v>
      </c>
      <c r="G104" s="317">
        <f>SUM(G96:G102)</f>
        <v>1536328.5300000003</v>
      </c>
      <c r="J104" s="317">
        <f>SUM(J96:J102)</f>
        <v>1536326.7559999998</v>
      </c>
      <c r="K104" s="320">
        <f>+J104/G104-1</f>
        <v>-1.1547009417522958E-6</v>
      </c>
      <c r="L104" s="321"/>
      <c r="M104" s="322">
        <f>SUM(M96:M102)</f>
        <v>54937.5</v>
      </c>
      <c r="N104" s="317">
        <f>SUM(N96:N102)</f>
        <v>484246.25999999995</v>
      </c>
      <c r="P104" s="317">
        <f>SUM(P96:P102)</f>
        <v>484246.2</v>
      </c>
      <c r="Q104" s="320">
        <f>+P104/N104-1</f>
        <v>-1.2390389947380953E-7</v>
      </c>
      <c r="R104" s="320"/>
      <c r="S104" s="349" t="str">
        <f t="shared" si="32"/>
        <v>July</v>
      </c>
      <c r="T104" s="324">
        <f t="shared" si="23"/>
        <v>2253445.1800000002</v>
      </c>
      <c r="U104" s="45"/>
      <c r="V104" s="45" t="str">
        <f t="shared" si="28"/>
        <v/>
      </c>
    </row>
    <row r="105" spans="1:22">
      <c r="C105" s="297"/>
      <c r="D105" s="317"/>
      <c r="E105" s="297"/>
      <c r="F105" s="297"/>
      <c r="G105" s="317"/>
      <c r="J105" s="317"/>
      <c r="K105" s="320"/>
      <c r="L105" s="321"/>
      <c r="M105" s="322"/>
      <c r="N105" s="317"/>
      <c r="P105" s="317"/>
      <c r="Q105" s="320"/>
      <c r="R105" s="320"/>
      <c r="S105" s="320"/>
      <c r="T105" s="324">
        <f t="shared" si="23"/>
        <v>0</v>
      </c>
      <c r="U105" s="45"/>
      <c r="V105" s="45" t="str">
        <f t="shared" si="28"/>
        <v/>
      </c>
    </row>
    <row r="106" spans="1:22">
      <c r="A106" s="295"/>
      <c r="B106" s="296" t="s">
        <v>621</v>
      </c>
      <c r="C106" s="297"/>
      <c r="D106" s="298"/>
      <c r="E106" s="299"/>
      <c r="F106" s="299"/>
      <c r="G106" s="300"/>
      <c r="H106" s="301" t="s">
        <v>612</v>
      </c>
      <c r="I106" s="301" t="s">
        <v>613</v>
      </c>
      <c r="J106" s="290" t="s">
        <v>596</v>
      </c>
      <c r="N106" s="290"/>
      <c r="P106" s="290" t="s">
        <v>596</v>
      </c>
      <c r="T106" s="324">
        <f t="shared" si="23"/>
        <v>0</v>
      </c>
      <c r="U106" s="45"/>
      <c r="V106" s="45" t="str">
        <f t="shared" si="28"/>
        <v/>
      </c>
    </row>
    <row r="107" spans="1:22">
      <c r="A107" s="290"/>
      <c r="B107" s="290"/>
      <c r="C107" s="297"/>
      <c r="D107" s="290"/>
      <c r="E107" s="302" t="s">
        <v>614</v>
      </c>
      <c r="F107" s="302" t="s">
        <v>615</v>
      </c>
      <c r="G107" s="300" t="s">
        <v>262</v>
      </c>
      <c r="H107" s="301" t="s">
        <v>262</v>
      </c>
      <c r="I107" s="301" t="s">
        <v>262</v>
      </c>
      <c r="J107" s="290" t="s">
        <v>262</v>
      </c>
      <c r="K107" s="303" t="s">
        <v>598</v>
      </c>
      <c r="L107" s="304"/>
      <c r="M107" s="292"/>
      <c r="N107" s="290" t="s">
        <v>262</v>
      </c>
      <c r="O107" s="290" t="s">
        <v>262</v>
      </c>
      <c r="P107" s="290" t="s">
        <v>262</v>
      </c>
      <c r="Q107" s="304" t="s">
        <v>598</v>
      </c>
      <c r="R107" s="304"/>
      <c r="S107" s="304"/>
      <c r="T107" s="324" t="str">
        <f t="shared" si="23"/>
        <v/>
      </c>
      <c r="U107" s="45"/>
      <c r="V107" s="45" t="str">
        <f t="shared" si="28"/>
        <v/>
      </c>
    </row>
    <row r="108" spans="1:22">
      <c r="A108" s="290" t="s">
        <v>404</v>
      </c>
      <c r="B108" s="290"/>
      <c r="C108" s="300" t="s">
        <v>418</v>
      </c>
      <c r="D108" s="290" t="s">
        <v>599</v>
      </c>
      <c r="E108" s="302" t="s">
        <v>600</v>
      </c>
      <c r="F108" s="302" t="s">
        <v>601</v>
      </c>
      <c r="G108" s="300" t="s">
        <v>421</v>
      </c>
      <c r="H108" s="305" t="s">
        <v>602</v>
      </c>
      <c r="I108" s="305" t="s">
        <v>603</v>
      </c>
      <c r="J108" s="304" t="s">
        <v>421</v>
      </c>
      <c r="K108" s="306" t="s">
        <v>421</v>
      </c>
      <c r="L108" s="290"/>
      <c r="M108" s="292" t="s">
        <v>408</v>
      </c>
      <c r="N108" s="292" t="s">
        <v>408</v>
      </c>
      <c r="O108" s="290" t="s">
        <v>408</v>
      </c>
      <c r="P108" s="290" t="s">
        <v>408</v>
      </c>
      <c r="Q108" s="290" t="s">
        <v>408</v>
      </c>
      <c r="R108" s="290"/>
      <c r="S108" s="290"/>
      <c r="T108" s="324" t="str">
        <f t="shared" ref="T108:T139" si="33">IFERROR(D108+G108+N108,"")</f>
        <v/>
      </c>
      <c r="U108" s="45"/>
      <c r="V108" s="45" t="str">
        <f t="shared" si="28"/>
        <v/>
      </c>
    </row>
    <row r="109" spans="1:22" ht="13.2">
      <c r="A109" s="308" t="s">
        <v>90</v>
      </c>
      <c r="B109" s="308" t="s">
        <v>125</v>
      </c>
      <c r="C109" s="309" t="s">
        <v>605</v>
      </c>
      <c r="D109" s="308" t="s">
        <v>162</v>
      </c>
      <c r="E109" s="309" t="s">
        <v>421</v>
      </c>
      <c r="F109" s="309" t="s">
        <v>421</v>
      </c>
      <c r="G109" s="310" t="s">
        <v>162</v>
      </c>
      <c r="H109" s="311" t="s">
        <v>404</v>
      </c>
      <c r="I109" s="311" t="s">
        <v>404</v>
      </c>
      <c r="J109" s="308" t="s">
        <v>162</v>
      </c>
      <c r="K109" s="312" t="s">
        <v>606</v>
      </c>
      <c r="L109" s="308"/>
      <c r="M109" s="313" t="s">
        <v>607</v>
      </c>
      <c r="N109" s="314" t="s">
        <v>162</v>
      </c>
      <c r="O109" s="308" t="s">
        <v>404</v>
      </c>
      <c r="P109" s="308" t="s">
        <v>162</v>
      </c>
      <c r="Q109" s="308" t="s">
        <v>606</v>
      </c>
      <c r="R109" s="308"/>
      <c r="S109" s="308"/>
      <c r="T109" s="324" t="str">
        <f t="shared" si="33"/>
        <v/>
      </c>
      <c r="U109" s="45"/>
      <c r="V109" s="45" t="str">
        <f t="shared" si="28"/>
        <v/>
      </c>
    </row>
    <row r="110" spans="1:22">
      <c r="A110" s="49" t="s">
        <v>39</v>
      </c>
      <c r="B110" s="316" t="s">
        <v>610</v>
      </c>
      <c r="C110" s="297">
        <f>+D110/7</f>
        <v>21503.865714285716</v>
      </c>
      <c r="D110" s="317">
        <v>150527.06</v>
      </c>
      <c r="E110" s="318">
        <v>15426029</v>
      </c>
      <c r="F110" s="318"/>
      <c r="G110" s="317">
        <v>1195825.23</v>
      </c>
      <c r="H110" s="319">
        <f t="shared" ref="H110:H116" si="34">H96</f>
        <v>7.7520000000000006E-2</v>
      </c>
      <c r="I110" s="319"/>
      <c r="J110" s="317">
        <f t="shared" ref="J110:J116" si="35">+E110*H110+F110*I110</f>
        <v>1195825.7680800001</v>
      </c>
      <c r="K110" s="320">
        <f t="shared" ref="K110:K116" si="36">+J110/G110-1</f>
        <v>4.4996541848085769E-7</v>
      </c>
      <c r="L110" s="321"/>
      <c r="M110" s="322"/>
      <c r="N110" s="317"/>
      <c r="O110" s="320"/>
      <c r="P110" s="317"/>
      <c r="Q110" s="323"/>
      <c r="R110" s="323"/>
      <c r="S110" s="349" t="s">
        <v>234</v>
      </c>
      <c r="T110" s="324">
        <f t="shared" si="33"/>
        <v>1346352.29</v>
      </c>
      <c r="U110" s="45"/>
      <c r="V110" s="45" t="str">
        <f t="shared" si="28"/>
        <v>RD-1: Residential</v>
      </c>
    </row>
    <row r="111" spans="1:22">
      <c r="A111" s="49" t="s">
        <v>42</v>
      </c>
      <c r="B111" s="316" t="s">
        <v>104</v>
      </c>
      <c r="C111" s="297">
        <f>+D111/7</f>
        <v>4921</v>
      </c>
      <c r="D111" s="317">
        <v>34447</v>
      </c>
      <c r="E111" s="318">
        <v>3594395</v>
      </c>
      <c r="F111" s="318"/>
      <c r="G111" s="317">
        <v>278637.55</v>
      </c>
      <c r="H111" s="319">
        <f t="shared" si="34"/>
        <v>7.7520000000000006E-2</v>
      </c>
      <c r="I111" s="319"/>
      <c r="J111" s="317">
        <f t="shared" si="35"/>
        <v>278637.50040000002</v>
      </c>
      <c r="K111" s="320">
        <f t="shared" si="36"/>
        <v>-1.780090298497683E-7</v>
      </c>
      <c r="L111" s="321"/>
      <c r="M111" s="322"/>
      <c r="N111" s="317"/>
      <c r="O111" s="320"/>
      <c r="P111" s="317"/>
      <c r="Q111" s="323"/>
      <c r="R111" s="323"/>
      <c r="S111" s="349" t="str">
        <f t="shared" ref="S111:S118" si="37">S110</f>
        <v>August</v>
      </c>
      <c r="T111" s="324">
        <f t="shared" si="33"/>
        <v>313084.55</v>
      </c>
      <c r="U111" s="45"/>
      <c r="V111" s="45" t="str">
        <f t="shared" si="28"/>
        <v>RD-2: Residential, Low Income</v>
      </c>
    </row>
    <row r="112" spans="1:22">
      <c r="A112" s="49" t="s">
        <v>43</v>
      </c>
      <c r="B112" s="298" t="s">
        <v>106</v>
      </c>
      <c r="C112" s="297">
        <f>+D112/10</f>
        <v>2558.0029999999997</v>
      </c>
      <c r="D112" s="317">
        <v>25580.03</v>
      </c>
      <c r="E112" s="318">
        <v>478682</v>
      </c>
      <c r="F112" s="318"/>
      <c r="G112" s="317">
        <v>36863.56</v>
      </c>
      <c r="H112" s="319">
        <f t="shared" si="34"/>
        <v>7.7009999999999995E-2</v>
      </c>
      <c r="I112" s="319"/>
      <c r="J112" s="317">
        <f t="shared" si="35"/>
        <v>36863.300819999997</v>
      </c>
      <c r="K112" s="320">
        <f t="shared" si="36"/>
        <v>-7.0307913832001745E-6</v>
      </c>
      <c r="L112" s="321"/>
      <c r="M112" s="322"/>
      <c r="N112" s="317"/>
      <c r="O112" s="320"/>
      <c r="P112" s="317"/>
      <c r="Q112" s="323"/>
      <c r="R112" s="323"/>
      <c r="S112" s="349" t="str">
        <f t="shared" si="37"/>
        <v>August</v>
      </c>
      <c r="T112" s="324">
        <f t="shared" si="33"/>
        <v>62443.59</v>
      </c>
      <c r="U112" s="45"/>
      <c r="V112" s="45" t="str">
        <f t="shared" si="28"/>
        <v>GD-1: Small General</v>
      </c>
    </row>
    <row r="113" spans="1:22">
      <c r="A113" s="49" t="s">
        <v>44</v>
      </c>
      <c r="B113" s="298" t="s">
        <v>107</v>
      </c>
      <c r="C113" s="297">
        <f>+D113/10</f>
        <v>1505</v>
      </c>
      <c r="D113" s="317">
        <v>15050</v>
      </c>
      <c r="E113" s="318">
        <v>8638961</v>
      </c>
      <c r="F113" s="318"/>
      <c r="G113" s="317">
        <v>200942.29</v>
      </c>
      <c r="H113" s="319">
        <f t="shared" si="34"/>
        <v>2.3259999999999999E-2</v>
      </c>
      <c r="I113" s="319"/>
      <c r="J113" s="317">
        <f t="shared" si="35"/>
        <v>200942.23285999999</v>
      </c>
      <c r="K113" s="320">
        <f t="shared" si="36"/>
        <v>-2.8436025101274964E-7</v>
      </c>
      <c r="L113" s="321"/>
      <c r="M113" s="322">
        <v>30103</v>
      </c>
      <c r="N113" s="317">
        <v>290192.92</v>
      </c>
      <c r="O113" s="326">
        <f>O99</f>
        <v>9.64</v>
      </c>
      <c r="P113" s="317">
        <f>+O113*M113</f>
        <v>290192.92000000004</v>
      </c>
      <c r="Q113" s="320">
        <f>+P113/N113-1</f>
        <v>0</v>
      </c>
      <c r="R113" s="320"/>
      <c r="S113" s="349" t="str">
        <f t="shared" si="37"/>
        <v>August</v>
      </c>
      <c r="T113" s="324">
        <f t="shared" si="33"/>
        <v>506185.20999999996</v>
      </c>
      <c r="U113" s="45"/>
      <c r="V113" s="45" t="str">
        <f t="shared" si="28"/>
        <v>GD-2: Regular General</v>
      </c>
    </row>
    <row r="114" spans="1:22">
      <c r="A114" s="49" t="s">
        <v>45</v>
      </c>
      <c r="B114" s="298" t="s">
        <v>108</v>
      </c>
      <c r="C114" s="297">
        <f>D114/300</f>
        <v>28</v>
      </c>
      <c r="D114" s="317">
        <v>8400</v>
      </c>
      <c r="E114" s="318">
        <v>4676250</v>
      </c>
      <c r="F114" s="318">
        <v>6535910</v>
      </c>
      <c r="G114" s="317">
        <v>117112.58000000002</v>
      </c>
      <c r="H114" s="319">
        <f t="shared" si="34"/>
        <v>1.9089999999999999E-2</v>
      </c>
      <c r="I114" s="319">
        <f>I100</f>
        <v>4.2599999999999999E-3</v>
      </c>
      <c r="J114" s="317">
        <f t="shared" si="35"/>
        <v>117112.5891</v>
      </c>
      <c r="K114" s="320">
        <f t="shared" si="36"/>
        <v>7.7703010026297648E-8</v>
      </c>
      <c r="L114" s="321"/>
      <c r="M114" s="322">
        <v>26189.5</v>
      </c>
      <c r="N114" s="317">
        <v>207682.82</v>
      </c>
      <c r="O114" s="326">
        <f>O100</f>
        <v>7.93</v>
      </c>
      <c r="P114" s="317">
        <f>+O114*M114</f>
        <v>207682.73499999999</v>
      </c>
      <c r="Q114" s="320">
        <f>+P114/N114-1</f>
        <v>-4.0927795574852155E-7</v>
      </c>
      <c r="R114" s="320"/>
      <c r="S114" s="349" t="str">
        <f t="shared" si="37"/>
        <v>August</v>
      </c>
      <c r="T114" s="324">
        <f t="shared" si="33"/>
        <v>333195.40000000002</v>
      </c>
      <c r="U114" s="45"/>
      <c r="V114" s="45" t="str">
        <f t="shared" si="28"/>
        <v>GD-3: Large General</v>
      </c>
    </row>
    <row r="115" spans="1:22">
      <c r="A115" s="298" t="s">
        <v>46</v>
      </c>
      <c r="B115" s="298" t="s">
        <v>109</v>
      </c>
      <c r="C115" s="297">
        <f>+D115/10</f>
        <v>3</v>
      </c>
      <c r="D115" s="317">
        <v>30</v>
      </c>
      <c r="E115" s="318">
        <v>4543</v>
      </c>
      <c r="F115" s="318">
        <v>19506</v>
      </c>
      <c r="G115" s="317">
        <v>88.289999999999992</v>
      </c>
      <c r="H115" s="319">
        <f t="shared" si="34"/>
        <v>1.0030000000000001E-2</v>
      </c>
      <c r="I115" s="319">
        <f>I101</f>
        <v>2.1900000000000001E-3</v>
      </c>
      <c r="J115" s="317">
        <f t="shared" si="35"/>
        <v>88.284430000000015</v>
      </c>
      <c r="K115" s="320">
        <f t="shared" si="36"/>
        <v>-6.3087552383933598E-5</v>
      </c>
      <c r="L115" s="321"/>
      <c r="M115" s="322">
        <v>78</v>
      </c>
      <c r="N115" s="317">
        <v>300.3</v>
      </c>
      <c r="O115" s="326">
        <f>O101</f>
        <v>3.85</v>
      </c>
      <c r="P115" s="317">
        <f>+O115*M115</f>
        <v>300.3</v>
      </c>
      <c r="Q115" s="320">
        <f>+P115/N115-1</f>
        <v>0</v>
      </c>
      <c r="R115" s="320"/>
      <c r="S115" s="349" t="str">
        <f t="shared" si="37"/>
        <v>August</v>
      </c>
      <c r="T115" s="324">
        <f t="shared" si="33"/>
        <v>418.59000000000003</v>
      </c>
      <c r="U115" s="45"/>
      <c r="V115" s="45" t="str">
        <f t="shared" ref="V115:V146" si="38">_xlfn.IFNA(VLOOKUP(A115,$A$12:$V$18,22,FALSE),"")</f>
        <v>GD-4: Regular General Optional TOU</v>
      </c>
    </row>
    <row r="116" spans="1:22">
      <c r="A116" s="49" t="s">
        <v>47</v>
      </c>
      <c r="B116" s="298" t="s">
        <v>110</v>
      </c>
      <c r="C116" s="297">
        <v>7</v>
      </c>
      <c r="D116" s="317">
        <v>0</v>
      </c>
      <c r="E116" s="318">
        <v>18438</v>
      </c>
      <c r="F116" s="318"/>
      <c r="G116" s="317">
        <v>1098.1599999999999</v>
      </c>
      <c r="H116" s="319">
        <f t="shared" si="34"/>
        <v>5.9560000000000002E-2</v>
      </c>
      <c r="I116" s="319"/>
      <c r="J116" s="317">
        <f t="shared" si="35"/>
        <v>1098.1672800000001</v>
      </c>
      <c r="K116" s="320">
        <f t="shared" si="36"/>
        <v>6.6292707805448714E-6</v>
      </c>
      <c r="L116" s="321"/>
      <c r="M116" s="322"/>
      <c r="N116" s="317"/>
      <c r="O116" s="320"/>
      <c r="P116" s="317"/>
      <c r="Q116" s="323"/>
      <c r="R116" s="323"/>
      <c r="S116" s="349" t="str">
        <f t="shared" si="37"/>
        <v>August</v>
      </c>
      <c r="T116" s="324">
        <f t="shared" si="33"/>
        <v>1098.1599999999999</v>
      </c>
      <c r="U116" s="45"/>
      <c r="V116" s="45" t="str">
        <f t="shared" si="38"/>
        <v>GD-5: Water and/or Space Heating Rider</v>
      </c>
    </row>
    <row r="117" spans="1:22">
      <c r="C117" s="297"/>
      <c r="D117" s="316"/>
      <c r="Q117" s="323"/>
      <c r="R117" s="323"/>
      <c r="S117" s="349" t="str">
        <f t="shared" si="37"/>
        <v>August</v>
      </c>
      <c r="T117" s="324">
        <f t="shared" si="33"/>
        <v>0</v>
      </c>
      <c r="U117" s="45"/>
      <c r="V117" s="45" t="str">
        <f t="shared" si="38"/>
        <v/>
      </c>
    </row>
    <row r="118" spans="1:22">
      <c r="B118" s="49" t="s">
        <v>279</v>
      </c>
      <c r="C118" s="297">
        <f>SUM(C110:C116)</f>
        <v>30525.868714285716</v>
      </c>
      <c r="D118" s="317">
        <f>SUM(D110:D116)</f>
        <v>234034.09</v>
      </c>
      <c r="E118" s="297">
        <f>SUM(E110:E116)</f>
        <v>32837298</v>
      </c>
      <c r="F118" s="297">
        <f>SUM(F110:F116)</f>
        <v>6555416</v>
      </c>
      <c r="G118" s="317">
        <f>SUM(G110:G116)</f>
        <v>1830567.6600000001</v>
      </c>
      <c r="J118" s="317">
        <f>SUM(J110:J116)</f>
        <v>1830567.8429699999</v>
      </c>
      <c r="K118" s="320">
        <f>+J118/G118-1</f>
        <v>9.9952601528841001E-8</v>
      </c>
      <c r="L118" s="321"/>
      <c r="M118" s="322">
        <f>SUM(M110:M116)</f>
        <v>56370.5</v>
      </c>
      <c r="N118" s="317">
        <f>SUM(N110:N116)</f>
        <v>498176.04</v>
      </c>
      <c r="P118" s="317">
        <f>SUM(P110:P116)</f>
        <v>498175.95500000002</v>
      </c>
      <c r="Q118" s="320">
        <f>+P118/N118-1</f>
        <v>-1.7062241686183199E-7</v>
      </c>
      <c r="R118" s="320"/>
      <c r="S118" s="349" t="str">
        <f t="shared" si="37"/>
        <v>August</v>
      </c>
      <c r="T118" s="324">
        <f t="shared" si="33"/>
        <v>2562777.79</v>
      </c>
      <c r="U118" s="45"/>
      <c r="V118" s="45" t="str">
        <f t="shared" si="38"/>
        <v/>
      </c>
    </row>
    <row r="119" spans="1:22">
      <c r="C119" s="297"/>
      <c r="D119" s="317"/>
      <c r="E119" s="297"/>
      <c r="F119" s="297"/>
      <c r="G119" s="317"/>
      <c r="J119" s="317"/>
      <c r="K119" s="320"/>
      <c r="L119" s="321"/>
      <c r="M119" s="322"/>
      <c r="N119" s="317"/>
      <c r="P119" s="317"/>
      <c r="Q119" s="320"/>
      <c r="R119" s="320"/>
      <c r="S119" s="320"/>
      <c r="T119" s="324">
        <f t="shared" si="33"/>
        <v>0</v>
      </c>
      <c r="U119" s="45"/>
      <c r="V119" s="45" t="str">
        <f t="shared" si="38"/>
        <v/>
      </c>
    </row>
    <row r="120" spans="1:22">
      <c r="A120" s="295"/>
      <c r="B120" s="296" t="s">
        <v>622</v>
      </c>
      <c r="C120" s="297"/>
      <c r="D120" s="298"/>
      <c r="E120" s="299"/>
      <c r="F120" s="299"/>
      <c r="G120" s="300"/>
      <c r="H120" s="301" t="s">
        <v>612</v>
      </c>
      <c r="I120" s="301" t="s">
        <v>613</v>
      </c>
      <c r="J120" s="290" t="s">
        <v>596</v>
      </c>
      <c r="N120" s="290"/>
      <c r="P120" s="290" t="s">
        <v>596</v>
      </c>
      <c r="T120" s="324">
        <f t="shared" si="33"/>
        <v>0</v>
      </c>
      <c r="U120" s="45"/>
      <c r="V120" s="45" t="str">
        <f t="shared" si="38"/>
        <v/>
      </c>
    </row>
    <row r="121" spans="1:22">
      <c r="A121" s="290"/>
      <c r="B121" s="290"/>
      <c r="C121" s="297"/>
      <c r="D121" s="290"/>
      <c r="E121" s="302" t="s">
        <v>614</v>
      </c>
      <c r="F121" s="302" t="s">
        <v>615</v>
      </c>
      <c r="G121" s="300" t="s">
        <v>262</v>
      </c>
      <c r="H121" s="301" t="s">
        <v>262</v>
      </c>
      <c r="I121" s="301" t="s">
        <v>262</v>
      </c>
      <c r="J121" s="290" t="s">
        <v>262</v>
      </c>
      <c r="K121" s="303" t="s">
        <v>598</v>
      </c>
      <c r="L121" s="304"/>
      <c r="M121" s="292"/>
      <c r="N121" s="290" t="s">
        <v>262</v>
      </c>
      <c r="O121" s="290" t="s">
        <v>262</v>
      </c>
      <c r="P121" s="290" t="s">
        <v>262</v>
      </c>
      <c r="Q121" s="304" t="s">
        <v>598</v>
      </c>
      <c r="R121" s="304"/>
      <c r="S121" s="304"/>
      <c r="T121" s="324" t="str">
        <f t="shared" si="33"/>
        <v/>
      </c>
      <c r="U121" s="45"/>
      <c r="V121" s="45" t="str">
        <f t="shared" si="38"/>
        <v/>
      </c>
    </row>
    <row r="122" spans="1:22">
      <c r="A122" s="290" t="s">
        <v>404</v>
      </c>
      <c r="B122" s="290"/>
      <c r="C122" s="300" t="s">
        <v>418</v>
      </c>
      <c r="D122" s="290" t="s">
        <v>599</v>
      </c>
      <c r="E122" s="302" t="s">
        <v>600</v>
      </c>
      <c r="F122" s="302" t="s">
        <v>601</v>
      </c>
      <c r="G122" s="300" t="s">
        <v>421</v>
      </c>
      <c r="H122" s="305" t="s">
        <v>602</v>
      </c>
      <c r="I122" s="305" t="s">
        <v>603</v>
      </c>
      <c r="J122" s="304" t="s">
        <v>421</v>
      </c>
      <c r="K122" s="306" t="s">
        <v>421</v>
      </c>
      <c r="L122" s="290"/>
      <c r="M122" s="292" t="s">
        <v>408</v>
      </c>
      <c r="N122" s="292" t="s">
        <v>408</v>
      </c>
      <c r="O122" s="290" t="s">
        <v>408</v>
      </c>
      <c r="P122" s="290" t="s">
        <v>408</v>
      </c>
      <c r="Q122" s="290" t="s">
        <v>408</v>
      </c>
      <c r="R122" s="290"/>
      <c r="S122" s="290"/>
      <c r="T122" s="324" t="str">
        <f t="shared" si="33"/>
        <v/>
      </c>
      <c r="U122" s="45"/>
      <c r="V122" s="45" t="str">
        <f t="shared" si="38"/>
        <v/>
      </c>
    </row>
    <row r="123" spans="1:22" ht="13.2">
      <c r="A123" s="308" t="s">
        <v>90</v>
      </c>
      <c r="B123" s="308" t="s">
        <v>125</v>
      </c>
      <c r="C123" s="309" t="s">
        <v>605</v>
      </c>
      <c r="D123" s="308" t="s">
        <v>162</v>
      </c>
      <c r="E123" s="309" t="s">
        <v>421</v>
      </c>
      <c r="F123" s="309" t="s">
        <v>421</v>
      </c>
      <c r="G123" s="310" t="s">
        <v>162</v>
      </c>
      <c r="H123" s="311" t="s">
        <v>404</v>
      </c>
      <c r="I123" s="311" t="s">
        <v>404</v>
      </c>
      <c r="J123" s="308" t="s">
        <v>162</v>
      </c>
      <c r="K123" s="312" t="s">
        <v>606</v>
      </c>
      <c r="L123" s="308"/>
      <c r="M123" s="313" t="s">
        <v>607</v>
      </c>
      <c r="N123" s="314" t="s">
        <v>162</v>
      </c>
      <c r="O123" s="308" t="s">
        <v>404</v>
      </c>
      <c r="P123" s="308" t="s">
        <v>162</v>
      </c>
      <c r="Q123" s="308" t="s">
        <v>606</v>
      </c>
      <c r="R123" s="308"/>
      <c r="S123" s="308"/>
      <c r="T123" s="324" t="str">
        <f t="shared" si="33"/>
        <v/>
      </c>
      <c r="U123" s="45"/>
      <c r="V123" s="45" t="str">
        <f t="shared" si="38"/>
        <v/>
      </c>
    </row>
    <row r="124" spans="1:22">
      <c r="A124" s="49" t="s">
        <v>39</v>
      </c>
      <c r="B124" s="316" t="s">
        <v>610</v>
      </c>
      <c r="C124" s="297">
        <f>+D124/7</f>
        <v>20511.195714285714</v>
      </c>
      <c r="D124" s="317">
        <v>143578.37</v>
      </c>
      <c r="E124" s="318">
        <v>11029308</v>
      </c>
      <c r="F124" s="318"/>
      <c r="G124" s="317">
        <v>854994.07</v>
      </c>
      <c r="H124" s="319">
        <f t="shared" ref="H124:H130" si="39">H110</f>
        <v>7.7520000000000006E-2</v>
      </c>
      <c r="I124" s="319"/>
      <c r="J124" s="317">
        <f t="shared" ref="J124:J130" si="40">+E124*H124+F124*I124</f>
        <v>854991.95616000006</v>
      </c>
      <c r="K124" s="320">
        <f t="shared" ref="K124:K130" si="41">+J124/G124-1</f>
        <v>-2.4723446325758403E-6</v>
      </c>
      <c r="L124" s="321"/>
      <c r="M124" s="322"/>
      <c r="N124" s="317"/>
      <c r="O124" s="320"/>
      <c r="P124" s="317"/>
      <c r="Q124" s="323"/>
      <c r="R124" s="323"/>
      <c r="S124" s="349" t="s">
        <v>235</v>
      </c>
      <c r="T124" s="324">
        <f t="shared" si="33"/>
        <v>998572.44</v>
      </c>
      <c r="U124" s="45"/>
      <c r="V124" s="45" t="str">
        <f t="shared" si="38"/>
        <v>RD-1: Residential</v>
      </c>
    </row>
    <row r="125" spans="1:22">
      <c r="A125" s="49" t="s">
        <v>42</v>
      </c>
      <c r="B125" s="316" t="s">
        <v>104</v>
      </c>
      <c r="C125" s="297">
        <f>+D125/7</f>
        <v>5859</v>
      </c>
      <c r="D125" s="317">
        <v>41013</v>
      </c>
      <c r="E125" s="318">
        <v>3319194</v>
      </c>
      <c r="F125" s="318"/>
      <c r="G125" s="317">
        <v>257304.63</v>
      </c>
      <c r="H125" s="319">
        <f t="shared" si="39"/>
        <v>7.7520000000000006E-2</v>
      </c>
      <c r="I125" s="319"/>
      <c r="J125" s="317">
        <f t="shared" si="40"/>
        <v>257303.91888000001</v>
      </c>
      <c r="K125" s="320">
        <f t="shared" si="41"/>
        <v>-2.7637279592651609E-6</v>
      </c>
      <c r="L125" s="321"/>
      <c r="M125" s="322"/>
      <c r="N125" s="317"/>
      <c r="O125" s="320"/>
      <c r="P125" s="317"/>
      <c r="Q125" s="323"/>
      <c r="R125" s="323"/>
      <c r="S125" s="349" t="str">
        <f t="shared" ref="S125:S132" si="42">S124</f>
        <v>September</v>
      </c>
      <c r="T125" s="324">
        <f t="shared" si="33"/>
        <v>298317.63</v>
      </c>
      <c r="U125" s="45"/>
      <c r="V125" s="45" t="str">
        <f t="shared" si="38"/>
        <v>RD-2: Residential, Low Income</v>
      </c>
    </row>
    <row r="126" spans="1:22">
      <c r="A126" s="49" t="s">
        <v>43</v>
      </c>
      <c r="B126" s="298" t="s">
        <v>106</v>
      </c>
      <c r="C126" s="297">
        <f>+D126/10</f>
        <v>2546.2159999999999</v>
      </c>
      <c r="D126" s="317">
        <v>25462.16</v>
      </c>
      <c r="E126" s="318">
        <v>440123</v>
      </c>
      <c r="F126" s="318"/>
      <c r="G126" s="317">
        <v>33894.050000000003</v>
      </c>
      <c r="H126" s="319">
        <f t="shared" si="39"/>
        <v>7.7009999999999995E-2</v>
      </c>
      <c r="I126" s="319"/>
      <c r="J126" s="317">
        <f t="shared" si="40"/>
        <v>33893.872230000001</v>
      </c>
      <c r="K126" s="320">
        <f t="shared" si="41"/>
        <v>-5.2448733628418509E-6</v>
      </c>
      <c r="L126" s="321"/>
      <c r="M126" s="322"/>
      <c r="N126" s="317"/>
      <c r="O126" s="320"/>
      <c r="P126" s="317"/>
      <c r="Q126" s="323"/>
      <c r="R126" s="323"/>
      <c r="S126" s="349" t="str">
        <f t="shared" si="42"/>
        <v>September</v>
      </c>
      <c r="T126" s="324">
        <f t="shared" si="33"/>
        <v>59356.210000000006</v>
      </c>
      <c r="U126" s="45"/>
      <c r="V126" s="45" t="str">
        <f t="shared" si="38"/>
        <v>GD-1: Small General</v>
      </c>
    </row>
    <row r="127" spans="1:22">
      <c r="A127" s="49" t="s">
        <v>44</v>
      </c>
      <c r="B127" s="298" t="s">
        <v>107</v>
      </c>
      <c r="C127" s="297">
        <f>+D127/10</f>
        <v>1506</v>
      </c>
      <c r="D127" s="317">
        <v>15060</v>
      </c>
      <c r="E127" s="318">
        <v>7843347</v>
      </c>
      <c r="F127" s="318"/>
      <c r="G127" s="317">
        <v>182436.14</v>
      </c>
      <c r="H127" s="319">
        <f t="shared" si="39"/>
        <v>2.3259999999999999E-2</v>
      </c>
      <c r="I127" s="319"/>
      <c r="J127" s="317">
        <f t="shared" si="40"/>
        <v>182436.25122000001</v>
      </c>
      <c r="K127" s="320">
        <f t="shared" si="41"/>
        <v>6.0963798076407727E-7</v>
      </c>
      <c r="L127" s="321"/>
      <c r="M127" s="322">
        <v>29751</v>
      </c>
      <c r="N127" s="317">
        <v>286799.63999999996</v>
      </c>
      <c r="O127" s="326">
        <f>O113</f>
        <v>9.64</v>
      </c>
      <c r="P127" s="317">
        <f>+O127*M127</f>
        <v>286799.64</v>
      </c>
      <c r="Q127" s="320">
        <f>+P127/N127-1</f>
        <v>0</v>
      </c>
      <c r="R127" s="320"/>
      <c r="S127" s="349" t="str">
        <f t="shared" si="42"/>
        <v>September</v>
      </c>
      <c r="T127" s="324">
        <f t="shared" si="33"/>
        <v>484295.77999999997</v>
      </c>
      <c r="U127" s="45"/>
      <c r="V127" s="45" t="str">
        <f t="shared" si="38"/>
        <v>GD-2: Regular General</v>
      </c>
    </row>
    <row r="128" spans="1:22">
      <c r="A128" s="49" t="s">
        <v>45</v>
      </c>
      <c r="B128" s="298" t="s">
        <v>108</v>
      </c>
      <c r="C128" s="297">
        <f>D128/300</f>
        <v>28</v>
      </c>
      <c r="D128" s="317">
        <v>8400</v>
      </c>
      <c r="E128" s="318">
        <v>4431686</v>
      </c>
      <c r="F128" s="318">
        <v>7218723</v>
      </c>
      <c r="G128" s="317">
        <v>115352.62999999999</v>
      </c>
      <c r="H128" s="319">
        <f t="shared" si="39"/>
        <v>1.9089999999999999E-2</v>
      </c>
      <c r="I128" s="319">
        <f>I114</f>
        <v>4.2599999999999999E-3</v>
      </c>
      <c r="J128" s="317">
        <f t="shared" si="40"/>
        <v>115352.64572</v>
      </c>
      <c r="K128" s="320">
        <f t="shared" si="41"/>
        <v>1.3627777728508761E-7</v>
      </c>
      <c r="L128" s="321"/>
      <c r="M128" s="322">
        <v>26675</v>
      </c>
      <c r="N128" s="317">
        <v>211532.78999999998</v>
      </c>
      <c r="O128" s="326">
        <f>O114</f>
        <v>7.93</v>
      </c>
      <c r="P128" s="317">
        <f>+O128*M128</f>
        <v>211532.75</v>
      </c>
      <c r="Q128" s="320">
        <f>+P128/N128-1</f>
        <v>-1.8909597887528662E-7</v>
      </c>
      <c r="R128" s="320"/>
      <c r="S128" s="349" t="str">
        <f t="shared" si="42"/>
        <v>September</v>
      </c>
      <c r="T128" s="324">
        <f t="shared" si="33"/>
        <v>335285.42</v>
      </c>
      <c r="U128" s="45"/>
      <c r="V128" s="45" t="str">
        <f t="shared" si="38"/>
        <v>GD-3: Large General</v>
      </c>
    </row>
    <row r="129" spans="1:22">
      <c r="A129" s="298" t="s">
        <v>46</v>
      </c>
      <c r="B129" s="298" t="s">
        <v>109</v>
      </c>
      <c r="C129" s="297">
        <f>+D129/10</f>
        <v>3</v>
      </c>
      <c r="D129" s="317">
        <v>30</v>
      </c>
      <c r="E129" s="318">
        <v>2175</v>
      </c>
      <c r="F129" s="318">
        <v>13860</v>
      </c>
      <c r="G129" s="317">
        <v>52.17</v>
      </c>
      <c r="H129" s="319">
        <f t="shared" si="39"/>
        <v>1.0030000000000001E-2</v>
      </c>
      <c r="I129" s="319">
        <f>I115</f>
        <v>2.1900000000000001E-3</v>
      </c>
      <c r="J129" s="317">
        <f t="shared" si="40"/>
        <v>52.16865</v>
      </c>
      <c r="K129" s="320">
        <f t="shared" si="41"/>
        <v>-2.5876940770608314E-5</v>
      </c>
      <c r="L129" s="321"/>
      <c r="M129" s="322">
        <v>85.5</v>
      </c>
      <c r="N129" s="317">
        <v>329.19</v>
      </c>
      <c r="O129" s="326">
        <f>O115</f>
        <v>3.85</v>
      </c>
      <c r="P129" s="317">
        <f>+O129*M129</f>
        <v>329.17500000000001</v>
      </c>
      <c r="Q129" s="320">
        <f>+P129/N129-1</f>
        <v>-4.5566390230566967E-5</v>
      </c>
      <c r="R129" s="320"/>
      <c r="S129" s="349" t="str">
        <f t="shared" si="42"/>
        <v>September</v>
      </c>
      <c r="T129" s="324">
        <f t="shared" si="33"/>
        <v>411.36</v>
      </c>
      <c r="U129" s="45"/>
      <c r="V129" s="45" t="str">
        <f t="shared" si="38"/>
        <v>GD-4: Regular General Optional TOU</v>
      </c>
    </row>
    <row r="130" spans="1:22">
      <c r="A130" s="49" t="s">
        <v>47</v>
      </c>
      <c r="B130" s="298" t="s">
        <v>110</v>
      </c>
      <c r="C130" s="297">
        <v>7</v>
      </c>
      <c r="D130" s="317">
        <v>0</v>
      </c>
      <c r="E130" s="318">
        <v>14050</v>
      </c>
      <c r="F130" s="318"/>
      <c r="G130" s="317">
        <v>836.82</v>
      </c>
      <c r="H130" s="319">
        <f t="shared" si="39"/>
        <v>5.9560000000000002E-2</v>
      </c>
      <c r="I130" s="319"/>
      <c r="J130" s="317">
        <f t="shared" si="40"/>
        <v>836.81799999999998</v>
      </c>
      <c r="K130" s="320">
        <f t="shared" si="41"/>
        <v>-2.3900002390497832E-6</v>
      </c>
      <c r="L130" s="321"/>
      <c r="M130" s="322"/>
      <c r="N130" s="317"/>
      <c r="O130" s="320"/>
      <c r="P130" s="317"/>
      <c r="Q130" s="323"/>
      <c r="R130" s="323"/>
      <c r="S130" s="349" t="str">
        <f t="shared" si="42"/>
        <v>September</v>
      </c>
      <c r="T130" s="324">
        <f t="shared" si="33"/>
        <v>836.82</v>
      </c>
      <c r="U130" s="45"/>
      <c r="V130" s="45" t="str">
        <f t="shared" si="38"/>
        <v>GD-5: Water and/or Space Heating Rider</v>
      </c>
    </row>
    <row r="131" spans="1:22">
      <c r="C131" s="297"/>
      <c r="D131" s="316"/>
      <c r="Q131" s="323"/>
      <c r="R131" s="323"/>
      <c r="S131" s="349" t="str">
        <f t="shared" si="42"/>
        <v>September</v>
      </c>
      <c r="T131" s="324">
        <f t="shared" si="33"/>
        <v>0</v>
      </c>
      <c r="U131" s="45"/>
      <c r="V131" s="45" t="str">
        <f t="shared" si="38"/>
        <v/>
      </c>
    </row>
    <row r="132" spans="1:22">
      <c r="B132" s="49" t="s">
        <v>279</v>
      </c>
      <c r="C132" s="297">
        <f>SUM(C124:C130)</f>
        <v>30460.411714285714</v>
      </c>
      <c r="D132" s="317">
        <f>SUM(D124:D130)</f>
        <v>233543.53</v>
      </c>
      <c r="E132" s="297">
        <f>SUM(E124:E130)</f>
        <v>27079883</v>
      </c>
      <c r="F132" s="297">
        <f>SUM(F124:F130)</f>
        <v>7232583</v>
      </c>
      <c r="G132" s="317">
        <f>SUM(G124:G130)</f>
        <v>1444870.51</v>
      </c>
      <c r="J132" s="317">
        <f>SUM(J124:J130)</f>
        <v>1444867.6308599999</v>
      </c>
      <c r="K132" s="320">
        <f>+J132/G132-1</f>
        <v>-1.9926629966082743E-6</v>
      </c>
      <c r="L132" s="321"/>
      <c r="M132" s="322">
        <f>SUM(M124:M130)</f>
        <v>56511.5</v>
      </c>
      <c r="N132" s="317">
        <f>SUM(N124:N130)</f>
        <v>498661.61999999994</v>
      </c>
      <c r="P132" s="317">
        <f>SUM(P124:P130)</f>
        <v>498661.565</v>
      </c>
      <c r="Q132" s="320">
        <f>+P132/N132-1</f>
        <v>-1.102952337239671E-7</v>
      </c>
      <c r="R132" s="320"/>
      <c r="S132" s="349" t="str">
        <f t="shared" si="42"/>
        <v>September</v>
      </c>
      <c r="T132" s="324">
        <f t="shared" si="33"/>
        <v>2177075.66</v>
      </c>
      <c r="U132" s="45"/>
      <c r="V132" s="45" t="str">
        <f t="shared" si="38"/>
        <v/>
      </c>
    </row>
    <row r="133" spans="1:22">
      <c r="C133" s="297"/>
      <c r="D133" s="317"/>
      <c r="E133" s="297"/>
      <c r="F133" s="297"/>
      <c r="G133" s="317"/>
      <c r="J133" s="317"/>
      <c r="K133" s="320"/>
      <c r="L133" s="321"/>
      <c r="M133" s="322"/>
      <c r="N133" s="317"/>
      <c r="P133" s="317"/>
      <c r="Q133" s="320"/>
      <c r="R133" s="320"/>
      <c r="S133" s="320"/>
      <c r="T133" s="324">
        <f t="shared" si="33"/>
        <v>0</v>
      </c>
      <c r="U133" s="45"/>
      <c r="V133" s="45" t="str">
        <f t="shared" si="38"/>
        <v/>
      </c>
    </row>
    <row r="134" spans="1:22">
      <c r="A134" s="295"/>
      <c r="B134" s="296" t="s">
        <v>623</v>
      </c>
      <c r="C134" s="297"/>
      <c r="D134" s="298"/>
      <c r="E134" s="299"/>
      <c r="F134" s="299"/>
      <c r="G134" s="300"/>
      <c r="H134" s="301" t="s">
        <v>612</v>
      </c>
      <c r="I134" s="301" t="s">
        <v>613</v>
      </c>
      <c r="J134" s="290" t="s">
        <v>596</v>
      </c>
      <c r="N134" s="290"/>
      <c r="P134" s="290" t="s">
        <v>596</v>
      </c>
      <c r="T134" s="324">
        <f t="shared" si="33"/>
        <v>0</v>
      </c>
      <c r="U134" s="45"/>
      <c r="V134" s="45" t="str">
        <f t="shared" si="38"/>
        <v/>
      </c>
    </row>
    <row r="135" spans="1:22">
      <c r="A135" s="290"/>
      <c r="B135" s="290"/>
      <c r="C135" s="297"/>
      <c r="D135" s="290"/>
      <c r="E135" s="302" t="s">
        <v>614</v>
      </c>
      <c r="F135" s="302" t="s">
        <v>615</v>
      </c>
      <c r="G135" s="300" t="s">
        <v>262</v>
      </c>
      <c r="H135" s="301" t="s">
        <v>262</v>
      </c>
      <c r="I135" s="301" t="s">
        <v>262</v>
      </c>
      <c r="J135" s="290" t="s">
        <v>262</v>
      </c>
      <c r="K135" s="303" t="s">
        <v>598</v>
      </c>
      <c r="L135" s="304"/>
      <c r="M135" s="292"/>
      <c r="N135" s="290" t="s">
        <v>262</v>
      </c>
      <c r="O135" s="290" t="s">
        <v>262</v>
      </c>
      <c r="P135" s="290" t="s">
        <v>262</v>
      </c>
      <c r="Q135" s="304" t="s">
        <v>598</v>
      </c>
      <c r="R135" s="304"/>
      <c r="S135" s="304"/>
      <c r="T135" s="324" t="str">
        <f t="shared" si="33"/>
        <v/>
      </c>
      <c r="U135" s="45"/>
      <c r="V135" s="45" t="str">
        <f t="shared" si="38"/>
        <v/>
      </c>
    </row>
    <row r="136" spans="1:22">
      <c r="A136" s="290" t="s">
        <v>404</v>
      </c>
      <c r="B136" s="290"/>
      <c r="C136" s="300" t="s">
        <v>418</v>
      </c>
      <c r="D136" s="290" t="s">
        <v>599</v>
      </c>
      <c r="E136" s="302" t="s">
        <v>600</v>
      </c>
      <c r="F136" s="302" t="s">
        <v>601</v>
      </c>
      <c r="G136" s="300" t="s">
        <v>421</v>
      </c>
      <c r="H136" s="305" t="s">
        <v>602</v>
      </c>
      <c r="I136" s="305" t="s">
        <v>603</v>
      </c>
      <c r="J136" s="304" t="s">
        <v>421</v>
      </c>
      <c r="K136" s="306" t="s">
        <v>421</v>
      </c>
      <c r="L136" s="290"/>
      <c r="M136" s="292" t="s">
        <v>408</v>
      </c>
      <c r="N136" s="292" t="s">
        <v>408</v>
      </c>
      <c r="O136" s="290" t="s">
        <v>408</v>
      </c>
      <c r="P136" s="290" t="s">
        <v>408</v>
      </c>
      <c r="Q136" s="290" t="s">
        <v>408</v>
      </c>
      <c r="R136" s="290"/>
      <c r="S136" s="290"/>
      <c r="T136" s="324" t="str">
        <f t="shared" si="33"/>
        <v/>
      </c>
      <c r="U136" s="45"/>
      <c r="V136" s="45" t="str">
        <f t="shared" si="38"/>
        <v/>
      </c>
    </row>
    <row r="137" spans="1:22" ht="13.2">
      <c r="A137" s="308" t="s">
        <v>90</v>
      </c>
      <c r="B137" s="308" t="s">
        <v>125</v>
      </c>
      <c r="C137" s="309" t="s">
        <v>605</v>
      </c>
      <c r="D137" s="308" t="s">
        <v>162</v>
      </c>
      <c r="E137" s="309" t="s">
        <v>421</v>
      </c>
      <c r="F137" s="309" t="s">
        <v>421</v>
      </c>
      <c r="G137" s="310" t="s">
        <v>162</v>
      </c>
      <c r="H137" s="311" t="s">
        <v>404</v>
      </c>
      <c r="I137" s="311" t="s">
        <v>404</v>
      </c>
      <c r="J137" s="308" t="s">
        <v>162</v>
      </c>
      <c r="K137" s="312" t="s">
        <v>606</v>
      </c>
      <c r="L137" s="308"/>
      <c r="M137" s="313" t="s">
        <v>607</v>
      </c>
      <c r="N137" s="314" t="s">
        <v>162</v>
      </c>
      <c r="O137" s="308" t="s">
        <v>404</v>
      </c>
      <c r="P137" s="308" t="s">
        <v>162</v>
      </c>
      <c r="Q137" s="308" t="s">
        <v>606</v>
      </c>
      <c r="R137" s="308"/>
      <c r="S137" s="308"/>
      <c r="T137" s="324" t="str">
        <f t="shared" si="33"/>
        <v/>
      </c>
      <c r="U137" s="45"/>
      <c r="V137" s="45" t="str">
        <f t="shared" si="38"/>
        <v/>
      </c>
    </row>
    <row r="138" spans="1:22">
      <c r="A138" s="49" t="s">
        <v>39</v>
      </c>
      <c r="B138" s="316" t="s">
        <v>610</v>
      </c>
      <c r="C138" s="297">
        <f>+D138/7</f>
        <v>21361.357142857141</v>
      </c>
      <c r="D138" s="317">
        <v>149529.5</v>
      </c>
      <c r="E138" s="318">
        <v>8662279</v>
      </c>
      <c r="F138" s="318"/>
      <c r="G138" s="317">
        <v>671502.22</v>
      </c>
      <c r="H138" s="319">
        <f t="shared" ref="H138:H144" si="43">H124</f>
        <v>7.7520000000000006E-2</v>
      </c>
      <c r="I138" s="319"/>
      <c r="J138" s="317">
        <f t="shared" ref="J138:J144" si="44">+E138*H138+F138*I138</f>
        <v>671499.86808000004</v>
      </c>
      <c r="K138" s="320">
        <f t="shared" ref="K138:K144" si="45">+J138/G138-1</f>
        <v>-3.50247539004922E-6</v>
      </c>
      <c r="L138" s="321"/>
      <c r="M138" s="322"/>
      <c r="N138" s="317"/>
      <c r="O138" s="320"/>
      <c r="P138" s="317"/>
      <c r="Q138" s="323"/>
      <c r="R138" s="323"/>
      <c r="S138" s="349" t="s">
        <v>236</v>
      </c>
      <c r="T138" s="324">
        <f t="shared" si="33"/>
        <v>821031.72</v>
      </c>
      <c r="U138" s="45"/>
      <c r="V138" s="45" t="str">
        <f t="shared" si="38"/>
        <v>RD-1: Residential</v>
      </c>
    </row>
    <row r="139" spans="1:22">
      <c r="A139" s="49" t="s">
        <v>42</v>
      </c>
      <c r="B139" s="316" t="s">
        <v>104</v>
      </c>
      <c r="C139" s="297">
        <f>+D139/7</f>
        <v>5016.0328571428572</v>
      </c>
      <c r="D139" s="317">
        <v>35112.230000000003</v>
      </c>
      <c r="E139" s="318">
        <v>2116225</v>
      </c>
      <c r="F139" s="318"/>
      <c r="G139" s="317">
        <v>164050.26</v>
      </c>
      <c r="H139" s="319">
        <f t="shared" si="43"/>
        <v>7.7520000000000006E-2</v>
      </c>
      <c r="I139" s="319"/>
      <c r="J139" s="317">
        <f t="shared" si="44"/>
        <v>164049.76200000002</v>
      </c>
      <c r="K139" s="320">
        <f t="shared" si="45"/>
        <v>-3.0356550485555189E-6</v>
      </c>
      <c r="L139" s="321"/>
      <c r="M139" s="322"/>
      <c r="N139" s="317"/>
      <c r="O139" s="320"/>
      <c r="P139" s="317"/>
      <c r="Q139" s="323"/>
      <c r="R139" s="323"/>
      <c r="S139" s="349" t="str">
        <f t="shared" ref="S139:S146" si="46">S138</f>
        <v>October</v>
      </c>
      <c r="T139" s="324">
        <f t="shared" si="33"/>
        <v>199162.49000000002</v>
      </c>
      <c r="U139" s="45"/>
      <c r="V139" s="45" t="str">
        <f t="shared" si="38"/>
        <v>RD-2: Residential, Low Income</v>
      </c>
    </row>
    <row r="140" spans="1:22">
      <c r="A140" s="49" t="s">
        <v>43</v>
      </c>
      <c r="B140" s="298" t="s">
        <v>106</v>
      </c>
      <c r="C140" s="297">
        <f>+D140/10</f>
        <v>2558</v>
      </c>
      <c r="D140" s="317">
        <v>25580</v>
      </c>
      <c r="E140" s="318">
        <v>401092</v>
      </c>
      <c r="F140" s="318"/>
      <c r="G140" s="317">
        <v>30887.939999999991</v>
      </c>
      <c r="H140" s="319">
        <f t="shared" si="43"/>
        <v>7.7009999999999995E-2</v>
      </c>
      <c r="I140" s="319"/>
      <c r="J140" s="317">
        <f t="shared" si="44"/>
        <v>30888.09492</v>
      </c>
      <c r="K140" s="320">
        <f t="shared" si="45"/>
        <v>5.0155497586246156E-6</v>
      </c>
      <c r="L140" s="321"/>
      <c r="M140" s="322"/>
      <c r="N140" s="317"/>
      <c r="O140" s="320"/>
      <c r="P140" s="317"/>
      <c r="Q140" s="323"/>
      <c r="R140" s="323"/>
      <c r="S140" s="349" t="str">
        <f t="shared" si="46"/>
        <v>October</v>
      </c>
      <c r="T140" s="324">
        <f t="shared" ref="T140:T174" si="47">IFERROR(D140+G140+N140,"")</f>
        <v>56467.939999999988</v>
      </c>
      <c r="U140" s="45"/>
      <c r="V140" s="45" t="str">
        <f t="shared" si="38"/>
        <v>GD-1: Small General</v>
      </c>
    </row>
    <row r="141" spans="1:22">
      <c r="A141" s="49" t="s">
        <v>44</v>
      </c>
      <c r="B141" s="298" t="s">
        <v>107</v>
      </c>
      <c r="C141" s="297">
        <f>+D141/10</f>
        <v>1515.6209999999999</v>
      </c>
      <c r="D141" s="317">
        <v>15156.21</v>
      </c>
      <c r="E141" s="318">
        <v>7035346</v>
      </c>
      <c r="F141" s="318"/>
      <c r="G141" s="317">
        <v>163642.11000000002</v>
      </c>
      <c r="H141" s="319">
        <f t="shared" si="43"/>
        <v>2.3259999999999999E-2</v>
      </c>
      <c r="I141" s="319"/>
      <c r="J141" s="317">
        <f t="shared" si="44"/>
        <v>163642.14796</v>
      </c>
      <c r="K141" s="320">
        <f t="shared" si="45"/>
        <v>2.3196963172544827E-7</v>
      </c>
      <c r="L141" s="321"/>
      <c r="M141" s="322">
        <v>26122.5</v>
      </c>
      <c r="N141" s="317">
        <v>251820.89999999997</v>
      </c>
      <c r="O141" s="326">
        <f>O127</f>
        <v>9.64</v>
      </c>
      <c r="P141" s="317">
        <f>+O141*M141</f>
        <v>251820.90000000002</v>
      </c>
      <c r="Q141" s="320">
        <f>+P141/N141-1</f>
        <v>0</v>
      </c>
      <c r="R141" s="320"/>
      <c r="S141" s="349" t="str">
        <f t="shared" si="46"/>
        <v>October</v>
      </c>
      <c r="T141" s="324">
        <f t="shared" si="47"/>
        <v>430619.22</v>
      </c>
      <c r="U141" s="45"/>
      <c r="V141" s="45" t="str">
        <f t="shared" si="38"/>
        <v>GD-2: Regular General</v>
      </c>
    </row>
    <row r="142" spans="1:22">
      <c r="A142" s="49" t="s">
        <v>45</v>
      </c>
      <c r="B142" s="298" t="s">
        <v>108</v>
      </c>
      <c r="C142" s="297">
        <f>D142/300</f>
        <v>28</v>
      </c>
      <c r="D142" s="317">
        <v>8400</v>
      </c>
      <c r="E142" s="318">
        <v>4005790</v>
      </c>
      <c r="F142" s="318">
        <v>6075279</v>
      </c>
      <c r="G142" s="317">
        <v>102351.18000000001</v>
      </c>
      <c r="H142" s="319">
        <f t="shared" si="43"/>
        <v>1.9089999999999999E-2</v>
      </c>
      <c r="I142" s="319">
        <f>I128</f>
        <v>4.2599999999999999E-3</v>
      </c>
      <c r="J142" s="317">
        <f t="shared" si="44"/>
        <v>102351.21964</v>
      </c>
      <c r="K142" s="320">
        <f t="shared" si="45"/>
        <v>3.8729402040971195E-7</v>
      </c>
      <c r="L142" s="321"/>
      <c r="M142" s="322">
        <v>25213</v>
      </c>
      <c r="N142" s="317">
        <v>199939.16999999998</v>
      </c>
      <c r="O142" s="326">
        <f>O128</f>
        <v>7.93</v>
      </c>
      <c r="P142" s="317">
        <f>+O142*M142</f>
        <v>199939.09</v>
      </c>
      <c r="Q142" s="320">
        <f>+P142/N142-1</f>
        <v>-4.0012169699732425E-7</v>
      </c>
      <c r="R142" s="320"/>
      <c r="S142" s="349" t="str">
        <f t="shared" si="46"/>
        <v>October</v>
      </c>
      <c r="T142" s="324">
        <f t="shared" si="47"/>
        <v>310690.34999999998</v>
      </c>
      <c r="U142" s="45"/>
      <c r="V142" s="45" t="str">
        <f t="shared" si="38"/>
        <v>GD-3: Large General</v>
      </c>
    </row>
    <row r="143" spans="1:22">
      <c r="A143" s="298" t="s">
        <v>46</v>
      </c>
      <c r="B143" s="298" t="s">
        <v>109</v>
      </c>
      <c r="C143" s="297">
        <f>+D143/10</f>
        <v>2</v>
      </c>
      <c r="D143" s="317">
        <v>20</v>
      </c>
      <c r="E143" s="318">
        <v>2413</v>
      </c>
      <c r="F143" s="318">
        <v>11412</v>
      </c>
      <c r="G143" s="317">
        <v>49.199999999999996</v>
      </c>
      <c r="H143" s="319">
        <f t="shared" si="43"/>
        <v>1.0030000000000001E-2</v>
      </c>
      <c r="I143" s="319">
        <f>I129</f>
        <v>2.1900000000000001E-3</v>
      </c>
      <c r="J143" s="317">
        <f t="shared" si="44"/>
        <v>49.194670000000002</v>
      </c>
      <c r="K143" s="320">
        <f t="shared" si="45"/>
        <v>-1.0833333333315487E-4</v>
      </c>
      <c r="L143" s="321"/>
      <c r="M143" s="322">
        <v>44</v>
      </c>
      <c r="N143" s="317">
        <v>169.4</v>
      </c>
      <c r="O143" s="326">
        <f>O129</f>
        <v>3.85</v>
      </c>
      <c r="P143" s="317">
        <f>+O143*M143</f>
        <v>169.4</v>
      </c>
      <c r="Q143" s="320">
        <f>+P143/N143-1</f>
        <v>0</v>
      </c>
      <c r="R143" s="320"/>
      <c r="S143" s="349" t="str">
        <f t="shared" si="46"/>
        <v>October</v>
      </c>
      <c r="T143" s="324">
        <f t="shared" si="47"/>
        <v>238.6</v>
      </c>
      <c r="U143" s="45"/>
      <c r="V143" s="45" t="str">
        <f t="shared" si="38"/>
        <v>GD-4: Regular General Optional TOU</v>
      </c>
    </row>
    <row r="144" spans="1:22">
      <c r="A144" s="49" t="s">
        <v>47</v>
      </c>
      <c r="B144" s="298" t="s">
        <v>110</v>
      </c>
      <c r="C144" s="297">
        <v>5</v>
      </c>
      <c r="D144" s="317">
        <v>0</v>
      </c>
      <c r="E144" s="318">
        <v>7770</v>
      </c>
      <c r="F144" s="318"/>
      <c r="G144" s="317">
        <v>462.78</v>
      </c>
      <c r="H144" s="319">
        <f t="shared" si="43"/>
        <v>5.9560000000000002E-2</v>
      </c>
      <c r="I144" s="319"/>
      <c r="J144" s="317">
        <f t="shared" si="44"/>
        <v>462.78120000000001</v>
      </c>
      <c r="K144" s="320">
        <f t="shared" si="45"/>
        <v>2.5930247635752579E-6</v>
      </c>
      <c r="L144" s="321"/>
      <c r="M144" s="322"/>
      <c r="N144" s="317"/>
      <c r="O144" s="320"/>
      <c r="P144" s="317"/>
      <c r="Q144" s="323"/>
      <c r="R144" s="323"/>
      <c r="S144" s="349" t="str">
        <f t="shared" si="46"/>
        <v>October</v>
      </c>
      <c r="T144" s="324">
        <f t="shared" si="47"/>
        <v>462.78</v>
      </c>
      <c r="U144" s="45"/>
      <c r="V144" s="45" t="str">
        <f t="shared" si="38"/>
        <v>GD-5: Water and/or Space Heating Rider</v>
      </c>
    </row>
    <row r="145" spans="1:22">
      <c r="C145" s="297"/>
      <c r="D145" s="316"/>
      <c r="Q145" s="323"/>
      <c r="R145" s="323"/>
      <c r="S145" s="349" t="str">
        <f t="shared" si="46"/>
        <v>October</v>
      </c>
      <c r="T145" s="324">
        <f t="shared" si="47"/>
        <v>0</v>
      </c>
      <c r="U145" s="45"/>
      <c r="V145" s="45" t="str">
        <f t="shared" si="38"/>
        <v/>
      </c>
    </row>
    <row r="146" spans="1:22">
      <c r="B146" s="49" t="s">
        <v>279</v>
      </c>
      <c r="C146" s="297">
        <f>SUM(C138:C144)</f>
        <v>30486.010999999999</v>
      </c>
      <c r="D146" s="317">
        <f>SUM(D138:D144)</f>
        <v>233797.94</v>
      </c>
      <c r="E146" s="297">
        <f>SUM(E138:E144)</f>
        <v>22230915</v>
      </c>
      <c r="F146" s="297">
        <f>SUM(F138:F144)</f>
        <v>6086691</v>
      </c>
      <c r="G146" s="317">
        <f>SUM(G138:G144)</f>
        <v>1132945.69</v>
      </c>
      <c r="J146" s="317">
        <f>SUM(J138:J144)</f>
        <v>1132943.0684700001</v>
      </c>
      <c r="K146" s="320">
        <f>+J146/G146-1</f>
        <v>-2.3139061501309399E-6</v>
      </c>
      <c r="L146" s="321"/>
      <c r="M146" s="322">
        <f>SUM(M138:M144)</f>
        <v>51379.5</v>
      </c>
      <c r="N146" s="317">
        <f>SUM(N138:N144)</f>
        <v>451929.47</v>
      </c>
      <c r="P146" s="317">
        <f>SUM(P138:P144)</f>
        <v>451929.39</v>
      </c>
      <c r="Q146" s="320">
        <f>+P146/N146-1</f>
        <v>-1.7701877230713592E-7</v>
      </c>
      <c r="R146" s="320"/>
      <c r="S146" s="349" t="str">
        <f t="shared" si="46"/>
        <v>October</v>
      </c>
      <c r="T146" s="324">
        <f t="shared" si="47"/>
        <v>1818673.0999999999</v>
      </c>
      <c r="U146" s="45"/>
      <c r="V146" s="45" t="str">
        <f t="shared" si="38"/>
        <v/>
      </c>
    </row>
    <row r="147" spans="1:22">
      <c r="C147" s="297"/>
      <c r="D147" s="317"/>
      <c r="E147" s="297"/>
      <c r="F147" s="297"/>
      <c r="G147" s="317"/>
      <c r="J147" s="317"/>
      <c r="K147" s="320"/>
      <c r="L147" s="321"/>
      <c r="M147" s="322"/>
      <c r="N147" s="317"/>
      <c r="P147" s="317"/>
      <c r="Q147" s="320"/>
      <c r="R147" s="320"/>
      <c r="S147" s="320"/>
      <c r="T147" s="324">
        <f t="shared" si="47"/>
        <v>0</v>
      </c>
      <c r="U147" s="45"/>
      <c r="V147" s="45" t="str">
        <f t="shared" ref="V147:V175" si="48">_xlfn.IFNA(VLOOKUP(A147,$A$12:$V$18,22,FALSE),"")</f>
        <v/>
      </c>
    </row>
    <row r="148" spans="1:22">
      <c r="A148" s="295"/>
      <c r="B148" s="296" t="s">
        <v>624</v>
      </c>
      <c r="C148" s="297"/>
      <c r="D148" s="298"/>
      <c r="E148" s="299"/>
      <c r="F148" s="299"/>
      <c r="G148" s="300"/>
      <c r="H148" s="301" t="s">
        <v>612</v>
      </c>
      <c r="I148" s="301" t="s">
        <v>613</v>
      </c>
      <c r="J148" s="290" t="s">
        <v>596</v>
      </c>
      <c r="N148" s="290"/>
      <c r="P148" s="290" t="s">
        <v>596</v>
      </c>
      <c r="T148" s="324">
        <f t="shared" si="47"/>
        <v>0</v>
      </c>
      <c r="U148" s="45"/>
      <c r="V148" s="45" t="str">
        <f t="shared" si="48"/>
        <v/>
      </c>
    </row>
    <row r="149" spans="1:22">
      <c r="A149" s="290"/>
      <c r="B149" s="290"/>
      <c r="C149" s="297"/>
      <c r="D149" s="290"/>
      <c r="E149" s="302" t="s">
        <v>614</v>
      </c>
      <c r="F149" s="302" t="s">
        <v>615</v>
      </c>
      <c r="G149" s="300" t="s">
        <v>262</v>
      </c>
      <c r="H149" s="301" t="s">
        <v>262</v>
      </c>
      <c r="I149" s="301" t="s">
        <v>262</v>
      </c>
      <c r="J149" s="290" t="s">
        <v>262</v>
      </c>
      <c r="K149" s="303" t="s">
        <v>598</v>
      </c>
      <c r="L149" s="304"/>
      <c r="M149" s="292"/>
      <c r="N149" s="290" t="s">
        <v>262</v>
      </c>
      <c r="O149" s="290" t="s">
        <v>262</v>
      </c>
      <c r="P149" s="290" t="s">
        <v>262</v>
      </c>
      <c r="Q149" s="304" t="s">
        <v>598</v>
      </c>
      <c r="R149" s="304"/>
      <c r="S149" s="304"/>
      <c r="T149" s="324" t="str">
        <f t="shared" si="47"/>
        <v/>
      </c>
      <c r="U149" s="45"/>
      <c r="V149" s="45" t="str">
        <f t="shared" si="48"/>
        <v/>
      </c>
    </row>
    <row r="150" spans="1:22">
      <c r="A150" s="290" t="s">
        <v>404</v>
      </c>
      <c r="B150" s="290"/>
      <c r="C150" s="300" t="s">
        <v>418</v>
      </c>
      <c r="D150" s="290" t="s">
        <v>599</v>
      </c>
      <c r="E150" s="302" t="s">
        <v>600</v>
      </c>
      <c r="F150" s="302" t="s">
        <v>601</v>
      </c>
      <c r="G150" s="300" t="s">
        <v>421</v>
      </c>
      <c r="H150" s="305" t="s">
        <v>602</v>
      </c>
      <c r="I150" s="305" t="s">
        <v>603</v>
      </c>
      <c r="J150" s="304" t="s">
        <v>421</v>
      </c>
      <c r="K150" s="306" t="s">
        <v>421</v>
      </c>
      <c r="L150" s="290"/>
      <c r="M150" s="292" t="s">
        <v>408</v>
      </c>
      <c r="N150" s="292" t="s">
        <v>408</v>
      </c>
      <c r="O150" s="290" t="s">
        <v>408</v>
      </c>
      <c r="P150" s="290" t="s">
        <v>408</v>
      </c>
      <c r="Q150" s="290" t="s">
        <v>408</v>
      </c>
      <c r="R150" s="290"/>
      <c r="S150" s="290"/>
      <c r="T150" s="324" t="str">
        <f t="shared" si="47"/>
        <v/>
      </c>
      <c r="U150" s="45"/>
      <c r="V150" s="45" t="str">
        <f t="shared" si="48"/>
        <v/>
      </c>
    </row>
    <row r="151" spans="1:22" ht="13.2">
      <c r="A151" s="308" t="s">
        <v>90</v>
      </c>
      <c r="B151" s="308" t="s">
        <v>125</v>
      </c>
      <c r="C151" s="309" t="s">
        <v>605</v>
      </c>
      <c r="D151" s="308" t="s">
        <v>162</v>
      </c>
      <c r="E151" s="309" t="s">
        <v>421</v>
      </c>
      <c r="F151" s="309" t="s">
        <v>421</v>
      </c>
      <c r="G151" s="310" t="s">
        <v>162</v>
      </c>
      <c r="H151" s="311" t="s">
        <v>404</v>
      </c>
      <c r="I151" s="311" t="s">
        <v>404</v>
      </c>
      <c r="J151" s="308" t="s">
        <v>162</v>
      </c>
      <c r="K151" s="312" t="s">
        <v>606</v>
      </c>
      <c r="L151" s="308"/>
      <c r="M151" s="313" t="s">
        <v>607</v>
      </c>
      <c r="N151" s="314" t="s">
        <v>162</v>
      </c>
      <c r="O151" s="308" t="s">
        <v>404</v>
      </c>
      <c r="P151" s="308" t="s">
        <v>162</v>
      </c>
      <c r="Q151" s="308" t="s">
        <v>606</v>
      </c>
      <c r="R151" s="308"/>
      <c r="S151" s="308"/>
      <c r="T151" s="324" t="str">
        <f t="shared" si="47"/>
        <v/>
      </c>
      <c r="U151" s="45"/>
      <c r="V151" s="45" t="str">
        <f t="shared" si="48"/>
        <v/>
      </c>
    </row>
    <row r="152" spans="1:22">
      <c r="A152" s="49" t="s">
        <v>39</v>
      </c>
      <c r="B152" s="316" t="s">
        <v>610</v>
      </c>
      <c r="C152" s="297">
        <f>+D152/7</f>
        <v>21287.598571428571</v>
      </c>
      <c r="D152" s="317">
        <v>149013.19</v>
      </c>
      <c r="E152" s="318">
        <v>9106387</v>
      </c>
      <c r="F152" s="318"/>
      <c r="G152" s="317">
        <v>705929.15999999992</v>
      </c>
      <c r="H152" s="319">
        <f t="shared" ref="H152:H158" si="49">H138</f>
        <v>7.7520000000000006E-2</v>
      </c>
      <c r="I152" s="319"/>
      <c r="J152" s="317">
        <f t="shared" ref="J152:J158" si="50">+E152*H152+F152*I152</f>
        <v>705927.12024000008</v>
      </c>
      <c r="K152" s="320">
        <f t="shared" ref="K152:K158" si="51">+J152/G152-1</f>
        <v>-2.8894683991032011E-6</v>
      </c>
      <c r="L152" s="321"/>
      <c r="M152" s="322"/>
      <c r="N152" s="317"/>
      <c r="O152" s="320"/>
      <c r="P152" s="317"/>
      <c r="Q152" s="323"/>
      <c r="R152" s="323"/>
      <c r="S152" s="349" t="s">
        <v>237</v>
      </c>
      <c r="T152" s="324">
        <f t="shared" si="47"/>
        <v>854942.34999999986</v>
      </c>
      <c r="U152" s="45"/>
      <c r="V152" s="45" t="str">
        <f t="shared" si="48"/>
        <v>RD-1: Residential</v>
      </c>
    </row>
    <row r="153" spans="1:22">
      <c r="A153" s="49" t="s">
        <v>42</v>
      </c>
      <c r="B153" s="316" t="s">
        <v>104</v>
      </c>
      <c r="C153" s="297">
        <f>+D153/7</f>
        <v>5121</v>
      </c>
      <c r="D153" s="317">
        <v>35847</v>
      </c>
      <c r="E153" s="318">
        <v>2300656</v>
      </c>
      <c r="F153" s="318"/>
      <c r="G153" s="317">
        <v>178347.37999999998</v>
      </c>
      <c r="H153" s="319">
        <f t="shared" si="49"/>
        <v>7.7520000000000006E-2</v>
      </c>
      <c r="I153" s="319"/>
      <c r="J153" s="317">
        <f t="shared" si="50"/>
        <v>178346.85312000001</v>
      </c>
      <c r="K153" s="320">
        <f t="shared" si="51"/>
        <v>-2.9542345951760751E-6</v>
      </c>
      <c r="L153" s="321"/>
      <c r="M153" s="322"/>
      <c r="N153" s="317"/>
      <c r="O153" s="320"/>
      <c r="P153" s="317"/>
      <c r="Q153" s="323"/>
      <c r="R153" s="323"/>
      <c r="S153" s="349" t="str">
        <f t="shared" ref="S153:S160" si="52">S152</f>
        <v>November</v>
      </c>
      <c r="T153" s="324">
        <f t="shared" si="47"/>
        <v>214194.37999999998</v>
      </c>
      <c r="U153" s="45"/>
      <c r="V153" s="45" t="str">
        <f t="shared" si="48"/>
        <v>RD-2: Residential, Low Income</v>
      </c>
    </row>
    <row r="154" spans="1:22">
      <c r="A154" s="49" t="s">
        <v>43</v>
      </c>
      <c r="B154" s="298" t="s">
        <v>106</v>
      </c>
      <c r="C154" s="297">
        <f>+D154/10</f>
        <v>2547</v>
      </c>
      <c r="D154" s="317">
        <v>25470</v>
      </c>
      <c r="E154" s="318">
        <v>430240</v>
      </c>
      <c r="F154" s="318"/>
      <c r="G154" s="317">
        <v>33133.040000000008</v>
      </c>
      <c r="H154" s="319">
        <f t="shared" si="49"/>
        <v>7.7009999999999995E-2</v>
      </c>
      <c r="I154" s="319"/>
      <c r="J154" s="317">
        <f t="shared" si="50"/>
        <v>33132.782399999996</v>
      </c>
      <c r="K154" s="320">
        <f t="shared" si="51"/>
        <v>-7.774716718200736E-6</v>
      </c>
      <c r="L154" s="321"/>
      <c r="M154" s="322"/>
      <c r="N154" s="317"/>
      <c r="O154" s="320"/>
      <c r="P154" s="317"/>
      <c r="Q154" s="323"/>
      <c r="R154" s="323"/>
      <c r="S154" s="349" t="str">
        <f t="shared" si="52"/>
        <v>November</v>
      </c>
      <c r="T154" s="324">
        <f t="shared" si="47"/>
        <v>58603.040000000008</v>
      </c>
      <c r="U154" s="45"/>
      <c r="V154" s="45" t="str">
        <f t="shared" si="48"/>
        <v>GD-1: Small General</v>
      </c>
    </row>
    <row r="155" spans="1:22">
      <c r="A155" s="49" t="s">
        <v>44</v>
      </c>
      <c r="B155" s="298" t="s">
        <v>107</v>
      </c>
      <c r="C155" s="297">
        <f>+D155/10</f>
        <v>1528</v>
      </c>
      <c r="D155" s="317">
        <v>15280</v>
      </c>
      <c r="E155" s="318">
        <v>5741860</v>
      </c>
      <c r="F155" s="318"/>
      <c r="G155" s="317">
        <v>133555.72000000003</v>
      </c>
      <c r="H155" s="319">
        <f t="shared" si="49"/>
        <v>2.3259999999999999E-2</v>
      </c>
      <c r="I155" s="319"/>
      <c r="J155" s="317">
        <f t="shared" si="50"/>
        <v>133555.6636</v>
      </c>
      <c r="K155" s="320">
        <f t="shared" si="51"/>
        <v>-4.2229565333506969E-7</v>
      </c>
      <c r="L155" s="321"/>
      <c r="M155" s="322">
        <v>26058.5</v>
      </c>
      <c r="N155" s="317">
        <v>251203.93999999997</v>
      </c>
      <c r="O155" s="326">
        <f>O141</f>
        <v>9.64</v>
      </c>
      <c r="P155" s="317">
        <f>+O155*M155</f>
        <v>251203.94</v>
      </c>
      <c r="Q155" s="320">
        <f>+P155/N155-1</f>
        <v>0</v>
      </c>
      <c r="R155" s="320"/>
      <c r="S155" s="349" t="str">
        <f t="shared" si="52"/>
        <v>November</v>
      </c>
      <c r="T155" s="324">
        <f t="shared" si="47"/>
        <v>400039.66000000003</v>
      </c>
      <c r="U155" s="45"/>
      <c r="V155" s="45" t="str">
        <f t="shared" si="48"/>
        <v>GD-2: Regular General</v>
      </c>
    </row>
    <row r="156" spans="1:22">
      <c r="A156" s="49" t="s">
        <v>45</v>
      </c>
      <c r="B156" s="298" t="s">
        <v>108</v>
      </c>
      <c r="C156" s="297">
        <f>D156/300</f>
        <v>28</v>
      </c>
      <c r="D156" s="317">
        <v>8400</v>
      </c>
      <c r="E156" s="318">
        <v>3922094</v>
      </c>
      <c r="F156" s="318">
        <v>6067149</v>
      </c>
      <c r="G156" s="317">
        <v>100718.82</v>
      </c>
      <c r="H156" s="319">
        <f t="shared" si="49"/>
        <v>1.9089999999999999E-2</v>
      </c>
      <c r="I156" s="319">
        <f>I142</f>
        <v>4.2599999999999999E-3</v>
      </c>
      <c r="J156" s="317">
        <f t="shared" si="50"/>
        <v>100718.82920000001</v>
      </c>
      <c r="K156" s="320">
        <f t="shared" si="51"/>
        <v>9.134340528405005E-8</v>
      </c>
      <c r="L156" s="321"/>
      <c r="M156" s="322">
        <v>24448.5</v>
      </c>
      <c r="N156" s="317">
        <v>193876.66</v>
      </c>
      <c r="O156" s="326">
        <f>O142</f>
        <v>7.93</v>
      </c>
      <c r="P156" s="317">
        <f>+O156*M156</f>
        <v>193876.60499999998</v>
      </c>
      <c r="Q156" s="320">
        <f>+P156/N156-1</f>
        <v>-2.8368551441282364E-7</v>
      </c>
      <c r="R156" s="320"/>
      <c r="S156" s="349" t="str">
        <f t="shared" si="52"/>
        <v>November</v>
      </c>
      <c r="T156" s="324">
        <f t="shared" si="47"/>
        <v>302995.48</v>
      </c>
      <c r="U156" s="45"/>
      <c r="V156" s="45" t="str">
        <f t="shared" si="48"/>
        <v>GD-3: Large General</v>
      </c>
    </row>
    <row r="157" spans="1:22">
      <c r="A157" s="298" t="s">
        <v>46</v>
      </c>
      <c r="B157" s="298" t="s">
        <v>109</v>
      </c>
      <c r="C157" s="297">
        <f>+D157/10</f>
        <v>2</v>
      </c>
      <c r="D157" s="317">
        <v>20</v>
      </c>
      <c r="E157" s="318">
        <v>2216</v>
      </c>
      <c r="F157" s="318">
        <v>13064</v>
      </c>
      <c r="G157" s="317">
        <v>50.83</v>
      </c>
      <c r="H157" s="319">
        <f t="shared" si="49"/>
        <v>1.0030000000000001E-2</v>
      </c>
      <c r="I157" s="319">
        <f>I143</f>
        <v>2.1900000000000001E-3</v>
      </c>
      <c r="J157" s="317">
        <f t="shared" si="50"/>
        <v>50.836640000000003</v>
      </c>
      <c r="K157" s="320">
        <f t="shared" si="51"/>
        <v>1.3063151682080054E-4</v>
      </c>
      <c r="L157" s="321"/>
      <c r="M157" s="322">
        <v>118.5</v>
      </c>
      <c r="N157" s="317">
        <v>456.23</v>
      </c>
      <c r="O157" s="326">
        <f>O143</f>
        <v>3.85</v>
      </c>
      <c r="P157" s="317">
        <f>+O157*M157</f>
        <v>456.22500000000002</v>
      </c>
      <c r="Q157" s="320">
        <f>+P157/N157-1</f>
        <v>-1.0959384521003201E-5</v>
      </c>
      <c r="R157" s="320"/>
      <c r="S157" s="349" t="str">
        <f t="shared" si="52"/>
        <v>November</v>
      </c>
      <c r="T157" s="324">
        <f t="shared" si="47"/>
        <v>527.06000000000006</v>
      </c>
      <c r="U157" s="45"/>
      <c r="V157" s="45" t="str">
        <f t="shared" si="48"/>
        <v>GD-4: Regular General Optional TOU</v>
      </c>
    </row>
    <row r="158" spans="1:22">
      <c r="A158" s="49" t="s">
        <v>47</v>
      </c>
      <c r="B158" s="298" t="s">
        <v>110</v>
      </c>
      <c r="C158" s="297">
        <v>5</v>
      </c>
      <c r="D158" s="317">
        <v>0</v>
      </c>
      <c r="E158" s="318">
        <v>6688</v>
      </c>
      <c r="F158" s="318"/>
      <c r="G158" s="317">
        <v>398.34000000000003</v>
      </c>
      <c r="H158" s="319">
        <f t="shared" si="49"/>
        <v>5.9560000000000002E-2</v>
      </c>
      <c r="I158" s="319"/>
      <c r="J158" s="317">
        <f t="shared" si="50"/>
        <v>398.33728000000002</v>
      </c>
      <c r="K158" s="320">
        <f t="shared" si="51"/>
        <v>-6.8283376010169761E-6</v>
      </c>
      <c r="L158" s="321"/>
      <c r="M158" s="322"/>
      <c r="N158" s="317"/>
      <c r="O158" s="320"/>
      <c r="P158" s="317"/>
      <c r="Q158" s="323"/>
      <c r="R158" s="323"/>
      <c r="S158" s="349" t="str">
        <f t="shared" si="52"/>
        <v>November</v>
      </c>
      <c r="T158" s="324">
        <f t="shared" si="47"/>
        <v>398.34000000000003</v>
      </c>
      <c r="U158" s="45"/>
      <c r="V158" s="45" t="str">
        <f t="shared" si="48"/>
        <v>GD-5: Water and/or Space Heating Rider</v>
      </c>
    </row>
    <row r="159" spans="1:22">
      <c r="C159" s="297"/>
      <c r="D159" s="316"/>
      <c r="Q159" s="323"/>
      <c r="R159" s="323"/>
      <c r="S159" s="349" t="str">
        <f t="shared" si="52"/>
        <v>November</v>
      </c>
      <c r="T159" s="324">
        <f t="shared" si="47"/>
        <v>0</v>
      </c>
      <c r="U159" s="45"/>
      <c r="V159" s="45" t="str">
        <f t="shared" si="48"/>
        <v/>
      </c>
    </row>
    <row r="160" spans="1:22">
      <c r="B160" s="49" t="s">
        <v>279</v>
      </c>
      <c r="C160" s="297">
        <f>SUM(C152:C158)</f>
        <v>30518.598571428571</v>
      </c>
      <c r="D160" s="317">
        <f>SUM(D152:D158)</f>
        <v>234030.19</v>
      </c>
      <c r="E160" s="297">
        <f>SUM(E152:E158)</f>
        <v>21510141</v>
      </c>
      <c r="F160" s="297">
        <f>SUM(F152:F158)</f>
        <v>6080213</v>
      </c>
      <c r="G160" s="317">
        <f>SUM(G152:G158)</f>
        <v>1152133.2900000003</v>
      </c>
      <c r="J160" s="317">
        <f>SUM(J152:J158)</f>
        <v>1152130.4224800004</v>
      </c>
      <c r="K160" s="320">
        <f>+J160/G160-1</f>
        <v>-2.4888786954724296E-6</v>
      </c>
      <c r="L160" s="321"/>
      <c r="M160" s="322">
        <f>SUM(M152:M158)</f>
        <v>50625.5</v>
      </c>
      <c r="N160" s="317">
        <f>SUM(N152:N158)</f>
        <v>445536.82999999996</v>
      </c>
      <c r="P160" s="317">
        <f>SUM(P152:P158)</f>
        <v>445536.76999999996</v>
      </c>
      <c r="Q160" s="320">
        <f>+P160/N160-1</f>
        <v>-1.3466900139480487E-7</v>
      </c>
      <c r="R160" s="320"/>
      <c r="S160" s="349" t="str">
        <f t="shared" si="52"/>
        <v>November</v>
      </c>
      <c r="T160" s="324">
        <f t="shared" si="47"/>
        <v>1831700.31</v>
      </c>
      <c r="U160" s="45"/>
      <c r="V160" s="45" t="str">
        <f t="shared" si="48"/>
        <v/>
      </c>
    </row>
    <row r="161" spans="1:22">
      <c r="C161" s="297"/>
      <c r="D161" s="317"/>
      <c r="E161" s="297"/>
      <c r="F161" s="297"/>
      <c r="G161" s="317"/>
      <c r="J161" s="317"/>
      <c r="K161" s="320"/>
      <c r="L161" s="321"/>
      <c r="M161" s="322"/>
      <c r="N161" s="317"/>
      <c r="P161" s="317"/>
      <c r="Q161" s="320"/>
      <c r="R161" s="320"/>
      <c r="S161" s="320"/>
      <c r="T161" s="324">
        <f t="shared" si="47"/>
        <v>0</v>
      </c>
      <c r="U161" s="45"/>
      <c r="V161" s="45" t="str">
        <f t="shared" si="48"/>
        <v/>
      </c>
    </row>
    <row r="162" spans="1:22">
      <c r="A162" s="295"/>
      <c r="B162" s="296" t="s">
        <v>625</v>
      </c>
      <c r="C162" s="297"/>
      <c r="D162" s="298"/>
      <c r="E162" s="299"/>
      <c r="F162" s="299"/>
      <c r="G162" s="300"/>
      <c r="H162" s="301" t="s">
        <v>612</v>
      </c>
      <c r="I162" s="301" t="s">
        <v>613</v>
      </c>
      <c r="J162" s="290" t="s">
        <v>596</v>
      </c>
      <c r="N162" s="290"/>
      <c r="P162" s="290" t="s">
        <v>596</v>
      </c>
      <c r="T162" s="324">
        <f t="shared" si="47"/>
        <v>0</v>
      </c>
      <c r="U162" s="45"/>
      <c r="V162" s="45" t="str">
        <f t="shared" si="48"/>
        <v/>
      </c>
    </row>
    <row r="163" spans="1:22">
      <c r="A163" s="290"/>
      <c r="B163" s="290"/>
      <c r="C163" s="297"/>
      <c r="D163" s="290"/>
      <c r="E163" s="302" t="s">
        <v>614</v>
      </c>
      <c r="F163" s="302" t="s">
        <v>615</v>
      </c>
      <c r="G163" s="300" t="s">
        <v>262</v>
      </c>
      <c r="H163" s="301" t="s">
        <v>262</v>
      </c>
      <c r="I163" s="301" t="s">
        <v>262</v>
      </c>
      <c r="J163" s="290" t="s">
        <v>262</v>
      </c>
      <c r="K163" s="303" t="s">
        <v>598</v>
      </c>
      <c r="L163" s="304"/>
      <c r="M163" s="292"/>
      <c r="N163" s="290" t="s">
        <v>262</v>
      </c>
      <c r="O163" s="290" t="s">
        <v>262</v>
      </c>
      <c r="P163" s="290" t="s">
        <v>262</v>
      </c>
      <c r="Q163" s="304" t="s">
        <v>598</v>
      </c>
      <c r="R163" s="304"/>
      <c r="S163" s="304"/>
      <c r="T163" s="324" t="str">
        <f t="shared" si="47"/>
        <v/>
      </c>
      <c r="U163" s="45"/>
      <c r="V163" s="45" t="str">
        <f t="shared" si="48"/>
        <v/>
      </c>
    </row>
    <row r="164" spans="1:22">
      <c r="A164" s="290" t="s">
        <v>404</v>
      </c>
      <c r="B164" s="290"/>
      <c r="C164" s="300" t="s">
        <v>418</v>
      </c>
      <c r="D164" s="290" t="s">
        <v>599</v>
      </c>
      <c r="E164" s="302" t="s">
        <v>600</v>
      </c>
      <c r="F164" s="302" t="s">
        <v>601</v>
      </c>
      <c r="G164" s="300" t="s">
        <v>421</v>
      </c>
      <c r="H164" s="305" t="s">
        <v>602</v>
      </c>
      <c r="I164" s="305" t="s">
        <v>603</v>
      </c>
      <c r="J164" s="304" t="s">
        <v>421</v>
      </c>
      <c r="K164" s="306" t="s">
        <v>421</v>
      </c>
      <c r="L164" s="290"/>
      <c r="M164" s="292" t="s">
        <v>408</v>
      </c>
      <c r="N164" s="292" t="s">
        <v>408</v>
      </c>
      <c r="O164" s="290" t="s">
        <v>408</v>
      </c>
      <c r="P164" s="290" t="s">
        <v>408</v>
      </c>
      <c r="Q164" s="290" t="s">
        <v>408</v>
      </c>
      <c r="R164" s="290"/>
      <c r="S164" s="290"/>
      <c r="T164" s="324" t="str">
        <f t="shared" si="47"/>
        <v/>
      </c>
      <c r="U164" s="45"/>
      <c r="V164" s="45" t="str">
        <f t="shared" si="48"/>
        <v/>
      </c>
    </row>
    <row r="165" spans="1:22" ht="13.2">
      <c r="A165" s="308" t="s">
        <v>90</v>
      </c>
      <c r="B165" s="308" t="s">
        <v>125</v>
      </c>
      <c r="C165" s="309" t="s">
        <v>605</v>
      </c>
      <c r="D165" s="308" t="s">
        <v>162</v>
      </c>
      <c r="E165" s="309" t="s">
        <v>421</v>
      </c>
      <c r="F165" s="309" t="s">
        <v>421</v>
      </c>
      <c r="G165" s="310" t="s">
        <v>162</v>
      </c>
      <c r="H165" s="311" t="s">
        <v>404</v>
      </c>
      <c r="I165" s="311" t="s">
        <v>404</v>
      </c>
      <c r="J165" s="308" t="s">
        <v>162</v>
      </c>
      <c r="K165" s="312" t="s">
        <v>606</v>
      </c>
      <c r="L165" s="308"/>
      <c r="M165" s="313" t="s">
        <v>607</v>
      </c>
      <c r="N165" s="314" t="s">
        <v>162</v>
      </c>
      <c r="O165" s="308" t="s">
        <v>404</v>
      </c>
      <c r="P165" s="308" t="s">
        <v>162</v>
      </c>
      <c r="Q165" s="308" t="s">
        <v>606</v>
      </c>
      <c r="R165" s="308"/>
      <c r="S165" s="308"/>
      <c r="T165" s="324" t="str">
        <f t="shared" si="47"/>
        <v/>
      </c>
      <c r="U165" s="45"/>
      <c r="V165" s="45" t="str">
        <f t="shared" si="48"/>
        <v/>
      </c>
    </row>
    <row r="166" spans="1:22">
      <c r="A166" s="49" t="s">
        <v>39</v>
      </c>
      <c r="B166" s="316" t="s">
        <v>610</v>
      </c>
      <c r="C166" s="297">
        <f>+D166/7</f>
        <v>21459.530000000002</v>
      </c>
      <c r="D166" s="317">
        <v>150216.71000000002</v>
      </c>
      <c r="E166" s="318">
        <v>11813416</v>
      </c>
      <c r="F166" s="318"/>
      <c r="G166" s="317">
        <v>915778.03999999992</v>
      </c>
      <c r="H166" s="319">
        <f t="shared" ref="H166:H172" si="53">H152</f>
        <v>7.7520000000000006E-2</v>
      </c>
      <c r="I166" s="319"/>
      <c r="J166" s="317">
        <f t="shared" ref="J166:J172" si="54">+E166*H166+F166*I166</f>
        <v>915776.00832000002</v>
      </c>
      <c r="K166" s="320">
        <f t="shared" ref="K166:K172" si="55">+J166/G166-1</f>
        <v>-2.218528847741652E-6</v>
      </c>
      <c r="L166" s="321"/>
      <c r="M166" s="322"/>
      <c r="N166" s="317"/>
      <c r="O166" s="320"/>
      <c r="P166" s="317"/>
      <c r="Q166" s="323"/>
      <c r="R166" s="323"/>
      <c r="S166" s="349" t="s">
        <v>238</v>
      </c>
      <c r="T166" s="324">
        <f t="shared" si="47"/>
        <v>1065994.75</v>
      </c>
      <c r="U166" s="45"/>
      <c r="V166" s="45" t="str">
        <f t="shared" si="48"/>
        <v>RD-1: Residential</v>
      </c>
    </row>
    <row r="167" spans="1:22">
      <c r="A167" s="49" t="s">
        <v>42</v>
      </c>
      <c r="B167" s="316" t="s">
        <v>104</v>
      </c>
      <c r="C167" s="297">
        <f>+D167/7</f>
        <v>5081.0028571428566</v>
      </c>
      <c r="D167" s="317">
        <v>35567.019999999997</v>
      </c>
      <c r="E167" s="318">
        <v>3030261</v>
      </c>
      <c r="F167" s="318"/>
      <c r="G167" s="317">
        <v>234905.99</v>
      </c>
      <c r="H167" s="319">
        <f t="shared" si="53"/>
        <v>7.7520000000000006E-2</v>
      </c>
      <c r="I167" s="319"/>
      <c r="J167" s="317">
        <f t="shared" si="54"/>
        <v>234905.83272000001</v>
      </c>
      <c r="K167" s="320">
        <f t="shared" si="55"/>
        <v>-6.695444420001806E-7</v>
      </c>
      <c r="L167" s="321"/>
      <c r="M167" s="322"/>
      <c r="N167" s="317"/>
      <c r="O167" s="320"/>
      <c r="P167" s="317"/>
      <c r="Q167" s="323"/>
      <c r="R167" s="323"/>
      <c r="S167" s="349" t="str">
        <f t="shared" ref="S167:S174" si="56">S166</f>
        <v>December</v>
      </c>
      <c r="T167" s="324">
        <f t="shared" si="47"/>
        <v>270473.01</v>
      </c>
      <c r="U167" s="45"/>
      <c r="V167" s="45" t="str">
        <f t="shared" si="48"/>
        <v>RD-2: Residential, Low Income</v>
      </c>
    </row>
    <row r="168" spans="1:22">
      <c r="A168" s="49" t="s">
        <v>43</v>
      </c>
      <c r="B168" s="298" t="s">
        <v>106</v>
      </c>
      <c r="C168" s="297">
        <f>+D168/10</f>
        <v>2549</v>
      </c>
      <c r="D168" s="317">
        <v>25490</v>
      </c>
      <c r="E168" s="318">
        <v>517498</v>
      </c>
      <c r="F168" s="318"/>
      <c r="G168" s="317">
        <v>39852.559999999998</v>
      </c>
      <c r="H168" s="319">
        <f t="shared" si="53"/>
        <v>7.7009999999999995E-2</v>
      </c>
      <c r="I168" s="319"/>
      <c r="J168" s="317">
        <f t="shared" si="54"/>
        <v>39852.520979999994</v>
      </c>
      <c r="K168" s="320">
        <f t="shared" si="55"/>
        <v>-9.7910899587994038E-7</v>
      </c>
      <c r="L168" s="321"/>
      <c r="M168" s="322"/>
      <c r="N168" s="317"/>
      <c r="O168" s="320"/>
      <c r="P168" s="317"/>
      <c r="Q168" s="323"/>
      <c r="R168" s="323"/>
      <c r="S168" s="349" t="str">
        <f t="shared" si="56"/>
        <v>December</v>
      </c>
      <c r="T168" s="324">
        <f t="shared" si="47"/>
        <v>65342.559999999998</v>
      </c>
      <c r="U168" s="45"/>
      <c r="V168" s="45" t="str">
        <f t="shared" si="48"/>
        <v>GD-1: Small General</v>
      </c>
    </row>
    <row r="169" spans="1:22">
      <c r="A169" s="49" t="s">
        <v>44</v>
      </c>
      <c r="B169" s="298" t="s">
        <v>107</v>
      </c>
      <c r="C169" s="297">
        <f>+D169/10</f>
        <v>1534</v>
      </c>
      <c r="D169" s="317">
        <v>15340</v>
      </c>
      <c r="E169" s="318">
        <v>6897223</v>
      </c>
      <c r="F169" s="318"/>
      <c r="G169" s="317">
        <v>160429.35999999999</v>
      </c>
      <c r="H169" s="319">
        <f t="shared" si="53"/>
        <v>2.3259999999999999E-2</v>
      </c>
      <c r="I169" s="319"/>
      <c r="J169" s="317">
        <f t="shared" si="54"/>
        <v>160429.40698</v>
      </c>
      <c r="K169" s="320">
        <f t="shared" si="55"/>
        <v>2.9283916624933681E-7</v>
      </c>
      <c r="L169" s="321"/>
      <c r="M169" s="322">
        <v>25793</v>
      </c>
      <c r="N169" s="317">
        <v>248644.52</v>
      </c>
      <c r="O169" s="326">
        <f>O155</f>
        <v>9.64</v>
      </c>
      <c r="P169" s="317">
        <f>+O169*M169</f>
        <v>248644.52000000002</v>
      </c>
      <c r="Q169" s="320">
        <f>+P169/N169-1</f>
        <v>0</v>
      </c>
      <c r="R169" s="320"/>
      <c r="S169" s="349" t="str">
        <f t="shared" si="56"/>
        <v>December</v>
      </c>
      <c r="T169" s="324">
        <f t="shared" si="47"/>
        <v>424413.88</v>
      </c>
      <c r="U169" s="45"/>
      <c r="V169" s="45" t="str">
        <f t="shared" si="48"/>
        <v>GD-2: Regular General</v>
      </c>
    </row>
    <row r="170" spans="1:22">
      <c r="A170" s="49" t="s">
        <v>45</v>
      </c>
      <c r="B170" s="298" t="s">
        <v>108</v>
      </c>
      <c r="C170" s="297">
        <f>D170/300</f>
        <v>28</v>
      </c>
      <c r="D170" s="317">
        <v>8400</v>
      </c>
      <c r="E170" s="318">
        <v>3728012</v>
      </c>
      <c r="F170" s="318">
        <v>5600113</v>
      </c>
      <c r="G170" s="317">
        <v>95024.27</v>
      </c>
      <c r="H170" s="319">
        <f t="shared" si="53"/>
        <v>1.9089999999999999E-2</v>
      </c>
      <c r="I170" s="319">
        <f>I156</f>
        <v>4.2599999999999999E-3</v>
      </c>
      <c r="J170" s="317">
        <f t="shared" si="54"/>
        <v>95024.230459999992</v>
      </c>
      <c r="K170" s="320">
        <f t="shared" si="55"/>
        <v>-4.1610422274462877E-7</v>
      </c>
      <c r="L170" s="321"/>
      <c r="M170" s="322">
        <v>22688</v>
      </c>
      <c r="N170" s="317">
        <v>179915.9</v>
      </c>
      <c r="O170" s="326">
        <f>O156</f>
        <v>7.93</v>
      </c>
      <c r="P170" s="317">
        <f>+O170*M170</f>
        <v>179915.84</v>
      </c>
      <c r="Q170" s="320">
        <f>+P170/N170-1</f>
        <v>-3.3348914685316089E-7</v>
      </c>
      <c r="R170" s="320"/>
      <c r="S170" s="349" t="str">
        <f t="shared" si="56"/>
        <v>December</v>
      </c>
      <c r="T170" s="324">
        <f t="shared" si="47"/>
        <v>283340.17</v>
      </c>
      <c r="U170" s="45"/>
      <c r="V170" s="45" t="str">
        <f t="shared" si="48"/>
        <v>GD-3: Large General</v>
      </c>
    </row>
    <row r="171" spans="1:22">
      <c r="A171" s="298" t="s">
        <v>46</v>
      </c>
      <c r="B171" s="298" t="s">
        <v>109</v>
      </c>
      <c r="C171" s="297">
        <f>+D171/10</f>
        <v>2</v>
      </c>
      <c r="D171" s="317">
        <v>20</v>
      </c>
      <c r="E171" s="318">
        <v>3198</v>
      </c>
      <c r="F171" s="318">
        <v>9990</v>
      </c>
      <c r="G171" s="317">
        <v>53.95</v>
      </c>
      <c r="H171" s="319">
        <f t="shared" si="53"/>
        <v>1.0030000000000001E-2</v>
      </c>
      <c r="I171" s="319">
        <f>I157</f>
        <v>2.1900000000000001E-3</v>
      </c>
      <c r="J171" s="317">
        <f t="shared" si="54"/>
        <v>53.954040000000006</v>
      </c>
      <c r="K171" s="320">
        <f t="shared" si="55"/>
        <v>7.4884151992637982E-5</v>
      </c>
      <c r="L171" s="321"/>
      <c r="M171" s="322">
        <v>121</v>
      </c>
      <c r="N171" s="317">
        <v>465.85</v>
      </c>
      <c r="O171" s="326">
        <f>O157</f>
        <v>3.85</v>
      </c>
      <c r="P171" s="317">
        <f>+O171*M171</f>
        <v>465.85</v>
      </c>
      <c r="Q171" s="320">
        <f>+P171/N171-1</f>
        <v>0</v>
      </c>
      <c r="R171" s="320"/>
      <c r="S171" s="349" t="str">
        <f t="shared" si="56"/>
        <v>December</v>
      </c>
      <c r="T171" s="324">
        <f t="shared" si="47"/>
        <v>539.80000000000007</v>
      </c>
      <c r="U171" s="45"/>
      <c r="V171" s="45" t="str">
        <f t="shared" si="48"/>
        <v>GD-4: Regular General Optional TOU</v>
      </c>
    </row>
    <row r="172" spans="1:22">
      <c r="A172" s="49" t="s">
        <v>47</v>
      </c>
      <c r="B172" s="298" t="s">
        <v>110</v>
      </c>
      <c r="C172" s="297">
        <v>5</v>
      </c>
      <c r="D172" s="317">
        <v>0</v>
      </c>
      <c r="E172" s="318">
        <v>15809</v>
      </c>
      <c r="F172" s="318"/>
      <c r="G172" s="317">
        <v>941.57</v>
      </c>
      <c r="H172" s="319">
        <f t="shared" si="53"/>
        <v>5.9560000000000002E-2</v>
      </c>
      <c r="I172" s="319"/>
      <c r="J172" s="317">
        <f t="shared" si="54"/>
        <v>941.58404000000007</v>
      </c>
      <c r="K172" s="320">
        <f t="shared" si="55"/>
        <v>1.4911265227235404E-5</v>
      </c>
      <c r="L172" s="321"/>
      <c r="M172" s="322"/>
      <c r="N172" s="317"/>
      <c r="O172" s="320"/>
      <c r="P172" s="317"/>
      <c r="Q172" s="323"/>
      <c r="R172" s="323"/>
      <c r="S172" s="349" t="str">
        <f t="shared" si="56"/>
        <v>December</v>
      </c>
      <c r="T172" s="324">
        <f t="shared" si="47"/>
        <v>941.57</v>
      </c>
      <c r="U172" s="45"/>
      <c r="V172" s="45" t="str">
        <f t="shared" si="48"/>
        <v>GD-5: Water and/or Space Heating Rider</v>
      </c>
    </row>
    <row r="173" spans="1:22">
      <c r="C173" s="297"/>
      <c r="D173" s="316"/>
      <c r="Q173" s="323"/>
      <c r="R173" s="323"/>
      <c r="S173" s="349" t="str">
        <f t="shared" si="56"/>
        <v>December</v>
      </c>
      <c r="T173" s="324">
        <f t="shared" si="47"/>
        <v>0</v>
      </c>
      <c r="U173" s="45"/>
      <c r="V173" s="45" t="str">
        <f t="shared" si="48"/>
        <v/>
      </c>
    </row>
    <row r="174" spans="1:22">
      <c r="B174" s="49" t="s">
        <v>279</v>
      </c>
      <c r="C174" s="297">
        <f>SUM(C166:C172)</f>
        <v>30658.532857142858</v>
      </c>
      <c r="D174" s="317">
        <f>SUM(D166:D172)</f>
        <v>235033.73</v>
      </c>
      <c r="E174" s="297">
        <f>SUM(E166:E172)</f>
        <v>26005417</v>
      </c>
      <c r="F174" s="297">
        <f>SUM(F166:F172)</f>
        <v>5610103</v>
      </c>
      <c r="G174" s="317">
        <f>SUM(G166:G172)</f>
        <v>1446985.7399999998</v>
      </c>
      <c r="J174" s="317">
        <f>SUM(J166:J172)</f>
        <v>1446983.5375400002</v>
      </c>
      <c r="K174" s="320">
        <f>+J174/G174-1</f>
        <v>-1.522102076600973E-6</v>
      </c>
      <c r="L174" s="321"/>
      <c r="M174" s="322">
        <f>SUM(M166:M172)</f>
        <v>48602</v>
      </c>
      <c r="N174" s="317">
        <f>SUM(N166:N172)</f>
        <v>429026.26999999996</v>
      </c>
      <c r="P174" s="317">
        <f>SUM(P166:P172)</f>
        <v>429026.20999999996</v>
      </c>
      <c r="Q174" s="320">
        <f>+P174/N174-1</f>
        <v>-1.3985157598650488E-7</v>
      </c>
      <c r="R174" s="320"/>
      <c r="S174" s="349" t="str">
        <f t="shared" si="56"/>
        <v>December</v>
      </c>
      <c r="T174" s="324">
        <f t="shared" si="47"/>
        <v>2111045.7399999998</v>
      </c>
      <c r="U174" s="45"/>
      <c r="V174" s="45" t="str">
        <f t="shared" si="48"/>
        <v/>
      </c>
    </row>
    <row r="175" spans="1:22">
      <c r="C175" s="297"/>
      <c r="D175" s="317"/>
      <c r="E175" s="297"/>
      <c r="F175" s="297"/>
      <c r="G175" s="317"/>
      <c r="J175" s="317"/>
      <c r="K175" s="320"/>
      <c r="L175" s="321"/>
      <c r="M175" s="322"/>
      <c r="N175" s="317"/>
      <c r="P175" s="317"/>
      <c r="Q175" s="320"/>
      <c r="R175" s="320"/>
      <c r="S175" s="320"/>
      <c r="T175" s="45"/>
      <c r="U175" s="45"/>
      <c r="V175" s="45" t="str">
        <f t="shared" si="48"/>
        <v/>
      </c>
    </row>
    <row r="176" spans="1:22">
      <c r="A176" s="295"/>
      <c r="B176" s="296" t="s">
        <v>626</v>
      </c>
      <c r="C176" s="297"/>
      <c r="D176" s="298"/>
      <c r="E176" s="299"/>
      <c r="F176" s="299"/>
      <c r="G176" s="300"/>
      <c r="H176" s="301"/>
      <c r="I176" s="301"/>
      <c r="J176" s="290"/>
      <c r="N176" s="290"/>
      <c r="O176" s="290"/>
      <c r="P176" s="290"/>
      <c r="T176" s="45"/>
      <c r="U176" s="45"/>
      <c r="V176" s="45"/>
    </row>
    <row r="177" spans="1:22">
      <c r="A177" s="290"/>
      <c r="B177" s="290"/>
      <c r="C177" s="297"/>
      <c r="D177" s="290"/>
      <c r="E177" s="302" t="s">
        <v>614</v>
      </c>
      <c r="F177" s="302" t="s">
        <v>615</v>
      </c>
      <c r="G177" s="300" t="s">
        <v>262</v>
      </c>
      <c r="H177" s="301"/>
      <c r="I177" s="301"/>
      <c r="J177" s="290"/>
      <c r="K177" s="303"/>
      <c r="L177" s="304"/>
      <c r="M177" s="292"/>
      <c r="N177" s="290" t="s">
        <v>262</v>
      </c>
      <c r="O177" s="290"/>
      <c r="P177" s="290"/>
      <c r="Q177" s="304"/>
      <c r="R177" s="304"/>
      <c r="S177" s="304"/>
      <c r="T177" s="45"/>
      <c r="U177" s="45"/>
      <c r="V177" s="45"/>
    </row>
    <row r="178" spans="1:22">
      <c r="A178" s="290" t="s">
        <v>404</v>
      </c>
      <c r="B178" s="290"/>
      <c r="C178" s="300" t="s">
        <v>418</v>
      </c>
      <c r="D178" s="290" t="s">
        <v>599</v>
      </c>
      <c r="E178" s="302" t="s">
        <v>600</v>
      </c>
      <c r="F178" s="302" t="s">
        <v>601</v>
      </c>
      <c r="G178" s="300" t="s">
        <v>421</v>
      </c>
      <c r="H178" s="305"/>
      <c r="I178" s="305"/>
      <c r="J178" s="304"/>
      <c r="K178" s="306"/>
      <c r="L178" s="290"/>
      <c r="M178" s="292" t="s">
        <v>408</v>
      </c>
      <c r="N178" s="292" t="s">
        <v>408</v>
      </c>
      <c r="O178" s="290"/>
      <c r="P178" s="290"/>
      <c r="Q178" s="290"/>
      <c r="R178" s="290"/>
      <c r="S178" s="290"/>
      <c r="T178" s="45"/>
      <c r="U178" s="45"/>
      <c r="V178" s="45"/>
    </row>
    <row r="179" spans="1:22" ht="13.2">
      <c r="A179" s="308" t="s">
        <v>90</v>
      </c>
      <c r="B179" s="308" t="s">
        <v>125</v>
      </c>
      <c r="C179" s="309" t="s">
        <v>605</v>
      </c>
      <c r="D179" s="308" t="s">
        <v>162</v>
      </c>
      <c r="E179" s="309" t="s">
        <v>421</v>
      </c>
      <c r="F179" s="309" t="s">
        <v>421</v>
      </c>
      <c r="G179" s="310" t="s">
        <v>162</v>
      </c>
      <c r="H179" s="311"/>
      <c r="I179" s="311"/>
      <c r="J179" s="308"/>
      <c r="K179" s="312"/>
      <c r="L179" s="308"/>
      <c r="M179" s="313" t="s">
        <v>607</v>
      </c>
      <c r="N179" s="314" t="s">
        <v>162</v>
      </c>
      <c r="O179" s="308"/>
      <c r="P179" s="308"/>
      <c r="Q179" s="308"/>
      <c r="R179" s="308"/>
      <c r="S179" s="308"/>
      <c r="T179" s="45"/>
      <c r="U179" s="45"/>
      <c r="V179" s="45"/>
    </row>
    <row r="180" spans="1:22">
      <c r="A180" s="49" t="s">
        <v>39</v>
      </c>
      <c r="B180" s="316" t="s">
        <v>610</v>
      </c>
      <c r="C180" s="297">
        <f t="shared" ref="C180:G186" si="57">SUM(C12,C26,C40,C54,C68,C82,C96,C110,C124,C138,C152,C166)</f>
        <v>254959.89714285714</v>
      </c>
      <c r="D180" s="317">
        <f t="shared" si="57"/>
        <v>1784719.2799999998</v>
      </c>
      <c r="E180" s="333">
        <f t="shared" si="57"/>
        <v>137275588</v>
      </c>
      <c r="F180" s="318">
        <f t="shared" si="57"/>
        <v>0</v>
      </c>
      <c r="G180" s="317">
        <f t="shared" si="57"/>
        <v>10641627.23</v>
      </c>
      <c r="H180" s="319"/>
      <c r="I180" s="319"/>
      <c r="J180" s="317"/>
      <c r="K180" s="320"/>
      <c r="L180" s="321"/>
      <c r="M180" s="322"/>
      <c r="N180" s="317"/>
      <c r="O180" s="320"/>
      <c r="P180" s="317"/>
      <c r="Q180" s="323"/>
      <c r="R180" s="323"/>
      <c r="S180" s="323"/>
      <c r="T180" s="45"/>
      <c r="U180" s="45"/>
      <c r="V180" s="45"/>
    </row>
    <row r="181" spans="1:22">
      <c r="A181" s="49" t="s">
        <v>42</v>
      </c>
      <c r="B181" s="316" t="s">
        <v>104</v>
      </c>
      <c r="C181" s="297">
        <f t="shared" si="57"/>
        <v>61437.474285714277</v>
      </c>
      <c r="D181" s="317">
        <f t="shared" si="57"/>
        <v>430062.32</v>
      </c>
      <c r="E181" s="333">
        <f t="shared" si="57"/>
        <v>35064508</v>
      </c>
      <c r="F181" s="318">
        <f t="shared" si="57"/>
        <v>0</v>
      </c>
      <c r="G181" s="317">
        <f t="shared" si="57"/>
        <v>2718207.05</v>
      </c>
      <c r="H181" s="319"/>
      <c r="I181" s="319"/>
      <c r="J181" s="317"/>
      <c r="K181" s="320"/>
      <c r="L181" s="321"/>
      <c r="M181" s="322"/>
      <c r="N181" s="317"/>
      <c r="O181" s="320"/>
      <c r="P181" s="317"/>
      <c r="Q181" s="323"/>
      <c r="R181" s="323"/>
      <c r="S181" s="323"/>
      <c r="T181" s="45"/>
      <c r="U181" s="45"/>
      <c r="V181" s="45"/>
    </row>
    <row r="182" spans="1:22">
      <c r="A182" s="49" t="s">
        <v>43</v>
      </c>
      <c r="B182" s="298" t="s">
        <v>106</v>
      </c>
      <c r="C182" s="297">
        <f t="shared" si="57"/>
        <v>30492.186000000002</v>
      </c>
      <c r="D182" s="317">
        <f t="shared" si="57"/>
        <v>304921.86</v>
      </c>
      <c r="E182" s="333">
        <f t="shared" si="57"/>
        <v>5912347</v>
      </c>
      <c r="F182" s="318">
        <f t="shared" si="57"/>
        <v>0</v>
      </c>
      <c r="G182" s="317">
        <f t="shared" si="57"/>
        <v>455313.51000000007</v>
      </c>
      <c r="H182" s="319"/>
      <c r="I182" s="319"/>
      <c r="J182" s="317"/>
      <c r="K182" s="320"/>
      <c r="L182" s="321"/>
      <c r="M182" s="322"/>
      <c r="N182" s="317"/>
      <c r="O182" s="320"/>
      <c r="P182" s="317"/>
      <c r="Q182" s="323"/>
      <c r="R182" s="323"/>
      <c r="S182" s="323"/>
      <c r="T182" s="45"/>
      <c r="U182" s="45"/>
      <c r="V182" s="45"/>
    </row>
    <row r="183" spans="1:22">
      <c r="A183" s="49" t="s">
        <v>44</v>
      </c>
      <c r="B183" s="298" t="s">
        <v>107</v>
      </c>
      <c r="C183" s="297">
        <f t="shared" si="57"/>
        <v>18164.620999999999</v>
      </c>
      <c r="D183" s="317">
        <f t="shared" si="57"/>
        <v>181646.21</v>
      </c>
      <c r="E183" s="333">
        <f t="shared" si="57"/>
        <v>86826989</v>
      </c>
      <c r="F183" s="318">
        <f t="shared" si="57"/>
        <v>0</v>
      </c>
      <c r="G183" s="317">
        <f t="shared" si="57"/>
        <v>2019595.85</v>
      </c>
      <c r="H183" s="319"/>
      <c r="I183" s="319"/>
      <c r="J183" s="317"/>
      <c r="K183" s="320"/>
      <c r="L183" s="321"/>
      <c r="M183" s="322">
        <f t="shared" ref="M183:N185" si="58">SUM(M15,M29,M43,M57,M71,M85,M99,M113,M127,M141,M155,M169)</f>
        <v>323618.5</v>
      </c>
      <c r="N183" s="317">
        <f t="shared" si="58"/>
        <v>3119682.34</v>
      </c>
      <c r="O183" s="325">
        <f>N183/M183</f>
        <v>9.6399999999999988</v>
      </c>
      <c r="P183" s="317"/>
      <c r="Q183" s="320"/>
      <c r="R183" s="320"/>
      <c r="S183" s="320"/>
      <c r="T183" s="45"/>
      <c r="U183" s="45"/>
      <c r="V183" s="45"/>
    </row>
    <row r="184" spans="1:22">
      <c r="A184" s="49" t="s">
        <v>45</v>
      </c>
      <c r="B184" s="298" t="s">
        <v>108</v>
      </c>
      <c r="C184" s="297">
        <f t="shared" si="57"/>
        <v>339</v>
      </c>
      <c r="D184" s="317">
        <f t="shared" si="57"/>
        <v>101700</v>
      </c>
      <c r="E184" s="333">
        <f t="shared" si="57"/>
        <v>50297243</v>
      </c>
      <c r="F184" s="318">
        <f t="shared" si="57"/>
        <v>77729812</v>
      </c>
      <c r="G184" s="317">
        <f t="shared" si="57"/>
        <v>1291303.4100000001</v>
      </c>
      <c r="H184" s="319"/>
      <c r="I184" s="319"/>
      <c r="J184" s="317"/>
      <c r="K184" s="320"/>
      <c r="L184" s="321"/>
      <c r="M184" s="322">
        <f t="shared" si="58"/>
        <v>296936</v>
      </c>
      <c r="N184" s="317">
        <f t="shared" si="58"/>
        <v>2354703.3099999996</v>
      </c>
      <c r="O184" s="325">
        <f>N184/M184</f>
        <v>7.9300027952151293</v>
      </c>
      <c r="P184" s="317"/>
      <c r="Q184" s="320"/>
      <c r="R184" s="320"/>
      <c r="S184" s="320"/>
      <c r="T184" s="45"/>
      <c r="U184" s="45"/>
      <c r="V184" s="45"/>
    </row>
    <row r="185" spans="1:22">
      <c r="A185" s="298" t="s">
        <v>46</v>
      </c>
      <c r="B185" s="298" t="s">
        <v>109</v>
      </c>
      <c r="C185" s="297">
        <f t="shared" si="57"/>
        <v>33</v>
      </c>
      <c r="D185" s="317">
        <f t="shared" si="57"/>
        <v>330</v>
      </c>
      <c r="E185" s="333">
        <f t="shared" si="57"/>
        <v>54449</v>
      </c>
      <c r="F185" s="318">
        <f t="shared" si="57"/>
        <v>241496</v>
      </c>
      <c r="G185" s="317">
        <f t="shared" si="57"/>
        <v>1075</v>
      </c>
      <c r="H185" s="319"/>
      <c r="I185" s="319"/>
      <c r="J185" s="317"/>
      <c r="K185" s="320"/>
      <c r="L185" s="321"/>
      <c r="M185" s="322">
        <f t="shared" si="58"/>
        <v>1329.5</v>
      </c>
      <c r="N185" s="317">
        <f t="shared" si="58"/>
        <v>5118.6299999999992</v>
      </c>
      <c r="O185" s="325">
        <f>N185/M185</f>
        <v>3.8500413689356896</v>
      </c>
      <c r="P185" s="317"/>
      <c r="Q185" s="320"/>
      <c r="R185" s="320"/>
      <c r="S185" s="320"/>
      <c r="T185" s="45"/>
      <c r="U185" s="45"/>
      <c r="V185" s="45"/>
    </row>
    <row r="186" spans="1:22">
      <c r="A186" s="49" t="s">
        <v>47</v>
      </c>
      <c r="B186" s="298" t="s">
        <v>110</v>
      </c>
      <c r="C186" s="297">
        <f t="shared" si="57"/>
        <v>78</v>
      </c>
      <c r="D186" s="317">
        <f t="shared" si="57"/>
        <v>-300</v>
      </c>
      <c r="E186" s="333">
        <f t="shared" si="57"/>
        <v>343192</v>
      </c>
      <c r="F186" s="318">
        <f t="shared" si="57"/>
        <v>0</v>
      </c>
      <c r="G186" s="317">
        <f t="shared" si="57"/>
        <v>20440.539999999997</v>
      </c>
      <c r="H186" s="319"/>
      <c r="I186" s="319"/>
      <c r="J186" s="317"/>
      <c r="K186" s="320"/>
      <c r="L186" s="321"/>
      <c r="M186" s="322"/>
      <c r="N186" s="317"/>
      <c r="O186" s="320"/>
      <c r="P186" s="317"/>
      <c r="Q186" s="323"/>
      <c r="R186" s="323"/>
      <c r="S186" s="323"/>
      <c r="T186" s="45"/>
      <c r="U186" s="45"/>
      <c r="V186" s="45"/>
    </row>
    <row r="187" spans="1:22">
      <c r="C187" s="297"/>
      <c r="D187" s="316"/>
      <c r="Q187" s="323"/>
      <c r="R187" s="323"/>
      <c r="S187" s="323"/>
      <c r="T187" s="45"/>
      <c r="U187" s="45"/>
      <c r="V187" s="45"/>
    </row>
    <row r="188" spans="1:22">
      <c r="B188" s="49" t="s">
        <v>279</v>
      </c>
      <c r="C188" s="297">
        <f>SUM(C180:C186)</f>
        <v>365504.17842857138</v>
      </c>
      <c r="D188" s="317">
        <f>SUM(D180:D186)</f>
        <v>2803079.6699999995</v>
      </c>
      <c r="E188" s="297">
        <f>SUM(E180:E186)</f>
        <v>315774316</v>
      </c>
      <c r="F188" s="297">
        <f>SUM(F180:F186)</f>
        <v>77971308</v>
      </c>
      <c r="G188" s="317">
        <f>SUM(G180:G186)</f>
        <v>17147562.59</v>
      </c>
      <c r="J188" s="317"/>
      <c r="K188" s="320"/>
      <c r="L188" s="321"/>
      <c r="M188" s="322">
        <f>SUM(M180:M186)</f>
        <v>621884</v>
      </c>
      <c r="N188" s="317">
        <f>SUM(N180:N186)</f>
        <v>5479504.2799999993</v>
      </c>
      <c r="P188" s="317"/>
      <c r="Q188" s="320"/>
      <c r="R188" s="320"/>
      <c r="S188" s="320"/>
      <c r="T188" s="45"/>
      <c r="U188" s="45"/>
      <c r="V188" s="45"/>
    </row>
    <row r="189" spans="1:22">
      <c r="A189" s="295"/>
      <c r="B189" s="296"/>
      <c r="C189" s="297"/>
      <c r="D189" s="298"/>
      <c r="E189" s="299"/>
      <c r="F189" s="299"/>
      <c r="G189" s="300"/>
      <c r="J189" s="290"/>
      <c r="N189" s="290"/>
      <c r="P189" s="290"/>
    </row>
    <row r="190" spans="1:22">
      <c r="A190" s="316" t="s">
        <v>627</v>
      </c>
      <c r="B190" s="316"/>
      <c r="C190" s="334"/>
      <c r="D190" s="317"/>
      <c r="E190" s="297"/>
      <c r="F190" s="297"/>
      <c r="G190" s="317"/>
      <c r="H190" s="319"/>
      <c r="I190" s="319"/>
      <c r="J190" s="317"/>
      <c r="K190" s="320"/>
      <c r="L190" s="321"/>
      <c r="M190" s="322"/>
      <c r="N190" s="317"/>
      <c r="O190" s="320"/>
      <c r="P190" s="317"/>
      <c r="Q190" s="323"/>
      <c r="R190" s="323"/>
      <c r="S190" s="323"/>
    </row>
    <row r="191" spans="1:22">
      <c r="B191" s="316"/>
      <c r="C191" s="334"/>
      <c r="D191" s="317"/>
      <c r="E191" s="297"/>
      <c r="F191" s="297"/>
      <c r="G191" s="317"/>
      <c r="H191" s="319"/>
      <c r="I191" s="319"/>
      <c r="J191" s="317"/>
      <c r="K191" s="320"/>
      <c r="L191" s="321"/>
      <c r="M191" s="322"/>
      <c r="N191" s="317"/>
      <c r="O191" s="320"/>
      <c r="P191" s="317"/>
      <c r="Q191" s="323"/>
      <c r="R191" s="323"/>
      <c r="S191" s="323"/>
      <c r="V191" s="49" t="str">
        <f>_xlfn.IFNA(VLOOKUP(A191,$A$12:$V$18,22,FALSE),"")</f>
        <v/>
      </c>
    </row>
    <row r="192" spans="1:22">
      <c r="B192" s="316"/>
      <c r="C192" s="334"/>
      <c r="D192" s="317"/>
      <c r="E192" s="297"/>
      <c r="F192" s="297"/>
      <c r="G192" s="317"/>
      <c r="H192" s="319"/>
      <c r="I192" s="319"/>
      <c r="J192" s="317"/>
      <c r="K192" s="320"/>
      <c r="L192" s="321"/>
      <c r="M192" s="322"/>
      <c r="N192" s="317"/>
      <c r="O192" s="320"/>
      <c r="P192" s="317"/>
      <c r="Q192" s="323"/>
      <c r="R192" s="323"/>
      <c r="S192" s="323"/>
      <c r="V192" s="49" t="str">
        <f>_xlfn.IFNA(VLOOKUP(A192,$A$12:$V$18,22,FALSE),"")</f>
        <v/>
      </c>
    </row>
    <row r="193" spans="1:22">
      <c r="C193" s="300" t="s">
        <v>279</v>
      </c>
      <c r="D193" s="317"/>
      <c r="E193" s="297"/>
      <c r="F193" s="297"/>
      <c r="G193" s="317"/>
      <c r="H193" s="319"/>
      <c r="I193" s="319"/>
      <c r="J193" s="317"/>
      <c r="K193" s="320"/>
      <c r="L193" s="321"/>
      <c r="M193" s="322"/>
      <c r="N193" s="317"/>
      <c r="O193" s="320"/>
      <c r="P193" s="317"/>
      <c r="Q193" s="323"/>
      <c r="R193" s="323"/>
      <c r="S193" s="323"/>
      <c r="V193" s="49" t="str">
        <f>_xlfn.IFNA(VLOOKUP(A193,$A$12:$V$18,22,FALSE),"")</f>
        <v/>
      </c>
    </row>
    <row r="194" spans="1:22">
      <c r="C194" s="309" t="s">
        <v>608</v>
      </c>
      <c r="D194" s="317"/>
      <c r="E194" s="297"/>
      <c r="F194" s="297"/>
      <c r="G194" s="317"/>
      <c r="H194" s="319"/>
      <c r="I194" s="319"/>
      <c r="J194" s="317"/>
      <c r="K194" s="320"/>
      <c r="L194" s="321"/>
      <c r="M194" s="322"/>
      <c r="N194" s="317"/>
      <c r="O194" s="320"/>
      <c r="P194" s="317"/>
      <c r="Q194" s="323"/>
      <c r="R194" s="323"/>
      <c r="S194" s="323"/>
      <c r="V194" s="49" t="str">
        <f>_xlfn.IFNA(VLOOKUP(A194,$A$12:$V$18,22,FALSE),"")</f>
        <v/>
      </c>
    </row>
    <row r="195" spans="1:22">
      <c r="A195" s="49" t="s">
        <v>39</v>
      </c>
      <c r="B195" s="316" t="s">
        <v>610</v>
      </c>
      <c r="C195" s="317">
        <f t="shared" ref="C195:C201" si="59">+D12+D26+D40+D54+D68+D82+D96+D110+D124+D138+D152+D166+G12+G26+G40+G54+G68+G82+G96+G110+G124+G138+G152+G166+N12+N26+N40+N54+N68+N82+N96+N110+N124+N138+N152+N166</f>
        <v>12426346.51</v>
      </c>
      <c r="D195" s="333"/>
      <c r="E195" s="297"/>
      <c r="F195" s="297"/>
      <c r="G195" s="317"/>
      <c r="H195" s="319"/>
      <c r="I195" s="319"/>
      <c r="J195" s="317"/>
      <c r="K195" s="320"/>
      <c r="L195" s="321"/>
      <c r="M195" s="322"/>
      <c r="N195" s="317"/>
      <c r="O195" s="320"/>
      <c r="P195" s="317"/>
      <c r="Q195" s="323"/>
      <c r="R195" s="323"/>
      <c r="S195" s="323"/>
    </row>
    <row r="196" spans="1:22">
      <c r="A196" s="49" t="s">
        <v>42</v>
      </c>
      <c r="B196" s="316" t="s">
        <v>104</v>
      </c>
      <c r="C196" s="317">
        <f t="shared" si="59"/>
        <v>3148269.37</v>
      </c>
      <c r="D196" s="333"/>
      <c r="E196" s="297"/>
      <c r="F196" s="297"/>
      <c r="G196" s="317"/>
      <c r="H196" s="319"/>
      <c r="I196" s="319"/>
      <c r="J196" s="317"/>
      <c r="K196" s="335"/>
      <c r="L196" s="321"/>
      <c r="M196" s="322"/>
      <c r="N196" s="317"/>
      <c r="O196" s="320"/>
      <c r="P196" s="317"/>
      <c r="Q196" s="323"/>
      <c r="R196" s="323"/>
      <c r="S196" s="323"/>
    </row>
    <row r="197" spans="1:22">
      <c r="A197" s="49" t="s">
        <v>43</v>
      </c>
      <c r="B197" s="298" t="s">
        <v>106</v>
      </c>
      <c r="C197" s="317">
        <f t="shared" si="59"/>
        <v>760235.37000000011</v>
      </c>
      <c r="D197" s="333"/>
      <c r="E197" s="297"/>
      <c r="F197" s="297"/>
      <c r="G197" s="317"/>
      <c r="H197" s="319"/>
      <c r="I197" s="319"/>
      <c r="J197" s="317"/>
      <c r="K197" s="320"/>
      <c r="L197" s="321"/>
      <c r="M197" s="322"/>
      <c r="N197" s="317"/>
      <c r="O197" s="336"/>
      <c r="P197" s="317"/>
      <c r="Q197" s="320"/>
      <c r="R197" s="320"/>
      <c r="S197" s="320"/>
    </row>
    <row r="198" spans="1:22">
      <c r="A198" s="49" t="s">
        <v>44</v>
      </c>
      <c r="B198" s="298" t="s">
        <v>107</v>
      </c>
      <c r="C198" s="317">
        <f t="shared" si="59"/>
        <v>5320924.4000000004</v>
      </c>
      <c r="D198" s="333"/>
      <c r="E198" s="297"/>
      <c r="F198" s="297"/>
      <c r="G198" s="317"/>
      <c r="H198" s="319"/>
      <c r="I198" s="319"/>
      <c r="J198" s="317"/>
      <c r="K198" s="320"/>
      <c r="L198" s="321"/>
      <c r="M198" s="322"/>
      <c r="N198" s="317"/>
      <c r="O198" s="336"/>
      <c r="P198" s="317"/>
      <c r="Q198" s="320"/>
      <c r="R198" s="320"/>
      <c r="S198" s="320"/>
    </row>
    <row r="199" spans="1:22">
      <c r="A199" s="49" t="s">
        <v>45</v>
      </c>
      <c r="B199" s="298" t="s">
        <v>108</v>
      </c>
      <c r="C199" s="317">
        <f t="shared" si="59"/>
        <v>3747706.7199999993</v>
      </c>
      <c r="D199" s="333"/>
      <c r="Q199" s="323"/>
      <c r="R199" s="323"/>
      <c r="S199" s="323"/>
    </row>
    <row r="200" spans="1:22">
      <c r="A200" s="298" t="s">
        <v>46</v>
      </c>
      <c r="B200" s="298" t="s">
        <v>109</v>
      </c>
      <c r="C200" s="317">
        <f t="shared" si="59"/>
        <v>6523.6299999999992</v>
      </c>
      <c r="D200" s="333"/>
      <c r="E200" s="297"/>
      <c r="F200" s="297"/>
      <c r="G200" s="317"/>
      <c r="J200" s="317"/>
      <c r="K200" s="320"/>
      <c r="L200" s="321"/>
      <c r="M200" s="297"/>
      <c r="N200" s="317"/>
      <c r="P200" s="317"/>
      <c r="Q200" s="320"/>
      <c r="R200" s="320"/>
      <c r="S200" s="320"/>
    </row>
    <row r="201" spans="1:22">
      <c r="A201" s="49" t="s">
        <v>47</v>
      </c>
      <c r="B201" s="298" t="s">
        <v>110</v>
      </c>
      <c r="C201" s="317">
        <f t="shared" si="59"/>
        <v>20140.539999999997</v>
      </c>
      <c r="D201" s="333"/>
    </row>
    <row r="202" spans="1:22">
      <c r="C202" s="317"/>
    </row>
    <row r="203" spans="1:22">
      <c r="B203" s="49" t="s">
        <v>279</v>
      </c>
      <c r="C203" s="317">
        <f>SUM(C195:C202)</f>
        <v>25430146.539999995</v>
      </c>
      <c r="D203" s="333"/>
      <c r="V203" s="49" t="str">
        <f t="shared" ref="V203:V209" si="60">_xlfn.IFNA(VLOOKUP(A203,$A$12:$V$18,22,FALSE),"")</f>
        <v/>
      </c>
    </row>
    <row r="204" spans="1:22">
      <c r="C204" s="317"/>
      <c r="V204" s="49" t="str">
        <f t="shared" si="60"/>
        <v/>
      </c>
    </row>
    <row r="205" spans="1:22">
      <c r="A205" s="49" t="s">
        <v>48</v>
      </c>
      <c r="B205" s="316" t="s">
        <v>628</v>
      </c>
      <c r="C205" s="337">
        <v>311202.68999999895</v>
      </c>
      <c r="V205" s="49" t="str">
        <f t="shared" si="60"/>
        <v/>
      </c>
    </row>
    <row r="206" spans="1:22">
      <c r="A206" s="49" t="s">
        <v>49</v>
      </c>
      <c r="B206" s="316" t="s">
        <v>629</v>
      </c>
      <c r="C206" s="337">
        <v>31454.91</v>
      </c>
      <c r="V206" s="49" t="str">
        <f t="shared" si="60"/>
        <v/>
      </c>
    </row>
    <row r="207" spans="1:22">
      <c r="C207" s="317"/>
      <c r="V207" s="49" t="str">
        <f t="shared" si="60"/>
        <v/>
      </c>
    </row>
    <row r="208" spans="1:22">
      <c r="B208" s="316" t="s">
        <v>630</v>
      </c>
      <c r="C208" s="337">
        <f>-4599.73-220.9</f>
        <v>-4820.6299999999992</v>
      </c>
      <c r="D208" s="49">
        <f>-4599.73</f>
        <v>-4599.7299999999996</v>
      </c>
      <c r="E208" s="49">
        <v>-220.9</v>
      </c>
      <c r="V208" s="49" t="str">
        <f t="shared" si="60"/>
        <v/>
      </c>
    </row>
    <row r="209" spans="2:22">
      <c r="B209" s="316"/>
      <c r="C209" s="337"/>
      <c r="V209" s="49" t="str">
        <f t="shared" si="60"/>
        <v/>
      </c>
    </row>
    <row r="210" spans="2:22">
      <c r="B210" s="989" t="s">
        <v>34</v>
      </c>
      <c r="C210" s="989"/>
    </row>
    <row r="212" spans="2:22">
      <c r="B212" s="989" t="s">
        <v>34</v>
      </c>
      <c r="C212" s="989"/>
    </row>
    <row r="214" spans="2:22">
      <c r="C214" s="317"/>
      <c r="H214" s="333"/>
      <c r="V214" s="49" t="str">
        <f>_xlfn.IFNA(VLOOKUP(A214,$A$12:$V$18,22,FALSE),"")</f>
        <v/>
      </c>
    </row>
    <row r="215" spans="2:22">
      <c r="C215" s="317"/>
      <c r="H215" s="333"/>
    </row>
    <row r="216" spans="2:22">
      <c r="C216" s="317"/>
      <c r="H216" s="333"/>
    </row>
    <row r="217" spans="2:22">
      <c r="H217" s="333"/>
    </row>
    <row r="218" spans="2:22">
      <c r="H218" s="333"/>
    </row>
    <row r="219" spans="2:22">
      <c r="H219" s="333"/>
    </row>
    <row r="220" spans="2:22">
      <c r="H220" s="333"/>
    </row>
    <row r="221" spans="2:22">
      <c r="H221" s="333"/>
    </row>
    <row r="222" spans="2:22">
      <c r="H222" s="333"/>
    </row>
    <row r="223" spans="2:22">
      <c r="H223" s="333"/>
    </row>
    <row r="224" spans="2:22">
      <c r="H224" s="333"/>
    </row>
  </sheetData>
  <phoneticPr fontId="50" type="noConversion"/>
  <printOptions horizontalCentered="1"/>
  <pageMargins left="0.5" right="0.5" top="0.5" bottom="0.5" header="0.5" footer="0.5"/>
  <pageSetup scale="65" fitToHeight="0" orientation="landscape" r:id="rId1"/>
  <headerFooter alignWithMargins="0"/>
  <rowBreaks count="3" manualBreakCount="3">
    <brk id="63" max="16" man="1"/>
    <brk id="119" max="16" man="1"/>
    <brk id="175" max="16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15FE-C2D8-47F9-8647-09E127551AD0}">
  <dimension ref="A1:O48"/>
  <sheetViews>
    <sheetView workbookViewId="0"/>
  </sheetViews>
  <sheetFormatPr defaultColWidth="9.109375" defaultRowHeight="13.2"/>
  <cols>
    <col min="1" max="1" width="9.109375" style="54"/>
    <col min="2" max="2" width="49.21875" style="54" bestFit="1" customWidth="1"/>
    <col min="3" max="6" width="2.21875" style="54" customWidth="1"/>
    <col min="7" max="7" width="9.44140625" style="410" bestFit="1" customWidth="1"/>
    <col min="8" max="8" width="11.77734375" style="411" bestFit="1" customWidth="1"/>
    <col min="9" max="9" width="11" style="410" bestFit="1" customWidth="1"/>
    <col min="10" max="10" width="9.109375" style="54"/>
    <col min="11" max="11" width="11.109375" style="54" bestFit="1" customWidth="1"/>
    <col min="12" max="12" width="11.5546875" style="54" bestFit="1" customWidth="1"/>
    <col min="13" max="13" width="10.77734375" style="54" bestFit="1" customWidth="1"/>
    <col min="14" max="14" width="9.109375" style="54"/>
    <col min="15" max="15" width="33.44140625" style="54" bestFit="1" customWidth="1"/>
    <col min="16" max="16384" width="9.109375" style="54"/>
  </cols>
  <sheetData>
    <row r="1" spans="1:15" ht="14.4">
      <c r="A1" s="30" t="s">
        <v>0</v>
      </c>
    </row>
    <row r="2" spans="1:15" ht="14.4">
      <c r="A2" s="4" t="s">
        <v>21</v>
      </c>
      <c r="B2" s="412"/>
    </row>
    <row r="3" spans="1:15" ht="14.4">
      <c r="A3" s="36" t="s">
        <v>807</v>
      </c>
      <c r="B3" s="412"/>
    </row>
    <row r="4" spans="1:15">
      <c r="A4" s="412"/>
      <c r="B4" s="412"/>
    </row>
    <row r="5" spans="1:15">
      <c r="K5" s="54" t="s">
        <v>631</v>
      </c>
    </row>
    <row r="6" spans="1:15" ht="14.4">
      <c r="A6" s="420" t="s">
        <v>632</v>
      </c>
      <c r="G6" s="418" t="s">
        <v>421</v>
      </c>
      <c r="H6" s="419" t="s">
        <v>162</v>
      </c>
      <c r="I6" s="418" t="s">
        <v>633</v>
      </c>
      <c r="K6" s="418" t="s">
        <v>421</v>
      </c>
      <c r="L6" s="419" t="s">
        <v>162</v>
      </c>
      <c r="M6" s="418" t="s">
        <v>633</v>
      </c>
      <c r="O6" s="885" t="s">
        <v>634</v>
      </c>
    </row>
    <row r="7" spans="1:15" ht="13.8">
      <c r="B7" s="54" t="s">
        <v>635</v>
      </c>
      <c r="G7" s="410">
        <f>K7-G37</f>
        <v>2321</v>
      </c>
      <c r="H7" s="411">
        <f>L7-H37</f>
        <v>787.64999999999975</v>
      </c>
      <c r="I7" s="410">
        <f>M7-I37</f>
        <v>59.266365688487582</v>
      </c>
      <c r="K7" s="414">
        <v>2457</v>
      </c>
      <c r="L7" s="416">
        <v>787.64999999999975</v>
      </c>
      <c r="M7" s="415">
        <v>62.266365688487582</v>
      </c>
      <c r="O7" s="54" t="str">
        <f>'Atrium + Updated Rates'!O6</f>
        <v>MV-3500 Street and Highway Type</v>
      </c>
    </row>
    <row r="8" spans="1:15" ht="13.8">
      <c r="B8" s="54" t="s">
        <v>636</v>
      </c>
      <c r="G8" s="410">
        <f>K8</f>
        <v>15746</v>
      </c>
      <c r="H8" s="411">
        <f>L8</f>
        <v>5596.7600000000011</v>
      </c>
      <c r="I8" s="410">
        <f>M8</f>
        <v>402.06609195402297</v>
      </c>
      <c r="K8" s="414">
        <v>15746</v>
      </c>
      <c r="L8" s="416">
        <v>5596.7600000000011</v>
      </c>
      <c r="M8" s="415">
        <v>402.06609195402297</v>
      </c>
      <c r="O8" s="54" t="str">
        <f>'Atrium + Updated Rates'!O7</f>
        <v>MV-3500 Power Bracket Included</v>
      </c>
    </row>
    <row r="9" spans="1:15" ht="13.8">
      <c r="B9" s="54" t="s">
        <v>637</v>
      </c>
      <c r="G9" s="410">
        <f>K9-G39</f>
        <v>63129</v>
      </c>
      <c r="H9" s="411">
        <f>L9-H39</f>
        <v>21738.869896988945</v>
      </c>
      <c r="I9" s="410">
        <f t="shared" ref="I9:I16" si="0">M9</f>
        <v>1585.6214366877423</v>
      </c>
      <c r="K9" s="414">
        <v>69801</v>
      </c>
      <c r="L9" s="416">
        <v>21738.869896988945</v>
      </c>
      <c r="M9" s="415">
        <v>1585.6214366877423</v>
      </c>
      <c r="O9" s="54" t="str">
        <f>'Atrium + Updated Rates'!O8</f>
        <v>HPS-9500 Street and Highway Type</v>
      </c>
    </row>
    <row r="10" spans="1:15" ht="13.8">
      <c r="B10" s="54" t="s">
        <v>638</v>
      </c>
      <c r="G10" s="410">
        <f t="shared" ref="G10:H16" si="1">K10</f>
        <v>300172</v>
      </c>
      <c r="H10" s="411">
        <f t="shared" si="1"/>
        <v>47441.499999999935</v>
      </c>
      <c r="I10" s="410">
        <f t="shared" si="0"/>
        <v>795.73129822207204</v>
      </c>
      <c r="K10" s="414">
        <v>300172</v>
      </c>
      <c r="L10" s="416">
        <v>47441.499999999935</v>
      </c>
      <c r="M10" s="415">
        <v>795.73129822207204</v>
      </c>
      <c r="O10" s="54" t="str">
        <f>'Atrium + Updated Rates'!O9</f>
        <v>HPS-140000 Street and Highway Type</v>
      </c>
    </row>
    <row r="11" spans="1:15" ht="13.8">
      <c r="B11" s="54" t="s">
        <v>639</v>
      </c>
      <c r="G11" s="410">
        <f t="shared" si="1"/>
        <v>30999</v>
      </c>
      <c r="H11" s="411">
        <f t="shared" si="1"/>
        <v>4299.96</v>
      </c>
      <c r="I11" s="410">
        <f t="shared" si="0"/>
        <v>84</v>
      </c>
      <c r="K11" s="414">
        <v>30999</v>
      </c>
      <c r="L11" s="416">
        <v>4299.96</v>
      </c>
      <c r="M11" s="415">
        <v>84</v>
      </c>
      <c r="O11" s="54" t="str">
        <f>'Atrium + Updated Rates'!O10</f>
        <v>MV-60000 Street and Highway Type</v>
      </c>
    </row>
    <row r="12" spans="1:15" ht="13.8">
      <c r="B12" s="54" t="s">
        <v>640</v>
      </c>
      <c r="G12" s="410">
        <f t="shared" si="1"/>
        <v>2809</v>
      </c>
      <c r="H12" s="411">
        <f t="shared" si="1"/>
        <v>1244.8799999999999</v>
      </c>
      <c r="I12" s="410">
        <f t="shared" si="0"/>
        <v>83.999999999999986</v>
      </c>
      <c r="K12" s="414">
        <v>2809</v>
      </c>
      <c r="L12" s="416">
        <v>1244.8799999999999</v>
      </c>
      <c r="M12" s="415">
        <v>83.999999999999986</v>
      </c>
      <c r="O12" s="54" t="str">
        <f>'Atrium + Updated Rates'!O11</f>
        <v>LED-10680 Cobra Head Type</v>
      </c>
    </row>
    <row r="13" spans="1:15" ht="13.8">
      <c r="B13" s="54" t="s">
        <v>641</v>
      </c>
      <c r="G13" s="410">
        <f t="shared" si="1"/>
        <v>435</v>
      </c>
      <c r="H13" s="411">
        <f t="shared" si="1"/>
        <v>303.47999999999996</v>
      </c>
      <c r="I13" s="410">
        <f t="shared" si="0"/>
        <v>12</v>
      </c>
      <c r="K13" s="414">
        <v>435</v>
      </c>
      <c r="L13" s="416">
        <v>303.47999999999996</v>
      </c>
      <c r="M13" s="415">
        <v>12</v>
      </c>
      <c r="O13" s="54" t="str">
        <f>'Atrium + Updated Rates'!O28</f>
        <v>110 Watt LED Flood - CREE</v>
      </c>
    </row>
    <row r="14" spans="1:15" ht="13.8">
      <c r="B14" s="54" t="s">
        <v>642</v>
      </c>
      <c r="G14" s="410">
        <f t="shared" si="1"/>
        <v>22670</v>
      </c>
      <c r="H14" s="411">
        <f t="shared" si="1"/>
        <v>9271.1299999999937</v>
      </c>
      <c r="I14" s="410">
        <f t="shared" si="0"/>
        <v>626.42770270270216</v>
      </c>
      <c r="K14" s="414">
        <v>22670</v>
      </c>
      <c r="L14" s="416">
        <v>9271.1299999999937</v>
      </c>
      <c r="M14" s="415">
        <v>626.42770270270216</v>
      </c>
      <c r="O14" s="54" t="str">
        <f>'Atrium + Updated Rates'!O22</f>
        <v>110 Watt LED Flood</v>
      </c>
    </row>
    <row r="15" spans="1:15" ht="13.8">
      <c r="B15" s="54" t="s">
        <v>643</v>
      </c>
      <c r="G15" s="410">
        <f t="shared" si="1"/>
        <v>5736</v>
      </c>
      <c r="H15" s="411">
        <f t="shared" si="1"/>
        <v>1238.1600000000001</v>
      </c>
      <c r="I15" s="410">
        <f t="shared" si="0"/>
        <v>84</v>
      </c>
      <c r="K15" s="414">
        <v>5736</v>
      </c>
      <c r="L15" s="416">
        <v>1238.1600000000001</v>
      </c>
      <c r="M15" s="415">
        <v>84</v>
      </c>
      <c r="O15" s="54" t="str">
        <f>'Atrium + Updated Rates'!O12</f>
        <v>MV-7000 Street and Highway Type</v>
      </c>
    </row>
    <row r="16" spans="1:15" ht="13.8">
      <c r="B16" s="54" t="s">
        <v>644</v>
      </c>
      <c r="G16" s="410">
        <f t="shared" si="1"/>
        <v>22133</v>
      </c>
      <c r="H16" s="411">
        <f t="shared" si="1"/>
        <v>5076.55</v>
      </c>
      <c r="I16" s="410">
        <f t="shared" si="0"/>
        <v>323.96617740906191</v>
      </c>
      <c r="K16" s="414">
        <v>22133</v>
      </c>
      <c r="L16" s="416">
        <v>5076.55</v>
      </c>
      <c r="M16" s="415">
        <v>323.96617740906191</v>
      </c>
      <c r="O16" s="54" t="str">
        <f>'Atrium + Updated Rates'!O13</f>
        <v>MV-7000 Power Bracket Included</v>
      </c>
    </row>
    <row r="17" spans="2:15" ht="13.8">
      <c r="B17" s="54" t="s">
        <v>645</v>
      </c>
      <c r="G17" s="410">
        <f>K17-G42</f>
        <v>32895</v>
      </c>
      <c r="H17" s="411">
        <f>L17-H42</f>
        <v>8216.8799999999992</v>
      </c>
      <c r="I17" s="410">
        <v>402</v>
      </c>
      <c r="K17" s="414">
        <v>42891</v>
      </c>
      <c r="L17" s="416">
        <v>8216.8799999999992</v>
      </c>
      <c r="M17" s="415">
        <v>505</v>
      </c>
      <c r="O17" s="54" t="str">
        <f>'Atrium + Updated Rates'!O14</f>
        <v>HPS-20000 Street and Highway Type</v>
      </c>
    </row>
    <row r="18" spans="2:15" ht="13.8">
      <c r="B18" s="54" t="s">
        <v>646</v>
      </c>
      <c r="G18" s="410">
        <f t="shared" ref="G18:I20" si="2">K18</f>
        <v>10744</v>
      </c>
      <c r="H18" s="411">
        <f t="shared" si="2"/>
        <v>8753.1600000000035</v>
      </c>
      <c r="I18" s="410">
        <f t="shared" si="2"/>
        <v>1176.5000000000005</v>
      </c>
      <c r="K18" s="414">
        <v>10744</v>
      </c>
      <c r="L18" s="416">
        <v>8753.1600000000035</v>
      </c>
      <c r="M18" s="415">
        <v>1176.5000000000005</v>
      </c>
      <c r="O18" s="54" t="str">
        <f>'Atrium + Updated Rates'!O23</f>
        <v>28 Watt LED Street</v>
      </c>
    </row>
    <row r="19" spans="2:15" ht="13.8">
      <c r="B19" s="54" t="s">
        <v>647</v>
      </c>
      <c r="G19" s="410">
        <f t="shared" si="2"/>
        <v>47291</v>
      </c>
      <c r="H19" s="411">
        <f t="shared" si="2"/>
        <v>8883</v>
      </c>
      <c r="I19" s="410">
        <f t="shared" si="2"/>
        <v>300</v>
      </c>
      <c r="K19" s="414">
        <v>47291</v>
      </c>
      <c r="L19" s="416">
        <v>8883</v>
      </c>
      <c r="M19" s="415">
        <v>300</v>
      </c>
      <c r="O19" s="54" t="str">
        <f>'Atrium + Updated Rates'!O15</f>
        <v>MV-20000 Flood Light Type</v>
      </c>
    </row>
    <row r="20" spans="2:15" ht="13.8">
      <c r="B20" s="54" t="s">
        <v>648</v>
      </c>
      <c r="G20" s="410">
        <f t="shared" si="2"/>
        <v>0</v>
      </c>
      <c r="H20" s="411">
        <f t="shared" si="2"/>
        <v>0</v>
      </c>
      <c r="I20" s="410">
        <f t="shared" si="2"/>
        <v>0</v>
      </c>
      <c r="K20" s="414">
        <v>0</v>
      </c>
      <c r="L20" s="416">
        <v>0</v>
      </c>
      <c r="M20" s="415">
        <v>0</v>
      </c>
      <c r="O20" s="54" t="str">
        <f>'Atrium + Updated Rates'!O16</f>
        <v>MV-20000 Street and Highway Type</v>
      </c>
    </row>
    <row r="21" spans="2:15" ht="13.8">
      <c r="B21" s="54" t="s">
        <v>649</v>
      </c>
      <c r="G21" s="410">
        <f>K21</f>
        <v>651203</v>
      </c>
      <c r="H21" s="411">
        <f>L21</f>
        <v>135979.56999999896</v>
      </c>
      <c r="I21" s="410">
        <v>4031.413281944825</v>
      </c>
      <c r="K21" s="414">
        <v>651203</v>
      </c>
      <c r="L21" s="416">
        <v>135979.56999999896</v>
      </c>
      <c r="M21" s="415">
        <v>4040.413281944825</v>
      </c>
      <c r="O21" s="54" t="str">
        <f>'Atrium + Updated Rates'!O17</f>
        <v>HPS-50000 Flood Light Type</v>
      </c>
    </row>
    <row r="22" spans="2:15" ht="13.8">
      <c r="B22" s="54" t="s">
        <v>650</v>
      </c>
      <c r="G22" s="410">
        <f>K22-G41</f>
        <v>17690</v>
      </c>
      <c r="H22" s="411">
        <f>L22-H41</f>
        <v>3225.6599999999994</v>
      </c>
      <c r="I22" s="410">
        <v>111</v>
      </c>
      <c r="K22" s="414">
        <v>19358</v>
      </c>
      <c r="L22" s="416">
        <v>3225.6599999999994</v>
      </c>
      <c r="M22" s="415">
        <v>111</v>
      </c>
      <c r="O22" s="54" t="str">
        <f>'Atrium + Updated Rates'!O18</f>
        <v>HPS-50000 Street and Highway Type</v>
      </c>
    </row>
    <row r="23" spans="2:15" ht="13.8">
      <c r="B23" s="54" t="s">
        <v>651</v>
      </c>
      <c r="G23" s="410">
        <f t="shared" ref="G23:I24" si="3">K23</f>
        <v>733</v>
      </c>
      <c r="H23" s="411">
        <f t="shared" si="3"/>
        <v>397.91000000000008</v>
      </c>
      <c r="I23" s="410">
        <f t="shared" si="3"/>
        <v>48.466504263093789</v>
      </c>
      <c r="K23" s="414">
        <v>733</v>
      </c>
      <c r="L23" s="416">
        <v>397.91000000000008</v>
      </c>
      <c r="M23" s="415">
        <v>48.466504263093789</v>
      </c>
      <c r="O23" s="54" t="str">
        <f>'Atrium + Updated Rates'!O24</f>
        <v>47 Watt LED Street</v>
      </c>
    </row>
    <row r="24" spans="2:15" ht="13.8">
      <c r="B24" s="54" t="s">
        <v>652</v>
      </c>
      <c r="G24" s="410">
        <f t="shared" si="3"/>
        <v>344</v>
      </c>
      <c r="H24" s="411">
        <f t="shared" si="3"/>
        <v>166.68</v>
      </c>
      <c r="I24" s="410">
        <f t="shared" si="3"/>
        <v>18</v>
      </c>
      <c r="K24" s="414">
        <f>486-142</f>
        <v>344</v>
      </c>
      <c r="L24" s="416">
        <v>166.68</v>
      </c>
      <c r="M24" s="415">
        <v>18</v>
      </c>
      <c r="O24" s="54" t="str">
        <f>'Atrium + Updated Rates'!O19</f>
        <v>3300 Street and Highway-Ornament</v>
      </c>
    </row>
    <row r="25" spans="2:15" ht="13.8">
      <c r="B25" s="54" t="s">
        <v>653</v>
      </c>
      <c r="G25" s="410">
        <f>K25-G38</f>
        <v>76610</v>
      </c>
      <c r="H25" s="411">
        <f>L25-H38</f>
        <v>45139.560103011099</v>
      </c>
      <c r="I25" s="410">
        <v>3914.9661841293237</v>
      </c>
      <c r="K25" s="414">
        <v>93722</v>
      </c>
      <c r="L25" s="416">
        <v>45139.560103011099</v>
      </c>
      <c r="M25" s="415">
        <v>4671.9661841293237</v>
      </c>
      <c r="N25" s="417"/>
      <c r="O25" s="54" t="str">
        <f>'Atrium + Updated Rates'!O20</f>
        <v>HPS-3300 Street and Highway Type</v>
      </c>
    </row>
    <row r="26" spans="2:15" ht="13.8">
      <c r="B26" s="54" t="s">
        <v>654</v>
      </c>
      <c r="G26" s="410">
        <f t="shared" ref="G26:I28" si="4">K26</f>
        <v>3165</v>
      </c>
      <c r="H26" s="411">
        <f t="shared" si="4"/>
        <v>1528.1999999999994</v>
      </c>
      <c r="I26" s="410">
        <f t="shared" si="4"/>
        <v>180</v>
      </c>
      <c r="K26" s="414">
        <v>3165</v>
      </c>
      <c r="L26" s="416">
        <v>1528.1999999999994</v>
      </c>
      <c r="M26" s="415">
        <v>180</v>
      </c>
      <c r="O26" s="54" t="str">
        <f>'Atrium + Updated Rates'!O25</f>
        <v>54 Watt LED Street</v>
      </c>
    </row>
    <row r="27" spans="2:15" ht="13.8">
      <c r="B27" s="54" t="s">
        <v>655</v>
      </c>
      <c r="G27" s="410">
        <f t="shared" si="4"/>
        <v>409</v>
      </c>
      <c r="H27" s="411">
        <f t="shared" si="4"/>
        <v>222.84000000000003</v>
      </c>
      <c r="I27" s="410">
        <f t="shared" si="4"/>
        <v>17.699761715647341</v>
      </c>
      <c r="K27" s="414">
        <v>409</v>
      </c>
      <c r="L27" s="416">
        <v>222.84000000000003</v>
      </c>
      <c r="M27" s="415">
        <v>17.699761715647341</v>
      </c>
      <c r="O27" s="54" t="str">
        <f>'Atrium + Updated Rates'!O26</f>
        <v>70 Watt LED Street</v>
      </c>
    </row>
    <row r="28" spans="2:15" ht="13.8">
      <c r="B28" s="54" t="s">
        <v>656</v>
      </c>
      <c r="G28" s="410">
        <f t="shared" si="4"/>
        <v>0</v>
      </c>
      <c r="H28" s="411">
        <f t="shared" si="4"/>
        <v>120</v>
      </c>
      <c r="I28" s="410">
        <f t="shared" si="4"/>
        <v>12</v>
      </c>
      <c r="K28" s="414">
        <v>0</v>
      </c>
      <c r="L28" s="416">
        <v>120</v>
      </c>
      <c r="M28" s="415">
        <v>12</v>
      </c>
    </row>
    <row r="29" spans="2:15" ht="13.8">
      <c r="B29" s="54" t="s">
        <v>657</v>
      </c>
      <c r="H29" s="411">
        <v>0</v>
      </c>
      <c r="K29" s="414">
        <v>177991</v>
      </c>
    </row>
    <row r="30" spans="2:15" ht="13.8">
      <c r="B30" s="54" t="s">
        <v>658</v>
      </c>
      <c r="H30" s="411">
        <v>1570.29</v>
      </c>
      <c r="K30" s="414">
        <v>269318</v>
      </c>
    </row>
    <row r="31" spans="2:15" ht="13.8">
      <c r="K31" s="414">
        <f>15906+142</f>
        <v>16048</v>
      </c>
    </row>
    <row r="32" spans="2:15">
      <c r="B32" s="54" t="s">
        <v>659</v>
      </c>
      <c r="G32" s="410">
        <f>SUM(G7:G31)</f>
        <v>1307234</v>
      </c>
      <c r="H32" s="411">
        <f>SUM(H7:H30)</f>
        <v>311202.68999999895</v>
      </c>
      <c r="I32" s="410">
        <f>SUM(I7:I30)</f>
        <v>14269.124804716979</v>
      </c>
    </row>
    <row r="34" spans="1:9">
      <c r="A34" s="413" t="s">
        <v>660</v>
      </c>
    </row>
    <row r="35" spans="1:9">
      <c r="B35" s="54" t="s">
        <v>661</v>
      </c>
      <c r="G35" s="410">
        <v>177991</v>
      </c>
      <c r="H35" s="411">
        <v>0</v>
      </c>
      <c r="I35" s="410">
        <v>4188</v>
      </c>
    </row>
    <row r="36" spans="1:9">
      <c r="B36" s="54" t="s">
        <v>662</v>
      </c>
      <c r="G36" s="410">
        <v>269318</v>
      </c>
      <c r="H36" s="411">
        <v>0</v>
      </c>
      <c r="I36" s="410">
        <v>30204</v>
      </c>
    </row>
    <row r="37" spans="1:9">
      <c r="B37" s="54" t="s">
        <v>635</v>
      </c>
      <c r="G37" s="410">
        <v>136</v>
      </c>
      <c r="H37" s="411">
        <v>0</v>
      </c>
      <c r="I37" s="410">
        <v>3</v>
      </c>
    </row>
    <row r="38" spans="1:9">
      <c r="B38" s="54" t="s">
        <v>653</v>
      </c>
      <c r="G38" s="410">
        <f>17242-130</f>
        <v>17112</v>
      </c>
      <c r="H38" s="411">
        <v>0</v>
      </c>
      <c r="I38" s="410">
        <f>757-13</f>
        <v>744</v>
      </c>
    </row>
    <row r="39" spans="1:9">
      <c r="B39" s="54" t="s">
        <v>637</v>
      </c>
      <c r="G39" s="410">
        <f>6782-110</f>
        <v>6672</v>
      </c>
      <c r="H39" s="411">
        <v>0</v>
      </c>
      <c r="I39" s="410">
        <f>154-10</f>
        <v>144</v>
      </c>
    </row>
    <row r="40" spans="1:9">
      <c r="B40" s="412" t="s">
        <v>652</v>
      </c>
      <c r="G40" s="410">
        <f>15906+142</f>
        <v>16048</v>
      </c>
      <c r="H40" s="411">
        <v>0</v>
      </c>
      <c r="I40" s="410">
        <v>798</v>
      </c>
    </row>
    <row r="41" spans="1:9">
      <c r="B41" s="54" t="s">
        <v>650</v>
      </c>
      <c r="G41" s="410">
        <v>1668</v>
      </c>
      <c r="H41" s="411">
        <v>0</v>
      </c>
      <c r="I41" s="410">
        <v>9</v>
      </c>
    </row>
    <row r="42" spans="1:9">
      <c r="B42" s="54" t="s">
        <v>645</v>
      </c>
      <c r="G42" s="410">
        <f>10042-46</f>
        <v>9996</v>
      </c>
      <c r="H42" s="411">
        <v>0</v>
      </c>
      <c r="I42" s="410">
        <f>103-1</f>
        <v>102</v>
      </c>
    </row>
    <row r="43" spans="1:9">
      <c r="B43" s="54" t="s">
        <v>657</v>
      </c>
      <c r="H43" s="411">
        <v>31454.91</v>
      </c>
    </row>
    <row r="45" spans="1:9">
      <c r="B45" s="54" t="s">
        <v>659</v>
      </c>
      <c r="G45" s="410">
        <f>SUM(G35:G43)</f>
        <v>498941</v>
      </c>
      <c r="H45" s="411">
        <f>SUM(H35:H43)</f>
        <v>31454.91</v>
      </c>
      <c r="I45" s="410">
        <f>SUM(I35:I43)</f>
        <v>36192</v>
      </c>
    </row>
    <row r="47" spans="1:9">
      <c r="A47" s="412" t="s">
        <v>663</v>
      </c>
      <c r="G47" s="410">
        <f>+G45+G32</f>
        <v>1806175</v>
      </c>
      <c r="H47" s="411">
        <f>+H45+H32</f>
        <v>342657.59999999893</v>
      </c>
      <c r="I47" s="410">
        <f>+I45+I32</f>
        <v>50461.124804716979</v>
      </c>
    </row>
    <row r="48" spans="1:9">
      <c r="G48" s="410">
        <v>1806175</v>
      </c>
      <c r="H48" s="411">
        <v>342657.59999999893</v>
      </c>
      <c r="I48" s="410">
        <v>50331.124804716979</v>
      </c>
    </row>
  </sheetData>
  <pageMargins left="0.7" right="0.7" top="0.75" bottom="0.75" header="0.3" footer="0.3"/>
  <pageSetup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7588-62F1-43F8-8D9F-865B4911D60A}">
  <sheetPr codeName="Sheet25"/>
  <dimension ref="A1:Y93"/>
  <sheetViews>
    <sheetView workbookViewId="0"/>
  </sheetViews>
  <sheetFormatPr defaultColWidth="9.109375" defaultRowHeight="14.4"/>
  <cols>
    <col min="1" max="1" width="9.109375" style="372"/>
    <col min="2" max="2" width="52.44140625" style="372" bestFit="1" customWidth="1"/>
    <col min="3" max="3" width="8.77734375" style="372" customWidth="1"/>
    <col min="4" max="4" width="8.44140625" style="372" customWidth="1"/>
    <col min="5" max="5" width="10.77734375" style="372" customWidth="1"/>
    <col min="6" max="6" width="11.5546875" style="372" customWidth="1"/>
    <col min="7" max="7" width="10.21875" style="372" customWidth="1"/>
    <col min="8" max="8" width="11.77734375" style="372" customWidth="1"/>
    <col min="9" max="9" width="10.21875" style="372" customWidth="1"/>
    <col min="10" max="10" width="9.77734375" style="372" customWidth="1"/>
    <col min="11" max="11" width="11.44140625" style="372" customWidth="1"/>
    <col min="12" max="12" width="10.77734375" style="372" customWidth="1"/>
    <col min="13" max="13" width="11.77734375" style="372" customWidth="1"/>
    <col min="14" max="14" width="12" style="372" customWidth="1"/>
    <col min="15" max="15" width="34.21875" style="372" bestFit="1" customWidth="1"/>
    <col min="16" max="16" width="13.77734375" style="372" customWidth="1"/>
    <col min="17" max="17" width="13" style="372" customWidth="1"/>
    <col min="18" max="18" width="13" style="532" customWidth="1"/>
    <col min="19" max="19" width="13.21875" style="372" bestFit="1" customWidth="1"/>
    <col min="20" max="20" width="30" style="372" bestFit="1" customWidth="1"/>
    <col min="21" max="21" width="11" style="372" bestFit="1" customWidth="1"/>
    <col min="22" max="22" width="9.109375" style="372"/>
    <col min="23" max="23" width="12.5546875" style="372" bestFit="1" customWidth="1"/>
    <col min="24" max="24" width="12.109375" style="372" bestFit="1" customWidth="1"/>
    <col min="25" max="25" width="11.21875" style="372" customWidth="1"/>
    <col min="26" max="16384" width="9.109375" style="372"/>
  </cols>
  <sheetData>
    <row r="1" spans="1:25">
      <c r="A1" s="30" t="s">
        <v>0</v>
      </c>
      <c r="B1" s="371"/>
    </row>
    <row r="2" spans="1:25">
      <c r="A2" s="4" t="s">
        <v>21</v>
      </c>
    </row>
    <row r="3" spans="1:25">
      <c r="A3" s="36" t="s">
        <v>808</v>
      </c>
      <c r="E3" s="373"/>
      <c r="M3" s="371"/>
    </row>
    <row r="4" spans="1:25">
      <c r="C4" s="371"/>
      <c r="D4" s="374"/>
      <c r="E4" s="375"/>
      <c r="M4" s="371"/>
      <c r="N4" s="371"/>
      <c r="U4" s="371"/>
    </row>
    <row r="5" spans="1:25" ht="72">
      <c r="A5" s="376" t="s">
        <v>632</v>
      </c>
      <c r="B5" s="377"/>
      <c r="C5" s="378" t="s">
        <v>664</v>
      </c>
      <c r="D5" s="379" t="s">
        <v>665</v>
      </c>
      <c r="E5" s="379" t="s">
        <v>666</v>
      </c>
      <c r="F5" s="376" t="s">
        <v>667</v>
      </c>
      <c r="G5" s="378" t="s">
        <v>668</v>
      </c>
      <c r="H5" s="378" t="s">
        <v>669</v>
      </c>
      <c r="I5" s="378" t="s">
        <v>670</v>
      </c>
      <c r="J5" s="378" t="s">
        <v>671</v>
      </c>
      <c r="K5" s="378" t="s">
        <v>672</v>
      </c>
      <c r="L5" s="378" t="s">
        <v>673</v>
      </c>
      <c r="M5" s="378" t="s">
        <v>674</v>
      </c>
      <c r="N5" s="378" t="s">
        <v>675</v>
      </c>
      <c r="O5" s="408" t="s">
        <v>634</v>
      </c>
      <c r="R5" s="1019" t="s">
        <v>676</v>
      </c>
      <c r="S5" s="1020"/>
      <c r="T5" s="380" t="s">
        <v>677</v>
      </c>
      <c r="U5" s="371" t="s">
        <v>678</v>
      </c>
      <c r="W5" s="372" t="s">
        <v>679</v>
      </c>
      <c r="X5" s="372" t="s">
        <v>162</v>
      </c>
      <c r="Y5" s="372" t="s">
        <v>633</v>
      </c>
    </row>
    <row r="6" spans="1:25">
      <c r="B6" s="372" t="s">
        <v>635</v>
      </c>
      <c r="C6" s="381">
        <f t="shared" ref="C6:C20" si="0">Y6</f>
        <v>59.266365688487582</v>
      </c>
      <c r="D6" s="381">
        <v>4</v>
      </c>
      <c r="E6" s="382">
        <f>D6*12</f>
        <v>48</v>
      </c>
      <c r="F6" s="383">
        <v>13.29</v>
      </c>
      <c r="G6" s="383">
        <v>13.67</v>
      </c>
      <c r="H6" s="383">
        <v>13.54</v>
      </c>
      <c r="I6" s="384">
        <v>39</v>
      </c>
      <c r="J6" s="372">
        <v>30</v>
      </c>
      <c r="K6" s="372">
        <v>39</v>
      </c>
      <c r="L6" s="372">
        <v>49</v>
      </c>
      <c r="M6" s="381">
        <f>3*(I6+J6+K6+L6)*D6</f>
        <v>1884</v>
      </c>
      <c r="N6" s="381">
        <v>922</v>
      </c>
      <c r="O6" s="372" t="str">
        <f>INDEX('Rates and Eff Dates'!B:B,MATCH(F6,'Rates and Eff Dates'!C:C,0))</f>
        <v>MV-3500 Street and Highway Type</v>
      </c>
      <c r="P6" s="382">
        <f t="shared" ref="P6:P20" si="1">M6/E6</f>
        <v>39.25</v>
      </c>
      <c r="Q6" s="1021">
        <f>P6/_xlfn.TEXTBEFORE(B6," ")</f>
        <v>0.39250000000000002</v>
      </c>
      <c r="R6" s="1022">
        <f>1*_xlfn.TEXTBEFORE(B6," ")</f>
        <v>100</v>
      </c>
      <c r="S6" s="1021"/>
      <c r="T6" s="385" t="str">
        <f>B40</f>
        <v>3500 Street and Highway Type</v>
      </c>
      <c r="U6" s="386">
        <f>C40</f>
        <v>104.93</v>
      </c>
      <c r="W6" s="381">
        <v>2321</v>
      </c>
      <c r="X6" s="387">
        <v>787.64999999999975</v>
      </c>
      <c r="Y6" s="388">
        <v>59.266365688487582</v>
      </c>
    </row>
    <row r="7" spans="1:25">
      <c r="B7" s="372" t="s">
        <v>636</v>
      </c>
      <c r="C7" s="381">
        <f t="shared" si="0"/>
        <v>402.06609195402297</v>
      </c>
      <c r="D7" s="381">
        <v>29</v>
      </c>
      <c r="E7" s="382">
        <f t="shared" ref="E7:E20" si="2">D7*12</f>
        <v>348</v>
      </c>
      <c r="F7" s="383">
        <v>13.92</v>
      </c>
      <c r="G7" s="383">
        <v>14.32</v>
      </c>
      <c r="H7" s="383">
        <v>14.18</v>
      </c>
      <c r="I7" s="372">
        <v>39</v>
      </c>
      <c r="J7" s="372">
        <v>30</v>
      </c>
      <c r="K7" s="372">
        <v>39</v>
      </c>
      <c r="L7" s="372">
        <v>49</v>
      </c>
      <c r="M7" s="381">
        <f t="shared" ref="M7:M24" si="3">3*(I7+J7+K7+L7)*D7</f>
        <v>13659</v>
      </c>
      <c r="N7" s="381">
        <v>6966</v>
      </c>
      <c r="O7" s="372" t="str">
        <f>INDEX('Rates and Eff Dates'!B:B,MATCH(F7,'Rates and Eff Dates'!C:C,0))</f>
        <v>MV-3500 Power Bracket Included</v>
      </c>
      <c r="P7" s="382">
        <f t="shared" si="1"/>
        <v>39.25</v>
      </c>
      <c r="Q7" s="1021">
        <f t="shared" ref="Q7:Q15" si="4">P7/_xlfn.TEXTBEFORE(B7," ")</f>
        <v>0.39250000000000002</v>
      </c>
      <c r="R7" s="1022">
        <f t="shared" ref="R7:R28" si="5">1*_xlfn.TEXTBEFORE(B7," ")</f>
        <v>100</v>
      </c>
      <c r="S7" s="1021"/>
      <c r="T7" s="385" t="str">
        <f>B45</f>
        <v>3500 Power Bracket Included</v>
      </c>
      <c r="U7" s="386">
        <f>C45</f>
        <v>522.6</v>
      </c>
      <c r="W7" s="381">
        <v>15746</v>
      </c>
      <c r="X7" s="387">
        <v>5596.7600000000011</v>
      </c>
      <c r="Y7" s="388">
        <v>402.06609195402297</v>
      </c>
    </row>
    <row r="8" spans="1:25">
      <c r="B8" s="372" t="s">
        <v>637</v>
      </c>
      <c r="C8" s="381">
        <f t="shared" si="0"/>
        <v>1441.6214366877423</v>
      </c>
      <c r="D8" s="381">
        <v>83</v>
      </c>
      <c r="E8" s="382">
        <f t="shared" si="2"/>
        <v>996</v>
      </c>
      <c r="F8" s="383">
        <v>13.71</v>
      </c>
      <c r="G8" s="383">
        <v>14.1</v>
      </c>
      <c r="H8" s="383">
        <v>13.97</v>
      </c>
      <c r="I8" s="372">
        <v>40</v>
      </c>
      <c r="J8" s="372">
        <v>31</v>
      </c>
      <c r="K8" s="372">
        <v>39</v>
      </c>
      <c r="L8" s="372">
        <v>51</v>
      </c>
      <c r="M8" s="381">
        <f t="shared" si="3"/>
        <v>40089</v>
      </c>
      <c r="N8" s="381">
        <v>20932</v>
      </c>
      <c r="O8" s="372" t="str">
        <f>INDEX('Rates and Eff Dates'!B:B,MATCH(F8,'Rates and Eff Dates'!C:C,0))</f>
        <v>HPS-9500 Street and Highway Type</v>
      </c>
      <c r="P8" s="382">
        <f t="shared" si="1"/>
        <v>40.25</v>
      </c>
      <c r="Q8" s="1021">
        <f t="shared" si="4"/>
        <v>0.40250000000000002</v>
      </c>
      <c r="R8" s="1022">
        <f t="shared" si="5"/>
        <v>100</v>
      </c>
      <c r="S8" s="1021"/>
      <c r="T8" s="385" t="str">
        <f>B50</f>
        <v>9500 Street and Highway Type</v>
      </c>
      <c r="U8" s="386">
        <f>C50</f>
        <v>2033.97</v>
      </c>
      <c r="W8" s="381">
        <v>63129</v>
      </c>
      <c r="X8" s="387">
        <v>21738.869896988945</v>
      </c>
      <c r="Y8" s="388">
        <v>1441.6214366877423</v>
      </c>
    </row>
    <row r="9" spans="1:25">
      <c r="B9" s="372" t="s">
        <v>638</v>
      </c>
      <c r="C9" s="381">
        <f t="shared" si="0"/>
        <v>795.73129822207204</v>
      </c>
      <c r="D9" s="381">
        <v>43</v>
      </c>
      <c r="E9" s="382">
        <f t="shared" si="2"/>
        <v>516</v>
      </c>
      <c r="F9" s="383">
        <v>59.62</v>
      </c>
      <c r="G9" s="383">
        <v>61.34</v>
      </c>
      <c r="H9" s="383">
        <v>60.77</v>
      </c>
      <c r="I9" s="372">
        <v>376</v>
      </c>
      <c r="J9" s="372">
        <v>285</v>
      </c>
      <c r="K9" s="372">
        <v>372</v>
      </c>
      <c r="L9" s="372">
        <v>479</v>
      </c>
      <c r="M9" s="381">
        <f t="shared" si="3"/>
        <v>195048</v>
      </c>
      <c r="N9" s="381">
        <v>99191</v>
      </c>
      <c r="O9" s="372" t="str">
        <f>INDEX('Rates and Eff Dates'!B:B,MATCH(F9,'Rates and Eff Dates'!C:C,0))</f>
        <v>HPS-140000 Street and Highway Type</v>
      </c>
      <c r="P9" s="382">
        <f t="shared" si="1"/>
        <v>378</v>
      </c>
      <c r="Q9" s="1021">
        <f t="shared" si="4"/>
        <v>0.378</v>
      </c>
      <c r="R9" s="1022">
        <f t="shared" si="5"/>
        <v>1000</v>
      </c>
      <c r="S9" s="1021"/>
      <c r="T9" s="385" t="str">
        <f>B53</f>
        <v>140000 Street and Highway Type</v>
      </c>
      <c r="U9" s="386">
        <f>C53</f>
        <v>1003.99</v>
      </c>
      <c r="W9" s="381">
        <v>300172</v>
      </c>
      <c r="X9" s="387">
        <v>47441.499999999935</v>
      </c>
      <c r="Y9" s="388">
        <v>795.73129822207204</v>
      </c>
    </row>
    <row r="10" spans="1:25">
      <c r="B10" s="372" t="s">
        <v>639</v>
      </c>
      <c r="C10" s="381">
        <f t="shared" si="0"/>
        <v>84</v>
      </c>
      <c r="D10" s="381">
        <v>7</v>
      </c>
      <c r="E10" s="382">
        <f t="shared" si="2"/>
        <v>84</v>
      </c>
      <c r="F10" s="383">
        <v>51.19</v>
      </c>
      <c r="G10" s="383">
        <v>52.67</v>
      </c>
      <c r="H10" s="383">
        <v>52.18</v>
      </c>
      <c r="I10" s="372">
        <v>367</v>
      </c>
      <c r="J10" s="372">
        <v>278</v>
      </c>
      <c r="K10" s="372">
        <v>364</v>
      </c>
      <c r="L10" s="372">
        <v>467</v>
      </c>
      <c r="M10" s="381">
        <f t="shared" si="3"/>
        <v>30996</v>
      </c>
      <c r="N10" s="381">
        <v>15358</v>
      </c>
      <c r="O10" s="372" t="str">
        <f>INDEX('Rates and Eff Dates'!B:B,MATCH(F10,'Rates and Eff Dates'!C:C,0))</f>
        <v>MV-60000 Street and Highway Type</v>
      </c>
      <c r="P10" s="382">
        <f t="shared" si="1"/>
        <v>369</v>
      </c>
      <c r="Q10" s="1021">
        <f t="shared" si="4"/>
        <v>0.36899999999999999</v>
      </c>
      <c r="R10" s="1022">
        <f t="shared" si="5"/>
        <v>1000</v>
      </c>
      <c r="S10" s="1021"/>
      <c r="T10" s="385" t="str">
        <f>B43</f>
        <v>60000 Street and Highway Type</v>
      </c>
      <c r="U10" s="386">
        <f>C43</f>
        <v>84</v>
      </c>
      <c r="W10" s="381">
        <v>30999</v>
      </c>
      <c r="X10" s="387">
        <v>4299.96</v>
      </c>
      <c r="Y10" s="388">
        <v>84</v>
      </c>
    </row>
    <row r="11" spans="1:25">
      <c r="B11" s="372" t="s">
        <v>640</v>
      </c>
      <c r="C11" s="381">
        <f t="shared" si="0"/>
        <v>83.999999999999986</v>
      </c>
      <c r="D11" s="381">
        <v>7</v>
      </c>
      <c r="E11" s="382">
        <f t="shared" si="2"/>
        <v>84</v>
      </c>
      <c r="F11" s="383">
        <v>14.82</v>
      </c>
      <c r="G11" s="383">
        <v>15.24</v>
      </c>
      <c r="H11" s="383">
        <v>15.1</v>
      </c>
      <c r="I11" s="372">
        <v>33</v>
      </c>
      <c r="J11" s="372">
        <v>25</v>
      </c>
      <c r="K11" s="372">
        <v>33</v>
      </c>
      <c r="L11" s="372">
        <v>42</v>
      </c>
      <c r="M11" s="381">
        <f t="shared" si="3"/>
        <v>2793</v>
      </c>
      <c r="N11" s="381">
        <v>1407</v>
      </c>
      <c r="O11" s="372" t="str">
        <f>INDEX('Rates and Eff Dates'!B:B,MATCH(F11,'Rates and Eff Dates'!C:C,0))</f>
        <v>LED-10680 Cobra Head Type</v>
      </c>
      <c r="P11" s="382">
        <f t="shared" si="1"/>
        <v>33.25</v>
      </c>
      <c r="Q11" s="1021">
        <f t="shared" si="4"/>
        <v>0.32920792079207922</v>
      </c>
      <c r="R11" s="1022">
        <f t="shared" si="5"/>
        <v>101</v>
      </c>
      <c r="S11" s="1021"/>
      <c r="T11" s="385" t="str">
        <f>B71</f>
        <v>10680 Cobra Head Type</v>
      </c>
      <c r="U11" s="386">
        <f>C71</f>
        <v>45.5</v>
      </c>
      <c r="W11" s="381">
        <v>2809</v>
      </c>
      <c r="X11" s="387">
        <v>1244.8799999999999</v>
      </c>
      <c r="Y11" s="388">
        <v>83.999999999999986</v>
      </c>
    </row>
    <row r="12" spans="1:25">
      <c r="B12" s="372" t="s">
        <v>643</v>
      </c>
      <c r="C12" s="381">
        <f t="shared" si="0"/>
        <v>84</v>
      </c>
      <c r="D12" s="381">
        <v>7</v>
      </c>
      <c r="E12" s="382">
        <f t="shared" si="2"/>
        <v>84</v>
      </c>
      <c r="F12" s="383">
        <v>14.74</v>
      </c>
      <c r="G12" s="383">
        <v>15.16</v>
      </c>
      <c r="H12" s="383">
        <v>15.02</v>
      </c>
      <c r="I12" s="372">
        <v>68</v>
      </c>
      <c r="J12" s="372">
        <v>51</v>
      </c>
      <c r="K12" s="372">
        <v>67</v>
      </c>
      <c r="L12" s="372">
        <v>87</v>
      </c>
      <c r="M12" s="381">
        <f t="shared" si="3"/>
        <v>5733</v>
      </c>
      <c r="N12" s="381">
        <v>2821</v>
      </c>
      <c r="O12" s="372" t="str">
        <f>INDEX('Rates and Eff Dates'!B:B,MATCH(F12,'Rates and Eff Dates'!C:C,0))</f>
        <v>MV-7000 Street and Highway Type</v>
      </c>
      <c r="P12" s="382">
        <f t="shared" si="1"/>
        <v>68.25</v>
      </c>
      <c r="Q12" s="1021">
        <f t="shared" si="4"/>
        <v>0.39</v>
      </c>
      <c r="R12" s="1022">
        <f t="shared" si="5"/>
        <v>175</v>
      </c>
      <c r="S12" s="1021"/>
      <c r="T12" s="385" t="str">
        <f>B41</f>
        <v>7000 Street and Highway Type</v>
      </c>
      <c r="U12" s="386">
        <f>C41</f>
        <v>107.47</v>
      </c>
      <c r="W12" s="381">
        <v>5736</v>
      </c>
      <c r="X12" s="387">
        <v>1238.1600000000001</v>
      </c>
      <c r="Y12" s="388">
        <v>84</v>
      </c>
    </row>
    <row r="13" spans="1:25">
      <c r="B13" s="372" t="s">
        <v>644</v>
      </c>
      <c r="C13" s="381">
        <f t="shared" si="0"/>
        <v>323.96617740906191</v>
      </c>
      <c r="D13" s="381">
        <v>25</v>
      </c>
      <c r="E13" s="382">
        <f t="shared" si="2"/>
        <v>300</v>
      </c>
      <c r="F13" s="383">
        <v>15.67</v>
      </c>
      <c r="G13" s="383">
        <v>16.12</v>
      </c>
      <c r="H13" s="383">
        <v>15.97</v>
      </c>
      <c r="I13" s="372">
        <v>68</v>
      </c>
      <c r="J13" s="372">
        <v>51</v>
      </c>
      <c r="K13" s="372">
        <v>67</v>
      </c>
      <c r="L13" s="372">
        <v>87</v>
      </c>
      <c r="M13" s="381">
        <f t="shared" si="3"/>
        <v>20475</v>
      </c>
      <c r="N13" s="381">
        <v>10554</v>
      </c>
      <c r="O13" s="372" t="str">
        <f>INDEX('Rates and Eff Dates'!B:B,MATCH(F13,'Rates and Eff Dates'!C:C,0))</f>
        <v>MV-7000 Power Bracket Included</v>
      </c>
      <c r="P13" s="382">
        <f t="shared" si="1"/>
        <v>68.25</v>
      </c>
      <c r="Q13" s="1021">
        <f t="shared" si="4"/>
        <v>0.39</v>
      </c>
      <c r="R13" s="1022">
        <f t="shared" si="5"/>
        <v>175</v>
      </c>
      <c r="S13" s="1021"/>
      <c r="T13" s="385" t="str">
        <f>B46</f>
        <v>7000 Power Bracket Included</v>
      </c>
      <c r="U13" s="386">
        <f>C46</f>
        <v>381.49</v>
      </c>
      <c r="W13" s="381">
        <v>22133</v>
      </c>
      <c r="X13" s="387">
        <v>5076.55</v>
      </c>
      <c r="Y13" s="388">
        <v>323.96617740906191</v>
      </c>
    </row>
    <row r="14" spans="1:25">
      <c r="B14" s="372" t="s">
        <v>645</v>
      </c>
      <c r="C14" s="381">
        <f t="shared" si="0"/>
        <v>403</v>
      </c>
      <c r="D14" s="381">
        <v>8</v>
      </c>
      <c r="E14" s="382">
        <f t="shared" si="2"/>
        <v>96</v>
      </c>
      <c r="F14" s="383">
        <v>20.440000000000001</v>
      </c>
      <c r="G14" s="383">
        <v>21.03</v>
      </c>
      <c r="H14" s="383">
        <v>20.83</v>
      </c>
      <c r="I14" s="372">
        <v>84</v>
      </c>
      <c r="J14" s="372">
        <v>64</v>
      </c>
      <c r="K14" s="372">
        <v>84</v>
      </c>
      <c r="L14" s="372">
        <v>108</v>
      </c>
      <c r="M14" s="381">
        <f t="shared" si="3"/>
        <v>8160</v>
      </c>
      <c r="N14" s="381">
        <v>4065</v>
      </c>
      <c r="O14" s="372" t="str">
        <f>INDEX('Rates and Eff Dates'!B:B,MATCH(F14,'Rates and Eff Dates'!C:C,0))</f>
        <v>HPS-20000 Street and Highway Type</v>
      </c>
      <c r="P14" s="382">
        <f t="shared" si="1"/>
        <v>85</v>
      </c>
      <c r="Q14" s="1021">
        <f t="shared" si="4"/>
        <v>0.42499999999999999</v>
      </c>
      <c r="R14" s="1022">
        <f t="shared" si="5"/>
        <v>200</v>
      </c>
      <c r="S14" s="1021"/>
      <c r="T14" s="385" t="str">
        <f>B51</f>
        <v>20000 Street and Highway Type</v>
      </c>
      <c r="U14" s="386">
        <f>C51</f>
        <v>554.22</v>
      </c>
      <c r="W14" s="381">
        <v>32895</v>
      </c>
      <c r="X14" s="387">
        <v>8216.8799999999992</v>
      </c>
      <c r="Y14" s="388">
        <v>403</v>
      </c>
    </row>
    <row r="15" spans="1:25">
      <c r="B15" s="372" t="s">
        <v>647</v>
      </c>
      <c r="C15" s="381">
        <f t="shared" si="0"/>
        <v>300</v>
      </c>
      <c r="D15" s="381">
        <v>25</v>
      </c>
      <c r="E15" s="382">
        <f t="shared" si="2"/>
        <v>300</v>
      </c>
      <c r="F15" s="383">
        <v>29.61</v>
      </c>
      <c r="G15" s="383">
        <v>30.46</v>
      </c>
      <c r="H15" s="383">
        <v>30.18</v>
      </c>
      <c r="I15" s="372">
        <v>156</v>
      </c>
      <c r="J15" s="372">
        <v>119</v>
      </c>
      <c r="K15" s="372">
        <v>155</v>
      </c>
      <c r="L15" s="372">
        <v>199</v>
      </c>
      <c r="M15" s="381">
        <f t="shared" si="3"/>
        <v>47175</v>
      </c>
      <c r="N15" s="381">
        <v>23513</v>
      </c>
      <c r="O15" s="372" t="str">
        <f>INDEX('Rates and Eff Dates'!B:B,MATCH(F15,'Rates and Eff Dates'!C:C,0))</f>
        <v>MV-20000 Flood Light Type</v>
      </c>
      <c r="P15" s="382">
        <f t="shared" si="1"/>
        <v>157.25</v>
      </c>
      <c r="Q15" s="1021">
        <f t="shared" si="4"/>
        <v>0.393125</v>
      </c>
      <c r="R15" s="1022">
        <f t="shared" si="5"/>
        <v>400</v>
      </c>
      <c r="S15" s="1021"/>
      <c r="T15" s="385" t="str">
        <f>B44</f>
        <v>20000 Flood Light Type</v>
      </c>
      <c r="U15" s="386">
        <f>C44</f>
        <v>336</v>
      </c>
      <c r="W15" s="381">
        <v>47291</v>
      </c>
      <c r="X15" s="387">
        <v>8883</v>
      </c>
      <c r="Y15" s="388">
        <v>300</v>
      </c>
    </row>
    <row r="16" spans="1:25">
      <c r="B16" s="372" t="s">
        <v>648</v>
      </c>
      <c r="C16" s="381">
        <f t="shared" si="0"/>
        <v>0</v>
      </c>
      <c r="D16" s="381">
        <v>0</v>
      </c>
      <c r="E16" s="382">
        <f t="shared" si="2"/>
        <v>0</v>
      </c>
      <c r="F16" s="383">
        <v>26.78</v>
      </c>
      <c r="G16" s="389">
        <v>27.55</v>
      </c>
      <c r="H16" s="383">
        <v>27.29</v>
      </c>
      <c r="I16" s="372">
        <v>156</v>
      </c>
      <c r="J16" s="372">
        <v>119</v>
      </c>
      <c r="K16" s="372">
        <v>155</v>
      </c>
      <c r="L16" s="372">
        <v>199</v>
      </c>
      <c r="M16" s="381">
        <f t="shared" si="3"/>
        <v>0</v>
      </c>
      <c r="O16" s="372" t="str">
        <f>INDEX('Rates and Eff Dates'!B:B,MATCH(F16,'Rates and Eff Dates'!C:C,0))</f>
        <v>MV-20000 Street and Highway Type</v>
      </c>
      <c r="P16" s="382"/>
      <c r="Q16" s="382"/>
      <c r="R16" s="1022">
        <f t="shared" si="5"/>
        <v>400</v>
      </c>
      <c r="S16" s="382"/>
      <c r="T16" s="390"/>
      <c r="U16" s="386"/>
      <c r="W16" s="381">
        <v>0</v>
      </c>
      <c r="X16" s="387">
        <v>0</v>
      </c>
      <c r="Y16" s="388">
        <v>0</v>
      </c>
    </row>
    <row r="17" spans="1:25">
      <c r="B17" s="372" t="s">
        <v>649</v>
      </c>
      <c r="C17" s="381">
        <f t="shared" si="0"/>
        <v>4040.413281944825</v>
      </c>
      <c r="D17" s="381">
        <v>290</v>
      </c>
      <c r="E17" s="382">
        <f t="shared" si="2"/>
        <v>3480</v>
      </c>
      <c r="F17" s="383">
        <v>33.729999999999997</v>
      </c>
      <c r="G17" s="383">
        <v>34.700000000000003</v>
      </c>
      <c r="H17" s="383">
        <v>34.380000000000003</v>
      </c>
      <c r="I17" s="372">
        <v>160</v>
      </c>
      <c r="J17" s="372">
        <v>122</v>
      </c>
      <c r="K17" s="372">
        <v>159</v>
      </c>
      <c r="L17" s="372">
        <v>204</v>
      </c>
      <c r="M17" s="381">
        <f t="shared" si="3"/>
        <v>561150</v>
      </c>
      <c r="N17" s="381">
        <v>286110</v>
      </c>
      <c r="O17" s="372" t="str">
        <f>INDEX('Rates and Eff Dates'!B:B,MATCH(F17,'Rates and Eff Dates'!C:C,0))</f>
        <v>HPS-50000 Flood Light Type</v>
      </c>
      <c r="P17" s="382">
        <f t="shared" si="1"/>
        <v>161.25</v>
      </c>
      <c r="Q17" s="1021">
        <f t="shared" ref="Q17:Q18" si="6">P17/_xlfn.TEXTBEFORE(B17," ")</f>
        <v>0.40312500000000001</v>
      </c>
      <c r="R17" s="1022">
        <f t="shared" si="5"/>
        <v>400</v>
      </c>
      <c r="S17" s="1021"/>
      <c r="T17" s="385" t="str">
        <f>B54</f>
        <v>50000 Flood Light Type</v>
      </c>
      <c r="U17" s="386">
        <f>C54</f>
        <v>4907.55</v>
      </c>
      <c r="W17" s="381">
        <v>651203</v>
      </c>
      <c r="X17" s="387">
        <v>135979.56999999896</v>
      </c>
      <c r="Y17" s="388">
        <v>4040.413281944825</v>
      </c>
    </row>
    <row r="18" spans="1:25">
      <c r="B18" s="372" t="s">
        <v>650</v>
      </c>
      <c r="C18" s="381">
        <f t="shared" si="0"/>
        <v>102</v>
      </c>
      <c r="D18" s="381">
        <v>6</v>
      </c>
      <c r="E18" s="382">
        <f t="shared" si="2"/>
        <v>72</v>
      </c>
      <c r="F18" s="383">
        <v>29.06</v>
      </c>
      <c r="G18" s="383">
        <v>29.9</v>
      </c>
      <c r="H18" s="383">
        <v>29.62</v>
      </c>
      <c r="I18" s="372">
        <v>160</v>
      </c>
      <c r="J18" s="372">
        <v>122</v>
      </c>
      <c r="K18" s="372">
        <v>159</v>
      </c>
      <c r="L18" s="372">
        <v>204</v>
      </c>
      <c r="M18" s="381">
        <f t="shared" si="3"/>
        <v>11610</v>
      </c>
      <c r="N18" s="381">
        <v>6255</v>
      </c>
      <c r="O18" s="372" t="str">
        <f>INDEX('Rates and Eff Dates'!B:B,MATCH(F18,'Rates and Eff Dates'!C:C,0))</f>
        <v>HPS-50000 Street and Highway Type</v>
      </c>
      <c r="P18" s="382">
        <f t="shared" si="1"/>
        <v>161.25</v>
      </c>
      <c r="Q18" s="1021">
        <f t="shared" si="6"/>
        <v>0.40312500000000001</v>
      </c>
      <c r="R18" s="1022">
        <f t="shared" si="5"/>
        <v>400</v>
      </c>
      <c r="S18" s="1021"/>
      <c r="T18" s="385" t="str">
        <f>B52</f>
        <v>50000 Street and Highway Type</v>
      </c>
      <c r="U18" s="386">
        <f>C52</f>
        <v>141.19999999999999</v>
      </c>
      <c r="W18" s="381">
        <v>17690</v>
      </c>
      <c r="X18" s="387">
        <v>3225.6599999999994</v>
      </c>
      <c r="Y18" s="388">
        <v>102</v>
      </c>
    </row>
    <row r="19" spans="1:25">
      <c r="B19" s="372" t="s">
        <v>652</v>
      </c>
      <c r="C19" s="381">
        <f t="shared" si="0"/>
        <v>18</v>
      </c>
      <c r="D19" s="381">
        <v>0</v>
      </c>
      <c r="E19" s="382">
        <f t="shared" si="2"/>
        <v>0</v>
      </c>
      <c r="F19" s="383">
        <v>9.26</v>
      </c>
      <c r="G19" s="389">
        <v>9.52</v>
      </c>
      <c r="H19" s="383">
        <v>9.43</v>
      </c>
      <c r="I19" s="372">
        <v>20</v>
      </c>
      <c r="J19" s="372">
        <v>15</v>
      </c>
      <c r="K19" s="372">
        <v>20</v>
      </c>
      <c r="L19" s="372">
        <v>25</v>
      </c>
      <c r="M19" s="381">
        <f t="shared" si="3"/>
        <v>0</v>
      </c>
      <c r="N19" s="381"/>
      <c r="O19" s="372" t="str">
        <f>INDEX('Rates and Eff Dates'!B:B,MATCH(F19,'Rates and Eff Dates'!C:C,0))</f>
        <v>3300 Street and Highway-Ornament</v>
      </c>
      <c r="P19" s="382"/>
      <c r="Q19" s="382"/>
      <c r="R19" s="1022">
        <f t="shared" si="5"/>
        <v>50</v>
      </c>
      <c r="S19" s="382"/>
      <c r="T19" s="385" t="str">
        <f>B85</f>
        <v>3300 Street and Highway Type</v>
      </c>
      <c r="U19" s="386">
        <f>C85</f>
        <v>24</v>
      </c>
      <c r="W19" s="381">
        <v>344</v>
      </c>
      <c r="X19" s="387">
        <v>166.68</v>
      </c>
      <c r="Y19" s="388">
        <v>18</v>
      </c>
    </row>
    <row r="20" spans="1:25">
      <c r="B20" s="372" t="s">
        <v>653</v>
      </c>
      <c r="C20" s="381">
        <f t="shared" si="0"/>
        <v>3927.9661841293237</v>
      </c>
      <c r="D20" s="381">
        <v>131.69999999999999</v>
      </c>
      <c r="E20" s="382">
        <f t="shared" si="2"/>
        <v>1580.3999999999999</v>
      </c>
      <c r="F20" s="383">
        <v>11.53</v>
      </c>
      <c r="G20" s="383">
        <v>11.86</v>
      </c>
      <c r="H20" s="383">
        <v>11.75</v>
      </c>
      <c r="I20" s="372">
        <v>20</v>
      </c>
      <c r="J20" s="372">
        <v>15</v>
      </c>
      <c r="K20" s="372">
        <v>20</v>
      </c>
      <c r="L20" s="372">
        <v>25</v>
      </c>
      <c r="M20" s="381">
        <f t="shared" si="3"/>
        <v>31607.999999999996</v>
      </c>
      <c r="N20" s="381">
        <v>15786</v>
      </c>
      <c r="O20" s="372" t="str">
        <f>INDEX('Rates and Eff Dates'!B:B,MATCH(F20,'Rates and Eff Dates'!C:C,0))</f>
        <v>HPS-3300 Street and Highway Type</v>
      </c>
      <c r="P20" s="382">
        <f t="shared" si="1"/>
        <v>20</v>
      </c>
      <c r="Q20" s="1021">
        <f>P20/_xlfn.TEXTBEFORE(B20," ")</f>
        <v>0.4</v>
      </c>
      <c r="R20" s="1022">
        <f t="shared" si="5"/>
        <v>50</v>
      </c>
      <c r="S20" s="1021"/>
      <c r="T20" s="385" t="str">
        <f>B49</f>
        <v>3300 Street and Highway Type</v>
      </c>
      <c r="U20" s="386">
        <f>C49</f>
        <v>5789.98</v>
      </c>
      <c r="W20" s="381">
        <v>76610</v>
      </c>
      <c r="X20" s="387">
        <v>45139.560103011099</v>
      </c>
      <c r="Y20" s="388">
        <v>3927.9661841293237</v>
      </c>
    </row>
    <row r="21" spans="1:25">
      <c r="A21" s="371" t="s">
        <v>680</v>
      </c>
      <c r="C21" s="391"/>
      <c r="D21" s="391"/>
      <c r="E21" s="382"/>
      <c r="F21" s="383"/>
      <c r="G21" s="383"/>
      <c r="H21" s="383"/>
      <c r="M21" s="381">
        <f t="shared" si="3"/>
        <v>0</v>
      </c>
      <c r="N21" s="391"/>
      <c r="P21" s="382"/>
      <c r="Q21" s="382"/>
      <c r="R21" s="1023"/>
      <c r="S21" s="382"/>
      <c r="W21" s="391"/>
      <c r="X21" s="392"/>
      <c r="Y21" s="393"/>
    </row>
    <row r="22" spans="1:25">
      <c r="B22" s="371" t="s">
        <v>642</v>
      </c>
      <c r="C22" s="381">
        <f t="shared" ref="C22:C27" si="7">Y22</f>
        <v>626.42770270270216</v>
      </c>
      <c r="D22" s="381">
        <v>120.7</v>
      </c>
      <c r="E22" s="382">
        <f t="shared" ref="E22:E27" si="8">D22*12</f>
        <v>1448.4</v>
      </c>
      <c r="F22" s="383">
        <v>14.8</v>
      </c>
      <c r="G22" s="383">
        <v>15.22</v>
      </c>
      <c r="H22" s="389">
        <f>TRUNC(G22*(1-0.0091),2)</f>
        <v>15.08</v>
      </c>
      <c r="I22" s="372">
        <v>36</v>
      </c>
      <c r="J22" s="372">
        <v>27</v>
      </c>
      <c r="K22" s="372">
        <v>36</v>
      </c>
      <c r="L22" s="372">
        <v>46</v>
      </c>
      <c r="M22" s="381">
        <f>3*(I22+J22+K22+L22)*D22</f>
        <v>52504.5</v>
      </c>
      <c r="N22" s="381">
        <v>24448</v>
      </c>
      <c r="O22" s="409" t="s">
        <v>180</v>
      </c>
      <c r="P22" s="382">
        <f>M22/E22</f>
        <v>36.25</v>
      </c>
      <c r="Q22" s="1021">
        <f>P22/_xlfn.TEXTBEFORE(B22," ")</f>
        <v>0.32954545454545453</v>
      </c>
      <c r="R22" s="1022">
        <f t="shared" si="5"/>
        <v>110</v>
      </c>
      <c r="S22" s="1021"/>
      <c r="T22" s="390"/>
      <c r="U22" s="386"/>
      <c r="W22" s="381">
        <v>22670</v>
      </c>
      <c r="X22" s="387">
        <v>9271.1299999999937</v>
      </c>
      <c r="Y22" s="388">
        <v>626.42770270270216</v>
      </c>
    </row>
    <row r="23" spans="1:25">
      <c r="B23" s="371" t="s">
        <v>646</v>
      </c>
      <c r="C23" s="381">
        <f t="shared" si="7"/>
        <v>1176.5000000000005</v>
      </c>
      <c r="D23" s="381">
        <v>108</v>
      </c>
      <c r="E23" s="382">
        <f t="shared" si="8"/>
        <v>1296</v>
      </c>
      <c r="F23" s="383">
        <v>7.44</v>
      </c>
      <c r="G23" s="383">
        <v>7.65</v>
      </c>
      <c r="H23" s="383">
        <v>7.58</v>
      </c>
      <c r="I23" s="372">
        <v>9</v>
      </c>
      <c r="J23" s="372">
        <v>7</v>
      </c>
      <c r="K23" s="372">
        <v>9</v>
      </c>
      <c r="L23" s="372">
        <v>12</v>
      </c>
      <c r="M23" s="381">
        <f t="shared" si="3"/>
        <v>11988</v>
      </c>
      <c r="N23" s="381">
        <v>5611</v>
      </c>
      <c r="O23" s="372" t="str">
        <f>INDEX('Rates and Eff Dates'!B:B,MATCH(F23,'Rates and Eff Dates'!C:C,0))</f>
        <v>28 Watt LED Street</v>
      </c>
      <c r="P23" s="382">
        <f t="shared" ref="P23:P28" si="9">M23/E23</f>
        <v>9.25</v>
      </c>
      <c r="Q23" s="1021">
        <f t="shared" ref="Q23:Q28" si="10">P23/_xlfn.TEXTBEFORE(B23," ")</f>
        <v>0.33035714285714285</v>
      </c>
      <c r="R23" s="1022">
        <f t="shared" si="5"/>
        <v>28</v>
      </c>
      <c r="S23" s="1021"/>
      <c r="T23" s="390"/>
      <c r="U23" s="386"/>
      <c r="W23" s="381">
        <v>10744</v>
      </c>
      <c r="X23" s="387">
        <v>8753.1600000000035</v>
      </c>
      <c r="Y23" s="388">
        <v>1176.5000000000005</v>
      </c>
    </row>
    <row r="24" spans="1:25">
      <c r="B24" s="371" t="s">
        <v>651</v>
      </c>
      <c r="C24" s="381">
        <f t="shared" si="7"/>
        <v>48.466504263093789</v>
      </c>
      <c r="D24" s="381">
        <v>11.53436018957346</v>
      </c>
      <c r="E24" s="382">
        <f t="shared" si="8"/>
        <v>138.41232227488152</v>
      </c>
      <c r="F24" s="383">
        <v>8.2100000000000009</v>
      </c>
      <c r="G24" s="383">
        <v>8.44</v>
      </c>
      <c r="H24" s="389">
        <f>TRUNC(G24*(1-0.0091),2)</f>
        <v>8.36</v>
      </c>
      <c r="I24" s="372">
        <v>15</v>
      </c>
      <c r="J24" s="372">
        <v>12</v>
      </c>
      <c r="K24" s="372">
        <v>15</v>
      </c>
      <c r="L24" s="372">
        <v>20</v>
      </c>
      <c r="M24" s="381">
        <f t="shared" si="3"/>
        <v>2145.3909952606637</v>
      </c>
      <c r="N24" s="381">
        <v>802</v>
      </c>
      <c r="O24" s="409" t="s">
        <v>177</v>
      </c>
      <c r="P24" s="382">
        <f t="shared" si="9"/>
        <v>15.500000000000002</v>
      </c>
      <c r="Q24" s="1021">
        <f t="shared" si="10"/>
        <v>0.32978723404255322</v>
      </c>
      <c r="R24" s="1022">
        <f t="shared" si="5"/>
        <v>47</v>
      </c>
      <c r="S24" s="1021"/>
      <c r="T24" s="390"/>
      <c r="U24" s="386"/>
      <c r="W24" s="381">
        <v>733</v>
      </c>
      <c r="X24" s="387">
        <v>397.91000000000008</v>
      </c>
      <c r="Y24" s="388">
        <v>48.466504263093789</v>
      </c>
    </row>
    <row r="25" spans="1:25">
      <c r="B25" s="371" t="s">
        <v>654</v>
      </c>
      <c r="C25" s="381">
        <f t="shared" si="7"/>
        <v>180</v>
      </c>
      <c r="D25" s="381">
        <v>15</v>
      </c>
      <c r="E25" s="382">
        <f t="shared" si="8"/>
        <v>180</v>
      </c>
      <c r="F25" s="383">
        <v>8.49</v>
      </c>
      <c r="G25" s="383">
        <v>8.73</v>
      </c>
      <c r="H25" s="389">
        <v>8.65</v>
      </c>
      <c r="I25" s="394">
        <v>18</v>
      </c>
      <c r="J25" s="394">
        <v>13</v>
      </c>
      <c r="K25" s="394">
        <v>17</v>
      </c>
      <c r="L25" s="394">
        <v>22</v>
      </c>
      <c r="M25" s="381">
        <f>3*(I25+J25+K25+L25)*D25</f>
        <v>3150</v>
      </c>
      <c r="N25" s="381">
        <v>1563</v>
      </c>
      <c r="O25" s="372" t="str">
        <f>INDEX('Rates and Eff Dates'!B:B,MATCH(F25,'Rates and Eff Dates'!C:C,0))</f>
        <v>54 Watt LED Street</v>
      </c>
      <c r="P25" s="382">
        <f t="shared" si="9"/>
        <v>17.5</v>
      </c>
      <c r="Q25" s="1021">
        <f t="shared" si="10"/>
        <v>0.32407407407407407</v>
      </c>
      <c r="R25" s="1022">
        <f t="shared" si="5"/>
        <v>54</v>
      </c>
      <c r="S25" s="1021"/>
      <c r="T25" s="390"/>
      <c r="U25" s="386"/>
      <c r="W25" s="381">
        <v>3165</v>
      </c>
      <c r="X25" s="387">
        <v>1528.1999999999994</v>
      </c>
      <c r="Y25" s="388">
        <v>180</v>
      </c>
    </row>
    <row r="26" spans="1:25">
      <c r="B26" s="371" t="s">
        <v>655</v>
      </c>
      <c r="C26" s="381">
        <f t="shared" si="7"/>
        <v>17.699761715647341</v>
      </c>
      <c r="D26" s="381">
        <v>1</v>
      </c>
      <c r="E26" s="382">
        <f t="shared" si="8"/>
        <v>12</v>
      </c>
      <c r="F26" s="383">
        <v>12.59</v>
      </c>
      <c r="G26" s="383">
        <v>12.95</v>
      </c>
      <c r="H26" s="389">
        <f>TRUNC(G26*(1-0.0091),2)</f>
        <v>12.83</v>
      </c>
      <c r="I26" s="372">
        <v>23</v>
      </c>
      <c r="J26" s="372">
        <v>17</v>
      </c>
      <c r="K26" s="372">
        <v>23</v>
      </c>
      <c r="L26" s="372">
        <v>29</v>
      </c>
      <c r="M26" s="381">
        <f>3*(I26+J26+K26+L26)*D26</f>
        <v>276</v>
      </c>
      <c r="N26" s="381">
        <v>140</v>
      </c>
      <c r="O26" s="409" t="s">
        <v>179</v>
      </c>
      <c r="P26" s="382">
        <f t="shared" si="9"/>
        <v>23</v>
      </c>
      <c r="Q26" s="1021">
        <f t="shared" si="10"/>
        <v>0.32857142857142857</v>
      </c>
      <c r="R26" s="1022">
        <f t="shared" si="5"/>
        <v>70</v>
      </c>
      <c r="S26" s="1021"/>
      <c r="T26" s="390"/>
      <c r="U26" s="386"/>
      <c r="W26" s="381">
        <v>409</v>
      </c>
      <c r="X26" s="387">
        <v>222.84000000000003</v>
      </c>
      <c r="Y26" s="388">
        <v>17.699761715647341</v>
      </c>
    </row>
    <row r="27" spans="1:25">
      <c r="B27" s="371" t="s">
        <v>681</v>
      </c>
      <c r="C27" s="381">
        <f t="shared" si="7"/>
        <v>12</v>
      </c>
      <c r="D27" s="381">
        <v>1</v>
      </c>
      <c r="E27" s="382">
        <f t="shared" si="8"/>
        <v>12</v>
      </c>
      <c r="F27" s="383">
        <v>10</v>
      </c>
      <c r="G27" s="383">
        <v>10</v>
      </c>
      <c r="H27" s="389">
        <v>10</v>
      </c>
      <c r="I27" s="372">
        <v>17</v>
      </c>
      <c r="J27" s="372">
        <v>13</v>
      </c>
      <c r="K27" s="372">
        <v>17</v>
      </c>
      <c r="L27" s="372">
        <v>21</v>
      </c>
      <c r="M27" s="381">
        <f>3*(I27+J27+K27+L27)*D27</f>
        <v>204</v>
      </c>
      <c r="N27" s="381">
        <v>0</v>
      </c>
      <c r="O27" s="372" t="str">
        <f>B27</f>
        <v>Ashby Outdoor Floodlight</v>
      </c>
      <c r="P27" s="382">
        <f t="shared" si="9"/>
        <v>17</v>
      </c>
      <c r="Q27" s="1021"/>
      <c r="R27" s="1023"/>
      <c r="S27" s="1021"/>
      <c r="T27" s="390"/>
      <c r="U27" s="386"/>
      <c r="W27" s="381">
        <v>0</v>
      </c>
      <c r="X27" s="387">
        <v>120</v>
      </c>
      <c r="Y27" s="388">
        <v>12</v>
      </c>
    </row>
    <row r="28" spans="1:25">
      <c r="B28" s="371" t="s">
        <v>641</v>
      </c>
      <c r="C28" s="381">
        <f>Y28</f>
        <v>12</v>
      </c>
      <c r="D28" s="381">
        <v>1</v>
      </c>
      <c r="E28" s="382">
        <f>D28*12</f>
        <v>12</v>
      </c>
      <c r="F28" s="383">
        <v>25.29</v>
      </c>
      <c r="G28" s="383">
        <v>26.02</v>
      </c>
      <c r="H28" s="389">
        <v>25.79</v>
      </c>
      <c r="I28" s="372">
        <v>65</v>
      </c>
      <c r="J28" s="372">
        <v>49</v>
      </c>
      <c r="K28" s="372">
        <v>64</v>
      </c>
      <c r="L28" s="372">
        <v>83</v>
      </c>
      <c r="M28" s="381">
        <f>3*(I28+J28+K28+L28)*D28</f>
        <v>783</v>
      </c>
      <c r="N28" s="381">
        <v>215</v>
      </c>
      <c r="O28" s="409" t="s">
        <v>181</v>
      </c>
      <c r="P28" s="382">
        <f t="shared" si="9"/>
        <v>65.25</v>
      </c>
      <c r="Q28" s="1021">
        <f t="shared" si="10"/>
        <v>0.59318181818181814</v>
      </c>
      <c r="R28" s="1022">
        <f t="shared" si="5"/>
        <v>110</v>
      </c>
      <c r="S28" s="1021"/>
      <c r="T28" s="390"/>
      <c r="U28" s="386"/>
      <c r="W28" s="381">
        <v>435</v>
      </c>
      <c r="X28" s="387">
        <v>303.47999999999996</v>
      </c>
      <c r="Y28" s="388">
        <v>12</v>
      </c>
    </row>
    <row r="29" spans="1:25">
      <c r="C29" s="391"/>
      <c r="D29" s="391"/>
      <c r="E29" s="391"/>
      <c r="O29" s="382"/>
      <c r="W29" s="391"/>
      <c r="X29" s="392"/>
      <c r="Y29" s="393"/>
    </row>
    <row r="30" spans="1:25">
      <c r="B30" s="371" t="s">
        <v>659</v>
      </c>
      <c r="C30" s="395">
        <f>SUM(C6:C20,C22:C28)</f>
        <v>14139.124804716977</v>
      </c>
      <c r="D30" s="395">
        <f>SUM(D6:D20,D22:D28)</f>
        <v>923.93436018957357</v>
      </c>
      <c r="E30" s="395">
        <f>SUM(E6:E20,E22:E28)</f>
        <v>11087.212322274881</v>
      </c>
      <c r="F30" s="371" t="s">
        <v>682</v>
      </c>
      <c r="G30" s="371" t="s">
        <v>682</v>
      </c>
      <c r="H30" s="371" t="s">
        <v>682</v>
      </c>
      <c r="I30" s="395">
        <f t="shared" ref="I30:N30" si="11">SUM(I6:I20,I22:I28)</f>
        <v>1969</v>
      </c>
      <c r="J30" s="395">
        <f t="shared" si="11"/>
        <v>1495</v>
      </c>
      <c r="K30" s="395">
        <f t="shared" si="11"/>
        <v>1953</v>
      </c>
      <c r="L30" s="395">
        <f t="shared" si="11"/>
        <v>2508</v>
      </c>
      <c r="M30" s="395">
        <f t="shared" si="11"/>
        <v>1041430.8909952607</v>
      </c>
      <c r="N30" s="395">
        <f t="shared" si="11"/>
        <v>526659</v>
      </c>
      <c r="W30" s="381"/>
      <c r="X30" s="387">
        <v>0</v>
      </c>
      <c r="Y30" s="388"/>
    </row>
    <row r="31" spans="1:25">
      <c r="C31" s="381"/>
      <c r="D31" s="381"/>
      <c r="E31" s="381"/>
      <c r="R31" s="1019" t="s">
        <v>683</v>
      </c>
      <c r="W31" s="381"/>
      <c r="X31" s="387">
        <v>1570.29</v>
      </c>
      <c r="Y31" s="388"/>
    </row>
    <row r="32" spans="1:25">
      <c r="R32" s="1024">
        <f>SUMPRODUCT(R6:R28,D6:D28)/1000</f>
        <v>222.32511492890995</v>
      </c>
      <c r="W32" s="381"/>
      <c r="X32" s="387"/>
      <c r="Y32" s="388"/>
    </row>
    <row r="33" spans="1:25">
      <c r="F33" s="381">
        <f>SUMPRODUCT(C6:C28,F6:F28)</f>
        <v>307870.51999999891</v>
      </c>
      <c r="W33" s="381">
        <v>1307234</v>
      </c>
      <c r="X33" s="387">
        <v>311202.68999999895</v>
      </c>
      <c r="Y33" s="388">
        <v>14139.124804716979</v>
      </c>
    </row>
    <row r="36" spans="1:25">
      <c r="A36" s="396" t="s">
        <v>684</v>
      </c>
      <c r="B36" s="396"/>
      <c r="C36" s="396"/>
      <c r="D36" s="396"/>
      <c r="E36" s="396"/>
    </row>
    <row r="38" spans="1:25">
      <c r="A38" s="372" t="s">
        <v>381</v>
      </c>
      <c r="C38" s="397" t="s">
        <v>685</v>
      </c>
      <c r="D38" s="398"/>
      <c r="E38" s="398"/>
    </row>
    <row r="39" spans="1:25">
      <c r="A39" s="372" t="s">
        <v>686</v>
      </c>
    </row>
    <row r="40" spans="1:25">
      <c r="B40" s="372" t="s">
        <v>687</v>
      </c>
      <c r="C40" s="372">
        <v>104.93</v>
      </c>
    </row>
    <row r="41" spans="1:25">
      <c r="B41" s="372" t="s">
        <v>688</v>
      </c>
      <c r="C41" s="372">
        <v>107.47</v>
      </c>
    </row>
    <row r="42" spans="1:25">
      <c r="B42" s="372" t="s">
        <v>689</v>
      </c>
      <c r="C42" s="372">
        <v>48</v>
      </c>
    </row>
    <row r="43" spans="1:25">
      <c r="B43" s="372" t="s">
        <v>690</v>
      </c>
      <c r="C43" s="372">
        <v>84</v>
      </c>
    </row>
    <row r="44" spans="1:25">
      <c r="B44" s="372" t="s">
        <v>691</v>
      </c>
      <c r="C44" s="372">
        <v>336</v>
      </c>
    </row>
    <row r="45" spans="1:25">
      <c r="B45" s="372" t="s">
        <v>692</v>
      </c>
      <c r="C45" s="372">
        <v>522.6</v>
      </c>
    </row>
    <row r="46" spans="1:25">
      <c r="B46" s="372" t="s">
        <v>693</v>
      </c>
      <c r="C46" s="372">
        <v>381.49</v>
      </c>
    </row>
    <row r="48" spans="1:25">
      <c r="A48" s="372" t="s">
        <v>694</v>
      </c>
    </row>
    <row r="49" spans="1:3">
      <c r="B49" s="372" t="s">
        <v>695</v>
      </c>
      <c r="C49" s="372">
        <v>5789.98</v>
      </c>
    </row>
    <row r="50" spans="1:3">
      <c r="B50" s="372" t="s">
        <v>696</v>
      </c>
      <c r="C50" s="372">
        <v>2033.97</v>
      </c>
    </row>
    <row r="51" spans="1:3">
      <c r="B51" s="372" t="s">
        <v>689</v>
      </c>
      <c r="C51" s="372">
        <v>554.22</v>
      </c>
    </row>
    <row r="52" spans="1:3">
      <c r="B52" s="372" t="s">
        <v>697</v>
      </c>
      <c r="C52" s="372">
        <v>141.19999999999999</v>
      </c>
    </row>
    <row r="53" spans="1:3">
      <c r="B53" s="372" t="s">
        <v>698</v>
      </c>
      <c r="C53" s="372">
        <v>1003.99</v>
      </c>
    </row>
    <row r="54" spans="1:3">
      <c r="B54" s="372" t="s">
        <v>699</v>
      </c>
      <c r="C54" s="372">
        <v>4907.55</v>
      </c>
    </row>
    <row r="56" spans="1:3">
      <c r="A56" s="372" t="s">
        <v>700</v>
      </c>
    </row>
    <row r="57" spans="1:3">
      <c r="B57" s="372" t="s">
        <v>701</v>
      </c>
      <c r="C57" s="372">
        <v>0</v>
      </c>
    </row>
    <row r="58" spans="1:3">
      <c r="B58" s="372" t="s">
        <v>702</v>
      </c>
      <c r="C58" s="372">
        <v>0</v>
      </c>
    </row>
    <row r="59" spans="1:3">
      <c r="B59" s="372" t="s">
        <v>703</v>
      </c>
      <c r="C59" s="372">
        <v>0</v>
      </c>
    </row>
    <row r="60" spans="1:3">
      <c r="B60" s="372" t="s">
        <v>704</v>
      </c>
      <c r="C60" s="372">
        <v>0</v>
      </c>
    </row>
    <row r="61" spans="1:3">
      <c r="B61" s="372" t="s">
        <v>705</v>
      </c>
      <c r="C61" s="372">
        <v>0</v>
      </c>
    </row>
    <row r="62" spans="1:3">
      <c r="B62" s="372" t="s">
        <v>706</v>
      </c>
      <c r="C62" s="372">
        <v>0</v>
      </c>
    </row>
    <row r="63" spans="1:3">
      <c r="B63" s="372" t="s">
        <v>707</v>
      </c>
      <c r="C63" s="372">
        <v>0</v>
      </c>
    </row>
    <row r="64" spans="1:3">
      <c r="B64" s="372" t="s">
        <v>708</v>
      </c>
      <c r="C64" s="372">
        <v>0</v>
      </c>
    </row>
    <row r="65" spans="1:3">
      <c r="B65" s="372" t="s">
        <v>709</v>
      </c>
      <c r="C65" s="372">
        <v>0</v>
      </c>
    </row>
    <row r="66" spans="1:3">
      <c r="B66" s="372" t="s">
        <v>710</v>
      </c>
      <c r="C66" s="372">
        <v>0</v>
      </c>
    </row>
    <row r="68" spans="1:3">
      <c r="A68" s="372" t="s">
        <v>711</v>
      </c>
    </row>
    <row r="69" spans="1:3">
      <c r="B69" s="372" t="s">
        <v>712</v>
      </c>
      <c r="C69" s="372">
        <v>0</v>
      </c>
    </row>
    <row r="70" spans="1:3">
      <c r="B70" s="372" t="s">
        <v>713</v>
      </c>
      <c r="C70" s="372">
        <v>0</v>
      </c>
    </row>
    <row r="71" spans="1:3">
      <c r="B71" s="372" t="s">
        <v>714</v>
      </c>
      <c r="C71" s="372">
        <v>45.5</v>
      </c>
    </row>
    <row r="72" spans="1:3">
      <c r="B72" s="372" t="s">
        <v>715</v>
      </c>
      <c r="C72" s="372">
        <v>0</v>
      </c>
    </row>
    <row r="73" spans="1:3">
      <c r="B73" s="372" t="s">
        <v>716</v>
      </c>
      <c r="C73" s="372">
        <v>0</v>
      </c>
    </row>
    <row r="74" spans="1:3">
      <c r="B74" s="372" t="s">
        <v>717</v>
      </c>
      <c r="C74" s="372">
        <v>0</v>
      </c>
    </row>
    <row r="75" spans="1:3">
      <c r="B75" s="372" t="s">
        <v>718</v>
      </c>
      <c r="C75" s="372">
        <v>0</v>
      </c>
    </row>
    <row r="76" spans="1:3">
      <c r="B76" s="372" t="s">
        <v>719</v>
      </c>
      <c r="C76" s="372">
        <v>0</v>
      </c>
    </row>
    <row r="77" spans="1:3">
      <c r="B77" s="372" t="s">
        <v>720</v>
      </c>
      <c r="C77" s="372">
        <v>0</v>
      </c>
    </row>
    <row r="78" spans="1:3">
      <c r="B78" s="372" t="s">
        <v>721</v>
      </c>
      <c r="C78" s="372">
        <v>0</v>
      </c>
    </row>
    <row r="79" spans="1:3">
      <c r="B79" s="372" t="s">
        <v>722</v>
      </c>
      <c r="C79" s="372">
        <v>0</v>
      </c>
    </row>
    <row r="80" spans="1:3">
      <c r="B80" s="372" t="s">
        <v>723</v>
      </c>
      <c r="C80" s="372">
        <v>0</v>
      </c>
    </row>
    <row r="81" spans="1:3">
      <c r="B81" s="372" t="s">
        <v>724</v>
      </c>
      <c r="C81" s="372">
        <v>0</v>
      </c>
    </row>
    <row r="84" spans="1:3">
      <c r="A84" s="372" t="s">
        <v>725</v>
      </c>
    </row>
    <row r="85" spans="1:3">
      <c r="B85" s="372" t="s">
        <v>695</v>
      </c>
      <c r="C85" s="372">
        <v>24</v>
      </c>
    </row>
    <row r="87" spans="1:3">
      <c r="A87" s="372" t="s">
        <v>726</v>
      </c>
    </row>
    <row r="88" spans="1:3">
      <c r="B88" s="372" t="s">
        <v>176</v>
      </c>
      <c r="C88" s="372">
        <v>53.22</v>
      </c>
    </row>
    <row r="89" spans="1:3">
      <c r="B89" s="372" t="s">
        <v>178</v>
      </c>
      <c r="C89" s="372">
        <v>8.44</v>
      </c>
    </row>
    <row r="90" spans="1:3">
      <c r="B90" s="372" t="s">
        <v>727</v>
      </c>
      <c r="C90" s="372">
        <v>0</v>
      </c>
    </row>
    <row r="91" spans="1:3">
      <c r="B91" s="372" t="s">
        <v>728</v>
      </c>
      <c r="C91" s="372">
        <v>0</v>
      </c>
    </row>
    <row r="93" spans="1:3">
      <c r="B93" s="372" t="s">
        <v>729</v>
      </c>
    </row>
  </sheetData>
  <pageMargins left="0.7" right="0.7" top="0.75" bottom="0.75" header="0.3" footer="0.3"/>
  <pageSetup scale="70" orientation="landscape" r:id="rId1"/>
  <rowBreaks count="1" manualBreakCount="1">
    <brk id="55" max="1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B7AE-16F1-4978-B780-3E067F9E4C59}">
  <sheetPr codeName="Sheet26"/>
  <dimension ref="A1:P29"/>
  <sheetViews>
    <sheetView workbookViewId="0"/>
  </sheetViews>
  <sheetFormatPr defaultColWidth="9.109375" defaultRowHeight="14.4"/>
  <cols>
    <col min="1" max="1" width="36.21875" style="400" bestFit="1" customWidth="1"/>
    <col min="2" max="2" width="30.44140625" style="400" bestFit="1" customWidth="1"/>
    <col min="3" max="3" width="9.5546875" style="400" bestFit="1" customWidth="1"/>
    <col min="4" max="4" width="12.77734375" style="400" customWidth="1"/>
    <col min="5" max="5" width="12.109375" style="400" bestFit="1" customWidth="1"/>
    <col min="6" max="13" width="9.109375" style="400"/>
    <col min="14" max="14" width="17.44140625" style="400" bestFit="1" customWidth="1"/>
    <col min="15" max="15" width="10.5546875" style="400" bestFit="1" customWidth="1"/>
    <col min="16" max="16384" width="9.109375" style="400"/>
  </cols>
  <sheetData>
    <row r="1" spans="1:10">
      <c r="A1" s="30" t="s">
        <v>0</v>
      </c>
    </row>
    <row r="2" spans="1:10">
      <c r="A2" s="4" t="s">
        <v>21</v>
      </c>
    </row>
    <row r="3" spans="1:10">
      <c r="A3" s="36" t="s">
        <v>809</v>
      </c>
    </row>
    <row r="4" spans="1:10" ht="81.75" customHeight="1">
      <c r="A4" s="401" t="s">
        <v>730</v>
      </c>
      <c r="B4" s="401" t="s">
        <v>125</v>
      </c>
      <c r="C4" s="401" t="s">
        <v>665</v>
      </c>
      <c r="D4" s="402" t="s">
        <v>731</v>
      </c>
      <c r="E4" s="402" t="s">
        <v>674</v>
      </c>
    </row>
    <row r="5" spans="1:10">
      <c r="A5" s="403" t="s">
        <v>732</v>
      </c>
      <c r="B5" s="400" t="s">
        <v>504</v>
      </c>
      <c r="C5" s="381">
        <v>35</v>
      </c>
      <c r="D5" s="388">
        <v>85</v>
      </c>
      <c r="E5" s="381">
        <f t="shared" ref="E5:E14" si="0">12*C5*D5</f>
        <v>35700</v>
      </c>
      <c r="F5" s="1021">
        <f>C5/SUM($C$5:$C$14)</f>
        <v>1.06544901065449E-2</v>
      </c>
    </row>
    <row r="6" spans="1:10">
      <c r="A6" s="403" t="s">
        <v>733</v>
      </c>
      <c r="B6" s="400" t="s">
        <v>500</v>
      </c>
      <c r="C6" s="381">
        <v>253</v>
      </c>
      <c r="D6" s="388">
        <v>20</v>
      </c>
      <c r="E6" s="381">
        <f t="shared" si="0"/>
        <v>60720</v>
      </c>
      <c r="F6" s="1021">
        <f t="shared" ref="F6:F14" si="1">C6/SUM($C$5:$C$14)</f>
        <v>7.7016742770167429E-2</v>
      </c>
    </row>
    <row r="7" spans="1:10">
      <c r="A7" s="403" t="s">
        <v>734</v>
      </c>
      <c r="B7" s="400" t="s">
        <v>503</v>
      </c>
      <c r="C7" s="381">
        <v>3</v>
      </c>
      <c r="D7" s="388">
        <v>161.25</v>
      </c>
      <c r="E7" s="381">
        <f t="shared" si="0"/>
        <v>5805</v>
      </c>
      <c r="F7" s="1021">
        <f t="shared" si="1"/>
        <v>9.1324200913242006E-4</v>
      </c>
    </row>
    <row r="8" spans="1:10">
      <c r="A8" s="403" t="s">
        <v>735</v>
      </c>
      <c r="B8" s="400" t="s">
        <v>501</v>
      </c>
      <c r="C8" s="381">
        <v>5</v>
      </c>
      <c r="D8" s="388">
        <v>40.25</v>
      </c>
      <c r="E8" s="381">
        <f t="shared" si="0"/>
        <v>2415</v>
      </c>
      <c r="F8" s="1021">
        <f t="shared" si="1"/>
        <v>1.5220700152207001E-3</v>
      </c>
    </row>
    <row r="9" spans="1:10">
      <c r="A9" s="403" t="s">
        <v>736</v>
      </c>
      <c r="B9" s="400" t="s">
        <v>501</v>
      </c>
      <c r="C9" s="381">
        <v>53</v>
      </c>
      <c r="D9" s="388">
        <v>40.25</v>
      </c>
      <c r="E9" s="381">
        <f t="shared" si="0"/>
        <v>25599</v>
      </c>
      <c r="F9" s="1021">
        <f t="shared" si="1"/>
        <v>1.6133942161339423E-2</v>
      </c>
    </row>
    <row r="10" spans="1:10">
      <c r="A10" s="403" t="s">
        <v>737</v>
      </c>
      <c r="B10" s="400" t="s">
        <v>498</v>
      </c>
      <c r="C10" s="381">
        <v>2518</v>
      </c>
      <c r="D10" s="388">
        <v>8.9</v>
      </c>
      <c r="E10" s="381">
        <f t="shared" si="0"/>
        <v>268922.40000000002</v>
      </c>
      <c r="F10" s="1021">
        <f t="shared" si="1"/>
        <v>0.76651445966514464</v>
      </c>
      <c r="J10" s="404"/>
    </row>
    <row r="11" spans="1:10">
      <c r="A11" s="403" t="s">
        <v>738</v>
      </c>
      <c r="B11" s="400" t="s">
        <v>497</v>
      </c>
      <c r="C11" s="381">
        <v>349</v>
      </c>
      <c r="D11" s="388">
        <v>42.5</v>
      </c>
      <c r="E11" s="381">
        <f t="shared" si="0"/>
        <v>177990</v>
      </c>
      <c r="F11" s="1021">
        <f t="shared" si="1"/>
        <v>0.10624048706240487</v>
      </c>
    </row>
    <row r="12" spans="1:10">
      <c r="A12" s="403" t="s">
        <v>739</v>
      </c>
      <c r="B12" s="400" t="s">
        <v>499</v>
      </c>
      <c r="C12" s="381">
        <v>1</v>
      </c>
      <c r="D12" s="388">
        <v>39.25</v>
      </c>
      <c r="E12" s="381">
        <f t="shared" si="0"/>
        <v>471</v>
      </c>
      <c r="F12" s="1021">
        <f t="shared" si="1"/>
        <v>3.0441400304414006E-4</v>
      </c>
    </row>
    <row r="13" spans="1:10">
      <c r="A13" s="400" t="s">
        <v>740</v>
      </c>
      <c r="B13" s="400" t="s">
        <v>502</v>
      </c>
      <c r="C13" s="381">
        <v>66</v>
      </c>
      <c r="D13" s="388">
        <v>20</v>
      </c>
      <c r="E13" s="381">
        <f t="shared" si="0"/>
        <v>15840</v>
      </c>
      <c r="F13" s="1021">
        <f t="shared" si="1"/>
        <v>2.0091324200913242E-2</v>
      </c>
    </row>
    <row r="14" spans="1:10">
      <c r="A14" s="403" t="s">
        <v>741</v>
      </c>
      <c r="B14" s="400" t="s">
        <v>502</v>
      </c>
      <c r="C14" s="381">
        <v>2</v>
      </c>
      <c r="D14" s="388">
        <v>20</v>
      </c>
      <c r="E14" s="381">
        <f t="shared" si="0"/>
        <v>480</v>
      </c>
      <c r="F14" s="1021">
        <f t="shared" si="1"/>
        <v>6.0882800608828011E-4</v>
      </c>
    </row>
    <row r="18" spans="1:16">
      <c r="A18" s="399"/>
    </row>
    <row r="19" spans="1:16">
      <c r="B19" s="399"/>
      <c r="C19" s="399"/>
      <c r="D19" s="399"/>
      <c r="E19" s="399"/>
      <c r="F19" s="399"/>
      <c r="G19" s="399"/>
      <c r="H19" s="399"/>
      <c r="I19" s="399"/>
      <c r="J19" s="399"/>
      <c r="K19" s="399"/>
      <c r="L19" s="399"/>
      <c r="M19" s="399"/>
      <c r="N19" s="399"/>
    </row>
    <row r="20" spans="1:16">
      <c r="A20" s="403"/>
      <c r="M20" s="405"/>
      <c r="N20" s="406"/>
      <c r="O20" s="407"/>
      <c r="P20" s="407"/>
    </row>
    <row r="21" spans="1:16">
      <c r="A21" s="403"/>
      <c r="M21" s="405"/>
      <c r="N21" s="406"/>
    </row>
    <row r="22" spans="1:16">
      <c r="A22" s="403"/>
      <c r="M22" s="405"/>
      <c r="N22" s="406"/>
    </row>
    <row r="23" spans="1:16">
      <c r="A23" s="403"/>
      <c r="M23" s="405"/>
      <c r="N23" s="406"/>
    </row>
    <row r="24" spans="1:16">
      <c r="A24" s="403"/>
      <c r="M24" s="405"/>
      <c r="N24" s="406"/>
    </row>
    <row r="25" spans="1:16">
      <c r="A25" s="403"/>
      <c r="M25" s="405"/>
      <c r="N25" s="406"/>
    </row>
    <row r="26" spans="1:16">
      <c r="A26" s="403"/>
      <c r="M26" s="405"/>
      <c r="N26" s="406"/>
    </row>
    <row r="27" spans="1:16">
      <c r="A27" s="403"/>
      <c r="M27" s="405"/>
      <c r="N27" s="406"/>
    </row>
    <row r="28" spans="1:16">
      <c r="M28" s="405"/>
      <c r="N28" s="406"/>
    </row>
    <row r="29" spans="1:16">
      <c r="A29" s="403"/>
      <c r="M29" s="405"/>
      <c r="N29" s="406"/>
    </row>
  </sheetData>
  <pageMargins left="0.7" right="0.7" top="0.75" bottom="0.75" header="0.3" footer="0.3"/>
  <pageSetup scale="91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901A-2670-41C0-ABAC-F5B8F37D3980}">
  <sheetPr codeName="Sheet7"/>
  <dimension ref="A1:I104"/>
  <sheetViews>
    <sheetView workbookViewId="0"/>
  </sheetViews>
  <sheetFormatPr defaultColWidth="9.109375" defaultRowHeight="14.4"/>
  <cols>
    <col min="1" max="1" width="9.109375" style="12"/>
    <col min="2" max="2" width="36.21875" style="12" bestFit="1" customWidth="1"/>
    <col min="3" max="3" width="11.77734375" style="13" customWidth="1"/>
    <col min="4" max="5" width="11.77734375" style="14" bestFit="1" customWidth="1"/>
    <col min="6" max="6" width="9.21875" style="13" customWidth="1"/>
    <col min="7" max="7" width="9.5546875" style="12" bestFit="1" customWidth="1"/>
    <col min="8" max="16384" width="9.109375" style="12"/>
  </cols>
  <sheetData>
    <row r="1" spans="1:6">
      <c r="A1" s="37" t="str">
        <f>Rates!A1</f>
        <v>Fitchburg Gas and Electric Light Company</v>
      </c>
    </row>
    <row r="2" spans="1:6">
      <c r="A2" s="4" t="s">
        <v>21</v>
      </c>
    </row>
    <row r="3" spans="1:6">
      <c r="A3" s="36" t="s">
        <v>810</v>
      </c>
    </row>
    <row r="4" spans="1:6">
      <c r="A4" s="36"/>
    </row>
    <row r="5" spans="1:6">
      <c r="A5" s="15" t="s">
        <v>742</v>
      </c>
    </row>
    <row r="6" spans="1:6">
      <c r="C6" s="16"/>
      <c r="D6" s="1025" t="s">
        <v>262</v>
      </c>
      <c r="E6" s="1025" t="s">
        <v>262</v>
      </c>
      <c r="F6" s="16"/>
    </row>
    <row r="7" spans="1:6">
      <c r="A7" s="17" t="s">
        <v>404</v>
      </c>
      <c r="B7" s="17"/>
      <c r="C7" s="16" t="s">
        <v>407</v>
      </c>
      <c r="D7" s="1026" t="s">
        <v>602</v>
      </c>
      <c r="E7" s="1026" t="s">
        <v>603</v>
      </c>
      <c r="F7" s="16" t="s">
        <v>408</v>
      </c>
    </row>
    <row r="8" spans="1:6" ht="16.2">
      <c r="A8" s="345" t="s">
        <v>90</v>
      </c>
      <c r="B8" s="345" t="s">
        <v>125</v>
      </c>
      <c r="C8" s="346" t="s">
        <v>743</v>
      </c>
      <c r="D8" s="347" t="s">
        <v>404</v>
      </c>
      <c r="E8" s="347" t="s">
        <v>404</v>
      </c>
      <c r="F8" s="348" t="s">
        <v>404</v>
      </c>
    </row>
    <row r="9" spans="1:6">
      <c r="A9" s="12" t="s">
        <v>39</v>
      </c>
      <c r="B9" s="18" t="s">
        <v>610</v>
      </c>
      <c r="C9" s="13">
        <v>7</v>
      </c>
      <c r="D9" s="14">
        <v>7.7520000000000006E-2</v>
      </c>
    </row>
    <row r="10" spans="1:6">
      <c r="A10" s="12" t="s">
        <v>42</v>
      </c>
      <c r="B10" s="18" t="s">
        <v>104</v>
      </c>
      <c r="C10" s="13">
        <v>7</v>
      </c>
      <c r="D10" s="14">
        <v>7.7520000000000006E-2</v>
      </c>
    </row>
    <row r="11" spans="1:6">
      <c r="A11" s="12" t="s">
        <v>43</v>
      </c>
      <c r="B11" s="19" t="s">
        <v>106</v>
      </c>
      <c r="C11" s="13">
        <v>10</v>
      </c>
      <c r="D11" s="14">
        <v>7.7009999999999995E-2</v>
      </c>
    </row>
    <row r="12" spans="1:6">
      <c r="A12" s="12" t="s">
        <v>44</v>
      </c>
      <c r="B12" s="19" t="s">
        <v>107</v>
      </c>
      <c r="C12" s="13">
        <v>10</v>
      </c>
      <c r="D12" s="14">
        <v>2.3259999999999999E-2</v>
      </c>
      <c r="F12" s="13">
        <v>9.64</v>
      </c>
    </row>
    <row r="13" spans="1:6">
      <c r="A13" s="12" t="s">
        <v>45</v>
      </c>
      <c r="B13" s="19" t="s">
        <v>108</v>
      </c>
      <c r="C13" s="13">
        <v>300</v>
      </c>
      <c r="D13" s="14">
        <v>1.9089999999999999E-2</v>
      </c>
      <c r="E13" s="14">
        <v>4.2599999999999999E-3</v>
      </c>
      <c r="F13" s="13">
        <v>7.93</v>
      </c>
    </row>
    <row r="14" spans="1:6">
      <c r="A14" s="19" t="s">
        <v>46</v>
      </c>
      <c r="B14" s="19" t="s">
        <v>109</v>
      </c>
      <c r="C14" s="13">
        <v>10</v>
      </c>
      <c r="D14" s="14">
        <v>1.0030000000000001E-2</v>
      </c>
      <c r="E14" s="14">
        <v>2.1900000000000001E-3</v>
      </c>
      <c r="F14" s="13">
        <v>3.85</v>
      </c>
    </row>
    <row r="15" spans="1:6">
      <c r="A15" s="12" t="s">
        <v>47</v>
      </c>
      <c r="B15" s="19" t="s">
        <v>110</v>
      </c>
      <c r="C15" s="13">
        <v>0</v>
      </c>
      <c r="D15" s="14">
        <v>5.9560000000000002E-2</v>
      </c>
    </row>
    <row r="16" spans="1:6">
      <c r="A16" s="12" t="s">
        <v>48</v>
      </c>
      <c r="B16" s="19" t="s">
        <v>744</v>
      </c>
    </row>
    <row r="17" spans="1:6">
      <c r="A17" s="12" t="s">
        <v>49</v>
      </c>
      <c r="B17" s="18" t="s">
        <v>745</v>
      </c>
      <c r="D17" s="14">
        <v>6.3070000000000001E-2</v>
      </c>
    </row>
    <row r="20" spans="1:6">
      <c r="A20" s="15" t="s">
        <v>746</v>
      </c>
    </row>
    <row r="21" spans="1:6">
      <c r="C21" s="16"/>
      <c r="D21" s="1027" t="s">
        <v>262</v>
      </c>
      <c r="E21" s="1025" t="s">
        <v>262</v>
      </c>
      <c r="F21" s="16"/>
    </row>
    <row r="22" spans="1:6">
      <c r="A22" s="17" t="s">
        <v>404</v>
      </c>
      <c r="B22" s="17"/>
      <c r="C22" s="16" t="s">
        <v>407</v>
      </c>
      <c r="D22" s="1028" t="s">
        <v>602</v>
      </c>
      <c r="E22" s="1026" t="s">
        <v>603</v>
      </c>
      <c r="F22" s="16" t="s">
        <v>408</v>
      </c>
    </row>
    <row r="23" spans="1:6" ht="16.2">
      <c r="A23" s="345" t="s">
        <v>90</v>
      </c>
      <c r="B23" s="345" t="s">
        <v>125</v>
      </c>
      <c r="C23" s="346" t="s">
        <v>743</v>
      </c>
      <c r="D23" s="743" t="s">
        <v>404</v>
      </c>
      <c r="E23" s="347" t="s">
        <v>404</v>
      </c>
      <c r="F23" s="348" t="s">
        <v>404</v>
      </c>
    </row>
    <row r="24" spans="1:6">
      <c r="A24" s="12" t="s">
        <v>39</v>
      </c>
      <c r="B24" s="18" t="s">
        <v>610</v>
      </c>
      <c r="C24" s="13">
        <v>7</v>
      </c>
      <c r="D24" s="14">
        <v>7.9759999999999998E-2</v>
      </c>
    </row>
    <row r="25" spans="1:6">
      <c r="A25" s="12" t="s">
        <v>42</v>
      </c>
      <c r="B25" s="18" t="s">
        <v>104</v>
      </c>
      <c r="C25" s="13">
        <v>7</v>
      </c>
      <c r="D25" s="14">
        <v>7.9759999999999998E-2</v>
      </c>
    </row>
    <row r="26" spans="1:6">
      <c r="A26" s="12" t="s">
        <v>43</v>
      </c>
      <c r="B26" s="19" t="s">
        <v>106</v>
      </c>
      <c r="C26" s="13">
        <v>10</v>
      </c>
      <c r="D26" s="14">
        <v>7.9229999999999995E-2</v>
      </c>
    </row>
    <row r="27" spans="1:6">
      <c r="A27" s="12" t="s">
        <v>44</v>
      </c>
      <c r="B27" s="19" t="s">
        <v>107</v>
      </c>
      <c r="C27" s="13">
        <v>10</v>
      </c>
      <c r="D27" s="14">
        <v>2.3959999999999999E-2</v>
      </c>
      <c r="F27" s="13">
        <v>9.91</v>
      </c>
    </row>
    <row r="28" spans="1:6">
      <c r="A28" s="12" t="s">
        <v>45</v>
      </c>
      <c r="B28" s="19" t="s">
        <v>108</v>
      </c>
      <c r="C28" s="13">
        <v>300</v>
      </c>
      <c r="D28" s="14">
        <v>1.968E-2</v>
      </c>
      <c r="E28" s="14">
        <v>4.3899999999999998E-3</v>
      </c>
      <c r="F28" s="13">
        <v>8.15</v>
      </c>
    </row>
    <row r="29" spans="1:6">
      <c r="A29" s="19" t="s">
        <v>46</v>
      </c>
      <c r="B29" s="19" t="s">
        <v>109</v>
      </c>
      <c r="C29" s="13">
        <v>10</v>
      </c>
      <c r="D29" s="14">
        <v>1.0330000000000001E-2</v>
      </c>
      <c r="E29" s="14">
        <v>2.2499999999999998E-3</v>
      </c>
      <c r="F29" s="13">
        <v>3.96</v>
      </c>
    </row>
    <row r="30" spans="1:6">
      <c r="A30" s="12" t="s">
        <v>47</v>
      </c>
      <c r="B30" s="19" t="s">
        <v>110</v>
      </c>
      <c r="C30" s="13">
        <v>0</v>
      </c>
      <c r="D30" s="14">
        <v>6.1280000000000001E-2</v>
      </c>
    </row>
    <row r="31" spans="1:6">
      <c r="A31" s="12" t="s">
        <v>48</v>
      </c>
      <c r="B31" s="19" t="s">
        <v>744</v>
      </c>
      <c r="D31" s="14">
        <v>0</v>
      </c>
    </row>
    <row r="32" spans="1:6">
      <c r="A32" s="12" t="s">
        <v>49</v>
      </c>
      <c r="B32" s="18" t="s">
        <v>745</v>
      </c>
      <c r="D32" s="14">
        <v>6.4890000000000003E-2</v>
      </c>
    </row>
    <row r="35" spans="1:6">
      <c r="A35" s="15" t="s">
        <v>747</v>
      </c>
    </row>
    <row r="36" spans="1:6">
      <c r="C36" s="16"/>
      <c r="D36" s="1027" t="s">
        <v>262</v>
      </c>
      <c r="E36" s="1025" t="s">
        <v>262</v>
      </c>
      <c r="F36" s="16"/>
    </row>
    <row r="37" spans="1:6">
      <c r="A37" s="17" t="s">
        <v>404</v>
      </c>
      <c r="B37" s="17"/>
      <c r="C37" s="16" t="s">
        <v>407</v>
      </c>
      <c r="D37" s="1028" t="s">
        <v>602</v>
      </c>
      <c r="E37" s="1026" t="s">
        <v>603</v>
      </c>
      <c r="F37" s="16" t="s">
        <v>408</v>
      </c>
    </row>
    <row r="38" spans="1:6" ht="16.2">
      <c r="A38" s="345" t="s">
        <v>90</v>
      </c>
      <c r="B38" s="345" t="s">
        <v>125</v>
      </c>
      <c r="C38" s="346" t="s">
        <v>743</v>
      </c>
      <c r="D38" s="743" t="s">
        <v>404</v>
      </c>
      <c r="E38" s="347" t="s">
        <v>404</v>
      </c>
      <c r="F38" s="348" t="s">
        <v>404</v>
      </c>
    </row>
    <row r="39" spans="1:6">
      <c r="A39" s="12" t="s">
        <v>39</v>
      </c>
      <c r="B39" s="18" t="s">
        <v>610</v>
      </c>
      <c r="C39" s="13">
        <v>7</v>
      </c>
      <c r="D39" s="14">
        <v>7.9030000000000003E-2</v>
      </c>
    </row>
    <row r="40" spans="1:6">
      <c r="A40" s="12" t="s">
        <v>42</v>
      </c>
      <c r="B40" s="18" t="s">
        <v>104</v>
      </c>
      <c r="C40" s="13">
        <v>7</v>
      </c>
      <c r="D40" s="14">
        <v>7.9030000000000003E-2</v>
      </c>
    </row>
    <row r="41" spans="1:6">
      <c r="A41" s="12" t="s">
        <v>43</v>
      </c>
      <c r="B41" s="19" t="s">
        <v>106</v>
      </c>
      <c r="C41" s="13">
        <v>10</v>
      </c>
      <c r="D41" s="14">
        <v>7.85E-2</v>
      </c>
    </row>
    <row r="42" spans="1:6">
      <c r="A42" s="12" t="s">
        <v>44</v>
      </c>
      <c r="B42" s="19" t="s">
        <v>107</v>
      </c>
      <c r="C42" s="13">
        <v>10</v>
      </c>
      <c r="D42" s="14">
        <v>2.3769999999999999E-2</v>
      </c>
      <c r="F42" s="13">
        <v>9.81</v>
      </c>
    </row>
    <row r="43" spans="1:6">
      <c r="A43" s="12" t="s">
        <v>45</v>
      </c>
      <c r="B43" s="19" t="s">
        <v>108</v>
      </c>
      <c r="C43" s="13">
        <v>300</v>
      </c>
      <c r="D43" s="14">
        <v>1.9519999999999999E-2</v>
      </c>
      <c r="E43" s="14">
        <v>4.3499999999999997E-3</v>
      </c>
      <c r="F43" s="13">
        <v>8.07</v>
      </c>
    </row>
    <row r="44" spans="1:6">
      <c r="A44" s="19" t="s">
        <v>46</v>
      </c>
      <c r="B44" s="19" t="s">
        <v>109</v>
      </c>
      <c r="C44" s="13">
        <v>10</v>
      </c>
      <c r="D44" s="14">
        <v>1.027E-2</v>
      </c>
      <c r="E44" s="14">
        <v>2.2300000000000002E-3</v>
      </c>
      <c r="F44" s="13">
        <v>3.92</v>
      </c>
    </row>
    <row r="45" spans="1:6">
      <c r="A45" s="12" t="s">
        <v>47</v>
      </c>
      <c r="B45" s="19" t="s">
        <v>110</v>
      </c>
      <c r="C45" s="13">
        <v>0</v>
      </c>
      <c r="D45" s="14">
        <v>6.071E-2</v>
      </c>
    </row>
    <row r="46" spans="1:6">
      <c r="A46" s="12" t="s">
        <v>48</v>
      </c>
      <c r="B46" s="19" t="s">
        <v>744</v>
      </c>
      <c r="D46" s="14">
        <v>0</v>
      </c>
    </row>
    <row r="47" spans="1:6">
      <c r="A47" s="12" t="s">
        <v>49</v>
      </c>
      <c r="B47" s="18" t="s">
        <v>745</v>
      </c>
      <c r="D47" s="14">
        <v>6.429E-2</v>
      </c>
    </row>
    <row r="50" spans="1:9" ht="16.2">
      <c r="A50" s="351" t="s">
        <v>748</v>
      </c>
      <c r="C50" s="343" t="s">
        <v>749</v>
      </c>
      <c r="D50" s="344" t="s">
        <v>750</v>
      </c>
      <c r="E50" s="344" t="s">
        <v>751</v>
      </c>
    </row>
    <row r="52" spans="1:9">
      <c r="A52" s="12" t="s">
        <v>686</v>
      </c>
    </row>
    <row r="53" spans="1:9">
      <c r="B53" s="13" t="str">
        <f>"MV-"&amp;I53</f>
        <v>MV-3500 Street and Highway Type</v>
      </c>
      <c r="C53" s="13">
        <v>13.29</v>
      </c>
      <c r="D53" s="13">
        <v>13.67</v>
      </c>
      <c r="E53" s="13">
        <v>13.54</v>
      </c>
      <c r="G53" s="355">
        <f>_xlfn.NUMBERVALUE(LEFT(I53,FIND(" ",I53)))</f>
        <v>3500</v>
      </c>
      <c r="H53" s="12">
        <f t="shared" ref="H53:H103" si="0">COUNTIFS(B:B,B53)</f>
        <v>1</v>
      </c>
      <c r="I53" s="356" t="s">
        <v>687</v>
      </c>
    </row>
    <row r="54" spans="1:9">
      <c r="B54" s="13" t="str">
        <f t="shared" ref="B54:B59" si="1">"MV-"&amp;I54</f>
        <v>MV-7000 Street and Highway Type</v>
      </c>
      <c r="C54" s="13">
        <v>14.74</v>
      </c>
      <c r="D54" s="13">
        <v>15.16</v>
      </c>
      <c r="E54" s="13">
        <v>15.02</v>
      </c>
      <c r="G54" s="355">
        <f t="shared" ref="G54:G59" si="2">_xlfn.NUMBERVALUE(LEFT(I54,FIND(" ",I54)))</f>
        <v>7000</v>
      </c>
      <c r="H54" s="12">
        <f t="shared" si="0"/>
        <v>1</v>
      </c>
      <c r="I54" s="356" t="s">
        <v>688</v>
      </c>
    </row>
    <row r="55" spans="1:9">
      <c r="B55" s="13" t="str">
        <f t="shared" si="1"/>
        <v>MV-20000 Street and Highway Type</v>
      </c>
      <c r="C55" s="13">
        <v>26.78</v>
      </c>
      <c r="D55" s="13">
        <v>27.55</v>
      </c>
      <c r="E55" s="13">
        <v>27.29</v>
      </c>
      <c r="G55" s="355">
        <f t="shared" si="2"/>
        <v>20000</v>
      </c>
      <c r="H55" s="12">
        <f t="shared" si="0"/>
        <v>1</v>
      </c>
      <c r="I55" s="356" t="s">
        <v>689</v>
      </c>
    </row>
    <row r="56" spans="1:9">
      <c r="B56" s="13" t="str">
        <f t="shared" si="1"/>
        <v>MV-60000 Street and Highway Type</v>
      </c>
      <c r="C56" s="13">
        <v>51.19</v>
      </c>
      <c r="D56" s="13">
        <v>52.67</v>
      </c>
      <c r="E56" s="13">
        <v>52.18</v>
      </c>
      <c r="G56" s="355">
        <f t="shared" si="2"/>
        <v>60000</v>
      </c>
      <c r="H56" s="12">
        <f t="shared" si="0"/>
        <v>1</v>
      </c>
      <c r="I56" s="356" t="s">
        <v>690</v>
      </c>
    </row>
    <row r="57" spans="1:9">
      <c r="B57" s="13" t="str">
        <f t="shared" si="1"/>
        <v>MV-20000 Flood Light Type</v>
      </c>
      <c r="C57" s="13">
        <v>29.61</v>
      </c>
      <c r="D57" s="13">
        <v>30.46</v>
      </c>
      <c r="E57" s="13">
        <v>30.18</v>
      </c>
      <c r="G57" s="355">
        <f t="shared" si="2"/>
        <v>20000</v>
      </c>
      <c r="H57" s="12">
        <f t="shared" si="0"/>
        <v>1</v>
      </c>
      <c r="I57" s="356" t="s">
        <v>691</v>
      </c>
    </row>
    <row r="58" spans="1:9">
      <c r="B58" s="13" t="str">
        <f t="shared" si="1"/>
        <v>MV-3500 Power Bracket Included</v>
      </c>
      <c r="C58" s="13">
        <v>13.92</v>
      </c>
      <c r="D58" s="13">
        <v>14.32</v>
      </c>
      <c r="E58" s="13">
        <v>14.18</v>
      </c>
      <c r="G58" s="355">
        <f t="shared" si="2"/>
        <v>3500</v>
      </c>
      <c r="H58" s="12">
        <f t="shared" si="0"/>
        <v>1</v>
      </c>
      <c r="I58" s="356" t="s">
        <v>692</v>
      </c>
    </row>
    <row r="59" spans="1:9">
      <c r="B59" s="13" t="str">
        <f t="shared" si="1"/>
        <v>MV-7000 Power Bracket Included</v>
      </c>
      <c r="C59" s="13">
        <v>15.67</v>
      </c>
      <c r="D59" s="13">
        <v>16.12</v>
      </c>
      <c r="E59" s="13">
        <v>15.97</v>
      </c>
      <c r="G59" s="355">
        <f t="shared" si="2"/>
        <v>7000</v>
      </c>
      <c r="H59" s="12">
        <f t="shared" si="0"/>
        <v>1</v>
      </c>
      <c r="I59" s="356" t="s">
        <v>693</v>
      </c>
    </row>
    <row r="60" spans="1:9">
      <c r="B60" s="13"/>
      <c r="D60" s="13"/>
      <c r="E60" s="13"/>
      <c r="H60" s="12">
        <f t="shared" si="0"/>
        <v>0</v>
      </c>
      <c r="I60" s="356"/>
    </row>
    <row r="61" spans="1:9">
      <c r="A61" s="12" t="s">
        <v>694</v>
      </c>
      <c r="B61" s="13"/>
      <c r="D61" s="13"/>
      <c r="E61" s="13"/>
      <c r="H61" s="12">
        <f t="shared" si="0"/>
        <v>0</v>
      </c>
      <c r="I61" s="356"/>
    </row>
    <row r="62" spans="1:9">
      <c r="B62" s="13" t="str">
        <f>"HPS-"&amp;I62</f>
        <v>HPS-3300 Street and Highway Type</v>
      </c>
      <c r="C62" s="13">
        <v>11.53</v>
      </c>
      <c r="D62" s="13">
        <v>11.86</v>
      </c>
      <c r="E62" s="13">
        <v>11.75</v>
      </c>
      <c r="G62" s="355">
        <f t="shared" ref="G62:G67" si="3">_xlfn.NUMBERVALUE(LEFT(I62,FIND(" ",I62)))</f>
        <v>3300</v>
      </c>
      <c r="H62" s="12">
        <f t="shared" si="0"/>
        <v>1</v>
      </c>
      <c r="I62" s="356" t="s">
        <v>695</v>
      </c>
    </row>
    <row r="63" spans="1:9">
      <c r="B63" s="13" t="str">
        <f t="shared" ref="B63:B67" si="4">"HPS-"&amp;I63</f>
        <v>HPS-9500 Street and Highway Type</v>
      </c>
      <c r="C63" s="13">
        <v>13.71</v>
      </c>
      <c r="D63" s="13">
        <v>14.1</v>
      </c>
      <c r="E63" s="13">
        <v>13.97</v>
      </c>
      <c r="G63" s="355">
        <f t="shared" si="3"/>
        <v>9500</v>
      </c>
      <c r="H63" s="12">
        <f t="shared" si="0"/>
        <v>1</v>
      </c>
      <c r="I63" s="356" t="s">
        <v>696</v>
      </c>
    </row>
    <row r="64" spans="1:9">
      <c r="B64" s="13" t="str">
        <f t="shared" si="4"/>
        <v>HPS-20000 Street and Highway Type</v>
      </c>
      <c r="C64" s="13">
        <v>20.440000000000001</v>
      </c>
      <c r="D64" s="13">
        <v>21.03</v>
      </c>
      <c r="E64" s="13">
        <v>20.83</v>
      </c>
      <c r="G64" s="355">
        <f t="shared" si="3"/>
        <v>20000</v>
      </c>
      <c r="H64" s="12">
        <f t="shared" si="0"/>
        <v>1</v>
      </c>
      <c r="I64" s="356" t="s">
        <v>689</v>
      </c>
    </row>
    <row r="65" spans="1:9">
      <c r="B65" s="13" t="str">
        <f t="shared" si="4"/>
        <v>HPS-50000 Street and Highway Type</v>
      </c>
      <c r="C65" s="13">
        <v>29.06</v>
      </c>
      <c r="D65" s="13">
        <v>29.9</v>
      </c>
      <c r="E65" s="13">
        <v>29.62</v>
      </c>
      <c r="G65" s="355">
        <f t="shared" si="3"/>
        <v>50000</v>
      </c>
      <c r="H65" s="12">
        <f t="shared" si="0"/>
        <v>1</v>
      </c>
      <c r="I65" s="356" t="s">
        <v>697</v>
      </c>
    </row>
    <row r="66" spans="1:9">
      <c r="B66" s="13" t="str">
        <f t="shared" si="4"/>
        <v>HPS-140000 Street and Highway Type</v>
      </c>
      <c r="C66" s="13">
        <v>59.62</v>
      </c>
      <c r="D66" s="13">
        <v>61.34</v>
      </c>
      <c r="E66" s="13">
        <v>60.77</v>
      </c>
      <c r="G66" s="355">
        <f t="shared" si="3"/>
        <v>140000</v>
      </c>
      <c r="H66" s="12">
        <f t="shared" si="0"/>
        <v>1</v>
      </c>
      <c r="I66" s="356" t="s">
        <v>698</v>
      </c>
    </row>
    <row r="67" spans="1:9">
      <c r="B67" s="13" t="str">
        <f t="shared" si="4"/>
        <v>HPS-50000 Flood Light Type</v>
      </c>
      <c r="C67" s="13">
        <v>33.729999999999997</v>
      </c>
      <c r="D67" s="13">
        <v>34.700000000000003</v>
      </c>
      <c r="E67" s="13">
        <v>34.380000000000003</v>
      </c>
      <c r="G67" s="355">
        <f t="shared" si="3"/>
        <v>50000</v>
      </c>
      <c r="H67" s="12">
        <f t="shared" si="0"/>
        <v>1</v>
      </c>
      <c r="I67" s="356" t="s">
        <v>699</v>
      </c>
    </row>
    <row r="68" spans="1:9">
      <c r="B68" s="13"/>
      <c r="D68" s="13"/>
      <c r="E68" s="13"/>
      <c r="H68" s="12">
        <f t="shared" si="0"/>
        <v>0</v>
      </c>
      <c r="I68" s="356"/>
    </row>
    <row r="69" spans="1:9">
      <c r="A69" s="12" t="s">
        <v>700</v>
      </c>
      <c r="B69" s="13"/>
      <c r="D69" s="13"/>
      <c r="E69" s="13"/>
      <c r="H69" s="12">
        <f t="shared" si="0"/>
        <v>0</v>
      </c>
      <c r="I69" s="356"/>
    </row>
    <row r="70" spans="1:9">
      <c r="B70" s="13" t="str">
        <f>"MH-"&amp;I70</f>
        <v>MH-3700 Cobra Head Type</v>
      </c>
      <c r="C70" s="13">
        <v>16.14</v>
      </c>
      <c r="D70" s="13">
        <v>16.600000000000001</v>
      </c>
      <c r="E70" s="13">
        <v>16.440000000000001</v>
      </c>
      <c r="G70" s="355">
        <f t="shared" ref="G70:G79" si="5">_xlfn.NUMBERVALUE(LEFT(I70,FIND(" ",I70)))</f>
        <v>3700</v>
      </c>
      <c r="H70" s="12">
        <f t="shared" si="0"/>
        <v>1</v>
      </c>
      <c r="I70" s="356" t="s">
        <v>701</v>
      </c>
    </row>
    <row r="71" spans="1:9">
      <c r="B71" s="13" t="str">
        <f t="shared" ref="B71:B79" si="6">"MH-"&amp;I71</f>
        <v>MH-5000 Cobra Head Type</v>
      </c>
      <c r="C71" s="13">
        <v>18.440000000000001</v>
      </c>
      <c r="D71" s="13">
        <v>18.97</v>
      </c>
      <c r="E71" s="13">
        <v>18.79</v>
      </c>
      <c r="G71" s="355">
        <f t="shared" si="5"/>
        <v>5000</v>
      </c>
      <c r="H71" s="12">
        <f t="shared" si="0"/>
        <v>1</v>
      </c>
      <c r="I71" s="356" t="s">
        <v>702</v>
      </c>
    </row>
    <row r="72" spans="1:9">
      <c r="B72" s="13" t="str">
        <f t="shared" si="6"/>
        <v>MH-10000 Cobra Head Type</v>
      </c>
      <c r="C72" s="13">
        <v>22.79</v>
      </c>
      <c r="D72" s="13">
        <v>23.44</v>
      </c>
      <c r="E72" s="13">
        <v>23.22</v>
      </c>
      <c r="G72" s="355">
        <f t="shared" si="5"/>
        <v>10000</v>
      </c>
      <c r="H72" s="12">
        <f t="shared" si="0"/>
        <v>1</v>
      </c>
      <c r="I72" s="356" t="s">
        <v>703</v>
      </c>
    </row>
    <row r="73" spans="1:9">
      <c r="B73" s="13" t="str">
        <f t="shared" si="6"/>
        <v>MH-3700 Flood Light Type</v>
      </c>
      <c r="C73" s="13">
        <v>16.48</v>
      </c>
      <c r="D73" s="13">
        <v>16.95</v>
      </c>
      <c r="E73" s="13">
        <v>16.79</v>
      </c>
      <c r="G73" s="355">
        <f t="shared" si="5"/>
        <v>3700</v>
      </c>
      <c r="H73" s="12">
        <f t="shared" si="0"/>
        <v>1</v>
      </c>
      <c r="I73" s="356" t="s">
        <v>704</v>
      </c>
    </row>
    <row r="74" spans="1:9">
      <c r="B74" s="13" t="str">
        <f t="shared" si="6"/>
        <v>MH-5000 Flood Light Type</v>
      </c>
      <c r="C74" s="13">
        <v>19.059999999999999</v>
      </c>
      <c r="D74" s="13">
        <v>19.61</v>
      </c>
      <c r="E74" s="13">
        <v>19.43</v>
      </c>
      <c r="G74" s="355">
        <f t="shared" si="5"/>
        <v>5000</v>
      </c>
      <c r="H74" s="12">
        <f t="shared" si="0"/>
        <v>1</v>
      </c>
      <c r="I74" s="356" t="s">
        <v>705</v>
      </c>
    </row>
    <row r="75" spans="1:9">
      <c r="B75" s="13" t="str">
        <f t="shared" si="6"/>
        <v>MH-10000 Flood Light Type</v>
      </c>
      <c r="C75" s="13">
        <v>22.64</v>
      </c>
      <c r="D75" s="13">
        <v>23.29</v>
      </c>
      <c r="E75" s="13">
        <v>23.07</v>
      </c>
      <c r="G75" s="355">
        <f t="shared" si="5"/>
        <v>10000</v>
      </c>
      <c r="H75" s="12">
        <f t="shared" si="0"/>
        <v>1</v>
      </c>
      <c r="I75" s="356" t="s">
        <v>706</v>
      </c>
    </row>
    <row r="76" spans="1:9">
      <c r="B76" s="13" t="str">
        <f t="shared" si="6"/>
        <v>MH-47000 Flood Light Type</v>
      </c>
      <c r="C76" s="13">
        <v>48.66</v>
      </c>
      <c r="D76" s="13">
        <v>50.06</v>
      </c>
      <c r="E76" s="13">
        <v>49.6</v>
      </c>
      <c r="G76" s="355">
        <f t="shared" si="5"/>
        <v>47000</v>
      </c>
      <c r="H76" s="12">
        <f t="shared" si="0"/>
        <v>1</v>
      </c>
      <c r="I76" s="356" t="s">
        <v>707</v>
      </c>
    </row>
    <row r="77" spans="1:9">
      <c r="B77" s="13" t="str">
        <f t="shared" si="6"/>
        <v>MH-3700 Power Bracket Included</v>
      </c>
      <c r="C77" s="13">
        <v>16.420000000000002</v>
      </c>
      <c r="D77" s="13">
        <v>16.89</v>
      </c>
      <c r="E77" s="13">
        <v>16.73</v>
      </c>
      <c r="G77" s="355">
        <f t="shared" si="5"/>
        <v>3700</v>
      </c>
      <c r="H77" s="12">
        <f t="shared" si="0"/>
        <v>1</v>
      </c>
      <c r="I77" s="356" t="s">
        <v>708</v>
      </c>
    </row>
    <row r="78" spans="1:9">
      <c r="B78" s="13" t="str">
        <f t="shared" si="6"/>
        <v>MH-5000 Power Bracket Included</v>
      </c>
      <c r="C78" s="13">
        <v>18.739999999999998</v>
      </c>
      <c r="D78" s="13">
        <v>19.28</v>
      </c>
      <c r="E78" s="13">
        <v>19.100000000000001</v>
      </c>
      <c r="G78" s="355">
        <f t="shared" si="5"/>
        <v>5000</v>
      </c>
      <c r="H78" s="12">
        <f t="shared" si="0"/>
        <v>1</v>
      </c>
      <c r="I78" s="356" t="s">
        <v>709</v>
      </c>
    </row>
    <row r="79" spans="1:9">
      <c r="B79" s="13" t="str">
        <f t="shared" si="6"/>
        <v>MH-10000 Power Bracket Included</v>
      </c>
      <c r="C79" s="13">
        <v>23.15</v>
      </c>
      <c r="D79" s="13">
        <v>23.82</v>
      </c>
      <c r="E79" s="13">
        <v>23.6</v>
      </c>
      <c r="G79" s="355">
        <f t="shared" si="5"/>
        <v>10000</v>
      </c>
      <c r="H79" s="12">
        <f t="shared" si="0"/>
        <v>1</v>
      </c>
      <c r="I79" s="356" t="s">
        <v>710</v>
      </c>
    </row>
    <row r="80" spans="1:9">
      <c r="B80" s="13"/>
      <c r="D80" s="13"/>
      <c r="E80" s="13"/>
      <c r="H80" s="12">
        <f t="shared" si="0"/>
        <v>0</v>
      </c>
      <c r="I80" s="356"/>
    </row>
    <row r="81" spans="1:9">
      <c r="A81" s="12" t="s">
        <v>711</v>
      </c>
      <c r="B81" s="13"/>
      <c r="D81" s="13"/>
      <c r="E81" s="13"/>
      <c r="H81" s="12">
        <f t="shared" si="0"/>
        <v>0</v>
      </c>
      <c r="I81" s="356"/>
    </row>
    <row r="82" spans="1:9">
      <c r="B82" s="13" t="str">
        <f>"LED-"&amp;I82</f>
        <v>LED-3850 Cobra Head Type</v>
      </c>
      <c r="C82" s="13">
        <v>9.9700000000000006</v>
      </c>
      <c r="D82" s="13">
        <v>10.25</v>
      </c>
      <c r="E82" s="13">
        <v>10.15</v>
      </c>
      <c r="G82" s="355">
        <f t="shared" ref="G82:G94" si="7">_xlfn.NUMBERVALUE(LEFT(I82,FIND(" ",I82)))</f>
        <v>3850</v>
      </c>
      <c r="H82" s="12">
        <f t="shared" si="0"/>
        <v>1</v>
      </c>
      <c r="I82" s="356" t="s">
        <v>712</v>
      </c>
    </row>
    <row r="83" spans="1:9">
      <c r="B83" s="13" t="str">
        <f t="shared" ref="B83:B94" si="8">"LED-"&amp;I83</f>
        <v>LED-6100 Cobra Head Type</v>
      </c>
      <c r="C83" s="13">
        <v>11.82</v>
      </c>
      <c r="D83" s="13">
        <v>12.16</v>
      </c>
      <c r="E83" s="13">
        <v>12.04</v>
      </c>
      <c r="G83" s="355">
        <f t="shared" si="7"/>
        <v>6100</v>
      </c>
      <c r="H83" s="12">
        <f t="shared" si="0"/>
        <v>1</v>
      </c>
      <c r="I83" s="356" t="s">
        <v>713</v>
      </c>
    </row>
    <row r="84" spans="1:9">
      <c r="B84" s="13" t="str">
        <f t="shared" si="8"/>
        <v>LED-10680 Cobra Head Type</v>
      </c>
      <c r="C84" s="13">
        <v>14.82</v>
      </c>
      <c r="D84" s="13">
        <v>15.24</v>
      </c>
      <c r="E84" s="13">
        <v>15.1</v>
      </c>
      <c r="G84" s="355">
        <f t="shared" si="7"/>
        <v>10680</v>
      </c>
      <c r="H84" s="12">
        <f t="shared" si="0"/>
        <v>1</v>
      </c>
      <c r="I84" s="356" t="s">
        <v>714</v>
      </c>
    </row>
    <row r="85" spans="1:9">
      <c r="B85" s="13" t="str">
        <f t="shared" si="8"/>
        <v>LED-20000 Cobra Head Type</v>
      </c>
      <c r="C85" s="13">
        <v>23.88</v>
      </c>
      <c r="D85" s="13">
        <v>24.57</v>
      </c>
      <c r="E85" s="13">
        <v>24.34</v>
      </c>
      <c r="G85" s="355">
        <f t="shared" si="7"/>
        <v>20000</v>
      </c>
      <c r="H85" s="12">
        <f t="shared" si="0"/>
        <v>1</v>
      </c>
      <c r="I85" s="356" t="s">
        <v>715</v>
      </c>
    </row>
    <row r="86" spans="1:9">
      <c r="B86" s="13" t="str">
        <f t="shared" si="8"/>
        <v>LED-4572 Flood Light Type</v>
      </c>
      <c r="C86" s="13">
        <v>15.59</v>
      </c>
      <c r="D86" s="13">
        <v>16.04</v>
      </c>
      <c r="E86" s="13">
        <v>15.89</v>
      </c>
      <c r="G86" s="355">
        <f t="shared" si="7"/>
        <v>4572</v>
      </c>
      <c r="H86" s="12">
        <f t="shared" si="0"/>
        <v>1</v>
      </c>
      <c r="I86" s="356" t="s">
        <v>716</v>
      </c>
    </row>
    <row r="87" spans="1:9">
      <c r="B87" s="13" t="str">
        <f t="shared" si="8"/>
        <v>LED-6810 Flood Light Type</v>
      </c>
      <c r="C87" s="13">
        <v>16.39</v>
      </c>
      <c r="D87" s="13">
        <v>16.86</v>
      </c>
      <c r="E87" s="13">
        <v>16.7</v>
      </c>
      <c r="G87" s="355">
        <f t="shared" si="7"/>
        <v>6810</v>
      </c>
      <c r="H87" s="12">
        <f t="shared" si="0"/>
        <v>1</v>
      </c>
      <c r="I87" s="356" t="s">
        <v>717</v>
      </c>
    </row>
    <row r="88" spans="1:9">
      <c r="B88" s="13" t="str">
        <f t="shared" si="8"/>
        <v>LED-11253 Flood Light Type</v>
      </c>
      <c r="C88" s="13">
        <v>25.39</v>
      </c>
      <c r="D88" s="13">
        <v>26.12</v>
      </c>
      <c r="E88" s="13">
        <v>25.88</v>
      </c>
      <c r="G88" s="355">
        <f t="shared" si="7"/>
        <v>11253</v>
      </c>
      <c r="H88" s="12">
        <f t="shared" si="0"/>
        <v>1</v>
      </c>
      <c r="I88" s="356" t="s">
        <v>718</v>
      </c>
    </row>
    <row r="89" spans="1:9">
      <c r="B89" s="13" t="str">
        <f t="shared" si="8"/>
        <v>LED-15300 Flood Light Type</v>
      </c>
      <c r="C89" s="13">
        <v>25.3</v>
      </c>
      <c r="D89" s="13">
        <v>26.03</v>
      </c>
      <c r="E89" s="13">
        <v>25.79</v>
      </c>
      <c r="G89" s="355">
        <f t="shared" si="7"/>
        <v>15300</v>
      </c>
      <c r="H89" s="12">
        <f t="shared" si="0"/>
        <v>1</v>
      </c>
      <c r="I89" s="356" t="s">
        <v>719</v>
      </c>
    </row>
    <row r="90" spans="1:9">
      <c r="B90" s="13" t="str">
        <f t="shared" si="8"/>
        <v>LED-50403 Flood Light Type</v>
      </c>
      <c r="C90" s="13">
        <v>54.63</v>
      </c>
      <c r="D90" s="13">
        <v>56.21</v>
      </c>
      <c r="E90" s="13">
        <v>55.69</v>
      </c>
      <c r="G90" s="355">
        <f t="shared" si="7"/>
        <v>50403</v>
      </c>
      <c r="H90" s="12">
        <f t="shared" si="0"/>
        <v>1</v>
      </c>
      <c r="I90" s="356" t="s">
        <v>720</v>
      </c>
    </row>
    <row r="91" spans="1:9">
      <c r="B91" s="13" t="str">
        <f t="shared" si="8"/>
        <v>LED-2887 Power Bracket Included</v>
      </c>
      <c r="C91" s="13">
        <v>10.61</v>
      </c>
      <c r="D91" s="13">
        <v>10.91</v>
      </c>
      <c r="E91" s="13">
        <v>10.81</v>
      </c>
      <c r="G91" s="355">
        <f t="shared" si="7"/>
        <v>2887</v>
      </c>
      <c r="H91" s="12">
        <f t="shared" si="0"/>
        <v>1</v>
      </c>
      <c r="I91" s="356" t="s">
        <v>721</v>
      </c>
    </row>
    <row r="92" spans="1:9">
      <c r="B92" s="13" t="str">
        <f t="shared" si="8"/>
        <v>LED-6100 Power Bracket Included</v>
      </c>
      <c r="C92" s="13">
        <v>11.82</v>
      </c>
      <c r="D92" s="13">
        <v>12.16</v>
      </c>
      <c r="E92" s="13">
        <v>12.04</v>
      </c>
      <c r="G92" s="355">
        <f t="shared" si="7"/>
        <v>6100</v>
      </c>
      <c r="H92" s="12">
        <f t="shared" si="0"/>
        <v>1</v>
      </c>
      <c r="I92" s="356" t="s">
        <v>722</v>
      </c>
    </row>
    <row r="93" spans="1:9">
      <c r="B93" s="13" t="str">
        <f t="shared" si="8"/>
        <v>LED-12290 Power Bracket Included</v>
      </c>
      <c r="C93" s="13">
        <v>17.64</v>
      </c>
      <c r="D93" s="13">
        <v>18.149999999999999</v>
      </c>
      <c r="E93" s="13">
        <v>17.98</v>
      </c>
      <c r="G93" s="355">
        <f t="shared" si="7"/>
        <v>12290</v>
      </c>
      <c r="H93" s="12">
        <f t="shared" si="0"/>
        <v>1</v>
      </c>
      <c r="I93" s="356" t="s">
        <v>723</v>
      </c>
    </row>
    <row r="94" spans="1:9">
      <c r="B94" s="13" t="str">
        <f t="shared" si="8"/>
        <v>LED-17200 Power Bracket Included</v>
      </c>
      <c r="C94" s="13">
        <v>21.06</v>
      </c>
      <c r="D94" s="13">
        <v>21.66</v>
      </c>
      <c r="E94" s="13">
        <v>21.46</v>
      </c>
      <c r="G94" s="355">
        <f t="shared" si="7"/>
        <v>17200</v>
      </c>
      <c r="H94" s="12">
        <f t="shared" si="0"/>
        <v>1</v>
      </c>
      <c r="I94" s="356" t="s">
        <v>724</v>
      </c>
    </row>
    <row r="95" spans="1:9">
      <c r="B95" s="13"/>
      <c r="D95" s="13"/>
      <c r="E95" s="13"/>
      <c r="H95" s="12">
        <f t="shared" si="0"/>
        <v>0</v>
      </c>
      <c r="I95" s="356"/>
    </row>
    <row r="96" spans="1:9">
      <c r="B96" s="13"/>
      <c r="D96" s="13"/>
      <c r="E96" s="13"/>
      <c r="H96" s="12">
        <f t="shared" si="0"/>
        <v>0</v>
      </c>
      <c r="I96" s="356"/>
    </row>
    <row r="97" spans="1:9">
      <c r="A97" s="12" t="s">
        <v>725</v>
      </c>
      <c r="B97" s="13"/>
      <c r="D97" s="13"/>
      <c r="E97" s="13"/>
      <c r="H97" s="12">
        <f t="shared" si="0"/>
        <v>0</v>
      </c>
      <c r="I97" s="356"/>
    </row>
    <row r="98" spans="1:9">
      <c r="B98" s="13" t="str">
        <f>I98&amp;"-Ornament"</f>
        <v>3300 Street and Highway-Ornament</v>
      </c>
      <c r="C98" s="13">
        <v>9.26</v>
      </c>
      <c r="D98" s="13">
        <v>9.52</v>
      </c>
      <c r="E98" s="13">
        <v>9.43</v>
      </c>
      <c r="G98" s="355">
        <f t="shared" ref="G98" si="9">_xlfn.NUMBERVALUE(LEFT(I98,FIND(" ",I98)))</f>
        <v>3300</v>
      </c>
      <c r="H98" s="12">
        <f t="shared" si="0"/>
        <v>1</v>
      </c>
      <c r="I98" s="356" t="s">
        <v>752</v>
      </c>
    </row>
    <row r="99" spans="1:9">
      <c r="B99" s="13"/>
      <c r="D99" s="13"/>
      <c r="E99" s="13"/>
      <c r="H99" s="12">
        <f t="shared" si="0"/>
        <v>0</v>
      </c>
      <c r="I99" s="356"/>
    </row>
    <row r="100" spans="1:9">
      <c r="A100" s="12" t="s">
        <v>726</v>
      </c>
      <c r="B100" s="13"/>
      <c r="D100" s="13"/>
      <c r="E100" s="13"/>
      <c r="H100" s="12">
        <f t="shared" si="0"/>
        <v>0</v>
      </c>
      <c r="I100" s="356"/>
    </row>
    <row r="101" spans="1:9">
      <c r="B101" s="13" t="s">
        <v>176</v>
      </c>
      <c r="C101" s="13">
        <v>7.44</v>
      </c>
      <c r="D101" s="13">
        <v>7.65</v>
      </c>
      <c r="E101" s="13">
        <v>7.58</v>
      </c>
      <c r="G101" s="355">
        <f t="shared" ref="G101:G104" si="10">_xlfn.NUMBERVALUE(LEFT(I101,FIND(" ",I101)))</f>
        <v>28</v>
      </c>
      <c r="H101" s="12">
        <f t="shared" si="0"/>
        <v>1</v>
      </c>
      <c r="I101" s="356" t="s">
        <v>176</v>
      </c>
    </row>
    <row r="102" spans="1:9">
      <c r="B102" s="13" t="s">
        <v>178</v>
      </c>
      <c r="C102" s="13">
        <v>8.49</v>
      </c>
      <c r="D102" s="13">
        <v>8.73</v>
      </c>
      <c r="E102" s="13">
        <v>8.65</v>
      </c>
      <c r="G102" s="355">
        <f t="shared" si="10"/>
        <v>54</v>
      </c>
      <c r="H102" s="12">
        <f t="shared" si="0"/>
        <v>1</v>
      </c>
      <c r="I102" s="356" t="s">
        <v>178</v>
      </c>
    </row>
    <row r="103" spans="1:9">
      <c r="B103" s="13" t="s">
        <v>727</v>
      </c>
      <c r="C103" s="13">
        <v>11.8</v>
      </c>
      <c r="D103" s="13">
        <v>12.14</v>
      </c>
      <c r="E103" s="13">
        <v>12.02</v>
      </c>
      <c r="G103" s="355">
        <f t="shared" si="10"/>
        <v>99</v>
      </c>
      <c r="H103" s="12">
        <f t="shared" si="0"/>
        <v>1</v>
      </c>
      <c r="I103" s="356" t="s">
        <v>727</v>
      </c>
    </row>
    <row r="104" spans="1:9">
      <c r="B104" s="13" t="s">
        <v>728</v>
      </c>
      <c r="C104" s="13">
        <v>16.420000000000002</v>
      </c>
      <c r="D104" s="13">
        <v>16.89</v>
      </c>
      <c r="E104" s="13">
        <v>16.73</v>
      </c>
      <c r="G104" s="355">
        <f t="shared" si="10"/>
        <v>160</v>
      </c>
      <c r="H104" s="12">
        <f>COUNTIFS(B:B,B104)</f>
        <v>1</v>
      </c>
      <c r="I104" s="356" t="s">
        <v>728</v>
      </c>
    </row>
  </sheetData>
  <printOptions horizontalCentered="1"/>
  <pageMargins left="0.5" right="0.5" top="0.5" bottom="0.5" header="0.5" footer="0.5"/>
  <pageSetup scale="70" orientation="portrait" horizontalDpi="1200" verticalDpi="1200" r:id="rId1"/>
  <headerFooter alignWithMargins="0"/>
  <rowBreaks count="1" manualBreakCount="1">
    <brk id="49" max="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B10E6-F25F-4AB2-B9E8-17B5F7A934E5}">
  <sheetPr codeName="Sheet33">
    <pageSetUpPr fitToPage="1"/>
  </sheetPr>
  <dimension ref="B1:S93"/>
  <sheetViews>
    <sheetView workbookViewId="0"/>
  </sheetViews>
  <sheetFormatPr defaultColWidth="9.5546875" defaultRowHeight="13.2"/>
  <cols>
    <col min="1" max="1" width="9.5546875" style="503"/>
    <col min="2" max="2" width="21.77734375" style="503" bestFit="1" customWidth="1"/>
    <col min="3" max="3" width="7.21875" style="503" customWidth="1"/>
    <col min="4" max="4" width="17.77734375" style="503" customWidth="1"/>
    <col min="5" max="5" width="5.109375" style="503" customWidth="1"/>
    <col min="6" max="6" width="16.21875" style="505" bestFit="1" customWidth="1"/>
    <col min="7" max="7" width="14.77734375" style="503" customWidth="1"/>
    <col min="8" max="8" width="16.5546875" style="503" customWidth="1"/>
    <col min="9" max="9" width="13.109375" style="503" bestFit="1" customWidth="1"/>
    <col min="10" max="10" width="13.77734375" style="503" bestFit="1" customWidth="1"/>
    <col min="11" max="11" width="13.21875" style="503" customWidth="1"/>
    <col min="12" max="12" width="13.77734375" style="503" bestFit="1" customWidth="1"/>
    <col min="13" max="13" width="9.5546875" style="504"/>
    <col min="14" max="15" width="9.5546875" style="503"/>
    <col min="16" max="16" width="13.44140625" style="503" bestFit="1" customWidth="1"/>
    <col min="17" max="17" width="13.21875" style="503" bestFit="1" customWidth="1"/>
    <col min="18" max="18" width="12.21875" style="503" bestFit="1" customWidth="1"/>
    <col min="19" max="16384" width="9.5546875" style="503"/>
  </cols>
  <sheetData>
    <row r="1" spans="2:19" ht="14.4">
      <c r="B1" s="30" t="s">
        <v>0</v>
      </c>
    </row>
    <row r="2" spans="2:19" ht="14.4">
      <c r="B2" s="4" t="s">
        <v>66</v>
      </c>
    </row>
    <row r="3" spans="2:19" ht="14.4">
      <c r="B3" s="36" t="s">
        <v>811</v>
      </c>
    </row>
    <row r="4" spans="2:19" ht="37.799999999999997" customHeight="1">
      <c r="B4" s="527" t="s">
        <v>285</v>
      </c>
      <c r="C4" s="527"/>
      <c r="D4" s="527"/>
      <c r="E4" s="527"/>
      <c r="F4" s="528"/>
      <c r="G4" s="527"/>
      <c r="H4" s="527"/>
      <c r="I4" s="527"/>
      <c r="J4" s="527"/>
      <c r="K4" s="527"/>
      <c r="L4" s="527"/>
    </row>
    <row r="5" spans="2:19">
      <c r="B5" s="527" t="s">
        <v>753</v>
      </c>
      <c r="C5" s="527"/>
      <c r="D5" s="527"/>
      <c r="E5" s="527"/>
      <c r="F5" s="528"/>
      <c r="G5" s="527"/>
      <c r="H5" s="527"/>
      <c r="I5" s="527"/>
      <c r="J5" s="527"/>
      <c r="K5" s="527"/>
      <c r="L5" s="527"/>
    </row>
    <row r="6" spans="2:19">
      <c r="B6" s="529" t="s">
        <v>67</v>
      </c>
      <c r="C6" s="527"/>
      <c r="D6" s="527"/>
      <c r="E6" s="529"/>
      <c r="F6" s="528"/>
      <c r="G6" s="527"/>
      <c r="H6" s="527"/>
      <c r="I6" s="527"/>
      <c r="J6" s="527"/>
      <c r="K6" s="527"/>
      <c r="L6" s="527"/>
    </row>
    <row r="8" spans="2:19">
      <c r="F8" s="526" t="s">
        <v>341</v>
      </c>
      <c r="G8" s="525" t="s">
        <v>754</v>
      </c>
      <c r="H8" s="525" t="s">
        <v>755</v>
      </c>
      <c r="I8" s="525"/>
      <c r="J8" s="524"/>
      <c r="K8" s="523" t="s">
        <v>90</v>
      </c>
      <c r="L8" s="522" t="s">
        <v>756</v>
      </c>
      <c r="Q8" s="503" t="s">
        <v>757</v>
      </c>
    </row>
    <row r="9" spans="2:19">
      <c r="F9" s="521" t="s">
        <v>342</v>
      </c>
      <c r="G9" s="520" t="s">
        <v>758</v>
      </c>
      <c r="H9" s="519" t="s">
        <v>260</v>
      </c>
      <c r="I9" s="520" t="s">
        <v>759</v>
      </c>
      <c r="J9" s="520" t="s">
        <v>162</v>
      </c>
      <c r="K9" s="520" t="s">
        <v>162</v>
      </c>
      <c r="L9" s="519" t="s">
        <v>760</v>
      </c>
      <c r="M9" s="503"/>
    </row>
    <row r="10" spans="2:19">
      <c r="B10" s="515" t="s">
        <v>406</v>
      </c>
      <c r="C10" s="514"/>
      <c r="M10" s="503"/>
      <c r="Q10" s="506" t="s">
        <v>761</v>
      </c>
      <c r="R10" s="503" t="s">
        <v>762</v>
      </c>
      <c r="S10" s="503" t="s">
        <v>45</v>
      </c>
    </row>
    <row r="11" spans="2:19">
      <c r="D11" s="506" t="s">
        <v>763</v>
      </c>
      <c r="F11" s="505">
        <f>254960+61437</f>
        <v>316397</v>
      </c>
      <c r="G11" s="512">
        <v>7</v>
      </c>
      <c r="H11" s="513"/>
      <c r="I11" s="512">
        <f>+G11+H11</f>
        <v>7</v>
      </c>
      <c r="J11" s="511">
        <f>I11*F11</f>
        <v>2214779</v>
      </c>
      <c r="K11" s="511">
        <f>SUM(J11:J12)</f>
        <v>63709569.762633853</v>
      </c>
      <c r="L11" s="511">
        <f>K11*0.1</f>
        <v>6370956.9762633853</v>
      </c>
      <c r="M11" s="503"/>
      <c r="Q11" s="503" t="s">
        <v>764</v>
      </c>
      <c r="R11" s="503" t="s">
        <v>765</v>
      </c>
      <c r="S11" s="513" t="s">
        <v>766</v>
      </c>
    </row>
    <row r="12" spans="2:19">
      <c r="D12" s="506" t="s">
        <v>355</v>
      </c>
      <c r="F12" s="505">
        <f>137275588+35064508</f>
        <v>172340096</v>
      </c>
      <c r="G12" s="513">
        <v>0.20574999999999999</v>
      </c>
      <c r="H12" s="513">
        <f>Q37</f>
        <v>0.1510723076923077</v>
      </c>
      <c r="I12" s="513">
        <f>+G12+H12</f>
        <v>0.35682230769230772</v>
      </c>
      <c r="J12" s="511">
        <f>I12*F12</f>
        <v>61494790.762633853</v>
      </c>
      <c r="M12" s="503"/>
      <c r="P12" s="517">
        <v>44562</v>
      </c>
      <c r="Q12" s="513">
        <v>0.15298</v>
      </c>
      <c r="R12" s="513">
        <v>0.19273000000000001</v>
      </c>
      <c r="S12" s="513">
        <v>0.18557999999999999</v>
      </c>
    </row>
    <row r="13" spans="2:19">
      <c r="G13" s="518"/>
      <c r="H13" s="513"/>
      <c r="I13" s="513"/>
      <c r="J13" s="511"/>
      <c r="M13" s="503"/>
      <c r="P13" s="517">
        <f t="shared" ref="P13:P35" si="0">+P12+31</f>
        <v>44593</v>
      </c>
      <c r="Q13" s="513">
        <v>0.15298</v>
      </c>
      <c r="R13" s="513">
        <v>0.18576000000000001</v>
      </c>
      <c r="S13" s="513">
        <v>0.18989</v>
      </c>
    </row>
    <row r="14" spans="2:19">
      <c r="B14" s="515" t="s">
        <v>767</v>
      </c>
      <c r="C14" s="514"/>
      <c r="H14" s="513"/>
      <c r="M14" s="503"/>
      <c r="P14" s="517">
        <f t="shared" si="0"/>
        <v>44624</v>
      </c>
      <c r="Q14" s="513">
        <v>0.15298</v>
      </c>
      <c r="R14" s="513">
        <v>0.11663</v>
      </c>
      <c r="S14" s="513">
        <v>0.12125</v>
      </c>
    </row>
    <row r="15" spans="2:19">
      <c r="D15" s="506" t="s">
        <v>763</v>
      </c>
      <c r="F15" s="505">
        <v>30492</v>
      </c>
      <c r="G15" s="512">
        <v>10</v>
      </c>
      <c r="H15" s="513"/>
      <c r="I15" s="512">
        <f>+G15+H15</f>
        <v>10</v>
      </c>
      <c r="J15" s="511">
        <f>I15*F15</f>
        <v>304920</v>
      </c>
      <c r="K15" s="511">
        <f>SUM(J15:J16)</f>
        <v>2238566.7302276921</v>
      </c>
      <c r="L15" s="511">
        <f>K15*0.1</f>
        <v>223856.67302276922</v>
      </c>
      <c r="M15" s="503"/>
      <c r="P15" s="517">
        <f t="shared" si="0"/>
        <v>44655</v>
      </c>
      <c r="Q15" s="513">
        <v>0.15298</v>
      </c>
      <c r="R15" s="513">
        <v>8.4529999999999994E-2</v>
      </c>
      <c r="S15" s="513">
        <v>0.12132</v>
      </c>
    </row>
    <row r="16" spans="2:19">
      <c r="D16" s="506" t="s">
        <v>355</v>
      </c>
      <c r="F16" s="505">
        <v>5912347</v>
      </c>
      <c r="G16" s="513">
        <v>0.17598</v>
      </c>
      <c r="H16" s="513">
        <f>H12</f>
        <v>0.1510723076923077</v>
      </c>
      <c r="I16" s="513">
        <f>+G16+H16</f>
        <v>0.3270523076923077</v>
      </c>
      <c r="J16" s="511">
        <f>I16*F16</f>
        <v>1933646.7302276923</v>
      </c>
      <c r="M16" s="503"/>
      <c r="P16" s="517">
        <f t="shared" si="0"/>
        <v>44686</v>
      </c>
      <c r="Q16" s="513">
        <v>0.15298</v>
      </c>
      <c r="R16" s="513">
        <v>7.5700000000000003E-2</v>
      </c>
      <c r="S16" s="513">
        <v>0.12539</v>
      </c>
    </row>
    <row r="17" spans="2:19">
      <c r="G17" s="513"/>
      <c r="H17" s="513"/>
      <c r="I17" s="513"/>
      <c r="J17" s="511"/>
      <c r="M17" s="503"/>
      <c r="P17" s="517">
        <f t="shared" si="0"/>
        <v>44717</v>
      </c>
      <c r="Q17" s="513">
        <v>0.13436000000000001</v>
      </c>
      <c r="R17" s="513">
        <v>0.11343</v>
      </c>
      <c r="S17" s="513">
        <v>0.13389999999999999</v>
      </c>
    </row>
    <row r="18" spans="2:19">
      <c r="B18" s="515" t="s">
        <v>768</v>
      </c>
      <c r="C18" s="514"/>
      <c r="H18" s="513"/>
      <c r="M18" s="503"/>
      <c r="P18" s="517">
        <f t="shared" si="0"/>
        <v>44748</v>
      </c>
      <c r="Q18" s="513">
        <v>0.13436000000000001</v>
      </c>
      <c r="R18" s="513">
        <v>0.13900000000000001</v>
      </c>
      <c r="S18" s="513">
        <v>0.14294000000000001</v>
      </c>
    </row>
    <row r="19" spans="2:19">
      <c r="D19" s="506" t="s">
        <v>763</v>
      </c>
      <c r="F19" s="505">
        <v>18165</v>
      </c>
      <c r="G19" s="512">
        <v>10</v>
      </c>
      <c r="H19" s="513"/>
      <c r="I19" s="512">
        <f>+G19+H19</f>
        <v>10</v>
      </c>
      <c r="J19" s="511">
        <f>I19*F19</f>
        <v>181650</v>
      </c>
      <c r="K19" s="511">
        <f>SUM(J19:J22)</f>
        <v>28175421.817137081</v>
      </c>
      <c r="L19" s="511">
        <f>K19*0.1</f>
        <v>2817542.1817137082</v>
      </c>
      <c r="M19" s="503"/>
      <c r="P19" s="517">
        <f t="shared" si="0"/>
        <v>44779</v>
      </c>
      <c r="Q19" s="513">
        <v>0.13436000000000001</v>
      </c>
      <c r="R19" s="513">
        <v>0.12947</v>
      </c>
      <c r="S19" s="513">
        <v>0.15609999999999999</v>
      </c>
    </row>
    <row r="20" spans="2:19">
      <c r="D20" s="506" t="s">
        <v>355</v>
      </c>
      <c r="F20" s="505">
        <v>86826989</v>
      </c>
      <c r="G20" s="513">
        <v>0.11928999999999999</v>
      </c>
      <c r="H20" s="513">
        <f>R37</f>
        <v>0.16623541666666666</v>
      </c>
      <c r="I20" s="513">
        <f>+G20+H20</f>
        <v>0.28552541666666664</v>
      </c>
      <c r="J20" s="511">
        <f>I20*F20</f>
        <v>24791312.212137081</v>
      </c>
      <c r="M20" s="503"/>
      <c r="P20" s="517">
        <f t="shared" si="0"/>
        <v>44810</v>
      </c>
      <c r="Q20" s="513">
        <v>0.13436000000000001</v>
      </c>
      <c r="R20" s="513">
        <v>0.12801000000000001</v>
      </c>
      <c r="S20" s="513">
        <v>0.12193</v>
      </c>
    </row>
    <row r="21" spans="2:19">
      <c r="D21" s="506" t="s">
        <v>357</v>
      </c>
      <c r="F21" s="505">
        <v>323618.5</v>
      </c>
      <c r="G21" s="512">
        <v>9.91</v>
      </c>
      <c r="H21" s="513"/>
      <c r="I21" s="512">
        <f>+G21+H21</f>
        <v>9.91</v>
      </c>
      <c r="J21" s="511">
        <f>I21*F21</f>
        <v>3207059.335</v>
      </c>
      <c r="M21" s="503"/>
      <c r="P21" s="517">
        <f t="shared" si="0"/>
        <v>44841</v>
      </c>
      <c r="Q21" s="513">
        <v>0.13436000000000001</v>
      </c>
      <c r="R21" s="513">
        <v>0.12598000000000001</v>
      </c>
      <c r="S21" s="513">
        <v>0.1043</v>
      </c>
    </row>
    <row r="22" spans="2:19">
      <c r="D22" s="506" t="s">
        <v>769</v>
      </c>
      <c r="F22" s="505">
        <v>24209.105263157893</v>
      </c>
      <c r="G22" s="512">
        <v>-0.19</v>
      </c>
      <c r="H22" s="513"/>
      <c r="I22" s="512">
        <f>+G22+H22</f>
        <v>-0.19</v>
      </c>
      <c r="J22" s="511">
        <f>I22*F22</f>
        <v>-4599.7299999999996</v>
      </c>
      <c r="M22" s="503"/>
      <c r="P22" s="517">
        <f t="shared" si="0"/>
        <v>44872</v>
      </c>
      <c r="Q22" s="513">
        <v>0.13436000000000001</v>
      </c>
      <c r="R22" s="513">
        <v>0.16800000000000001</v>
      </c>
      <c r="S22" s="513">
        <v>0.11555</v>
      </c>
    </row>
    <row r="23" spans="2:19">
      <c r="F23" s="503"/>
      <c r="M23" s="503"/>
      <c r="P23" s="517">
        <f t="shared" si="0"/>
        <v>44903</v>
      </c>
      <c r="Q23" s="513">
        <v>0.17859</v>
      </c>
      <c r="R23" s="513">
        <v>0.20544000000000001</v>
      </c>
      <c r="S23" s="513">
        <v>0.13003000000000001</v>
      </c>
    </row>
    <row r="24" spans="2:19">
      <c r="B24" s="515" t="s">
        <v>770</v>
      </c>
      <c r="C24" s="514"/>
      <c r="H24" s="513"/>
      <c r="M24" s="503"/>
      <c r="P24" s="517">
        <f t="shared" si="0"/>
        <v>44934</v>
      </c>
      <c r="Q24" s="513">
        <v>0.21429000000000001</v>
      </c>
      <c r="R24" s="513">
        <v>0.36259000000000002</v>
      </c>
      <c r="S24" s="513">
        <v>0.14526</v>
      </c>
    </row>
    <row r="25" spans="2:19">
      <c r="D25" s="506" t="s">
        <v>763</v>
      </c>
      <c r="F25" s="505">
        <v>339</v>
      </c>
      <c r="G25" s="512">
        <v>300</v>
      </c>
      <c r="H25" s="513"/>
      <c r="I25" s="512">
        <f>+G25+H25</f>
        <v>300</v>
      </c>
      <c r="J25" s="511">
        <f>I25*F25</f>
        <v>101700</v>
      </c>
      <c r="K25" s="511">
        <f>SUM(J25:J28)</f>
        <v>27930646.872345001</v>
      </c>
      <c r="L25" s="511">
        <f>K25*0.1</f>
        <v>2793064.6872345004</v>
      </c>
      <c r="M25" s="503"/>
      <c r="P25" s="517">
        <f t="shared" si="0"/>
        <v>44965</v>
      </c>
      <c r="Q25" s="513">
        <v>0.21429000000000001</v>
      </c>
      <c r="R25" s="513">
        <v>0.34727999999999998</v>
      </c>
      <c r="S25" s="513">
        <v>9.7250000000000003E-2</v>
      </c>
    </row>
    <row r="26" spans="2:19">
      <c r="D26" s="506" t="s">
        <v>362</v>
      </c>
      <c r="F26" s="505">
        <v>50297243</v>
      </c>
      <c r="G26" s="513">
        <v>7.0400000000000004E-2</v>
      </c>
      <c r="H26" s="513">
        <f>S37</f>
        <v>0.13734833333333335</v>
      </c>
      <c r="I26" s="513">
        <f>+G26+H26</f>
        <v>0.20774833333333337</v>
      </c>
      <c r="J26" s="511">
        <f>I26*F26</f>
        <v>10449168.404511668</v>
      </c>
      <c r="M26" s="503"/>
      <c r="P26" s="517">
        <f t="shared" si="0"/>
        <v>44996</v>
      </c>
      <c r="Q26" s="513">
        <v>0.21429000000000001</v>
      </c>
      <c r="R26" s="513">
        <v>0.21612999999999999</v>
      </c>
      <c r="S26" s="513">
        <v>9.1389999999999999E-2</v>
      </c>
    </row>
    <row r="27" spans="2:19">
      <c r="D27" s="506" t="s">
        <v>364</v>
      </c>
      <c r="F27" s="505">
        <v>77729812</v>
      </c>
      <c r="G27" s="513">
        <v>5.5109999999999999E-2</v>
      </c>
      <c r="H27" s="513">
        <f>+H26</f>
        <v>0.13734833333333335</v>
      </c>
      <c r="I27" s="513">
        <f>+G27+H27</f>
        <v>0.19245833333333334</v>
      </c>
      <c r="J27" s="511">
        <f>I27*F27</f>
        <v>14959750.067833334</v>
      </c>
      <c r="M27" s="503"/>
      <c r="P27" s="517">
        <f t="shared" si="0"/>
        <v>45027</v>
      </c>
      <c r="Q27" s="513">
        <v>0.21429000000000001</v>
      </c>
      <c r="R27" s="513">
        <v>0.13821</v>
      </c>
      <c r="S27" s="513">
        <v>7.6179999999999998E-2</v>
      </c>
    </row>
    <row r="28" spans="2:19">
      <c r="D28" s="506" t="s">
        <v>473</v>
      </c>
      <c r="F28" s="505">
        <v>296936</v>
      </c>
      <c r="G28" s="512">
        <v>8.15</v>
      </c>
      <c r="H28" s="513"/>
      <c r="I28" s="512">
        <f>+G28+H28</f>
        <v>8.15</v>
      </c>
      <c r="J28" s="511">
        <f>I28*F28</f>
        <v>2420028.4</v>
      </c>
      <c r="M28" s="503"/>
      <c r="P28" s="517">
        <f t="shared" si="0"/>
        <v>45058</v>
      </c>
      <c r="Q28" s="513">
        <v>0.21429000000000001</v>
      </c>
      <c r="R28" s="513">
        <v>0.10648000000000001</v>
      </c>
      <c r="S28" s="513">
        <v>6.5740000000000007E-2</v>
      </c>
    </row>
    <row r="29" spans="2:19">
      <c r="H29" s="513"/>
      <c r="M29" s="503"/>
      <c r="P29" s="517">
        <f t="shared" si="0"/>
        <v>45089</v>
      </c>
      <c r="Q29" s="513">
        <v>0.21429000000000001</v>
      </c>
      <c r="R29" s="513">
        <v>0.10269</v>
      </c>
      <c r="S29" s="513">
        <v>6.9989999999999997E-2</v>
      </c>
    </row>
    <row r="30" spans="2:19">
      <c r="B30" s="515" t="s">
        <v>771</v>
      </c>
      <c r="C30" s="514"/>
      <c r="H30" s="513"/>
      <c r="M30" s="503"/>
      <c r="P30" s="517">
        <f t="shared" si="0"/>
        <v>45120</v>
      </c>
      <c r="Q30" s="513">
        <v>0.21429000000000001</v>
      </c>
      <c r="R30" s="513">
        <v>0.12343999999999999</v>
      </c>
      <c r="S30" s="513"/>
    </row>
    <row r="31" spans="2:19">
      <c r="D31" s="506" t="s">
        <v>763</v>
      </c>
      <c r="F31" s="505">
        <v>33</v>
      </c>
      <c r="G31" s="512">
        <v>10</v>
      </c>
      <c r="H31" s="513"/>
      <c r="I31" s="512">
        <f>+G31+H31</f>
        <v>10</v>
      </c>
      <c r="J31" s="511">
        <f>I31*F31</f>
        <v>330</v>
      </c>
      <c r="K31" s="511">
        <f>SUM(J31:J35)</f>
        <v>83890.701405416665</v>
      </c>
      <c r="L31" s="511">
        <f>K31*0.1</f>
        <v>8389.0701405416676</v>
      </c>
      <c r="M31" s="503"/>
      <c r="P31" s="517">
        <f t="shared" si="0"/>
        <v>45151</v>
      </c>
      <c r="Q31" s="513">
        <v>0.21206</v>
      </c>
      <c r="R31" s="513">
        <v>0.16999</v>
      </c>
      <c r="S31" s="513"/>
    </row>
    <row r="32" spans="2:19">
      <c r="D32" s="506" t="s">
        <v>362</v>
      </c>
      <c r="F32" s="505">
        <v>54449</v>
      </c>
      <c r="G32" s="513">
        <v>0.10566</v>
      </c>
      <c r="H32" s="513">
        <f>H20</f>
        <v>0.16623541666666666</v>
      </c>
      <c r="I32" s="513">
        <f>+G32+H32</f>
        <v>0.27189541666666667</v>
      </c>
      <c r="J32" s="511">
        <f>I32*F32</f>
        <v>14804.433542083334</v>
      </c>
      <c r="M32" s="503"/>
      <c r="P32" s="517">
        <f t="shared" si="0"/>
        <v>45182</v>
      </c>
      <c r="Q32" s="513">
        <v>0.21206</v>
      </c>
      <c r="R32" s="513">
        <v>0.15570999999999999</v>
      </c>
      <c r="S32" s="513"/>
    </row>
    <row r="33" spans="2:19">
      <c r="D33" s="506" t="s">
        <v>364</v>
      </c>
      <c r="F33" s="505">
        <v>241496</v>
      </c>
      <c r="G33" s="513">
        <v>9.758E-2</v>
      </c>
      <c r="H33" s="513">
        <f>+H32</f>
        <v>0.16623541666666666</v>
      </c>
      <c r="I33" s="513">
        <f>+G33+H33</f>
        <v>0.26381541666666664</v>
      </c>
      <c r="J33" s="511">
        <f>I33*F33</f>
        <v>63710.367863333326</v>
      </c>
      <c r="M33" s="503"/>
      <c r="P33" s="517">
        <f t="shared" si="0"/>
        <v>45213</v>
      </c>
      <c r="Q33" s="513">
        <v>0.21206</v>
      </c>
      <c r="R33" s="513">
        <v>0.15428</v>
      </c>
      <c r="S33" s="513"/>
    </row>
    <row r="34" spans="2:19">
      <c r="D34" s="506" t="s">
        <v>357</v>
      </c>
      <c r="F34" s="505">
        <v>1330</v>
      </c>
      <c r="G34" s="512">
        <v>3.96</v>
      </c>
      <c r="H34" s="513"/>
      <c r="I34" s="512">
        <f>+G34+H34</f>
        <v>3.96</v>
      </c>
      <c r="J34" s="511">
        <f>I34*F34</f>
        <v>5266.8</v>
      </c>
      <c r="M34" s="503"/>
      <c r="P34" s="517">
        <f t="shared" si="0"/>
        <v>45244</v>
      </c>
      <c r="Q34" s="513">
        <v>0.21206</v>
      </c>
      <c r="R34" s="513">
        <v>0.19614000000000001</v>
      </c>
      <c r="S34" s="513"/>
    </row>
    <row r="35" spans="2:19">
      <c r="D35" s="506" t="s">
        <v>769</v>
      </c>
      <c r="F35" s="505">
        <v>1162.6315789473683</v>
      </c>
      <c r="G35" s="512">
        <v>-0.19</v>
      </c>
      <c r="H35" s="513"/>
      <c r="I35" s="512">
        <f>+G35+H35</f>
        <v>-0.19</v>
      </c>
      <c r="J35" s="511">
        <f>I35*F35</f>
        <v>-220.89999999999998</v>
      </c>
      <c r="M35" s="503"/>
      <c r="P35" s="517">
        <f t="shared" si="0"/>
        <v>45275</v>
      </c>
      <c r="Q35" s="513">
        <v>0.21206</v>
      </c>
      <c r="R35" s="513">
        <v>0.25202999999999998</v>
      </c>
      <c r="S35" s="513"/>
    </row>
    <row r="36" spans="2:19">
      <c r="H36" s="513"/>
      <c r="M36" s="503"/>
      <c r="P36" s="516"/>
      <c r="Q36" s="513"/>
      <c r="R36" s="513"/>
      <c r="S36" s="513"/>
    </row>
    <row r="37" spans="2:19">
      <c r="B37" s="515" t="s">
        <v>772</v>
      </c>
      <c r="C37" s="514"/>
      <c r="H37" s="513"/>
      <c r="M37" s="503"/>
      <c r="P37" s="516" t="s">
        <v>773</v>
      </c>
      <c r="Q37" s="513">
        <f>AVERAGE(Q12:Q24)</f>
        <v>0.1510723076923077</v>
      </c>
      <c r="R37" s="513">
        <f>AVERAGE(R12:R35)</f>
        <v>0.16623541666666666</v>
      </c>
      <c r="S37" s="513">
        <f>AVERAGE(S12:S23)</f>
        <v>0.13734833333333335</v>
      </c>
    </row>
    <row r="38" spans="2:19">
      <c r="D38" s="506" t="s">
        <v>763</v>
      </c>
      <c r="F38" s="505">
        <v>78</v>
      </c>
      <c r="G38" s="512">
        <v>0</v>
      </c>
      <c r="H38" s="513"/>
      <c r="I38" s="512">
        <f>+G38+H38</f>
        <v>0</v>
      </c>
      <c r="J38" s="511">
        <f>I38*F38</f>
        <v>0</v>
      </c>
      <c r="K38" s="511">
        <f>SUM(J38:J39)</f>
        <v>110797.96423666667</v>
      </c>
      <c r="L38" s="511">
        <f>K38*0.1</f>
        <v>11079.796423666667</v>
      </c>
      <c r="M38" s="503"/>
      <c r="P38" s="516" t="s">
        <v>774</v>
      </c>
      <c r="Q38" s="513">
        <f>AVERAGE(Q24:Q35)</f>
        <v>0.21336083333333336</v>
      </c>
      <c r="R38" s="513">
        <f>AVERAGE(R24:R35)</f>
        <v>0.19374749999999999</v>
      </c>
      <c r="S38" s="513">
        <f>AVERAGE(S24:S35)</f>
        <v>9.0968333333333332E-2</v>
      </c>
    </row>
    <row r="39" spans="2:19">
      <c r="D39" s="506" t="s">
        <v>355</v>
      </c>
      <c r="F39" s="505">
        <v>343192</v>
      </c>
      <c r="G39" s="513">
        <v>0.15661</v>
      </c>
      <c r="H39" s="513">
        <f>H20</f>
        <v>0.16623541666666666</v>
      </c>
      <c r="I39" s="513">
        <f>+G39+H39</f>
        <v>0.32284541666666666</v>
      </c>
      <c r="J39" s="511">
        <f>I39*F39</f>
        <v>110797.96423666667</v>
      </c>
      <c r="M39" s="503"/>
      <c r="Q39" s="513"/>
      <c r="R39" s="513"/>
      <c r="S39" s="513"/>
    </row>
    <row r="40" spans="2:19">
      <c r="D40" s="506"/>
      <c r="G40" s="513"/>
      <c r="H40" s="513"/>
      <c r="I40" s="513"/>
      <c r="J40" s="511"/>
      <c r="M40" s="503"/>
    </row>
    <row r="41" spans="2:19">
      <c r="H41" s="513"/>
      <c r="M41" s="503"/>
    </row>
    <row r="42" spans="2:19">
      <c r="B42" s="515" t="s">
        <v>775</v>
      </c>
      <c r="C42" s="514" t="s">
        <v>381</v>
      </c>
      <c r="H42" s="513"/>
      <c r="M42" s="503"/>
    </row>
    <row r="43" spans="2:19">
      <c r="H43" s="513"/>
      <c r="M43" s="503"/>
    </row>
    <row r="44" spans="2:19">
      <c r="B44" s="506" t="s">
        <v>776</v>
      </c>
      <c r="C44" s="506" t="s">
        <v>165</v>
      </c>
      <c r="F44" s="505">
        <v>1041431</v>
      </c>
      <c r="G44" s="513">
        <v>0.11284</v>
      </c>
      <c r="H44" s="513">
        <f>H20</f>
        <v>0.16623541666666666</v>
      </c>
      <c r="I44" s="513">
        <f>+G44+H44</f>
        <v>0.27907541666666669</v>
      </c>
      <c r="J44" s="511">
        <f>I44*F44</f>
        <v>290637.79025458335</v>
      </c>
      <c r="K44" s="511">
        <f>+J44+SUM(J50:J80)</f>
        <v>541867.43025458336</v>
      </c>
      <c r="L44" s="511">
        <f>K44*0.1</f>
        <v>54186.743025458338</v>
      </c>
      <c r="M44" s="503"/>
    </row>
    <row r="45" spans="2:19">
      <c r="C45" s="506" t="s">
        <v>213</v>
      </c>
      <c r="F45" s="505">
        <v>593942</v>
      </c>
      <c r="G45" s="513">
        <v>0.17451</v>
      </c>
      <c r="H45" s="513">
        <f>H20</f>
        <v>0.16623541666666666</v>
      </c>
      <c r="I45" s="513">
        <f>+G45+H45</f>
        <v>0.34074541666666669</v>
      </c>
      <c r="J45" s="511">
        <f>I45*F45</f>
        <v>202383.01426583334</v>
      </c>
      <c r="K45" s="511">
        <f>+J45</f>
        <v>202383.01426583334</v>
      </c>
      <c r="L45" s="511">
        <f>K45*0.1</f>
        <v>20238.301426583334</v>
      </c>
      <c r="M45" s="503"/>
    </row>
    <row r="46" spans="2:19">
      <c r="F46" s="503"/>
      <c r="M46" s="503"/>
    </row>
    <row r="47" spans="2:19">
      <c r="F47" s="505" t="s">
        <v>632</v>
      </c>
      <c r="H47" s="513"/>
      <c r="M47" s="503"/>
    </row>
    <row r="48" spans="2:19">
      <c r="B48" s="503" t="s">
        <v>777</v>
      </c>
      <c r="C48" s="503" t="s">
        <v>167</v>
      </c>
      <c r="F48" s="505" t="s">
        <v>778</v>
      </c>
      <c r="H48" s="513"/>
      <c r="M48" s="503"/>
    </row>
    <row r="49" spans="2:10" s="503" customFormat="1">
      <c r="B49" s="503" t="s">
        <v>169</v>
      </c>
      <c r="F49" s="505"/>
      <c r="H49" s="513"/>
    </row>
    <row r="50" spans="2:10" s="503" customFormat="1">
      <c r="B50" s="503">
        <v>3500</v>
      </c>
      <c r="C50" s="503" t="s">
        <v>170</v>
      </c>
      <c r="F50" s="505">
        <v>48</v>
      </c>
      <c r="G50" s="512">
        <v>13.67</v>
      </c>
      <c r="H50" s="513"/>
      <c r="I50" s="512">
        <f t="shared" ref="I50:I56" si="1">G50</f>
        <v>13.67</v>
      </c>
      <c r="J50" s="511">
        <f t="shared" ref="J50:J56" si="2">I50*F50</f>
        <v>656.16</v>
      </c>
    </row>
    <row r="51" spans="2:10" s="503" customFormat="1">
      <c r="B51" s="503">
        <v>7000</v>
      </c>
      <c r="C51" s="503" t="s">
        <v>170</v>
      </c>
      <c r="F51" s="505">
        <v>84</v>
      </c>
      <c r="G51" s="512">
        <v>15.16</v>
      </c>
      <c r="H51" s="513"/>
      <c r="I51" s="512">
        <f t="shared" si="1"/>
        <v>15.16</v>
      </c>
      <c r="J51" s="511">
        <f t="shared" si="2"/>
        <v>1273.44</v>
      </c>
    </row>
    <row r="52" spans="2:10" s="503" customFormat="1">
      <c r="B52" s="503">
        <v>20000</v>
      </c>
      <c r="C52" s="503" t="s">
        <v>170</v>
      </c>
      <c r="F52" s="505">
        <v>0</v>
      </c>
      <c r="G52" s="512">
        <v>27.55</v>
      </c>
      <c r="H52" s="513"/>
      <c r="I52" s="512">
        <f t="shared" si="1"/>
        <v>27.55</v>
      </c>
      <c r="J52" s="511">
        <f t="shared" si="2"/>
        <v>0</v>
      </c>
    </row>
    <row r="53" spans="2:10" s="503" customFormat="1">
      <c r="B53" s="503">
        <v>60000</v>
      </c>
      <c r="C53" s="503" t="s">
        <v>170</v>
      </c>
      <c r="F53" s="505">
        <v>84</v>
      </c>
      <c r="G53" s="512">
        <v>52.67</v>
      </c>
      <c r="H53" s="513"/>
      <c r="I53" s="512">
        <f t="shared" si="1"/>
        <v>52.67</v>
      </c>
      <c r="J53" s="511">
        <f t="shared" si="2"/>
        <v>4424.28</v>
      </c>
    </row>
    <row r="54" spans="2:10" s="503" customFormat="1">
      <c r="B54" s="503">
        <v>20000</v>
      </c>
      <c r="C54" s="503" t="s">
        <v>171</v>
      </c>
      <c r="F54" s="505">
        <v>300</v>
      </c>
      <c r="G54" s="512">
        <v>30.46</v>
      </c>
      <c r="H54" s="513"/>
      <c r="I54" s="512">
        <f t="shared" si="1"/>
        <v>30.46</v>
      </c>
      <c r="J54" s="511">
        <f t="shared" si="2"/>
        <v>9138</v>
      </c>
    </row>
    <row r="55" spans="2:10" s="503" customFormat="1">
      <c r="B55" s="503">
        <v>3500</v>
      </c>
      <c r="C55" s="503" t="s">
        <v>172</v>
      </c>
      <c r="F55" s="505">
        <v>348</v>
      </c>
      <c r="G55" s="512">
        <v>14.32</v>
      </c>
      <c r="H55" s="513"/>
      <c r="I55" s="512">
        <f t="shared" si="1"/>
        <v>14.32</v>
      </c>
      <c r="J55" s="511">
        <f t="shared" si="2"/>
        <v>4983.3599999999997</v>
      </c>
    </row>
    <row r="56" spans="2:10" s="503" customFormat="1">
      <c r="B56" s="503">
        <v>7000</v>
      </c>
      <c r="C56" s="503" t="s">
        <v>172</v>
      </c>
      <c r="F56" s="505">
        <v>300</v>
      </c>
      <c r="G56" s="512">
        <v>16.12</v>
      </c>
      <c r="H56" s="513"/>
      <c r="I56" s="512">
        <f t="shared" si="1"/>
        <v>16.12</v>
      </c>
      <c r="J56" s="511">
        <f t="shared" si="2"/>
        <v>4836</v>
      </c>
    </row>
    <row r="57" spans="2:10" s="503" customFormat="1">
      <c r="F57" s="505"/>
      <c r="G57" s="512"/>
      <c r="H57" s="513"/>
      <c r="I57" s="512"/>
      <c r="J57" s="511"/>
    </row>
    <row r="58" spans="2:10" s="503" customFormat="1">
      <c r="B58" s="503" t="s">
        <v>173</v>
      </c>
      <c r="F58" s="505"/>
      <c r="G58" s="512"/>
      <c r="H58" s="513"/>
      <c r="I58" s="512"/>
      <c r="J58" s="511"/>
    </row>
    <row r="59" spans="2:10" s="503" customFormat="1">
      <c r="B59" s="503">
        <v>3300</v>
      </c>
      <c r="C59" s="503" t="s">
        <v>170</v>
      </c>
      <c r="F59" s="505">
        <v>1580</v>
      </c>
      <c r="G59" s="512">
        <v>11.86</v>
      </c>
      <c r="H59" s="513"/>
      <c r="I59" s="512">
        <f t="shared" ref="I59:I64" si="3">G59</f>
        <v>11.86</v>
      </c>
      <c r="J59" s="511">
        <f t="shared" ref="J59:J64" si="4">I59*F59</f>
        <v>18738.8</v>
      </c>
    </row>
    <row r="60" spans="2:10" s="503" customFormat="1">
      <c r="B60" s="503">
        <v>9500</v>
      </c>
      <c r="C60" s="503" t="s">
        <v>170</v>
      </c>
      <c r="F60" s="505">
        <v>996</v>
      </c>
      <c r="G60" s="512">
        <v>14.1</v>
      </c>
      <c r="H60" s="513"/>
      <c r="I60" s="512">
        <f t="shared" si="3"/>
        <v>14.1</v>
      </c>
      <c r="J60" s="511">
        <f t="shared" si="4"/>
        <v>14043.6</v>
      </c>
    </row>
    <row r="61" spans="2:10" s="503" customFormat="1">
      <c r="B61" s="503">
        <v>20000</v>
      </c>
      <c r="C61" s="503" t="s">
        <v>170</v>
      </c>
      <c r="F61" s="505">
        <v>96</v>
      </c>
      <c r="G61" s="512">
        <v>21.03</v>
      </c>
      <c r="H61" s="513"/>
      <c r="I61" s="512">
        <f t="shared" si="3"/>
        <v>21.03</v>
      </c>
      <c r="J61" s="511">
        <f t="shared" si="4"/>
        <v>2018.88</v>
      </c>
    </row>
    <row r="62" spans="2:10" s="503" customFormat="1">
      <c r="B62" s="503">
        <v>50000</v>
      </c>
      <c r="C62" s="503" t="s">
        <v>170</v>
      </c>
      <c r="F62" s="505">
        <v>72</v>
      </c>
      <c r="G62" s="512">
        <v>29.9</v>
      </c>
      <c r="H62" s="513"/>
      <c r="I62" s="512">
        <f t="shared" si="3"/>
        <v>29.9</v>
      </c>
      <c r="J62" s="511">
        <f t="shared" si="4"/>
        <v>2152.7999999999997</v>
      </c>
    </row>
    <row r="63" spans="2:10" s="503" customFormat="1">
      <c r="B63" s="503">
        <v>140000</v>
      </c>
      <c r="C63" s="503" t="s">
        <v>170</v>
      </c>
      <c r="F63" s="505">
        <v>516</v>
      </c>
      <c r="G63" s="512">
        <v>61.34</v>
      </c>
      <c r="H63" s="513"/>
      <c r="I63" s="512">
        <f t="shared" si="3"/>
        <v>61.34</v>
      </c>
      <c r="J63" s="511">
        <f t="shared" si="4"/>
        <v>31651.440000000002</v>
      </c>
    </row>
    <row r="64" spans="2:10" s="503" customFormat="1">
      <c r="B64" s="503">
        <v>50000</v>
      </c>
      <c r="C64" s="503" t="s">
        <v>171</v>
      </c>
      <c r="F64" s="505">
        <v>3480</v>
      </c>
      <c r="G64" s="512">
        <v>34.700000000000003</v>
      </c>
      <c r="H64" s="513"/>
      <c r="I64" s="512">
        <f t="shared" si="3"/>
        <v>34.700000000000003</v>
      </c>
      <c r="J64" s="511">
        <f t="shared" si="4"/>
        <v>120756.00000000001</v>
      </c>
    </row>
    <row r="65" spans="2:14">
      <c r="G65" s="512"/>
      <c r="H65" s="513"/>
      <c r="I65" s="512"/>
      <c r="J65" s="511"/>
      <c r="M65" s="503"/>
    </row>
    <row r="66" spans="2:14">
      <c r="B66" s="503" t="s">
        <v>779</v>
      </c>
      <c r="G66" s="512"/>
      <c r="H66" s="513"/>
      <c r="I66" s="512"/>
      <c r="J66" s="511"/>
      <c r="M66" s="503"/>
    </row>
    <row r="67" spans="2:14">
      <c r="B67" s="503">
        <v>10680</v>
      </c>
      <c r="C67" s="503" t="s">
        <v>175</v>
      </c>
      <c r="F67" s="505">
        <v>84</v>
      </c>
      <c r="G67" s="512">
        <v>15.24</v>
      </c>
      <c r="H67" s="513"/>
      <c r="I67" s="512">
        <f>G67</f>
        <v>15.24</v>
      </c>
      <c r="J67" s="511">
        <f>I67*F67</f>
        <v>1280.1600000000001</v>
      </c>
      <c r="M67" s="503"/>
    </row>
    <row r="68" spans="2:14">
      <c r="B68" s="503" t="s">
        <v>726</v>
      </c>
      <c r="G68" s="512"/>
      <c r="H68" s="513"/>
      <c r="I68" s="512"/>
      <c r="J68" s="511"/>
      <c r="M68" s="503"/>
    </row>
    <row r="69" spans="2:14">
      <c r="C69" s="503" t="s">
        <v>176</v>
      </c>
      <c r="F69" s="505">
        <v>1296</v>
      </c>
      <c r="G69" s="512">
        <v>7.65</v>
      </c>
      <c r="H69" s="513"/>
      <c r="I69" s="512">
        <f t="shared" ref="I69:I75" si="5">G69</f>
        <v>7.65</v>
      </c>
      <c r="J69" s="511">
        <f t="shared" ref="J69:J75" si="6">I69*F69</f>
        <v>9914.4</v>
      </c>
      <c r="M69" s="503"/>
    </row>
    <row r="70" spans="2:14">
      <c r="C70" s="503" t="s">
        <v>177</v>
      </c>
      <c r="F70" s="505">
        <v>138</v>
      </c>
      <c r="G70" s="512">
        <v>8.44</v>
      </c>
      <c r="H70" s="513"/>
      <c r="I70" s="512">
        <f t="shared" si="5"/>
        <v>8.44</v>
      </c>
      <c r="J70" s="511">
        <f t="shared" si="6"/>
        <v>1164.72</v>
      </c>
      <c r="M70" s="508"/>
      <c r="N70" s="507"/>
    </row>
    <row r="71" spans="2:14">
      <c r="C71" s="503" t="s">
        <v>178</v>
      </c>
      <c r="F71" s="505">
        <v>180</v>
      </c>
      <c r="G71" s="512">
        <v>8.73</v>
      </c>
      <c r="H71" s="513"/>
      <c r="I71" s="512">
        <f t="shared" si="5"/>
        <v>8.73</v>
      </c>
      <c r="J71" s="511">
        <f t="shared" si="6"/>
        <v>1571.4</v>
      </c>
      <c r="M71" s="508"/>
      <c r="N71" s="507"/>
    </row>
    <row r="72" spans="2:14">
      <c r="C72" s="503" t="s">
        <v>179</v>
      </c>
      <c r="F72" s="505">
        <v>12</v>
      </c>
      <c r="G72" s="512">
        <v>12.95</v>
      </c>
      <c r="H72" s="513"/>
      <c r="I72" s="512">
        <f t="shared" si="5"/>
        <v>12.95</v>
      </c>
      <c r="J72" s="511">
        <f t="shared" si="6"/>
        <v>155.39999999999998</v>
      </c>
      <c r="M72" s="508"/>
      <c r="N72" s="507"/>
    </row>
    <row r="73" spans="2:14">
      <c r="C73" s="503" t="s">
        <v>180</v>
      </c>
      <c r="F73" s="505">
        <v>1448</v>
      </c>
      <c r="G73" s="512">
        <v>15.22</v>
      </c>
      <c r="H73" s="513"/>
      <c r="I73" s="512">
        <f t="shared" si="5"/>
        <v>15.22</v>
      </c>
      <c r="J73" s="511">
        <f t="shared" si="6"/>
        <v>22038.560000000001</v>
      </c>
      <c r="M73" s="508"/>
      <c r="N73" s="507"/>
    </row>
    <row r="74" spans="2:14">
      <c r="C74" s="503" t="s">
        <v>780</v>
      </c>
      <c r="F74" s="505">
        <v>12</v>
      </c>
      <c r="G74" s="512">
        <v>26.02</v>
      </c>
      <c r="H74" s="513"/>
      <c r="I74" s="512">
        <f t="shared" si="5"/>
        <v>26.02</v>
      </c>
      <c r="J74" s="511">
        <f t="shared" si="6"/>
        <v>312.24</v>
      </c>
      <c r="M74" s="508"/>
      <c r="N74" s="507"/>
    </row>
    <row r="75" spans="2:14">
      <c r="C75" s="503" t="s">
        <v>781</v>
      </c>
      <c r="F75" s="505">
        <v>12</v>
      </c>
      <c r="G75" s="512">
        <v>10</v>
      </c>
      <c r="H75" s="513"/>
      <c r="I75" s="512">
        <f t="shared" si="5"/>
        <v>10</v>
      </c>
      <c r="J75" s="511">
        <f t="shared" si="6"/>
        <v>120</v>
      </c>
      <c r="M75" s="508"/>
      <c r="N75" s="507"/>
    </row>
    <row r="76" spans="2:14">
      <c r="B76" s="503" t="s">
        <v>207</v>
      </c>
      <c r="G76" s="512"/>
      <c r="H76" s="513"/>
      <c r="I76" s="512"/>
      <c r="J76" s="511"/>
      <c r="M76" s="508"/>
      <c r="N76" s="507"/>
    </row>
    <row r="77" spans="2:14">
      <c r="B77" s="503">
        <v>3300</v>
      </c>
      <c r="C77" s="503" t="s">
        <v>170</v>
      </c>
      <c r="F77" s="505">
        <v>0</v>
      </c>
      <c r="G77" s="512">
        <v>9.52</v>
      </c>
      <c r="H77" s="513"/>
      <c r="I77" s="512">
        <f>G77</f>
        <v>9.52</v>
      </c>
      <c r="J77" s="511">
        <f>I77*F77</f>
        <v>0</v>
      </c>
      <c r="M77" s="508"/>
      <c r="N77" s="507"/>
    </row>
    <row r="78" spans="2:14">
      <c r="M78" s="508"/>
      <c r="N78" s="507"/>
    </row>
    <row r="79" spans="2:14">
      <c r="B79" s="506"/>
      <c r="J79" s="511"/>
      <c r="M79" s="508"/>
      <c r="N79" s="510"/>
    </row>
    <row r="80" spans="2:14">
      <c r="M80" s="508"/>
      <c r="N80" s="507"/>
    </row>
    <row r="81" spans="2:14" ht="13.8" thickBot="1">
      <c r="B81" s="506" t="s">
        <v>782</v>
      </c>
      <c r="K81" s="509">
        <f>SUM(K11:K79)</f>
        <v>122993144.29250613</v>
      </c>
      <c r="L81" s="509">
        <f>SUM(L11:L79)</f>
        <v>12299314.429250613</v>
      </c>
      <c r="M81" s="508"/>
      <c r="N81" s="507"/>
    </row>
    <row r="82" spans="2:14" ht="13.8" thickTop="1"/>
    <row r="83" spans="2:14">
      <c r="B83" s="506"/>
    </row>
    <row r="92" spans="2:14">
      <c r="F92" s="505">
        <f>+F12+F16+F20+F26+F27+F32+F33+F39</f>
        <v>393745624</v>
      </c>
    </row>
    <row r="93" spans="2:14">
      <c r="F93" s="505">
        <f>+F21+F28+F34</f>
        <v>621884.5</v>
      </c>
    </row>
  </sheetData>
  <pageMargins left="0.5" right="0.5" top="0.5" bottom="0.5" header="0.3" footer="0.3"/>
  <pageSetup scale="6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CD73-052C-469A-90B9-3D6E0F53D507}">
  <sheetPr codeName="Sheet34"/>
  <dimension ref="B1:X36"/>
  <sheetViews>
    <sheetView workbookViewId="0"/>
  </sheetViews>
  <sheetFormatPr defaultColWidth="8.77734375" defaultRowHeight="14.4"/>
  <cols>
    <col min="1" max="1" width="8.77734375" style="534"/>
    <col min="2" max="2" width="9.109375" style="534" customWidth="1"/>
    <col min="3" max="6" width="12.77734375" style="534" customWidth="1"/>
    <col min="7" max="7" width="15.21875" style="534" customWidth="1"/>
    <col min="8" max="10" width="12.77734375" style="534" customWidth="1"/>
    <col min="11" max="11" width="1.77734375" style="534" customWidth="1"/>
    <col min="12" max="12" width="14.44140625" style="534" bestFit="1" customWidth="1"/>
    <col min="13" max="13" width="1.77734375" style="534" customWidth="1"/>
    <col min="14" max="14" width="16.109375" style="534" customWidth="1"/>
    <col min="15" max="15" width="15.109375" style="534" customWidth="1"/>
    <col min="16" max="16" width="11.77734375" style="534" customWidth="1"/>
    <col min="17" max="17" width="12" style="534" customWidth="1"/>
    <col min="18" max="18" width="13.77734375" style="534" customWidth="1"/>
    <col min="19" max="19" width="11.77734375" style="534" customWidth="1"/>
    <col min="20" max="20" width="13.77734375" style="534" customWidth="1"/>
    <col min="21" max="21" width="10.109375" style="534" bestFit="1" customWidth="1"/>
    <col min="22" max="22" width="9.5546875" style="534" bestFit="1" customWidth="1"/>
    <col min="23" max="23" width="22.77734375" style="534" bestFit="1" customWidth="1"/>
    <col min="24" max="24" width="12.44140625" style="534" customWidth="1"/>
    <col min="25" max="16384" width="8.77734375" style="534"/>
  </cols>
  <sheetData>
    <row r="1" spans="2:24">
      <c r="B1" s="30" t="s">
        <v>0</v>
      </c>
    </row>
    <row r="2" spans="2:24">
      <c r="B2" s="4" t="s">
        <v>66</v>
      </c>
    </row>
    <row r="3" spans="2:24">
      <c r="B3" s="36" t="s">
        <v>812</v>
      </c>
    </row>
    <row r="5" spans="2:24">
      <c r="B5" s="534" t="s">
        <v>783</v>
      </c>
    </row>
    <row r="6" spans="2:24">
      <c r="B6" s="1029" t="s">
        <v>784</v>
      </c>
      <c r="L6" s="875"/>
      <c r="M6" s="535"/>
    </row>
    <row r="7" spans="2:24">
      <c r="M7" s="876"/>
    </row>
    <row r="8" spans="2:24" ht="72">
      <c r="C8" s="561" t="s">
        <v>785</v>
      </c>
      <c r="D8" s="561" t="s">
        <v>449</v>
      </c>
      <c r="E8" s="877" t="s">
        <v>786</v>
      </c>
      <c r="F8" s="877" t="s">
        <v>787</v>
      </c>
      <c r="G8" s="877" t="s">
        <v>788</v>
      </c>
      <c r="H8" s="877" t="s">
        <v>789</v>
      </c>
      <c r="I8" s="877" t="s">
        <v>790</v>
      </c>
      <c r="J8" s="536" t="s">
        <v>279</v>
      </c>
      <c r="L8" s="878" t="s">
        <v>791</v>
      </c>
      <c r="N8" s="535" t="s">
        <v>792</v>
      </c>
      <c r="O8" s="1030" t="s">
        <v>793</v>
      </c>
    </row>
    <row r="9" spans="2:24">
      <c r="B9" s="534" t="s">
        <v>39</v>
      </c>
      <c r="C9" s="541">
        <f t="shared" ref="C9:I9" si="0">ROUND(+$L$9*C25,2)</f>
        <v>-958183.6</v>
      </c>
      <c r="D9" s="541">
        <f t="shared" si="0"/>
        <v>-104329.45</v>
      </c>
      <c r="E9" s="541">
        <f t="shared" si="0"/>
        <v>-45300.94</v>
      </c>
      <c r="F9" s="541">
        <f t="shared" si="0"/>
        <v>-49419.21</v>
      </c>
      <c r="G9" s="541">
        <f t="shared" si="0"/>
        <v>-134530.07999999999</v>
      </c>
      <c r="H9" s="541">
        <f t="shared" si="0"/>
        <v>433790.86</v>
      </c>
      <c r="I9" s="541">
        <f t="shared" si="0"/>
        <v>-12354.8</v>
      </c>
      <c r="J9" s="541">
        <f>SUM(C9:I9)</f>
        <v>-870327.22000000009</v>
      </c>
      <c r="L9" s="537">
        <v>137275588</v>
      </c>
      <c r="M9" s="879"/>
      <c r="N9" s="880">
        <f>SUM(C9:E9,G9)</f>
        <v>-1242344.07</v>
      </c>
      <c r="O9" s="880">
        <f>SUM(F9,H9:I9)</f>
        <v>372016.85</v>
      </c>
      <c r="P9" s="534" t="b">
        <f>SUM(N9:O9)=J9</f>
        <v>1</v>
      </c>
      <c r="X9" s="538"/>
    </row>
    <row r="10" spans="2:24">
      <c r="B10" s="534" t="s">
        <v>42</v>
      </c>
      <c r="C10" s="541">
        <f t="shared" ref="C10:I10" si="1">+$L$10*C26</f>
        <v>-244750.26584000001</v>
      </c>
      <c r="D10" s="541">
        <f t="shared" si="1"/>
        <v>-26649.026080000003</v>
      </c>
      <c r="E10" s="541">
        <f t="shared" si="1"/>
        <v>-11571.28764</v>
      </c>
      <c r="F10" s="541">
        <f t="shared" si="1"/>
        <v>-12623.222880000001</v>
      </c>
      <c r="G10" s="541">
        <f t="shared" si="1"/>
        <v>-34363.217839999998</v>
      </c>
      <c r="H10" s="541">
        <f t="shared" si="1"/>
        <v>110803.84528000001</v>
      </c>
      <c r="I10" s="541">
        <f t="shared" si="1"/>
        <v>-3155.8057200000003</v>
      </c>
      <c r="J10" s="541">
        <f t="shared" ref="J10:J17" si="2">SUM(C10:I10)</f>
        <v>-222308.98071999999</v>
      </c>
      <c r="L10" s="537">
        <v>35064508</v>
      </c>
      <c r="M10" s="879"/>
      <c r="N10" s="880">
        <f t="shared" ref="N10:N17" si="3">SUM(C10:E10,G10)</f>
        <v>-317333.79739999998</v>
      </c>
      <c r="O10" s="880">
        <f t="shared" ref="O10:O17" si="4">SUM(F10,H10:I10)</f>
        <v>95024.816680000004</v>
      </c>
      <c r="P10" s="534" t="b">
        <f t="shared" ref="P10:P17" si="5">SUM(N10:O10)=J10</f>
        <v>1</v>
      </c>
      <c r="X10" s="538"/>
    </row>
    <row r="11" spans="2:24" ht="15">
      <c r="B11" s="534" t="s">
        <v>43</v>
      </c>
      <c r="C11" s="541">
        <f t="shared" ref="C11:I11" si="6">+$L$11*C27</f>
        <v>-44342.602500000001</v>
      </c>
      <c r="D11" s="541">
        <f t="shared" si="6"/>
        <v>-3547.4081999999999</v>
      </c>
      <c r="E11" s="541">
        <f t="shared" si="6"/>
        <v>-1951.0745099999999</v>
      </c>
      <c r="F11" s="541">
        <f t="shared" si="6"/>
        <v>-2128.4449199999999</v>
      </c>
      <c r="G11" s="541">
        <f t="shared" si="6"/>
        <v>-4611.6306599999998</v>
      </c>
      <c r="H11" s="541">
        <f t="shared" si="6"/>
        <v>14780.8675</v>
      </c>
      <c r="I11" s="541">
        <f t="shared" si="6"/>
        <v>-532.11122999999998</v>
      </c>
      <c r="J11" s="541">
        <f t="shared" si="2"/>
        <v>-42332.404520000004</v>
      </c>
      <c r="L11" s="537">
        <v>5912347</v>
      </c>
      <c r="M11" s="879"/>
      <c r="N11" s="880">
        <f t="shared" si="3"/>
        <v>-54452.71587</v>
      </c>
      <c r="O11" s="880">
        <f t="shared" si="4"/>
        <v>12120.31135</v>
      </c>
      <c r="P11" s="534" t="b">
        <f t="shared" si="5"/>
        <v>1</v>
      </c>
      <c r="V11" s="539"/>
      <c r="X11" s="538"/>
    </row>
    <row r="12" spans="2:24" ht="15">
      <c r="B12" s="534" t="s">
        <v>44</v>
      </c>
      <c r="C12" s="541">
        <f t="shared" ref="C12:I12" si="7">+$L$12*C28</f>
        <v>-565243.69839000003</v>
      </c>
      <c r="D12" s="541">
        <f t="shared" si="7"/>
        <v>-52096.193399999996</v>
      </c>
      <c r="E12" s="541">
        <f t="shared" si="7"/>
        <v>-28652.906370000001</v>
      </c>
      <c r="F12" s="541">
        <f t="shared" si="7"/>
        <v>-31257.716040000003</v>
      </c>
      <c r="G12" s="541">
        <f t="shared" si="7"/>
        <v>-67725.051420000003</v>
      </c>
      <c r="H12" s="541">
        <f t="shared" si="7"/>
        <v>217067.4725</v>
      </c>
      <c r="I12" s="541">
        <f t="shared" si="7"/>
        <v>-7814.4290100000007</v>
      </c>
      <c r="J12" s="541">
        <f t="shared" si="2"/>
        <v>-535722.52212999994</v>
      </c>
      <c r="L12" s="537">
        <v>86826989</v>
      </c>
      <c r="M12" s="879"/>
      <c r="N12" s="880">
        <f t="shared" si="3"/>
        <v>-713717.84958000004</v>
      </c>
      <c r="O12" s="880">
        <f t="shared" si="4"/>
        <v>177995.32745000001</v>
      </c>
      <c r="P12" s="534" t="b">
        <f t="shared" si="5"/>
        <v>1</v>
      </c>
      <c r="V12" s="539"/>
      <c r="X12" s="538"/>
    </row>
    <row r="13" spans="2:24" ht="15">
      <c r="B13" s="534" t="s">
        <v>45</v>
      </c>
      <c r="C13" s="541">
        <f t="shared" ref="C13:I13" si="8">+$L$13*C29</f>
        <v>-213805.18184999999</v>
      </c>
      <c r="D13" s="541">
        <f t="shared" si="8"/>
        <v>-26885.681550000001</v>
      </c>
      <c r="E13" s="541">
        <f t="shared" si="8"/>
        <v>-42248.92815</v>
      </c>
      <c r="F13" s="541">
        <f t="shared" si="8"/>
        <v>-46089.739800000003</v>
      </c>
      <c r="G13" s="541">
        <f t="shared" si="8"/>
        <v>-33287.034299999999</v>
      </c>
      <c r="H13" s="541">
        <f t="shared" si="8"/>
        <v>107542.7262</v>
      </c>
      <c r="I13" s="541">
        <f t="shared" si="8"/>
        <v>-7681.6233000000002</v>
      </c>
      <c r="J13" s="541">
        <f t="shared" si="2"/>
        <v>-262455.46275000001</v>
      </c>
      <c r="L13" s="537">
        <f>50297243+77729812</f>
        <v>128027055</v>
      </c>
      <c r="M13" s="879"/>
      <c r="N13" s="880">
        <f t="shared" si="3"/>
        <v>-316226.82585000002</v>
      </c>
      <c r="O13" s="880">
        <f t="shared" si="4"/>
        <v>53771.363100000002</v>
      </c>
      <c r="P13" s="534" t="b">
        <f t="shared" si="5"/>
        <v>1</v>
      </c>
      <c r="V13" s="539"/>
    </row>
    <row r="14" spans="2:24" ht="15">
      <c r="B14" s="534" t="s">
        <v>46</v>
      </c>
      <c r="C14" s="541">
        <f t="shared" ref="C14:I14" si="9">+$L$14*C30</f>
        <v>-1926.60195</v>
      </c>
      <c r="D14" s="541">
        <f t="shared" si="9"/>
        <v>-177.56699999999998</v>
      </c>
      <c r="E14" s="541">
        <f t="shared" si="9"/>
        <v>-97.661850000000001</v>
      </c>
      <c r="F14" s="541">
        <f t="shared" si="9"/>
        <v>-106.54020000000001</v>
      </c>
      <c r="G14" s="541">
        <f t="shared" si="9"/>
        <v>-230.83709999999999</v>
      </c>
      <c r="H14" s="541">
        <f t="shared" si="9"/>
        <v>739.86250000000007</v>
      </c>
      <c r="I14" s="541">
        <f t="shared" si="9"/>
        <v>-26.635050000000003</v>
      </c>
      <c r="J14" s="541">
        <f t="shared" si="2"/>
        <v>-1825.9806499999997</v>
      </c>
      <c r="L14" s="537">
        <f>241496+54449</f>
        <v>295945</v>
      </c>
      <c r="M14" s="879"/>
      <c r="N14" s="880">
        <f t="shared" si="3"/>
        <v>-2432.6678999999999</v>
      </c>
      <c r="O14" s="880">
        <f t="shared" si="4"/>
        <v>606.68725000000006</v>
      </c>
      <c r="P14" s="534" t="b">
        <f t="shared" si="5"/>
        <v>1</v>
      </c>
      <c r="V14" s="539"/>
    </row>
    <row r="15" spans="2:24" ht="15">
      <c r="B15" s="534" t="s">
        <v>47</v>
      </c>
      <c r="C15" s="541">
        <f t="shared" ref="C15:I15" si="10">+$L$15*C31</f>
        <v>-2234.17992</v>
      </c>
      <c r="D15" s="541">
        <f t="shared" si="10"/>
        <v>-205.91519999999997</v>
      </c>
      <c r="E15" s="541">
        <f t="shared" si="10"/>
        <v>-113.25336</v>
      </c>
      <c r="F15" s="541">
        <f t="shared" si="10"/>
        <v>-123.54912</v>
      </c>
      <c r="G15" s="541">
        <f t="shared" si="10"/>
        <v>-267.68975999999998</v>
      </c>
      <c r="H15" s="541">
        <f t="shared" si="10"/>
        <v>857.98</v>
      </c>
      <c r="I15" s="541">
        <f t="shared" si="10"/>
        <v>-30.887280000000001</v>
      </c>
      <c r="J15" s="541">
        <f t="shared" si="2"/>
        <v>-2117.4946400000003</v>
      </c>
      <c r="L15" s="537">
        <v>343192</v>
      </c>
      <c r="M15" s="879"/>
      <c r="N15" s="880">
        <f t="shared" si="3"/>
        <v>-2821.0382399999999</v>
      </c>
      <c r="O15" s="880">
        <f t="shared" si="4"/>
        <v>703.54359999999997</v>
      </c>
      <c r="P15" s="534" t="b">
        <f t="shared" si="5"/>
        <v>1</v>
      </c>
      <c r="V15" s="539"/>
    </row>
    <row r="16" spans="2:24">
      <c r="B16" s="534" t="s">
        <v>48</v>
      </c>
      <c r="C16" s="541">
        <f t="shared" ref="C16:I16" si="11">+$L$16*C32</f>
        <v>-14705.005720000001</v>
      </c>
      <c r="D16" s="541">
        <f t="shared" si="11"/>
        <v>-593.61567000000002</v>
      </c>
      <c r="E16" s="541">
        <f t="shared" si="11"/>
        <v>-343.67223000000001</v>
      </c>
      <c r="F16" s="541">
        <f t="shared" si="11"/>
        <v>-374.91516000000001</v>
      </c>
      <c r="G16" s="541">
        <f t="shared" si="11"/>
        <v>-760.24462999999992</v>
      </c>
      <c r="H16" s="541">
        <f t="shared" si="11"/>
        <v>2468.1914700000002</v>
      </c>
      <c r="I16" s="541">
        <f t="shared" si="11"/>
        <v>-93.728790000000004</v>
      </c>
      <c r="J16" s="541">
        <f t="shared" si="2"/>
        <v>-14402.990730000001</v>
      </c>
      <c r="L16" s="537">
        <v>1041431</v>
      </c>
      <c r="M16" s="879"/>
      <c r="N16" s="880">
        <f t="shared" si="3"/>
        <v>-16402.538250000001</v>
      </c>
      <c r="O16" s="880">
        <f t="shared" si="4"/>
        <v>1999.5475200000001</v>
      </c>
      <c r="P16" s="534" t="b">
        <f t="shared" si="5"/>
        <v>1</v>
      </c>
    </row>
    <row r="17" spans="2:22">
      <c r="B17" s="534" t="s">
        <v>49</v>
      </c>
      <c r="C17" s="881">
        <f t="shared" ref="C17:I17" si="12">+$L$17*C33</f>
        <v>-7050.0915400000004</v>
      </c>
      <c r="D17" s="881">
        <f t="shared" si="12"/>
        <v>-338.54694000000001</v>
      </c>
      <c r="E17" s="881">
        <f t="shared" si="12"/>
        <v>-196.00085999999999</v>
      </c>
      <c r="F17" s="881">
        <f t="shared" si="12"/>
        <v>-213.81912000000003</v>
      </c>
      <c r="G17" s="881">
        <f t="shared" si="12"/>
        <v>-433.57765999999998</v>
      </c>
      <c r="H17" s="881">
        <f t="shared" si="12"/>
        <v>1407.6425400000001</v>
      </c>
      <c r="I17" s="881">
        <f t="shared" si="12"/>
        <v>-53.454780000000007</v>
      </c>
      <c r="J17" s="881">
        <f t="shared" si="2"/>
        <v>-6877.8483600000009</v>
      </c>
      <c r="L17" s="882">
        <v>593942</v>
      </c>
      <c r="M17" s="879"/>
      <c r="N17" s="880">
        <f t="shared" si="3"/>
        <v>-8018.2170000000006</v>
      </c>
      <c r="O17" s="880">
        <f t="shared" si="4"/>
        <v>1140.3686399999999</v>
      </c>
      <c r="P17" s="534" t="b">
        <f t="shared" si="5"/>
        <v>1</v>
      </c>
    </row>
    <row r="18" spans="2:22">
      <c r="B18" s="540"/>
      <c r="C18" s="541"/>
      <c r="D18" s="541"/>
      <c r="E18" s="541"/>
      <c r="F18" s="541"/>
      <c r="G18" s="541"/>
      <c r="H18" s="541"/>
      <c r="I18" s="541"/>
      <c r="J18" s="541"/>
      <c r="L18" s="537"/>
    </row>
    <row r="19" spans="2:22">
      <c r="B19" s="534" t="s">
        <v>279</v>
      </c>
      <c r="C19" s="883">
        <f>SUM(C9:C18)</f>
        <v>-2052241.2277100002</v>
      </c>
      <c r="D19" s="883">
        <f t="shared" ref="D19:J19" si="13">SUM(D9:D18)</f>
        <v>-214823.40403999999</v>
      </c>
      <c r="E19" s="883">
        <f t="shared" si="13"/>
        <v>-130475.72497000001</v>
      </c>
      <c r="F19" s="883">
        <f t="shared" si="13"/>
        <v>-142337.15724</v>
      </c>
      <c r="G19" s="883">
        <f t="shared" si="13"/>
        <v>-276209.36336999998</v>
      </c>
      <c r="H19" s="883">
        <f t="shared" si="13"/>
        <v>889459.44799000013</v>
      </c>
      <c r="I19" s="883">
        <f t="shared" si="13"/>
        <v>-31743.475160000002</v>
      </c>
      <c r="J19" s="883">
        <f t="shared" si="13"/>
        <v>-1958370.9044999999</v>
      </c>
      <c r="L19" s="537">
        <f>SUM(L9:L17)</f>
        <v>395380997</v>
      </c>
    </row>
    <row r="20" spans="2:22">
      <c r="L20" s="537"/>
      <c r="N20" s="538"/>
      <c r="O20" s="538"/>
      <c r="P20" s="535"/>
      <c r="Q20" s="535"/>
      <c r="R20" s="538"/>
    </row>
    <row r="21" spans="2:22">
      <c r="L21" s="537"/>
      <c r="Q21" s="542"/>
    </row>
    <row r="22" spans="2:22">
      <c r="L22" s="537"/>
    </row>
    <row r="23" spans="2:22" ht="43.2">
      <c r="C23" s="536" t="s">
        <v>794</v>
      </c>
      <c r="D23" s="536" t="s">
        <v>449</v>
      </c>
      <c r="E23" s="536" t="s">
        <v>795</v>
      </c>
      <c r="F23" s="561" t="s">
        <v>796</v>
      </c>
      <c r="G23" s="536" t="s">
        <v>797</v>
      </c>
      <c r="H23" s="536" t="s">
        <v>798</v>
      </c>
      <c r="I23" s="536" t="s">
        <v>799</v>
      </c>
      <c r="J23" s="536" t="s">
        <v>279</v>
      </c>
      <c r="L23" s="537"/>
      <c r="M23" s="543"/>
      <c r="N23" s="544"/>
      <c r="O23" s="543"/>
      <c r="P23" s="545"/>
      <c r="Q23" s="543"/>
    </row>
    <row r="24" spans="2:22">
      <c r="L24" s="543"/>
      <c r="M24" s="543"/>
      <c r="N24" s="546"/>
      <c r="O24" s="543"/>
      <c r="P24" s="547" t="s">
        <v>800</v>
      </c>
      <c r="Q24" s="543"/>
      <c r="T24" s="548"/>
    </row>
    <row r="25" spans="2:22">
      <c r="B25" s="534" t="s">
        <v>39</v>
      </c>
      <c r="C25" s="549">
        <v>-6.9800000000000001E-3</v>
      </c>
      <c r="D25" s="549">
        <v>-7.6000000000000004E-4</v>
      </c>
      <c r="E25" s="549">
        <v>-3.3E-4</v>
      </c>
      <c r="F25" s="549">
        <v>-3.6000000000000002E-4</v>
      </c>
      <c r="G25" s="549">
        <v>-9.7999999999999997E-4</v>
      </c>
      <c r="H25" s="549">
        <v>3.16E-3</v>
      </c>
      <c r="I25" s="549">
        <v>-9.0000000000000006E-5</v>
      </c>
      <c r="J25" s="538">
        <f>SUM(C25:I25)</f>
        <v>-6.3400000000000001E-3</v>
      </c>
      <c r="L25" s="543"/>
      <c r="M25" s="550"/>
      <c r="N25" s="551"/>
      <c r="P25" s="552">
        <f>+J25*L9</f>
        <v>-870327.22791999998</v>
      </c>
      <c r="Q25" s="552">
        <f>+J9-P25</f>
        <v>7.9199998872354627E-3</v>
      </c>
      <c r="R25" s="553"/>
      <c r="T25" s="554"/>
      <c r="U25" s="554"/>
      <c r="V25" s="554"/>
    </row>
    <row r="26" spans="2:22">
      <c r="B26" s="534" t="s">
        <v>42</v>
      </c>
      <c r="C26" s="538">
        <f t="shared" ref="C26:I26" si="14">+C25</f>
        <v>-6.9800000000000001E-3</v>
      </c>
      <c r="D26" s="538">
        <f t="shared" si="14"/>
        <v>-7.6000000000000004E-4</v>
      </c>
      <c r="E26" s="538">
        <f t="shared" si="14"/>
        <v>-3.3E-4</v>
      </c>
      <c r="F26" s="538">
        <f t="shared" si="14"/>
        <v>-3.6000000000000002E-4</v>
      </c>
      <c r="G26" s="538">
        <f t="shared" si="14"/>
        <v>-9.7999999999999997E-4</v>
      </c>
      <c r="H26" s="538">
        <f t="shared" si="14"/>
        <v>3.16E-3</v>
      </c>
      <c r="I26" s="538">
        <f t="shared" si="14"/>
        <v>-9.0000000000000006E-5</v>
      </c>
      <c r="J26" s="538">
        <f t="shared" ref="J26:J33" si="15">SUM(C26:I26)</f>
        <v>-6.3400000000000001E-3</v>
      </c>
      <c r="L26" s="543"/>
      <c r="M26" s="550"/>
      <c r="N26" s="551"/>
      <c r="P26" s="552">
        <f t="shared" ref="P26:P33" si="16">+J26*L10</f>
        <v>-222308.98071999999</v>
      </c>
      <c r="Q26" s="552">
        <f t="shared" ref="Q26:Q33" si="17">+J10-P26</f>
        <v>0</v>
      </c>
      <c r="R26" s="555"/>
      <c r="T26" s="554"/>
      <c r="U26" s="556"/>
      <c r="V26" s="557"/>
    </row>
    <row r="27" spans="2:22">
      <c r="B27" s="534" t="s">
        <v>43</v>
      </c>
      <c r="C27" s="549">
        <v>-7.4999999999999997E-3</v>
      </c>
      <c r="D27" s="549">
        <v>-5.9999999999999995E-4</v>
      </c>
      <c r="E27" s="538">
        <f>+E25</f>
        <v>-3.3E-4</v>
      </c>
      <c r="F27" s="538">
        <f>+F25</f>
        <v>-3.6000000000000002E-4</v>
      </c>
      <c r="G27" s="549">
        <v>-7.7999999999999999E-4</v>
      </c>
      <c r="H27" s="549">
        <v>2.5000000000000001E-3</v>
      </c>
      <c r="I27" s="549">
        <v>-9.0000000000000006E-5</v>
      </c>
      <c r="J27" s="538">
        <f t="shared" si="15"/>
        <v>-7.159999999999998E-3</v>
      </c>
      <c r="L27" s="543"/>
      <c r="M27" s="550"/>
      <c r="N27" s="551"/>
      <c r="P27" s="552">
        <f t="shared" si="16"/>
        <v>-42332.404519999989</v>
      </c>
      <c r="Q27" s="552">
        <f t="shared" si="17"/>
        <v>0</v>
      </c>
      <c r="R27" s="555"/>
      <c r="T27" s="554"/>
      <c r="U27" s="556"/>
      <c r="V27" s="557"/>
    </row>
    <row r="28" spans="2:22">
      <c r="B28" s="534" t="s">
        <v>44</v>
      </c>
      <c r="C28" s="549">
        <v>-6.5100000000000002E-3</v>
      </c>
      <c r="D28" s="538">
        <f>+D27</f>
        <v>-5.9999999999999995E-4</v>
      </c>
      <c r="E28" s="538">
        <f>+E25</f>
        <v>-3.3E-4</v>
      </c>
      <c r="F28" s="538">
        <f>+F25</f>
        <v>-3.6000000000000002E-4</v>
      </c>
      <c r="G28" s="538">
        <f>+G27</f>
        <v>-7.7999999999999999E-4</v>
      </c>
      <c r="H28" s="538">
        <f>+H27</f>
        <v>2.5000000000000001E-3</v>
      </c>
      <c r="I28" s="538">
        <f>+I27</f>
        <v>-9.0000000000000006E-5</v>
      </c>
      <c r="J28" s="538">
        <f t="shared" si="15"/>
        <v>-6.1700000000000001E-3</v>
      </c>
      <c r="L28" s="543"/>
      <c r="M28" s="550"/>
      <c r="N28" s="551"/>
      <c r="P28" s="552">
        <f t="shared" si="16"/>
        <v>-535722.52213000006</v>
      </c>
      <c r="Q28" s="552">
        <f t="shared" si="17"/>
        <v>0</v>
      </c>
      <c r="R28" s="555"/>
      <c r="T28" s="554"/>
      <c r="U28" s="556"/>
      <c r="V28" s="557"/>
    </row>
    <row r="29" spans="2:22">
      <c r="B29" s="534" t="s">
        <v>45</v>
      </c>
      <c r="C29" s="549">
        <v>-1.67E-3</v>
      </c>
      <c r="D29" s="549">
        <v>-2.1000000000000001E-4</v>
      </c>
      <c r="E29" s="538">
        <f>+E25</f>
        <v>-3.3E-4</v>
      </c>
      <c r="F29" s="538">
        <f>+F25</f>
        <v>-3.6000000000000002E-4</v>
      </c>
      <c r="G29" s="549">
        <v>-2.5999999999999998E-4</v>
      </c>
      <c r="H29" s="549">
        <v>8.4000000000000003E-4</v>
      </c>
      <c r="I29" s="549">
        <v>-6.0000000000000002E-5</v>
      </c>
      <c r="J29" s="538">
        <f t="shared" si="15"/>
        <v>-2.0500000000000002E-3</v>
      </c>
      <c r="L29" s="543"/>
      <c r="M29" s="550"/>
      <c r="N29" s="551"/>
      <c r="P29" s="552">
        <f t="shared" si="16"/>
        <v>-262455.46275000001</v>
      </c>
      <c r="Q29" s="552">
        <f t="shared" si="17"/>
        <v>0</v>
      </c>
      <c r="R29" s="555"/>
      <c r="T29" s="554"/>
      <c r="U29" s="556"/>
      <c r="V29" s="557"/>
    </row>
    <row r="30" spans="2:22">
      <c r="B30" s="534" t="s">
        <v>46</v>
      </c>
      <c r="C30" s="538">
        <f>+C28</f>
        <v>-6.5100000000000002E-3</v>
      </c>
      <c r="D30" s="538">
        <f>+D27</f>
        <v>-5.9999999999999995E-4</v>
      </c>
      <c r="E30" s="538">
        <f>+E25</f>
        <v>-3.3E-4</v>
      </c>
      <c r="F30" s="538">
        <f>+F25</f>
        <v>-3.6000000000000002E-4</v>
      </c>
      <c r="G30" s="538">
        <f>+G27</f>
        <v>-7.7999999999999999E-4</v>
      </c>
      <c r="H30" s="538">
        <f>+H27</f>
        <v>2.5000000000000001E-3</v>
      </c>
      <c r="I30" s="538">
        <f>+I27</f>
        <v>-9.0000000000000006E-5</v>
      </c>
      <c r="J30" s="538">
        <f t="shared" si="15"/>
        <v>-6.1700000000000001E-3</v>
      </c>
      <c r="L30" s="543"/>
      <c r="M30" s="550"/>
      <c r="N30" s="551"/>
      <c r="O30" s="543"/>
      <c r="P30" s="552">
        <f t="shared" si="16"/>
        <v>-1825.98065</v>
      </c>
      <c r="Q30" s="552">
        <f t="shared" si="17"/>
        <v>0</v>
      </c>
    </row>
    <row r="31" spans="2:22">
      <c r="B31" s="534" t="s">
        <v>47</v>
      </c>
      <c r="C31" s="538">
        <f>+C28</f>
        <v>-6.5100000000000002E-3</v>
      </c>
      <c r="D31" s="538">
        <f>+D27</f>
        <v>-5.9999999999999995E-4</v>
      </c>
      <c r="E31" s="538">
        <f>+E25</f>
        <v>-3.3E-4</v>
      </c>
      <c r="F31" s="538">
        <f>+F25</f>
        <v>-3.6000000000000002E-4</v>
      </c>
      <c r="G31" s="538">
        <f>+G27</f>
        <v>-7.7999999999999999E-4</v>
      </c>
      <c r="H31" s="538">
        <f>+H27</f>
        <v>2.5000000000000001E-3</v>
      </c>
      <c r="I31" s="538">
        <f>+I27</f>
        <v>-9.0000000000000006E-5</v>
      </c>
      <c r="J31" s="538">
        <f t="shared" si="15"/>
        <v>-6.1700000000000001E-3</v>
      </c>
      <c r="L31" s="543"/>
      <c r="M31" s="543"/>
      <c r="N31" s="543"/>
      <c r="O31" s="543"/>
      <c r="P31" s="552">
        <f t="shared" si="16"/>
        <v>-2117.4946399999999</v>
      </c>
      <c r="Q31" s="552">
        <f t="shared" si="17"/>
        <v>0</v>
      </c>
    </row>
    <row r="32" spans="2:22">
      <c r="B32" s="534" t="s">
        <v>48</v>
      </c>
      <c r="C32" s="549">
        <v>-1.4120000000000001E-2</v>
      </c>
      <c r="D32" s="549">
        <v>-5.6999999999999998E-4</v>
      </c>
      <c r="E32" s="538">
        <f>+E25</f>
        <v>-3.3E-4</v>
      </c>
      <c r="F32" s="538">
        <f>+F25</f>
        <v>-3.6000000000000002E-4</v>
      </c>
      <c r="G32" s="549">
        <v>-7.2999999999999996E-4</v>
      </c>
      <c r="H32" s="549">
        <v>2.3700000000000001E-3</v>
      </c>
      <c r="I32" s="549">
        <v>-9.0000000000000006E-5</v>
      </c>
      <c r="J32" s="538">
        <f t="shared" si="15"/>
        <v>-1.3829999999999999E-2</v>
      </c>
      <c r="O32" s="543"/>
      <c r="P32" s="552">
        <f t="shared" si="16"/>
        <v>-14402.990729999998</v>
      </c>
      <c r="Q32" s="552">
        <f t="shared" si="17"/>
        <v>0</v>
      </c>
    </row>
    <row r="33" spans="2:17">
      <c r="B33" s="534" t="s">
        <v>49</v>
      </c>
      <c r="C33" s="549">
        <v>-1.187E-2</v>
      </c>
      <c r="D33" s="538">
        <f>+D32</f>
        <v>-5.6999999999999998E-4</v>
      </c>
      <c r="E33" s="538">
        <f>+E25</f>
        <v>-3.3E-4</v>
      </c>
      <c r="F33" s="538">
        <f>+F25</f>
        <v>-3.6000000000000002E-4</v>
      </c>
      <c r="G33" s="538">
        <f>+G32</f>
        <v>-7.2999999999999996E-4</v>
      </c>
      <c r="H33" s="538">
        <f>+H32</f>
        <v>2.3700000000000001E-3</v>
      </c>
      <c r="I33" s="538">
        <f>+I32</f>
        <v>-9.0000000000000006E-5</v>
      </c>
      <c r="J33" s="538">
        <f t="shared" si="15"/>
        <v>-1.1579999999999998E-2</v>
      </c>
      <c r="O33" s="543"/>
      <c r="P33" s="552">
        <f t="shared" si="16"/>
        <v>-6877.848359999999</v>
      </c>
      <c r="Q33" s="552">
        <f t="shared" si="17"/>
        <v>0</v>
      </c>
    </row>
    <row r="34" spans="2:17">
      <c r="O34" s="543"/>
      <c r="P34" s="543"/>
      <c r="Q34" s="543"/>
    </row>
    <row r="35" spans="2:17">
      <c r="I35" s="558"/>
      <c r="O35" s="543"/>
      <c r="P35" s="543"/>
      <c r="Q35" s="543"/>
    </row>
    <row r="36" spans="2:17">
      <c r="O36" s="543"/>
      <c r="P36" s="543"/>
      <c r="Q36" s="543"/>
    </row>
  </sheetData>
  <pageMargins left="0.7" right="0.7" top="0.75" bottom="0.75" header="0.3" footer="0.3"/>
  <pageSetup scale="83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D4D8-1DBF-4F71-9F11-3DE256CAE231}">
  <sheetPr codeName="Sheet35"/>
  <dimension ref="B1:K17"/>
  <sheetViews>
    <sheetView workbookViewId="0"/>
  </sheetViews>
  <sheetFormatPr defaultColWidth="8.77734375" defaultRowHeight="14.4"/>
  <cols>
    <col min="1" max="2" width="8.77734375" style="562"/>
    <col min="3" max="4" width="15.44140625" style="562" customWidth="1"/>
    <col min="5" max="5" width="12.44140625" style="562" customWidth="1"/>
    <col min="6" max="6" width="15.44140625" style="562" customWidth="1"/>
    <col min="7" max="7" width="13.21875" style="562" customWidth="1"/>
    <col min="8" max="8" width="13.44140625" style="562" customWidth="1"/>
    <col min="9" max="9" width="16.5546875" style="562" customWidth="1"/>
    <col min="10" max="10" width="13.77734375" style="562" customWidth="1"/>
    <col min="11" max="11" width="10.44140625" style="562" bestFit="1" customWidth="1"/>
    <col min="12" max="16384" width="8.77734375" style="562"/>
  </cols>
  <sheetData>
    <row r="1" spans="2:11">
      <c r="B1" s="30" t="s">
        <v>0</v>
      </c>
    </row>
    <row r="2" spans="2:11">
      <c r="B2" s="4" t="s">
        <v>71</v>
      </c>
    </row>
    <row r="3" spans="2:11">
      <c r="B3" s="36" t="s">
        <v>813</v>
      </c>
    </row>
    <row r="5" spans="2:11" ht="28.8">
      <c r="C5" s="563" t="s">
        <v>794</v>
      </c>
      <c r="D5" s="563" t="s">
        <v>449</v>
      </c>
      <c r="E5" s="563" t="s">
        <v>795</v>
      </c>
      <c r="F5" s="564" t="s">
        <v>796</v>
      </c>
      <c r="G5" s="563" t="s">
        <v>797</v>
      </c>
      <c r="H5" s="563" t="s">
        <v>798</v>
      </c>
      <c r="I5" s="563" t="s">
        <v>799</v>
      </c>
      <c r="J5" s="563" t="s">
        <v>279</v>
      </c>
      <c r="K5" s="562" t="s">
        <v>801</v>
      </c>
    </row>
    <row r="7" spans="2:11">
      <c r="B7" s="562" t="s">
        <v>39</v>
      </c>
      <c r="C7" s="565">
        <v>-6.9800000000000001E-3</v>
      </c>
      <c r="D7" s="565">
        <v>-7.6000000000000004E-4</v>
      </c>
      <c r="E7" s="566">
        <v>-9.5E-4</v>
      </c>
      <c r="F7" s="566">
        <v>-1.06E-3</v>
      </c>
      <c r="G7" s="565">
        <v>-9.7999999999999997E-4</v>
      </c>
      <c r="H7" s="565">
        <v>3.16E-3</v>
      </c>
      <c r="I7" s="565">
        <v>-9.0000000000000006E-5</v>
      </c>
      <c r="J7" s="567">
        <f>SUM(C7:I7)</f>
        <v>-7.6600000000000001E-3</v>
      </c>
      <c r="K7" s="567">
        <f>SUM(E7:F7)</f>
        <v>-2.0100000000000001E-3</v>
      </c>
    </row>
    <row r="8" spans="2:11">
      <c r="B8" s="562" t="s">
        <v>42</v>
      </c>
      <c r="C8" s="567">
        <f t="shared" ref="C8:I8" si="0">+C7</f>
        <v>-6.9800000000000001E-3</v>
      </c>
      <c r="D8" s="567">
        <f t="shared" si="0"/>
        <v>-7.6000000000000004E-4</v>
      </c>
      <c r="E8" s="567">
        <f t="shared" si="0"/>
        <v>-9.5E-4</v>
      </c>
      <c r="F8" s="567">
        <f t="shared" si="0"/>
        <v>-1.06E-3</v>
      </c>
      <c r="G8" s="567">
        <f t="shared" si="0"/>
        <v>-9.7999999999999997E-4</v>
      </c>
      <c r="H8" s="567">
        <f t="shared" si="0"/>
        <v>3.16E-3</v>
      </c>
      <c r="I8" s="567">
        <f t="shared" si="0"/>
        <v>-9.0000000000000006E-5</v>
      </c>
      <c r="J8" s="567">
        <f t="shared" ref="J8:J15" si="1">SUM(C8:I8)</f>
        <v>-7.6600000000000001E-3</v>
      </c>
      <c r="K8" s="567">
        <f t="shared" ref="K8:K15" si="2">SUM(E8:F8)</f>
        <v>-2.0100000000000001E-3</v>
      </c>
    </row>
    <row r="9" spans="2:11">
      <c r="B9" s="562" t="s">
        <v>43</v>
      </c>
      <c r="C9" s="565">
        <v>-7.4999999999999997E-3</v>
      </c>
      <c r="D9" s="565">
        <v>-5.9999999999999995E-4</v>
      </c>
      <c r="E9" s="567">
        <f>+E7</f>
        <v>-9.5E-4</v>
      </c>
      <c r="F9" s="567">
        <f>+F7</f>
        <v>-1.06E-3</v>
      </c>
      <c r="G9" s="565">
        <v>-7.7999999999999999E-4</v>
      </c>
      <c r="H9" s="565">
        <v>2.5000000000000001E-3</v>
      </c>
      <c r="I9" s="565">
        <v>-9.0000000000000006E-5</v>
      </c>
      <c r="J9" s="567">
        <f t="shared" si="1"/>
        <v>-8.479999999999998E-3</v>
      </c>
      <c r="K9" s="567">
        <f t="shared" si="2"/>
        <v>-2.0100000000000001E-3</v>
      </c>
    </row>
    <row r="10" spans="2:11">
      <c r="B10" s="562" t="s">
        <v>44</v>
      </c>
      <c r="C10" s="565">
        <v>-6.5100000000000002E-3</v>
      </c>
      <c r="D10" s="567">
        <f>+D9</f>
        <v>-5.9999999999999995E-4</v>
      </c>
      <c r="E10" s="567">
        <f>+E7</f>
        <v>-9.5E-4</v>
      </c>
      <c r="F10" s="567">
        <f>+F7</f>
        <v>-1.06E-3</v>
      </c>
      <c r="G10" s="567">
        <f>+G9</f>
        <v>-7.7999999999999999E-4</v>
      </c>
      <c r="H10" s="567">
        <f>+H9</f>
        <v>2.5000000000000001E-3</v>
      </c>
      <c r="I10" s="567">
        <f>+I9</f>
        <v>-9.0000000000000006E-5</v>
      </c>
      <c r="J10" s="567">
        <f t="shared" si="1"/>
        <v>-7.4899999999999984E-3</v>
      </c>
      <c r="K10" s="567">
        <f t="shared" si="2"/>
        <v>-2.0100000000000001E-3</v>
      </c>
    </row>
    <row r="11" spans="2:11">
      <c r="B11" s="562" t="s">
        <v>45</v>
      </c>
      <c r="C11" s="565">
        <v>-1.67E-3</v>
      </c>
      <c r="D11" s="565">
        <v>-2.1000000000000001E-4</v>
      </c>
      <c r="E11" s="567">
        <f>+E7</f>
        <v>-9.5E-4</v>
      </c>
      <c r="F11" s="567">
        <f>+F7</f>
        <v>-1.06E-3</v>
      </c>
      <c r="G11" s="565">
        <v>-2.5999999999999998E-4</v>
      </c>
      <c r="H11" s="565">
        <v>8.4000000000000003E-4</v>
      </c>
      <c r="I11" s="565">
        <v>-6.0000000000000002E-5</v>
      </c>
      <c r="J11" s="567">
        <f t="shared" si="1"/>
        <v>-3.3700000000000002E-3</v>
      </c>
      <c r="K11" s="567">
        <f t="shared" si="2"/>
        <v>-2.0100000000000001E-3</v>
      </c>
    </row>
    <row r="12" spans="2:11">
      <c r="B12" s="562" t="s">
        <v>46</v>
      </c>
      <c r="C12" s="567">
        <f>+C10</f>
        <v>-6.5100000000000002E-3</v>
      </c>
      <c r="D12" s="567">
        <f>+D9</f>
        <v>-5.9999999999999995E-4</v>
      </c>
      <c r="E12" s="567">
        <f>+E7</f>
        <v>-9.5E-4</v>
      </c>
      <c r="F12" s="567">
        <f>+F7</f>
        <v>-1.06E-3</v>
      </c>
      <c r="G12" s="567">
        <f>+G9</f>
        <v>-7.7999999999999999E-4</v>
      </c>
      <c r="H12" s="567">
        <f>+H9</f>
        <v>2.5000000000000001E-3</v>
      </c>
      <c r="I12" s="567">
        <f>+I9</f>
        <v>-9.0000000000000006E-5</v>
      </c>
      <c r="J12" s="567">
        <f t="shared" si="1"/>
        <v>-7.4899999999999984E-3</v>
      </c>
      <c r="K12" s="567">
        <f t="shared" si="2"/>
        <v>-2.0100000000000001E-3</v>
      </c>
    </row>
    <row r="13" spans="2:11">
      <c r="B13" s="562" t="s">
        <v>47</v>
      </c>
      <c r="C13" s="567">
        <f>+C10</f>
        <v>-6.5100000000000002E-3</v>
      </c>
      <c r="D13" s="567">
        <f>+D9</f>
        <v>-5.9999999999999995E-4</v>
      </c>
      <c r="E13" s="567">
        <f>+E7</f>
        <v>-9.5E-4</v>
      </c>
      <c r="F13" s="567">
        <f>+F7</f>
        <v>-1.06E-3</v>
      </c>
      <c r="G13" s="567">
        <f>+G9</f>
        <v>-7.7999999999999999E-4</v>
      </c>
      <c r="H13" s="567">
        <f>+H9</f>
        <v>2.5000000000000001E-3</v>
      </c>
      <c r="I13" s="567">
        <f>+I9</f>
        <v>-9.0000000000000006E-5</v>
      </c>
      <c r="J13" s="567">
        <f t="shared" si="1"/>
        <v>-7.4899999999999984E-3</v>
      </c>
      <c r="K13" s="567">
        <f t="shared" si="2"/>
        <v>-2.0100000000000001E-3</v>
      </c>
    </row>
    <row r="14" spans="2:11">
      <c r="B14" s="562" t="s">
        <v>48</v>
      </c>
      <c r="C14" s="565">
        <v>-1.4120000000000001E-2</v>
      </c>
      <c r="D14" s="565">
        <v>-5.6999999999999998E-4</v>
      </c>
      <c r="E14" s="567">
        <f>+E7</f>
        <v>-9.5E-4</v>
      </c>
      <c r="F14" s="567">
        <f>+F7</f>
        <v>-1.06E-3</v>
      </c>
      <c r="G14" s="565">
        <v>-7.2999999999999996E-4</v>
      </c>
      <c r="H14" s="565">
        <v>2.3700000000000001E-3</v>
      </c>
      <c r="I14" s="565">
        <v>-9.0000000000000006E-5</v>
      </c>
      <c r="J14" s="567">
        <f t="shared" si="1"/>
        <v>-1.515E-2</v>
      </c>
      <c r="K14" s="567">
        <f t="shared" si="2"/>
        <v>-2.0100000000000001E-3</v>
      </c>
    </row>
    <row r="15" spans="2:11">
      <c r="B15" s="562" t="s">
        <v>49</v>
      </c>
      <c r="C15" s="565">
        <v>-1.187E-2</v>
      </c>
      <c r="D15" s="567">
        <f>+D14</f>
        <v>-5.6999999999999998E-4</v>
      </c>
      <c r="E15" s="567">
        <f>+E7</f>
        <v>-9.5E-4</v>
      </c>
      <c r="F15" s="567">
        <f>+F7</f>
        <v>-1.06E-3</v>
      </c>
      <c r="G15" s="567">
        <f>+G14</f>
        <v>-7.2999999999999996E-4</v>
      </c>
      <c r="H15" s="567">
        <f>+H14</f>
        <v>2.3700000000000001E-3</v>
      </c>
      <c r="I15" s="567">
        <f>+I14</f>
        <v>-9.0000000000000006E-5</v>
      </c>
      <c r="J15" s="567">
        <f t="shared" si="1"/>
        <v>-1.2899999999999998E-2</v>
      </c>
      <c r="K15" s="567">
        <f t="shared" si="2"/>
        <v>-2.0100000000000001E-3</v>
      </c>
    </row>
    <row r="17" spans="3:11" s="568" customFormat="1">
      <c r="C17" s="568" t="s">
        <v>437</v>
      </c>
      <c r="D17" s="568" t="s">
        <v>449</v>
      </c>
      <c r="G17" s="568" t="s">
        <v>438</v>
      </c>
      <c r="H17" s="568" t="s">
        <v>432</v>
      </c>
      <c r="I17" s="568" t="s">
        <v>428</v>
      </c>
      <c r="K17" s="568" t="s">
        <v>451</v>
      </c>
    </row>
  </sheetData>
  <pageMargins left="0.7" right="0.7" top="0.75" bottom="0.75" header="0.3" footer="0.3"/>
  <pageSetup scale="8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b8eca7-947c-4ce3-b27a-ae65d5bd536c">
      <Terms xmlns="http://schemas.microsoft.com/office/infopath/2007/PartnerControls"/>
    </lcf76f155ced4ddcb4097134ff3c332f>
    <TaxCatchAll xmlns="717ccf4b-b59a-4600-8941-e3113e3338d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1FC13D8496949BFCCB7FF1ED14DC9" ma:contentTypeVersion="17" ma:contentTypeDescription="Create a new document." ma:contentTypeScope="" ma:versionID="7af28ab8fa4595b11e9c35375e5ff534">
  <xsd:schema xmlns:xsd="http://www.w3.org/2001/XMLSchema" xmlns:xs="http://www.w3.org/2001/XMLSchema" xmlns:p="http://schemas.microsoft.com/office/2006/metadata/properties" xmlns:ns2="b2b8eca7-947c-4ce3-b27a-ae65d5bd536c" xmlns:ns3="717ccf4b-b59a-4600-8941-e3113e3338db" targetNamespace="http://schemas.microsoft.com/office/2006/metadata/properties" ma:root="true" ma:fieldsID="9a2076cba243c6ffd5183a34fbfb6282" ns2:_="" ns3:_="">
    <xsd:import namespace="b2b8eca7-947c-4ce3-b27a-ae65d5bd536c"/>
    <xsd:import namespace="717ccf4b-b59a-4600-8941-e3113e333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8eca7-947c-4ce3-b27a-ae65d5bd5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41da8db-2bdd-4807-9008-293542b601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7ccf4b-b59a-4600-8941-e3113e3338d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745b0d3-7a31-48fd-a0a2-8593cd3d1d11}" ma:internalName="TaxCatchAll" ma:showField="CatchAllData" ma:web="717ccf4b-b59a-4600-8941-e3113e333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F96F55-DD8F-4DD5-9889-4155DD2C96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E53D87-D574-4CE2-8C66-BE2A86539389}">
  <ds:schemaRefs>
    <ds:schemaRef ds:uri="http://www.w3.org/XML/1998/namespace"/>
    <ds:schemaRef ds:uri="http://schemas.microsoft.com/office/infopath/2007/PartnerControls"/>
    <ds:schemaRef ds:uri="79eaea71-09fe-4467-9f96-5226d6d4c6ef"/>
    <ds:schemaRef ds:uri="http://purl.org/dc/dcmitype/"/>
    <ds:schemaRef ds:uri="http://schemas.microsoft.com/office/2006/documentManagement/types"/>
    <ds:schemaRef ds:uri="a85d746a-3823-4c81-a9c2-48b12b867147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1E5753D-15EB-4BC0-A4E9-70E0A5FB0C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35</vt:i4>
      </vt:variant>
    </vt:vector>
  </HeadingPairs>
  <TitlesOfParts>
    <vt:vector size="67" baseType="lpstr">
      <vt:lpstr>Index</vt:lpstr>
      <vt:lpstr>Revenue Apportionment</vt:lpstr>
      <vt:lpstr>Rate Design</vt:lpstr>
      <vt:lpstr>Rate Design Lighting</vt:lpstr>
      <vt:lpstr>Heat Pump Rate Design</vt:lpstr>
      <vt:lpstr>EV-RES Rate</vt:lpstr>
      <vt:lpstr>Annual EV-RES</vt:lpstr>
      <vt:lpstr>Demand Charge Alternative</vt:lpstr>
      <vt:lpstr>Decoupling Target</vt:lpstr>
      <vt:lpstr>CONFIDENTIAL</vt:lpstr>
      <vt:lpstr>Rates</vt:lpstr>
      <vt:lpstr>FGE Bill Impact Tabs ---&gt;</vt:lpstr>
      <vt:lpstr>RD-1</vt:lpstr>
      <vt:lpstr>RD-2</vt:lpstr>
      <vt:lpstr>GD-1</vt:lpstr>
      <vt:lpstr>GD-2</vt:lpstr>
      <vt:lpstr>GD-3</vt:lpstr>
      <vt:lpstr>GD-4</vt:lpstr>
      <vt:lpstr>GD-5</vt:lpstr>
      <vt:lpstr>SD</vt:lpstr>
      <vt:lpstr>SDC</vt:lpstr>
      <vt:lpstr>Support Files ---&gt;</vt:lpstr>
      <vt:lpstr>ProForma Revenue</vt:lpstr>
      <vt:lpstr>Unitil LED Light Summary</vt:lpstr>
      <vt:lpstr>Rev_Billing_Det</vt:lpstr>
      <vt:lpstr>Outdoor Lighting Update</vt:lpstr>
      <vt:lpstr>Atrium + Updated Rates</vt:lpstr>
      <vt:lpstr>Customer Owned Lights</vt:lpstr>
      <vt:lpstr>Rates and Eff Dates</vt:lpstr>
      <vt:lpstr>Total Revenues by Class</vt:lpstr>
      <vt:lpstr>Rider_Revenue</vt:lpstr>
      <vt:lpstr>For Bill Impacts</vt:lpstr>
      <vt:lpstr>'Annual EV-RES'!Print_Area</vt:lpstr>
      <vt:lpstr>'Atrium + Updated Rates'!Print_Area</vt:lpstr>
      <vt:lpstr>'Customer Owned Lights'!Print_Area</vt:lpstr>
      <vt:lpstr>'Decoupling Target'!Print_Area</vt:lpstr>
      <vt:lpstr>'Demand Charge Alternative'!Print_Area</vt:lpstr>
      <vt:lpstr>'EV-RES Rate'!Print_Area</vt:lpstr>
      <vt:lpstr>'For Bill Impacts'!Print_Area</vt:lpstr>
      <vt:lpstr>'GD-1'!Print_Area</vt:lpstr>
      <vt:lpstr>'GD-2'!Print_Area</vt:lpstr>
      <vt:lpstr>'GD-3'!Print_Area</vt:lpstr>
      <vt:lpstr>'GD-4'!Print_Area</vt:lpstr>
      <vt:lpstr>'GD-5'!Print_Area</vt:lpstr>
      <vt:lpstr>'Heat Pump Rate Design'!Print_Area</vt:lpstr>
      <vt:lpstr>'Outdoor Lighting Update'!Print_Area</vt:lpstr>
      <vt:lpstr>'ProForma Revenue'!Print_Area</vt:lpstr>
      <vt:lpstr>'Rate Design'!Print_Area</vt:lpstr>
      <vt:lpstr>'Rate Design Lighting'!Print_Area</vt:lpstr>
      <vt:lpstr>Rates!Print_Area</vt:lpstr>
      <vt:lpstr>'Rates and Eff Dates'!Print_Area</vt:lpstr>
      <vt:lpstr>'RD-1'!Print_Area</vt:lpstr>
      <vt:lpstr>'RD-2'!Print_Area</vt:lpstr>
      <vt:lpstr>Rev_Billing_Det!Print_Area</vt:lpstr>
      <vt:lpstr>'Revenue Apportionment'!Print_Area</vt:lpstr>
      <vt:lpstr>Rider_Revenue!Print_Area</vt:lpstr>
      <vt:lpstr>SD!Print_Area</vt:lpstr>
      <vt:lpstr>SDC!Print_Area</vt:lpstr>
      <vt:lpstr>'Total Revenues by Class'!Print_Area</vt:lpstr>
      <vt:lpstr>'Unitil LED Light Summary'!Print_Area</vt:lpstr>
      <vt:lpstr>'ProForma Revenue'!Print_Titles</vt:lpstr>
      <vt:lpstr>'Rate Design'!Print_Titles</vt:lpstr>
      <vt:lpstr>'Rate Design Lighting'!Print_Titles</vt:lpstr>
      <vt:lpstr>Rates!Print_Titles</vt:lpstr>
      <vt:lpstr>'Rates and Eff Dates'!Print_Titles</vt:lpstr>
      <vt:lpstr>Rev_Billing_Det!Print_Titles</vt:lpstr>
      <vt:lpstr>'Unitil LED Light Summary'!Print_Titles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Heintz</dc:creator>
  <cp:keywords/>
  <dc:description/>
  <cp:lastModifiedBy>Asbury, Karen</cp:lastModifiedBy>
  <cp:revision/>
  <dcterms:created xsi:type="dcterms:W3CDTF">2010-01-19T18:40:51Z</dcterms:created>
  <dcterms:modified xsi:type="dcterms:W3CDTF">2023-10-20T19:44:44Z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{3C299F93-4024-4040-889A-64EDB4C8B649}</vt:lpwstr>
  </property>
  <property fmtid="{D5CDD505-2E9C-101B-9397-08002B2CF9AE}" pid="3" name="ContentTypeId">
    <vt:lpwstr>0x010100BAC1FC13D8496949BFCCB7FF1ED14DC9</vt:lpwstr>
  </property>
  <property fmtid="{D5CDD505-2E9C-101B-9397-08002B2CF9AE}" pid="4" name="MediaServiceImageTags">
    <vt:lpwstr/>
  </property>
</Properties>
</file>