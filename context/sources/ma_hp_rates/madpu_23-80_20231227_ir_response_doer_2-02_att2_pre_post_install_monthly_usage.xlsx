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in\Documents\AuditBoardSync\t(baf55f967c47bb7b3d5047a6abf41292a17777c9)\a23c-91fd-4ca4-9eed-13f85c26379b\14801\"/>
    </mc:Choice>
  </mc:AlternateContent>
  <xr:revisionPtr revIDLastSave="0" documentId="13_ncr:1_{1FDC5DA0-1280-4F52-A90B-282BCB219E10}" xr6:coauthVersionLast="36" xr6:coauthVersionMax="36" xr10:uidLastSave="{00000000-0000-0000-0000-000000000000}"/>
  <bookViews>
    <workbookView xWindow="0" yWindow="0" windowWidth="23040" windowHeight="8772" activeTab="1" xr2:uid="{E1BE4477-D670-4CB3-8C1B-7EF947533E68}"/>
  </bookViews>
  <sheets>
    <sheet name="Electric" sheetId="1" r:id="rId1"/>
    <sheet name="Gas" sheetId="2" r:id="rId2"/>
  </sheets>
  <definedNames>
    <definedName name="_xlnm._FilterDatabase" localSheetId="0" hidden="1">Electric!$A$1:$AI$265</definedName>
    <definedName name="_xlnm._FilterDatabase" localSheetId="1" hidden="1">Gas!$A$1:$AL$52</definedName>
    <definedName name="_xlnm.Print_Area" localSheetId="0">Electric!$A$1:$AK$265</definedName>
    <definedName name="_xlnm.Print_Area" localSheetId="1">Gas!$A$1:$AK$52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" l="1"/>
  <c r="AK3" i="2"/>
  <c r="AJ4" i="2"/>
  <c r="AK4" i="2"/>
  <c r="AJ5" i="2"/>
  <c r="AK5" i="2"/>
  <c r="AJ6" i="2"/>
  <c r="AK6" i="2"/>
  <c r="AJ7" i="2"/>
  <c r="AK7" i="2"/>
  <c r="AJ8" i="2"/>
  <c r="AK8" i="2"/>
  <c r="AJ9" i="2"/>
  <c r="AK9" i="2"/>
  <c r="AJ10" i="2"/>
  <c r="AK10" i="2"/>
  <c r="AJ11" i="2"/>
  <c r="AK11" i="2"/>
  <c r="AJ12" i="2"/>
  <c r="AK12" i="2"/>
  <c r="AJ13" i="2"/>
  <c r="AK13" i="2"/>
  <c r="AJ14" i="2"/>
  <c r="AK14" i="2"/>
  <c r="AJ15" i="2"/>
  <c r="AK15" i="2"/>
  <c r="AJ16" i="2"/>
  <c r="AK16" i="2"/>
  <c r="AJ17" i="2"/>
  <c r="AK17" i="2"/>
  <c r="AJ18" i="2"/>
  <c r="AK18" i="2"/>
  <c r="AJ19" i="2"/>
  <c r="AK19" i="2"/>
  <c r="AJ20" i="2"/>
  <c r="AK20" i="2"/>
  <c r="AJ21" i="2"/>
  <c r="AK21" i="2"/>
  <c r="AJ22" i="2"/>
  <c r="AK22" i="2"/>
  <c r="AJ23" i="2"/>
  <c r="AK23" i="2"/>
  <c r="AJ24" i="2"/>
  <c r="AK24" i="2"/>
  <c r="AJ25" i="2"/>
  <c r="AK25" i="2"/>
  <c r="AJ26" i="2"/>
  <c r="AK26" i="2"/>
  <c r="AJ27" i="2"/>
  <c r="AK27" i="2"/>
  <c r="AJ28" i="2"/>
  <c r="AK28" i="2"/>
  <c r="AJ29" i="2"/>
  <c r="AK29" i="2"/>
  <c r="AJ30" i="2"/>
  <c r="AK30" i="2"/>
  <c r="AJ31" i="2"/>
  <c r="AK31" i="2"/>
  <c r="AJ32" i="2"/>
  <c r="AK32" i="2"/>
  <c r="AJ33" i="2"/>
  <c r="AK33" i="2"/>
  <c r="AJ34" i="2"/>
  <c r="AK34" i="2"/>
  <c r="AJ35" i="2"/>
  <c r="AK35" i="2"/>
  <c r="AJ36" i="2"/>
  <c r="AK36" i="2"/>
  <c r="AJ37" i="2"/>
  <c r="AK37" i="2"/>
  <c r="AJ38" i="2"/>
  <c r="AK38" i="2"/>
  <c r="AJ39" i="2"/>
  <c r="AK39" i="2"/>
  <c r="AJ40" i="2"/>
  <c r="AK40" i="2"/>
  <c r="AJ41" i="2"/>
  <c r="AK41" i="2"/>
  <c r="AJ42" i="2"/>
  <c r="AK42" i="2"/>
  <c r="AJ43" i="2"/>
  <c r="AK43" i="2"/>
  <c r="AJ44" i="2"/>
  <c r="AK44" i="2"/>
  <c r="AJ45" i="2"/>
  <c r="AK45" i="2"/>
  <c r="AJ46" i="2"/>
  <c r="AK46" i="2"/>
  <c r="AJ47" i="2"/>
  <c r="AK47" i="2"/>
  <c r="AJ48" i="2"/>
  <c r="AK48" i="2"/>
  <c r="AJ49" i="2"/>
  <c r="AK49" i="2"/>
  <c r="AJ50" i="2"/>
  <c r="AK50" i="2"/>
  <c r="AJ51" i="2"/>
  <c r="AK51" i="2"/>
  <c r="AJ52" i="2"/>
  <c r="AK52" i="2"/>
  <c r="AK2" i="2"/>
  <c r="AJ2" i="2"/>
  <c r="V3" i="2"/>
  <c r="W3" i="2"/>
  <c r="V4" i="2"/>
  <c r="W4" i="2"/>
  <c r="V5" i="2"/>
  <c r="W5" i="2"/>
  <c r="V6" i="2"/>
  <c r="W6" i="2"/>
  <c r="V7" i="2"/>
  <c r="W7" i="2"/>
  <c r="V8" i="2"/>
  <c r="W8" i="2"/>
  <c r="V9" i="2"/>
  <c r="W9" i="2"/>
  <c r="V10" i="2"/>
  <c r="W10" i="2"/>
  <c r="V11" i="2"/>
  <c r="W11" i="2"/>
  <c r="V12" i="2"/>
  <c r="W12" i="2"/>
  <c r="V13" i="2"/>
  <c r="W13" i="2"/>
  <c r="V14" i="2"/>
  <c r="W14" i="2"/>
  <c r="V15" i="2"/>
  <c r="W15" i="2"/>
  <c r="V16" i="2"/>
  <c r="W16" i="2"/>
  <c r="V17" i="2"/>
  <c r="W17" i="2"/>
  <c r="V18" i="2"/>
  <c r="W18" i="2"/>
  <c r="V19" i="2"/>
  <c r="W19" i="2"/>
  <c r="V20" i="2"/>
  <c r="W20" i="2"/>
  <c r="V21" i="2"/>
  <c r="W21" i="2"/>
  <c r="V22" i="2"/>
  <c r="W22" i="2"/>
  <c r="V23" i="2"/>
  <c r="W23" i="2"/>
  <c r="V24" i="2"/>
  <c r="W24" i="2"/>
  <c r="V25" i="2"/>
  <c r="W25" i="2"/>
  <c r="V26" i="2"/>
  <c r="W26" i="2"/>
  <c r="V27" i="2"/>
  <c r="W27" i="2"/>
  <c r="V28" i="2"/>
  <c r="W28" i="2"/>
  <c r="V29" i="2"/>
  <c r="W29" i="2"/>
  <c r="V30" i="2"/>
  <c r="W30" i="2"/>
  <c r="V31" i="2"/>
  <c r="W31" i="2"/>
  <c r="V32" i="2"/>
  <c r="W32" i="2"/>
  <c r="V33" i="2"/>
  <c r="W33" i="2"/>
  <c r="V34" i="2"/>
  <c r="W34" i="2"/>
  <c r="V35" i="2"/>
  <c r="W35" i="2"/>
  <c r="V36" i="2"/>
  <c r="W36" i="2"/>
  <c r="V37" i="2"/>
  <c r="W37" i="2"/>
  <c r="V38" i="2"/>
  <c r="W38" i="2"/>
  <c r="V39" i="2"/>
  <c r="W39" i="2"/>
  <c r="V40" i="2"/>
  <c r="W40" i="2"/>
  <c r="V41" i="2"/>
  <c r="W41" i="2"/>
  <c r="V42" i="2"/>
  <c r="W42" i="2"/>
  <c r="V43" i="2"/>
  <c r="W43" i="2"/>
  <c r="V44" i="2"/>
  <c r="W44" i="2"/>
  <c r="V45" i="2"/>
  <c r="W45" i="2"/>
  <c r="V46" i="2"/>
  <c r="W46" i="2"/>
  <c r="V47" i="2"/>
  <c r="W47" i="2"/>
  <c r="V48" i="2"/>
  <c r="W48" i="2"/>
  <c r="V49" i="2"/>
  <c r="W49" i="2"/>
  <c r="V50" i="2"/>
  <c r="W50" i="2"/>
  <c r="V51" i="2"/>
  <c r="W51" i="2"/>
  <c r="V52" i="2"/>
  <c r="W52" i="2"/>
  <c r="W2" i="2"/>
  <c r="V2" i="2"/>
  <c r="AJ3" i="1"/>
  <c r="AK3" i="1"/>
  <c r="AJ4" i="1"/>
  <c r="AK4" i="1"/>
  <c r="AJ5" i="1"/>
  <c r="AK5" i="1"/>
  <c r="AJ6" i="1"/>
  <c r="AK6" i="1"/>
  <c r="AJ7" i="1"/>
  <c r="AK7" i="1"/>
  <c r="AJ8" i="1"/>
  <c r="AK8" i="1"/>
  <c r="AJ9" i="1"/>
  <c r="AK9" i="1"/>
  <c r="AJ10" i="1"/>
  <c r="AK10" i="1"/>
  <c r="AJ11" i="1"/>
  <c r="AK11" i="1"/>
  <c r="AJ12" i="1"/>
  <c r="AK12" i="1"/>
  <c r="AJ13" i="1"/>
  <c r="AK13" i="1"/>
  <c r="AJ14" i="1"/>
  <c r="AK14" i="1"/>
  <c r="AJ15" i="1"/>
  <c r="AK15" i="1"/>
  <c r="AJ16" i="1"/>
  <c r="AK16" i="1"/>
  <c r="AJ17" i="1"/>
  <c r="AK17" i="1"/>
  <c r="AJ18" i="1"/>
  <c r="AK18" i="1"/>
  <c r="AJ19" i="1"/>
  <c r="AK19" i="1"/>
  <c r="AJ20" i="1"/>
  <c r="AK20" i="1"/>
  <c r="AJ21" i="1"/>
  <c r="AK21" i="1"/>
  <c r="AJ22" i="1"/>
  <c r="AK22" i="1"/>
  <c r="AJ23" i="1"/>
  <c r="AK23" i="1"/>
  <c r="AJ24" i="1"/>
  <c r="AK24" i="1"/>
  <c r="AJ25" i="1"/>
  <c r="AK25" i="1"/>
  <c r="AJ26" i="1"/>
  <c r="AK26" i="1"/>
  <c r="AJ27" i="1"/>
  <c r="AK27" i="1"/>
  <c r="AJ28" i="1"/>
  <c r="AK28" i="1"/>
  <c r="AJ29" i="1"/>
  <c r="AK29" i="1"/>
  <c r="AJ30" i="1"/>
  <c r="AK30" i="1"/>
  <c r="AJ31" i="1"/>
  <c r="AK31" i="1"/>
  <c r="AJ32" i="1"/>
  <c r="AK32" i="1"/>
  <c r="AJ33" i="1"/>
  <c r="AK33" i="1"/>
  <c r="AJ34" i="1"/>
  <c r="AK34" i="1"/>
  <c r="AJ35" i="1"/>
  <c r="AK35" i="1"/>
  <c r="AJ36" i="1"/>
  <c r="AK36" i="1"/>
  <c r="AJ37" i="1"/>
  <c r="AK37" i="1"/>
  <c r="AJ38" i="1"/>
  <c r="AK38" i="1"/>
  <c r="AJ39" i="1"/>
  <c r="AK39" i="1"/>
  <c r="AJ40" i="1"/>
  <c r="AK40" i="1"/>
  <c r="AJ41" i="1"/>
  <c r="AK41" i="1"/>
  <c r="AJ42" i="1"/>
  <c r="AK4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J107" i="1"/>
  <c r="AK107" i="1"/>
  <c r="AJ108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J118" i="1"/>
  <c r="AK118" i="1"/>
  <c r="AJ119" i="1"/>
  <c r="AK119" i="1"/>
  <c r="AJ120" i="1"/>
  <c r="AK120" i="1"/>
  <c r="AJ121" i="1"/>
  <c r="AK121" i="1"/>
  <c r="AJ122" i="1"/>
  <c r="AK122" i="1"/>
  <c r="AJ123" i="1"/>
  <c r="AK123" i="1"/>
  <c r="AJ124" i="1"/>
  <c r="AK124" i="1"/>
  <c r="AJ125" i="1"/>
  <c r="AK125" i="1"/>
  <c r="AJ126" i="1"/>
  <c r="AK126" i="1"/>
  <c r="AJ127" i="1"/>
  <c r="AK127" i="1"/>
  <c r="AJ128" i="1"/>
  <c r="AK128" i="1"/>
  <c r="AJ129" i="1"/>
  <c r="AK129" i="1"/>
  <c r="AJ130" i="1"/>
  <c r="AK130" i="1"/>
  <c r="AJ131" i="1"/>
  <c r="AK131" i="1"/>
  <c r="AJ132" i="1"/>
  <c r="AK132" i="1"/>
  <c r="AJ133" i="1"/>
  <c r="AK133" i="1"/>
  <c r="AJ134" i="1"/>
  <c r="AK134" i="1"/>
  <c r="AJ135" i="1"/>
  <c r="AK135" i="1"/>
  <c r="AJ136" i="1"/>
  <c r="AK136" i="1"/>
  <c r="AJ137" i="1"/>
  <c r="AK137" i="1"/>
  <c r="AJ138" i="1"/>
  <c r="AK138" i="1"/>
  <c r="AJ139" i="1"/>
  <c r="AK139" i="1"/>
  <c r="AJ140" i="1"/>
  <c r="AK140" i="1"/>
  <c r="AJ141" i="1"/>
  <c r="AK141" i="1"/>
  <c r="AJ142" i="1"/>
  <c r="AK142" i="1"/>
  <c r="AJ143" i="1"/>
  <c r="AK143" i="1"/>
  <c r="AJ144" i="1"/>
  <c r="AK144" i="1"/>
  <c r="AJ145" i="1"/>
  <c r="AK145" i="1"/>
  <c r="AJ146" i="1"/>
  <c r="AK146" i="1"/>
  <c r="AJ147" i="1"/>
  <c r="AK147" i="1"/>
  <c r="AJ148" i="1"/>
  <c r="AK148" i="1"/>
  <c r="AJ149" i="1"/>
  <c r="AK149" i="1"/>
  <c r="AJ150" i="1"/>
  <c r="AK150" i="1"/>
  <c r="AJ151" i="1"/>
  <c r="AK151" i="1"/>
  <c r="AJ152" i="1"/>
  <c r="AK152" i="1"/>
  <c r="AJ153" i="1"/>
  <c r="AK153" i="1"/>
  <c r="AJ154" i="1"/>
  <c r="AK154" i="1"/>
  <c r="AJ155" i="1"/>
  <c r="AK155" i="1"/>
  <c r="AJ156" i="1"/>
  <c r="AK156" i="1"/>
  <c r="AJ157" i="1"/>
  <c r="AK157" i="1"/>
  <c r="AJ158" i="1"/>
  <c r="AK158" i="1"/>
  <c r="AJ159" i="1"/>
  <c r="AK159" i="1"/>
  <c r="AJ160" i="1"/>
  <c r="AK160" i="1"/>
  <c r="AJ161" i="1"/>
  <c r="AK161" i="1"/>
  <c r="AJ162" i="1"/>
  <c r="AK162" i="1"/>
  <c r="AJ163" i="1"/>
  <c r="AK163" i="1"/>
  <c r="AJ164" i="1"/>
  <c r="AK164" i="1"/>
  <c r="AJ165" i="1"/>
  <c r="AK165" i="1"/>
  <c r="AJ166" i="1"/>
  <c r="AK166" i="1"/>
  <c r="AJ167" i="1"/>
  <c r="AK167" i="1"/>
  <c r="AJ168" i="1"/>
  <c r="AK168" i="1"/>
  <c r="AJ169" i="1"/>
  <c r="AK169" i="1"/>
  <c r="AJ170" i="1"/>
  <c r="AK170" i="1"/>
  <c r="AJ171" i="1"/>
  <c r="AK171" i="1"/>
  <c r="AJ172" i="1"/>
  <c r="AK172" i="1"/>
  <c r="AJ173" i="1"/>
  <c r="AK173" i="1"/>
  <c r="AJ174" i="1"/>
  <c r="AK174" i="1"/>
  <c r="AJ175" i="1"/>
  <c r="AK175" i="1"/>
  <c r="AJ176" i="1"/>
  <c r="AK176" i="1"/>
  <c r="AJ177" i="1"/>
  <c r="AK177" i="1"/>
  <c r="AJ178" i="1"/>
  <c r="AK178" i="1"/>
  <c r="AJ179" i="1"/>
  <c r="AK179" i="1"/>
  <c r="AJ180" i="1"/>
  <c r="AK180" i="1"/>
  <c r="AJ181" i="1"/>
  <c r="AK181" i="1"/>
  <c r="AJ182" i="1"/>
  <c r="AK182" i="1"/>
  <c r="AJ183" i="1"/>
  <c r="AK183" i="1"/>
  <c r="AJ184" i="1"/>
  <c r="AK184" i="1"/>
  <c r="AJ185" i="1"/>
  <c r="AK185" i="1"/>
  <c r="AJ186" i="1"/>
  <c r="AK186" i="1"/>
  <c r="AJ187" i="1"/>
  <c r="AK187" i="1"/>
  <c r="AJ188" i="1"/>
  <c r="AK188" i="1"/>
  <c r="AJ189" i="1"/>
  <c r="AK189" i="1"/>
  <c r="AJ190" i="1"/>
  <c r="AK190" i="1"/>
  <c r="AJ191" i="1"/>
  <c r="AK191" i="1"/>
  <c r="AJ192" i="1"/>
  <c r="AK192" i="1"/>
  <c r="AJ193" i="1"/>
  <c r="AK193" i="1"/>
  <c r="AJ194" i="1"/>
  <c r="AK194" i="1"/>
  <c r="AJ195" i="1"/>
  <c r="AK195" i="1"/>
  <c r="AJ196" i="1"/>
  <c r="AK196" i="1"/>
  <c r="AJ197" i="1"/>
  <c r="AK197" i="1"/>
  <c r="AJ198" i="1"/>
  <c r="AK198" i="1"/>
  <c r="AJ199" i="1"/>
  <c r="AK199" i="1"/>
  <c r="AJ200" i="1"/>
  <c r="AK200" i="1"/>
  <c r="AJ201" i="1"/>
  <c r="AK201" i="1"/>
  <c r="AJ202" i="1"/>
  <c r="AK202" i="1"/>
  <c r="AJ203" i="1"/>
  <c r="AK203" i="1"/>
  <c r="AJ204" i="1"/>
  <c r="AK204" i="1"/>
  <c r="AJ205" i="1"/>
  <c r="AK205" i="1"/>
  <c r="AJ206" i="1"/>
  <c r="AK206" i="1"/>
  <c r="AJ207" i="1"/>
  <c r="AK207" i="1"/>
  <c r="AJ208" i="1"/>
  <c r="AK208" i="1"/>
  <c r="AJ209" i="1"/>
  <c r="AK209" i="1"/>
  <c r="AJ210" i="1"/>
  <c r="AK210" i="1"/>
  <c r="AJ211" i="1"/>
  <c r="AK211" i="1"/>
  <c r="AJ212" i="1"/>
  <c r="AK212" i="1"/>
  <c r="AJ213" i="1"/>
  <c r="AK213" i="1"/>
  <c r="AJ214" i="1"/>
  <c r="AK214" i="1"/>
  <c r="AJ215" i="1"/>
  <c r="AK215" i="1"/>
  <c r="AJ216" i="1"/>
  <c r="AK216" i="1"/>
  <c r="AJ217" i="1"/>
  <c r="AK217" i="1"/>
  <c r="AJ218" i="1"/>
  <c r="AK218" i="1"/>
  <c r="AJ219" i="1"/>
  <c r="AK219" i="1"/>
  <c r="AJ220" i="1"/>
  <c r="AK220" i="1"/>
  <c r="AJ221" i="1"/>
  <c r="AK221" i="1"/>
  <c r="AJ222" i="1"/>
  <c r="AK222" i="1"/>
  <c r="AJ223" i="1"/>
  <c r="AK223" i="1"/>
  <c r="AJ224" i="1"/>
  <c r="AK224" i="1"/>
  <c r="AJ225" i="1"/>
  <c r="AK225" i="1"/>
  <c r="AJ226" i="1"/>
  <c r="AK226" i="1"/>
  <c r="AJ227" i="1"/>
  <c r="AK227" i="1"/>
  <c r="AJ228" i="1"/>
  <c r="AK228" i="1"/>
  <c r="AJ229" i="1"/>
  <c r="AK229" i="1"/>
  <c r="AJ230" i="1"/>
  <c r="AK230" i="1"/>
  <c r="AJ231" i="1"/>
  <c r="AK231" i="1"/>
  <c r="AJ232" i="1"/>
  <c r="AK232" i="1"/>
  <c r="AJ233" i="1"/>
  <c r="AK233" i="1"/>
  <c r="AJ234" i="1"/>
  <c r="AK234" i="1"/>
  <c r="AJ235" i="1"/>
  <c r="AK235" i="1"/>
  <c r="AJ236" i="1"/>
  <c r="AK236" i="1"/>
  <c r="AJ237" i="1"/>
  <c r="AK237" i="1"/>
  <c r="AJ238" i="1"/>
  <c r="AK238" i="1"/>
  <c r="AJ239" i="1"/>
  <c r="AK239" i="1"/>
  <c r="AJ240" i="1"/>
  <c r="AK240" i="1"/>
  <c r="AJ241" i="1"/>
  <c r="AK241" i="1"/>
  <c r="AJ242" i="1"/>
  <c r="AK242" i="1"/>
  <c r="AJ243" i="1"/>
  <c r="AK243" i="1"/>
  <c r="AJ244" i="1"/>
  <c r="AK244" i="1"/>
  <c r="AJ245" i="1"/>
  <c r="AK245" i="1"/>
  <c r="AJ246" i="1"/>
  <c r="AK246" i="1"/>
  <c r="AJ247" i="1"/>
  <c r="AK247" i="1"/>
  <c r="AJ248" i="1"/>
  <c r="AK248" i="1"/>
  <c r="AJ249" i="1"/>
  <c r="AK249" i="1"/>
  <c r="AJ250" i="1"/>
  <c r="AK250" i="1"/>
  <c r="AJ251" i="1"/>
  <c r="AK251" i="1"/>
  <c r="AJ252" i="1"/>
  <c r="AK252" i="1"/>
  <c r="AJ253" i="1"/>
  <c r="AK253" i="1"/>
  <c r="AJ254" i="1"/>
  <c r="AK254" i="1"/>
  <c r="AJ255" i="1"/>
  <c r="AK255" i="1"/>
  <c r="AJ256" i="1"/>
  <c r="AK256" i="1"/>
  <c r="AJ257" i="1"/>
  <c r="AK257" i="1"/>
  <c r="AJ258" i="1"/>
  <c r="AK258" i="1"/>
  <c r="AJ259" i="1"/>
  <c r="AK259" i="1"/>
  <c r="AJ260" i="1"/>
  <c r="AK260" i="1"/>
  <c r="AJ261" i="1"/>
  <c r="AK261" i="1"/>
  <c r="AJ262" i="1"/>
  <c r="AK262" i="1"/>
  <c r="AJ263" i="1"/>
  <c r="AK263" i="1"/>
  <c r="AJ264" i="1"/>
  <c r="AK264" i="1"/>
  <c r="AJ265" i="1"/>
  <c r="AK265" i="1"/>
  <c r="AK2" i="1"/>
  <c r="AJ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W258" i="1"/>
  <c r="V259" i="1"/>
  <c r="W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3" i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W2" i="1"/>
  <c r="V2" i="1"/>
</calcChain>
</file>

<file path=xl/sharedStrings.xml><?xml version="1.0" encoding="utf-8"?>
<sst xmlns="http://schemas.openxmlformats.org/spreadsheetml/2006/main" count="1962" uniqueCount="533">
  <si>
    <t>Measure</t>
  </si>
  <si>
    <t>Customer Name</t>
  </si>
  <si>
    <t>Account Number</t>
  </si>
  <si>
    <t>Service Address</t>
  </si>
  <si>
    <t>Service City</t>
  </si>
  <si>
    <t>Service State</t>
  </si>
  <si>
    <t>Service Zip Code</t>
  </si>
  <si>
    <t>MSHP partially displacing Oil Heat (weatherized)</t>
  </si>
  <si>
    <t>TOWNSEND</t>
  </si>
  <si>
    <t>MA</t>
  </si>
  <si>
    <t>01469-1132</t>
  </si>
  <si>
    <t>FITCHBURG</t>
  </si>
  <si>
    <t>01420</t>
  </si>
  <si>
    <t>MSHP partially displacing Oil Heat (weatherization unverified)</t>
  </si>
  <si>
    <t>ASHBY</t>
  </si>
  <si>
    <t>01431-1731</t>
  </si>
  <si>
    <t>LUNENBURG</t>
  </si>
  <si>
    <t>01462-1525</t>
  </si>
  <si>
    <t>01431-2045</t>
  </si>
  <si>
    <t>01462-1354</t>
  </si>
  <si>
    <t>01420-4755</t>
  </si>
  <si>
    <t>01420-2655</t>
  </si>
  <si>
    <t>01462-2002</t>
  </si>
  <si>
    <t>01420-7905</t>
  </si>
  <si>
    <t>Central Heat Pump partially displacing Oil Heat</t>
  </si>
  <si>
    <t>01420-3717</t>
  </si>
  <si>
    <t>MSHP partially displacing Oil Heat</t>
  </si>
  <si>
    <t>01420-2143</t>
  </si>
  <si>
    <t>01420-2989</t>
  </si>
  <si>
    <t>01420-2761</t>
  </si>
  <si>
    <t>01420-1813</t>
  </si>
  <si>
    <t>01420-5152</t>
  </si>
  <si>
    <t>01462-2027</t>
  </si>
  <si>
    <t>01462-1808</t>
  </si>
  <si>
    <t>01462-2510</t>
  </si>
  <si>
    <t>01420-2743</t>
  </si>
  <si>
    <t>01420-5725</t>
  </si>
  <si>
    <t>01469-1301</t>
  </si>
  <si>
    <t>01420-1825</t>
  </si>
  <si>
    <t>01420-4614</t>
  </si>
  <si>
    <t>01420-2645</t>
  </si>
  <si>
    <t>01420-3803</t>
  </si>
  <si>
    <t>01462-1001</t>
  </si>
  <si>
    <t>01462-1546</t>
  </si>
  <si>
    <t>01420-6143</t>
  </si>
  <si>
    <t>01420-1375</t>
  </si>
  <si>
    <t>01420-8910</t>
  </si>
  <si>
    <t>01420-3319</t>
  </si>
  <si>
    <t>01420-1615</t>
  </si>
  <si>
    <t>01420-1653</t>
  </si>
  <si>
    <t>01420-5355</t>
  </si>
  <si>
    <t>01420-7018</t>
  </si>
  <si>
    <t>Central Heat Pump partially displacing Oil Heat (weatherization unverified)</t>
  </si>
  <si>
    <t>01431-2141</t>
  </si>
  <si>
    <t>01420-2500</t>
  </si>
  <si>
    <t>01462-1661</t>
  </si>
  <si>
    <t>01420-2991</t>
  </si>
  <si>
    <t>01469-1203</t>
  </si>
  <si>
    <t>01420-2822</t>
  </si>
  <si>
    <t>01420-5158</t>
  </si>
  <si>
    <t>01469-1128</t>
  </si>
  <si>
    <t>01420-6241</t>
  </si>
  <si>
    <t>01420-5223</t>
  </si>
  <si>
    <t>01420-1652</t>
  </si>
  <si>
    <t>01469-1376</t>
  </si>
  <si>
    <t>01462-2238</t>
  </si>
  <si>
    <t>01420-4188</t>
  </si>
  <si>
    <t>01420-1654</t>
  </si>
  <si>
    <t>01462-1918</t>
  </si>
  <si>
    <t>01469</t>
  </si>
  <si>
    <t>01462-1712</t>
  </si>
  <si>
    <t>01462-1228</t>
  </si>
  <si>
    <t>01462-2405</t>
  </si>
  <si>
    <t>01462-1119</t>
  </si>
  <si>
    <t>01462-1635</t>
  </si>
  <si>
    <t>01462-1653</t>
  </si>
  <si>
    <t>01462-2118</t>
  </si>
  <si>
    <t>01462-1527</t>
  </si>
  <si>
    <t>01462-1620</t>
  </si>
  <si>
    <t>01462-1824</t>
  </si>
  <si>
    <t>01462-1110</t>
  </si>
  <si>
    <t>01462-1112</t>
  </si>
  <si>
    <t>01462-1451</t>
  </si>
  <si>
    <t>01462-1340</t>
  </si>
  <si>
    <t>01462-2009</t>
  </si>
  <si>
    <t>01462-1612</t>
  </si>
  <si>
    <t>01462-1548</t>
  </si>
  <si>
    <t>01469-1122</t>
  </si>
  <si>
    <t>Central Heat Pump partially displacing Propane Heat</t>
  </si>
  <si>
    <t>01469-1374</t>
  </si>
  <si>
    <t>MSHP fully displacing Oil Heat (weatherized)</t>
  </si>
  <si>
    <t>01420-1656</t>
  </si>
  <si>
    <t>01420-1514</t>
  </si>
  <si>
    <t>01420-5022</t>
  </si>
  <si>
    <t>01462-2338</t>
  </si>
  <si>
    <t>01474-1056</t>
  </si>
  <si>
    <t>Central Heat Pump fully displacing Oil Heat (weatherization unverified)</t>
  </si>
  <si>
    <t>01462-1032</t>
  </si>
  <si>
    <t>MSHP fully displacing Oil Heat (weatherization unverified)</t>
  </si>
  <si>
    <t>01420-7002</t>
  </si>
  <si>
    <t>01420-6912</t>
  </si>
  <si>
    <t>01469-1125</t>
  </si>
  <si>
    <t>01431-2036</t>
  </si>
  <si>
    <t>01420-6617</t>
  </si>
  <si>
    <t>01420-6214</t>
  </si>
  <si>
    <t>01462-2145</t>
  </si>
  <si>
    <t>01474-1149</t>
  </si>
  <si>
    <t>01462-1652</t>
  </si>
  <si>
    <t>01420-2085</t>
  </si>
  <si>
    <t>01462-1149</t>
  </si>
  <si>
    <t>01462-1748</t>
  </si>
  <si>
    <t>01462-1610</t>
  </si>
  <si>
    <t>01462</t>
  </si>
  <si>
    <t>Central Heat Pump fully displacing Oil Heat (weatherized)</t>
  </si>
  <si>
    <t>01462-1123</t>
  </si>
  <si>
    <t>01462-1324</t>
  </si>
  <si>
    <t>01462-1556</t>
  </si>
  <si>
    <t>01420-7406</t>
  </si>
  <si>
    <t>01431-1944</t>
  </si>
  <si>
    <t>01462-1816</t>
  </si>
  <si>
    <t>01462-2037</t>
  </si>
  <si>
    <t>01462-1603</t>
  </si>
  <si>
    <t>01462-2045</t>
  </si>
  <si>
    <t>01462-1549</t>
  </si>
  <si>
    <t>01420-8915</t>
  </si>
  <si>
    <t>01462-2153</t>
  </si>
  <si>
    <t>01462-2206</t>
  </si>
  <si>
    <t>01420-0000</t>
  </si>
  <si>
    <t>01469-1416</t>
  </si>
  <si>
    <t>01420-1634</t>
  </si>
  <si>
    <t>01469-1352</t>
  </si>
  <si>
    <t>Central Heat Pump fully displacing Propane Heat (weatherized)</t>
  </si>
  <si>
    <t>01469-1368</t>
  </si>
  <si>
    <t>01420-3636</t>
  </si>
  <si>
    <t>01420-8937</t>
  </si>
  <si>
    <t>01462-1552</t>
  </si>
  <si>
    <t>01462-1464</t>
  </si>
  <si>
    <t>Central Heat Pump partially displacing Propane Heat (weatherization unverified)</t>
  </si>
  <si>
    <t>01469-1104</t>
  </si>
  <si>
    <t>01469-1218</t>
  </si>
  <si>
    <t>01420-3769</t>
  </si>
  <si>
    <t>01462-1320</t>
  </si>
  <si>
    <t>01420-6150</t>
  </si>
  <si>
    <t>01420-8906</t>
  </si>
  <si>
    <t>01462-1007</t>
  </si>
  <si>
    <t>01462-1011</t>
  </si>
  <si>
    <t>MSHP partially displacing Propane Heat (weatherization unverified)</t>
  </si>
  <si>
    <t>01462-2123</t>
  </si>
  <si>
    <t>01462-1159</t>
  </si>
  <si>
    <t>01420-2059</t>
  </si>
  <si>
    <t>01420-6644</t>
  </si>
  <si>
    <t>01462-1444</t>
  </si>
  <si>
    <t>01431-2202</t>
  </si>
  <si>
    <t>01420-1365</t>
  </si>
  <si>
    <t>01420-7221</t>
  </si>
  <si>
    <t>01462-1154</t>
  </si>
  <si>
    <t>01420-2470</t>
  </si>
  <si>
    <t>01420-6918</t>
  </si>
  <si>
    <t>01462-2001</t>
  </si>
  <si>
    <t>01420-6055</t>
  </si>
  <si>
    <t>01462-1041</t>
  </si>
  <si>
    <t>01431-2240</t>
  </si>
  <si>
    <t>01462-2171</t>
  </si>
  <si>
    <t>01469-1137</t>
  </si>
  <si>
    <t>01462-2234</t>
  </si>
  <si>
    <t>01462-2069</t>
  </si>
  <si>
    <t>01462-1567</t>
  </si>
  <si>
    <t>DMSHP with Integrated Controls Partially Displacing Existing Boiler, Gas</t>
  </si>
  <si>
    <t>01420-2083</t>
  </si>
  <si>
    <t>Central Ducted Heat Pump Fully Displacing Existing Furnace, Gas</t>
  </si>
  <si>
    <t>01420-4016</t>
  </si>
  <si>
    <t>DMSHP with Integrated Controls Fully Displacing Existing Boiler, Gas</t>
  </si>
  <si>
    <t>01420-6132</t>
  </si>
  <si>
    <t>01420-4731</t>
  </si>
  <si>
    <t>01431-2134</t>
  </si>
  <si>
    <t>MSHP with Integrated Controls Partially Displacing Existing Boiler, Gas (Verified Wx)</t>
  </si>
  <si>
    <t>MSHP with Integrated Controls Partially Displacing Existing Boiler, Gas (Unverified Wx)</t>
  </si>
  <si>
    <t>Townsend</t>
  </si>
  <si>
    <t>Central Ducted Heat Pump Partially Displacing Existing Furnace, Gas (Verified Wx)</t>
  </si>
  <si>
    <t>01420-3604</t>
  </si>
  <si>
    <t>01469-1060</t>
  </si>
  <si>
    <t>01420-6734</t>
  </si>
  <si>
    <t>01469-1313</t>
  </si>
  <si>
    <t>01420-7912</t>
  </si>
  <si>
    <t>01431-2157</t>
  </si>
  <si>
    <t>Fitchburg</t>
  </si>
  <si>
    <t>01420-3516</t>
  </si>
  <si>
    <t>01469-1010</t>
  </si>
  <si>
    <t>2021 Carry Over</t>
  </si>
  <si>
    <t>01469-1158</t>
  </si>
  <si>
    <t>01462-1176</t>
  </si>
  <si>
    <t>DMSHP, SEER 18.0 HSPF 10, Disp Electric Heat E19A2a278</t>
  </si>
  <si>
    <t>01462-1416</t>
  </si>
  <si>
    <t>01474-1126</t>
  </si>
  <si>
    <t>01469-1183</t>
  </si>
  <si>
    <t>01462-1495</t>
  </si>
  <si>
    <t>01420-2106</t>
  </si>
  <si>
    <t>01420-7727</t>
  </si>
  <si>
    <t>01420-6410</t>
  </si>
  <si>
    <t>01469-1200</t>
  </si>
  <si>
    <t>01420-2446</t>
  </si>
  <si>
    <t>01420-7014</t>
  </si>
  <si>
    <t>01420-4732</t>
  </si>
  <si>
    <t>01474-1147</t>
  </si>
  <si>
    <t>MSHP fully displacing Propane Heat (weatherized)</t>
  </si>
  <si>
    <t>01462-1496</t>
  </si>
  <si>
    <t>01420-1640</t>
  </si>
  <si>
    <t>01420-4733</t>
  </si>
  <si>
    <t>01474-1122</t>
  </si>
  <si>
    <t>01462-1005</t>
  </si>
  <si>
    <t>01420-2748</t>
  </si>
  <si>
    <t>01431-2233</t>
  </si>
  <si>
    <t>01420-4897</t>
  </si>
  <si>
    <t>01462-2021</t>
  </si>
  <si>
    <t>01462-1851</t>
  </si>
  <si>
    <t>01462-1126</t>
  </si>
  <si>
    <t>01462-1331</t>
  </si>
  <si>
    <t>01462-1521</t>
  </si>
  <si>
    <t>01420-1373</t>
  </si>
  <si>
    <t>01420-2704</t>
  </si>
  <si>
    <t>01420-7013</t>
  </si>
  <si>
    <t>01420-7105</t>
  </si>
  <si>
    <t>01462-1916</t>
  </si>
  <si>
    <t>01462-1009</t>
  </si>
  <si>
    <t>01420-3825</t>
  </si>
  <si>
    <t>01431-1919</t>
  </si>
  <si>
    <t>01462-1188</t>
  </si>
  <si>
    <t>Central Heat Pump partially displacing Oil Heat (weatherized)</t>
  </si>
  <si>
    <t>Central Heat Pump partially displacing Propane Heat (weatherized)</t>
  </si>
  <si>
    <t>01469-1025</t>
  </si>
  <si>
    <t>01420-2426</t>
  </si>
  <si>
    <t>01420-5160</t>
  </si>
  <si>
    <t>01431-1824</t>
  </si>
  <si>
    <t>01462-1217</t>
  </si>
  <si>
    <t>01420-2625</t>
  </si>
  <si>
    <t>01462-1104</t>
  </si>
  <si>
    <t>01420-6725</t>
  </si>
  <si>
    <t>01431-2238</t>
  </si>
  <si>
    <t>01462-2022</t>
  </si>
  <si>
    <t>01420-2003</t>
  </si>
  <si>
    <t>Air-to-Water Heat Pump displacing Oil Heat (weatherized)</t>
  </si>
  <si>
    <t>01469-1014</t>
  </si>
  <si>
    <t>01420-2918</t>
  </si>
  <si>
    <t>01420-7153</t>
  </si>
  <si>
    <t>01420-5337</t>
  </si>
  <si>
    <t>01431-2122</t>
  </si>
  <si>
    <t>01420-4616</t>
  </si>
  <si>
    <t>01462-1608</t>
  </si>
  <si>
    <t>01462-2325</t>
  </si>
  <si>
    <t>01420-7045</t>
  </si>
  <si>
    <t>01462-1550</t>
  </si>
  <si>
    <t>01462-1703</t>
  </si>
  <si>
    <t>01462-1547</t>
  </si>
  <si>
    <t>01462-2143</t>
  </si>
  <si>
    <t>01462-1328</t>
  </si>
  <si>
    <t>01469-1100</t>
  </si>
  <si>
    <t>01431-1736</t>
  </si>
  <si>
    <t>01462-1601</t>
  </si>
  <si>
    <t>01431-2043</t>
  </si>
  <si>
    <t>01462-2154</t>
  </si>
  <si>
    <t>01420-2757</t>
  </si>
  <si>
    <t>01420-6156</t>
  </si>
  <si>
    <t>01462-1820</t>
  </si>
  <si>
    <t>01431-1759</t>
  </si>
  <si>
    <t>01420-3692</t>
  </si>
  <si>
    <t>01462-1534</t>
  </si>
  <si>
    <t>01469-4407</t>
  </si>
  <si>
    <t>01462-2148</t>
  </si>
  <si>
    <t>01462-1500</t>
  </si>
  <si>
    <t>01462-1350</t>
  </si>
  <si>
    <t>01420-1637</t>
  </si>
  <si>
    <t>01462-1639</t>
  </si>
  <si>
    <t>01462-2310</t>
  </si>
  <si>
    <t>01462-1677</t>
  </si>
  <si>
    <t>01420-3779</t>
  </si>
  <si>
    <t>01420-6116</t>
  </si>
  <si>
    <t>01431-2309</t>
  </si>
  <si>
    <t>01469-1268</t>
  </si>
  <si>
    <t>01420-6195</t>
  </si>
  <si>
    <t>01420-5138</t>
  </si>
  <si>
    <t>01462-1208</t>
  </si>
  <si>
    <t>01420-7944</t>
  </si>
  <si>
    <t>01469-1262</t>
  </si>
  <si>
    <t>MSHP with Integrated Controls Fully Displacing Existing Boiler, Gas (Verified Wx)</t>
  </si>
  <si>
    <t>01462-1241</t>
  </si>
  <si>
    <t>01469-1028</t>
  </si>
  <si>
    <t>Central Ducted Heat Pump Fully Displacing Existing Furnace, Gas (Verified Wx)</t>
  </si>
  <si>
    <t>01420-2675</t>
  </si>
  <si>
    <t>01431</t>
  </si>
  <si>
    <t>01420-4112</t>
  </si>
  <si>
    <t>01420-5338</t>
  </si>
  <si>
    <t>01420-6413</t>
  </si>
  <si>
    <t>01469-1103</t>
  </si>
  <si>
    <t>01420-2911</t>
  </si>
  <si>
    <t>MSHP fully displacing Gas Heat (Single Family)</t>
  </si>
  <si>
    <t>MSHP partially displacing Gas Heat (Single Family)</t>
  </si>
  <si>
    <t>01420-4848</t>
  </si>
  <si>
    <t>01420-4251</t>
  </si>
  <si>
    <t>Central Heat Pump fully displacing Oil Heat (Single Family)</t>
  </si>
  <si>
    <t>01420-4126</t>
  </si>
  <si>
    <t>MSHP fully displacing Oil Heat (Single Family)</t>
  </si>
  <si>
    <t>01420-3826</t>
  </si>
  <si>
    <t>Intall Date</t>
  </si>
  <si>
    <t>Install Date</t>
  </si>
  <si>
    <t>PreInstallDate(-12)</t>
  </si>
  <si>
    <t>PreInstallDate(-11)</t>
  </si>
  <si>
    <t>PreInstallDate(-10)</t>
  </si>
  <si>
    <t>PreInstallDate(-9)</t>
  </si>
  <si>
    <t>PreInstallDate(-8)</t>
  </si>
  <si>
    <t>PreInstallDate(-7)</t>
  </si>
  <si>
    <t>PreInstallDate(-6)</t>
  </si>
  <si>
    <t>PreInstallDate(-5)</t>
  </si>
  <si>
    <t>PreInstallDate(-4)</t>
  </si>
  <si>
    <t>PreInstallDate(-3)</t>
  </si>
  <si>
    <t>PreInstallDate(-2)</t>
  </si>
  <si>
    <t>PreInstallDate(-1)</t>
  </si>
  <si>
    <t>PostInstallDate(1)</t>
  </si>
  <si>
    <t>PostInstallDate(2)</t>
  </si>
  <si>
    <t>PostInstallDate(3)</t>
  </si>
  <si>
    <t>PostInstallDate(4)</t>
  </si>
  <si>
    <t>PostInstallDate(5)</t>
  </si>
  <si>
    <t>PostInstallDate(6)</t>
  </si>
  <si>
    <t>PostInstallDate(7)</t>
  </si>
  <si>
    <t>PostInstallDate(8)</t>
  </si>
  <si>
    <t>PostInstallDate(9)</t>
  </si>
  <si>
    <t>PostInstallDate(10)</t>
  </si>
  <si>
    <t>PostInstallDate(11)</t>
  </si>
  <si>
    <t>PostInstallDate(12)</t>
  </si>
  <si>
    <t>Rate Class</t>
  </si>
  <si>
    <t>Income Eligible</t>
  </si>
  <si>
    <t>Residential</t>
  </si>
  <si>
    <t>Average monthly usage</t>
  </si>
  <si>
    <t>Average Monthly usage ignoring 0</t>
  </si>
  <si>
    <t>PRATT ST</t>
  </si>
  <si>
    <t>HIGHLAND ST</t>
  </si>
  <si>
    <t>ROLLING ACRES RD</t>
  </si>
  <si>
    <t>KRISTOPHER LN</t>
  </si>
  <si>
    <t>MADISON ST</t>
  </si>
  <si>
    <t>LEOMINSTER RD</t>
  </si>
  <si>
    <t>MASSACHUSETTS AVE</t>
  </si>
  <si>
    <t>TYLER RD</t>
  </si>
  <si>
    <t>NATICK ST</t>
  </si>
  <si>
    <t>FLAT HILL RD</t>
  </si>
  <si>
    <t>SHELDON RD</t>
  </si>
  <si>
    <t>APPLE TREE HL</t>
  </si>
  <si>
    <t>OSGOOD ST</t>
  </si>
  <si>
    <t>PAGE ST</t>
  </si>
  <si>
    <t>BAILEY RD</t>
  </si>
  <si>
    <t>LANCASTER AVE</t>
  </si>
  <si>
    <t>HIGH ROCK RD</t>
  </si>
  <si>
    <t>WHITING ST</t>
  </si>
  <si>
    <t>SUNRISE AVE</t>
  </si>
  <si>
    <t>GOODRICH ST</t>
  </si>
  <si>
    <t>ROOSEVELT ST</t>
  </si>
  <si>
    <t>SAINT JOSEPH AVE</t>
  </si>
  <si>
    <t>PENINSULA DR</t>
  </si>
  <si>
    <t>HOLMAN ST</t>
  </si>
  <si>
    <t>MACINTOSH LN</t>
  </si>
  <si>
    <t>PARKER ST</t>
  </si>
  <si>
    <t>PROSPECT ST</t>
  </si>
  <si>
    <t>FOREST PARK</t>
  </si>
  <si>
    <t>FORDWAY RD</t>
  </si>
  <si>
    <t>SAGITARIUS LN</t>
  </si>
  <si>
    <t>LOVISA ST</t>
  </si>
  <si>
    <t>WESTMINSTER HILL RD</t>
  </si>
  <si>
    <t>CORTLAND AVE</t>
  </si>
  <si>
    <t>WHITE ST</t>
  </si>
  <si>
    <t>NORWOOD ST</t>
  </si>
  <si>
    <t>CLEARVIEW AVE</t>
  </si>
  <si>
    <t>N END RD</t>
  </si>
  <si>
    <t>CROSS RD</t>
  </si>
  <si>
    <t>VALLEY VIEW DR</t>
  </si>
  <si>
    <t>HOWARD ST</t>
  </si>
  <si>
    <t>KLONDIKE AVE</t>
  </si>
  <si>
    <t>BOYLSTON ST</t>
  </si>
  <si>
    <t>THE CLEARING ST</t>
  </si>
  <si>
    <t>LEOMINSTER SHIRLEY RD</t>
  </si>
  <si>
    <t>SANDY COVE RD</t>
  </si>
  <si>
    <t>PEARL ST</t>
  </si>
  <si>
    <t>WALLACE HILL RD</t>
  </si>
  <si>
    <t>WILLIAMS RD</t>
  </si>
  <si>
    <t>CONSTITUTION DR</t>
  </si>
  <si>
    <t>PUTNAM PARK</t>
  </si>
  <si>
    <t>SOUTH RD</t>
  </si>
  <si>
    <t>ARNHOW FARM RD</t>
  </si>
  <si>
    <t>MEADOW LN</t>
  </si>
  <si>
    <t>FLINT RD</t>
  </si>
  <si>
    <t>LAUREL LN</t>
  </si>
  <si>
    <t>SOUTH ST</t>
  </si>
  <si>
    <t>MULPUS RD</t>
  </si>
  <si>
    <t>CROCKER RD</t>
  </si>
  <si>
    <t>ASHBURNHAM ST</t>
  </si>
  <si>
    <t>SAINT JUDE BLVD</t>
  </si>
  <si>
    <t>DUDLEY ST</t>
  </si>
  <si>
    <t>WESTMINSTER ST</t>
  </si>
  <si>
    <t>GILCHREST ST</t>
  </si>
  <si>
    <t>SUMMER ST</t>
  </si>
  <si>
    <t>OLIN AVE</t>
  </si>
  <si>
    <t>MILL CREEK DR</t>
  </si>
  <si>
    <t>SUNNYHILL RD</t>
  </si>
  <si>
    <t>TAURUS LN</t>
  </si>
  <si>
    <t>RESERVOIR RD</t>
  </si>
  <si>
    <t>RENNIE ST</t>
  </si>
  <si>
    <t>NORTHFIELD RD</t>
  </si>
  <si>
    <t>ANITA DR</t>
  </si>
  <si>
    <t>FISHER RD</t>
  </si>
  <si>
    <t>ELMWOOD RD</t>
  </si>
  <si>
    <t>CRESCENT TER</t>
  </si>
  <si>
    <t>HEMLOCK DR</t>
  </si>
  <si>
    <t>TIBBETT CIR</t>
  </si>
  <si>
    <t>PHEASANT RIDGE RD</t>
  </si>
  <si>
    <t>W TOWNSEND RD</t>
  </si>
  <si>
    <t>PARMENTER ST</t>
  </si>
  <si>
    <t>COLONY RD</t>
  </si>
  <si>
    <t>LUNENBURG RD</t>
  </si>
  <si>
    <t>MECHANIC ST</t>
  </si>
  <si>
    <t>ROBBS TER</t>
  </si>
  <si>
    <t>STICKNEY RD</t>
  </si>
  <si>
    <t>BONNER AVE</t>
  </si>
  <si>
    <t>DARTMOUTH ST</t>
  </si>
  <si>
    <t>RYAN RD</t>
  </si>
  <si>
    <t>MOUNT ELAM RD</t>
  </si>
  <si>
    <t>ASHBY WEST RD</t>
  </si>
  <si>
    <t>TOWN ST</t>
  </si>
  <si>
    <t>SPRING ST</t>
  </si>
  <si>
    <t>EDLEE ST</t>
  </si>
  <si>
    <t>TURKEY HILL RD</t>
  </si>
  <si>
    <t>TOWNSEND HARBOR RD</t>
  </si>
  <si>
    <t>RICHARDSON RD</t>
  </si>
  <si>
    <t>CARRIE ANN LN</t>
  </si>
  <si>
    <t>FOSTER RD</t>
  </si>
  <si>
    <t>NEWTONVILLE AVE</t>
  </si>
  <si>
    <t>WEST RD</t>
  </si>
  <si>
    <t>TURNER RD</t>
  </si>
  <si>
    <t>E PROSPECT ST</t>
  </si>
  <si>
    <t>CEDAR ST</t>
  </si>
  <si>
    <t>TAYLOR RD</t>
  </si>
  <si>
    <t>FIRE RD</t>
  </si>
  <si>
    <t>BEAL ST</t>
  </si>
  <si>
    <t>EASTERN AVE</t>
  </si>
  <si>
    <t>PATTON ST</t>
  </si>
  <si>
    <t>FRANKLIN RD</t>
  </si>
  <si>
    <t>RINNOCK RD</t>
  </si>
  <si>
    <t>ROLLSTONE RD</t>
  </si>
  <si>
    <t>MAIN ST</t>
  </si>
  <si>
    <t>ALDER WAY</t>
  </si>
  <si>
    <t>ELEANOR ST</t>
  </si>
  <si>
    <t>PROCTOR RD</t>
  </si>
  <si>
    <t>ADAMS RD</t>
  </si>
  <si>
    <t>EMERY RD</t>
  </si>
  <si>
    <t>CASWELL RD</t>
  </si>
  <si>
    <t>MARSHALL ST</t>
  </si>
  <si>
    <t>PIPER RD</t>
  </si>
  <si>
    <t>UPLAND AVE</t>
  </si>
  <si>
    <t>FIFTH MASSACHUSETTS TPKE</t>
  </si>
  <si>
    <t>BELLI AVE</t>
  </si>
  <si>
    <t>WILLOW CIR</t>
  </si>
  <si>
    <t>OLD BATTERY RD</t>
  </si>
  <si>
    <t>OREGON AVE</t>
  </si>
  <si>
    <t>FARMER AVE</t>
  </si>
  <si>
    <t>HUNTING HILL RD</t>
  </si>
  <si>
    <t>CASCADE ST</t>
  </si>
  <si>
    <t>OLD CITY RD</t>
  </si>
  <si>
    <t>ERICKSON RD</t>
  </si>
  <si>
    <t>PINE GROVE RD</t>
  </si>
  <si>
    <t>SENECA ST</t>
  </si>
  <si>
    <t>QUARRY LN</t>
  </si>
  <si>
    <t>GIBSON ST</t>
  </si>
  <si>
    <t>HEYWOOD RD</t>
  </si>
  <si>
    <t>RAMGREN RD</t>
  </si>
  <si>
    <t>MINNEAPOLIS AVE</t>
  </si>
  <si>
    <t>NEW IPSWICH RD</t>
  </si>
  <si>
    <t>VICTORIA LN</t>
  </si>
  <si>
    <t>CENTRAL AVE</t>
  </si>
  <si>
    <t>MARY HTS</t>
  </si>
  <si>
    <t>WANOOSNOC RD</t>
  </si>
  <si>
    <t>INDIANA AVE</t>
  </si>
  <si>
    <t>BARKER HILL RD</t>
  </si>
  <si>
    <t>HORIZON ISLAND RD</t>
  </si>
  <si>
    <t>LINCOLN ST</t>
  </si>
  <si>
    <t>WEST ST</t>
  </si>
  <si>
    <t>SHAWNA ST</t>
  </si>
  <si>
    <t>MEADOW RD</t>
  </si>
  <si>
    <t>EASTMAN ST</t>
  </si>
  <si>
    <t>SOUTHWICK ST</t>
  </si>
  <si>
    <t>JEWETT HILL RD</t>
  </si>
  <si>
    <t>STONEFENCE RD</t>
  </si>
  <si>
    <t>BURRAGE ST</t>
  </si>
  <si>
    <t>WOODLAND DR</t>
  </si>
  <si>
    <t>ROUND RD</t>
  </si>
  <si>
    <t>ALMOUNT RD</t>
  </si>
  <si>
    <t>PINE ST</t>
  </si>
  <si>
    <t>VINE ST</t>
  </si>
  <si>
    <t>BOUTWELL ST</t>
  </si>
  <si>
    <t>FITCHBURG STATE RD</t>
  </si>
  <si>
    <t>W STATE RD</t>
  </si>
  <si>
    <t>GRANITE RD</t>
  </si>
  <si>
    <t>HOUGHTONS MILL RD</t>
  </si>
  <si>
    <t>EASTER BROOK RD</t>
  </si>
  <si>
    <t>HARUGARI ST</t>
  </si>
  <si>
    <t>EDWARDS ST</t>
  </si>
  <si>
    <t>FITCHBURG RD</t>
  </si>
  <si>
    <t>PATRIOT RD</t>
  </si>
  <si>
    <t>EDWARD RD</t>
  </si>
  <si>
    <t>ASHBY STATE RD</t>
  </si>
  <si>
    <t>WARES RD</t>
  </si>
  <si>
    <t>HOLLYWOOD ST</t>
  </si>
  <si>
    <t>Main St</t>
  </si>
  <si>
    <t>CHARLTON ST</t>
  </si>
  <si>
    <t>BUTTRICK AVE</t>
  </si>
  <si>
    <t>HARBOR TRACE RD</t>
  </si>
  <si>
    <t>PARKER HILL DR</t>
  </si>
  <si>
    <t>THERESA ST</t>
  </si>
  <si>
    <t>CATHY ST</t>
  </si>
  <si>
    <t>APPLETON CIR</t>
  </si>
  <si>
    <t>MILK ST</t>
  </si>
  <si>
    <t>SCALES LN</t>
  </si>
  <si>
    <t>PEARL HILL RD</t>
  </si>
  <si>
    <t>SYCAMORE DR</t>
  </si>
  <si>
    <t>EAST ST</t>
  </si>
  <si>
    <t>Summer St</t>
  </si>
  <si>
    <t>BURNAP ST</t>
  </si>
  <si>
    <t>WATER ST</t>
  </si>
  <si>
    <t>DOGWOOD DR</t>
  </si>
  <si>
    <t>ROLLSTONE ST</t>
  </si>
  <si>
    <t>GREENDALE AVE</t>
  </si>
  <si>
    <t>RIVER ST</t>
  </si>
  <si>
    <t>PACIFIC ST</t>
  </si>
  <si>
    <t>LOISELLE AVE</t>
  </si>
  <si>
    <t>SHEA ST</t>
  </si>
  <si>
    <t>LEIGHTON ST</t>
  </si>
  <si>
    <t>FLICKER DR</t>
  </si>
  <si>
    <t>LAWRENCE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</si>
</sst>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D3D3D3"/>
      </right>
      <top/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0" borderId="0"/>
  </cellStyleXfs>
  <cellXfs count="104">
    <xf numFmtId="0" fontId="0" fillId="0" borderId="0" xfId="0"/>
    <xf numFmtId="0" fontId="1" fillId="0" borderId="1" xfId="0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>
      <alignment vertical="top" wrapText="1" readingOrder="1"/>
    </xf>
    <xf numFmtId="0" fontId="0" fillId="0" borderId="1" xfId="0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3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vertical="top" wrapText="1" readingOrder="1"/>
    </xf>
    <xf numFmtId="0" fontId="0" fillId="0" borderId="1" xfId="0" applyBorder="1" applyAlignment="1">
      <alignment vertical="top" wrapText="1" readingOrder="1"/>
    </xf>
    <xf numFmtId="0" fontId="2" fillId="0" borderId="1" xfId="0" applyNumberFormat="1" applyFont="1" applyBorder="1" applyAlignment="1">
      <alignment vertical="top" wrapText="1" readingOrder="1"/>
    </xf>
    <xf numFmtId="0" fontId="2" fillId="0" borderId="0" xfId="0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2" fillId="0" borderId="4" xfId="0" applyFont="1" applyFill="1" applyBorder="1" applyAlignment="1">
      <alignment vertical="top" wrapText="1" readingOrder="1"/>
    </xf>
    <xf numFmtId="0" fontId="2" fillId="0" borderId="0" xfId="0" applyFont="1" applyBorder="1" applyAlignment="1">
      <alignment vertical="top" wrapText="1" readingOrder="1"/>
    </xf>
    <xf numFmtId="0" fontId="1" fillId="0" borderId="1" xfId="1" applyFont="1" applyBorder="1" applyAlignment="1">
      <alignment horizontal="center" vertical="top" wrapText="1" readingOrder="1"/>
    </xf>
    <xf numFmtId="0" fontId="2" fillId="0" borderId="1" xfId="1" applyFont="1" applyBorder="1" applyAlignment="1">
      <alignment vertical="top" wrapText="1" readingOrder="1"/>
    </xf>
    <xf numFmtId="0" fontId="3" fillId="0" borderId="1" xfId="1" applyBorder="1" applyAlignment="1">
      <alignment vertical="top" wrapText="1" readingOrder="1"/>
    </xf>
    <xf numFmtId="0" fontId="2" fillId="0" borderId="1" xfId="2" applyFont="1" applyBorder="1" applyAlignment="1">
      <alignment vertical="top" wrapText="1" readingOrder="1"/>
    </xf>
    <xf numFmtId="0" fontId="2" fillId="0" borderId="1" xfId="3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4" applyFont="1" applyBorder="1" applyAlignment="1">
      <alignment vertical="top" wrapText="1" readingOrder="1"/>
    </xf>
    <xf numFmtId="0" fontId="2" fillId="0" borderId="1" xfId="2" applyNumberFormat="1" applyFont="1" applyBorder="1" applyAlignment="1">
      <alignment vertical="top" wrapText="1" readingOrder="1"/>
    </xf>
    <xf numFmtId="0" fontId="2" fillId="0" borderId="1" xfId="3" applyNumberFormat="1" applyFont="1" applyBorder="1" applyAlignment="1">
      <alignment vertical="top" wrapText="1" readingOrder="1"/>
    </xf>
    <xf numFmtId="0" fontId="4" fillId="0" borderId="1" xfId="0" applyNumberFormat="1" applyFont="1" applyBorder="1" applyAlignment="1">
      <alignment vertical="top" wrapText="1" readingOrder="1"/>
    </xf>
    <xf numFmtId="0" fontId="4" fillId="0" borderId="1" xfId="4" applyNumberFormat="1" applyFont="1" applyBorder="1" applyAlignment="1">
      <alignment vertical="top" wrapText="1" readingOrder="1"/>
    </xf>
    <xf numFmtId="14" fontId="2" fillId="0" borderId="1" xfId="0" applyNumberFormat="1" applyFont="1" applyFill="1" applyBorder="1" applyAlignment="1">
      <alignment vertical="top" wrapText="1" readingOrder="1"/>
    </xf>
    <xf numFmtId="0" fontId="0" fillId="0" borderId="0" xfId="0" applyAlignment="1">
      <alignment wrapText="1"/>
    </xf>
    <xf numFmtId="0" fontId="2" fillId="0" borderId="1" xfId="1" applyNumberFormat="1" applyFont="1" applyBorder="1" applyAlignment="1">
      <alignment vertical="top" wrapText="1" readingOrder="1"/>
    </xf>
    <xf numFmtId="0" fontId="2" fillId="0" borderId="1" xfId="1" applyFont="1" applyFill="1" applyBorder="1" applyAlignment="1">
      <alignment vertical="top" wrapText="1" readingOrder="1"/>
    </xf>
    <xf numFmtId="0" fontId="3" fillId="0" borderId="1" xfId="1" applyFill="1" applyBorder="1" applyAlignment="1">
      <alignment vertical="top" wrapText="1" readingOrder="1"/>
    </xf>
    <xf numFmtId="0" fontId="4" fillId="0" borderId="1" xfId="0" applyFont="1" applyFill="1" applyBorder="1" applyAlignment="1">
      <alignment vertical="top" wrapText="1" readingOrder="1"/>
    </xf>
    <xf numFmtId="0" fontId="0" fillId="0" borderId="0" xfId="0" applyFill="1"/>
    <xf numFmtId="0" fontId="1" fillId="0" borderId="2" xfId="1" applyFont="1" applyFill="1" applyBorder="1" applyAlignment="1">
      <alignment horizontal="center" vertical="top" wrapText="1" readingOrder="1"/>
    </xf>
    <xf numFmtId="14" fontId="0" fillId="0" borderId="0" xfId="0" applyNumberFormat="1"/>
    <xf numFmtId="18" fontId="1" fillId="0" borderId="1" xfId="1" applyNumberFormat="1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 applyProtection="1">
      <alignment horizontal="left"/>
      <protection locked="0"/>
    </xf>
    <xf numFmtId="0" fontId="0" fillId="0" borderId="1" xfId="0" applyBorder="1"/>
    <xf numFmtId="0" fontId="2" fillId="2" borderId="1" xfId="0" applyFont="1" applyFill="1" applyBorder="1" applyAlignment="1" applyProtection="1">
      <alignment horizontal="left"/>
      <protection locked="0"/>
    </xf>
    <xf numFmtId="0" fontId="0" fillId="0" borderId="1" xfId="0" applyNumberFormat="1" applyBorder="1"/>
    <xf numFmtId="0" fontId="2" fillId="0" borderId="0" xfId="0" applyNumberFormat="1" applyFont="1" applyBorder="1" applyAlignment="1">
      <alignment vertical="top" wrapText="1" readingOrder="1"/>
    </xf>
    <xf numFmtId="0" fontId="0" fillId="0" borderId="1" xfId="0" applyNumberFormat="1" applyFill="1" applyBorder="1" applyAlignment="1">
      <alignment horizontal="left"/>
    </xf>
    <xf numFmtId="0" fontId="0" fillId="0" borderId="0" xfId="0" applyBorder="1"/>
    <xf numFmtId="0" fontId="0" fillId="0" borderId="0" xfId="0" applyNumberFormat="1" applyBorder="1"/>
    <xf numFmtId="1" fontId="1" fillId="3" borderId="2" xfId="0" applyNumberFormat="1" applyFont="1" applyFill="1" applyBorder="1" applyAlignment="1">
      <alignment horizontal="center" vertical="top" wrapText="1" readingOrder="1"/>
    </xf>
    <xf numFmtId="1" fontId="2" fillId="0" borderId="1" xfId="0" applyNumberFormat="1" applyFont="1" applyFill="1" applyBorder="1" applyAlignment="1">
      <alignment horizontal="right" vertical="top" wrapText="1" readingOrder="1"/>
    </xf>
    <xf numFmtId="1" fontId="2" fillId="0" borderId="1" xfId="0" applyNumberFormat="1" applyFont="1" applyBorder="1" applyAlignment="1">
      <alignment horizontal="right" vertical="top" wrapText="1" readingOrder="1"/>
    </xf>
    <xf numFmtId="1" fontId="0" fillId="0" borderId="1" xfId="0" applyNumberFormat="1" applyBorder="1"/>
    <xf numFmtId="1" fontId="2" fillId="0" borderId="0" xfId="0" applyNumberFormat="1" applyFont="1" applyBorder="1" applyAlignment="1">
      <alignment horizontal="right" vertical="top" wrapText="1" readingOrder="1"/>
    </xf>
    <xf numFmtId="1" fontId="0" fillId="0" borderId="0" xfId="0" applyNumberFormat="1" applyBorder="1"/>
    <xf numFmtId="1" fontId="2" fillId="0" borderId="1" xfId="2" applyNumberFormat="1" applyFont="1" applyBorder="1" applyAlignment="1">
      <alignment horizontal="right" vertical="top" wrapText="1" readingOrder="1"/>
    </xf>
    <xf numFmtId="1" fontId="2" fillId="0" borderId="1" xfId="3" applyNumberFormat="1" applyFont="1" applyBorder="1" applyAlignment="1">
      <alignment horizontal="right" vertical="top" wrapText="1" readingOrder="1"/>
    </xf>
    <xf numFmtId="1" fontId="0" fillId="0" borderId="0" xfId="0" applyNumberFormat="1"/>
    <xf numFmtId="1" fontId="1" fillId="4" borderId="2" xfId="0" applyNumberFormat="1" applyFont="1" applyFill="1" applyBorder="1" applyAlignment="1">
      <alignment horizontal="center" vertical="top" wrapText="1" readingOrder="1"/>
    </xf>
    <xf numFmtId="1" fontId="2" fillId="0" borderId="2" xfId="0" applyNumberFormat="1" applyFont="1" applyFill="1" applyBorder="1" applyAlignment="1">
      <alignment vertical="top" wrapText="1" readingOrder="1"/>
    </xf>
    <xf numFmtId="1" fontId="0" fillId="0" borderId="2" xfId="0" applyNumberFormat="1" applyBorder="1"/>
    <xf numFmtId="1" fontId="0" fillId="0" borderId="2" xfId="0" applyNumberFormat="1" applyFill="1" applyBorder="1"/>
    <xf numFmtId="1" fontId="2" fillId="0" borderId="0" xfId="0" applyNumberFormat="1" applyFont="1" applyFill="1" applyBorder="1" applyAlignment="1">
      <alignment vertical="top" wrapText="1" readingOrder="1"/>
    </xf>
    <xf numFmtId="1" fontId="2" fillId="0" borderId="4" xfId="0" applyNumberFormat="1" applyFont="1" applyFill="1" applyBorder="1" applyAlignment="1">
      <alignment vertical="top" wrapText="1" readingOrder="1"/>
    </xf>
    <xf numFmtId="1" fontId="2" fillId="0" borderId="0" xfId="0" applyNumberFormat="1" applyFont="1" applyFill="1" applyBorder="1" applyAlignment="1">
      <alignment vertical="top" readingOrder="1"/>
    </xf>
    <xf numFmtId="1" fontId="2" fillId="0" borderId="2" xfId="0" applyNumberFormat="1" applyFont="1" applyBorder="1" applyAlignment="1">
      <alignment vertical="top" wrapText="1" readingOrder="1"/>
    </xf>
    <xf numFmtId="1" fontId="2" fillId="0" borderId="4" xfId="0" applyNumberFormat="1" applyFont="1" applyBorder="1" applyAlignment="1">
      <alignment vertical="top" wrapText="1" readingOrder="1"/>
    </xf>
    <xf numFmtId="1" fontId="2" fillId="0" borderId="1" xfId="0" applyNumberFormat="1" applyFont="1" applyFill="1" applyBorder="1" applyAlignment="1">
      <alignment vertical="top" wrapText="1" readingOrder="1"/>
    </xf>
    <xf numFmtId="1" fontId="2" fillId="0" borderId="1" xfId="0" applyNumberFormat="1" applyFont="1" applyBorder="1" applyAlignment="1">
      <alignment vertical="top" wrapText="1" readingOrder="1"/>
    </xf>
    <xf numFmtId="1" fontId="2" fillId="0" borderId="0" xfId="0" applyNumberFormat="1" applyFont="1" applyBorder="1" applyAlignment="1">
      <alignment vertical="top" wrapText="1" readingOrder="1"/>
    </xf>
    <xf numFmtId="1" fontId="0" fillId="2" borderId="0" xfId="0" applyNumberFormat="1" applyFill="1"/>
    <xf numFmtId="1" fontId="0" fillId="2" borderId="0" xfId="0" applyNumberFormat="1" applyFill="1" applyBorder="1"/>
    <xf numFmtId="1" fontId="0" fillId="0" borderId="0" xfId="0" applyNumberFormat="1" applyFill="1"/>
    <xf numFmtId="0" fontId="0" fillId="0" borderId="5" xfId="0" applyFont="1" applyFill="1" applyBorder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Alignment="1">
      <alignment vertical="top" wrapText="1" readingOrder="1"/>
    </xf>
    <xf numFmtId="0" fontId="2" fillId="5" borderId="1" xfId="0" applyNumberFormat="1" applyFont="1" applyFill="1" applyBorder="1" applyAlignment="1">
      <alignment vertical="top" wrapText="1" readingOrder="1"/>
    </xf>
    <xf numFmtId="1" fontId="2" fillId="0" borderId="2" xfId="0" applyNumberFormat="1" applyFont="1" applyFill="1" applyBorder="1" applyAlignment="1">
      <alignment vertical="top" readingOrder="1"/>
    </xf>
    <xf numFmtId="1" fontId="0" fillId="0" borderId="1" xfId="0" applyNumberFormat="1" applyFill="1" applyBorder="1"/>
    <xf numFmtId="1" fontId="0" fillId="0" borderId="0" xfId="0" applyNumberFormat="1" applyFill="1" applyBorder="1"/>
    <xf numFmtId="0" fontId="2" fillId="0" borderId="4" xfId="1" applyFont="1" applyFill="1" applyBorder="1" applyAlignment="1">
      <alignment vertical="top" wrapText="1" readingOrder="1"/>
    </xf>
    <xf numFmtId="0" fontId="2" fillId="0" borderId="0" xfId="1" applyFont="1" applyFill="1" applyBorder="1" applyAlignment="1">
      <alignment vertical="top" wrapText="1" readingOrder="1"/>
    </xf>
    <xf numFmtId="14" fontId="0" fillId="0" borderId="0" xfId="0" applyNumberFormat="1" applyFill="1"/>
    <xf numFmtId="0" fontId="1" fillId="0" borderId="2" xfId="0" applyFont="1" applyFill="1" applyBorder="1" applyAlignment="1">
      <alignment horizontal="center" vertical="top" wrapText="1" readingOrder="1"/>
    </xf>
    <xf numFmtId="14" fontId="2" fillId="0" borderId="0" xfId="0" applyNumberFormat="1" applyFont="1" applyFill="1" applyBorder="1" applyAlignment="1">
      <alignment vertical="top" wrapText="1" readingOrder="1"/>
    </xf>
    <xf numFmtId="0" fontId="2" fillId="0" borderId="1" xfId="3" applyFont="1" applyFill="1" applyBorder="1" applyAlignment="1">
      <alignment vertical="top" wrapText="1" readingOrder="1"/>
    </xf>
    <xf numFmtId="0" fontId="2" fillId="0" borderId="1" xfId="3" applyNumberFormat="1" applyFont="1" applyFill="1" applyBorder="1" applyAlignment="1">
      <alignment vertical="top" wrapText="1" readingOrder="1"/>
    </xf>
    <xf numFmtId="1" fontId="2" fillId="0" borderId="1" xfId="3" applyNumberFormat="1" applyFont="1" applyFill="1" applyBorder="1" applyAlignment="1">
      <alignment horizontal="right" vertical="top" wrapText="1" readingOrder="1"/>
    </xf>
    <xf numFmtId="1" fontId="1" fillId="3" borderId="4" xfId="0" applyNumberFormat="1" applyFont="1" applyFill="1" applyBorder="1" applyAlignment="1">
      <alignment horizontal="center" vertical="top" wrapText="1" readingOrder="1"/>
    </xf>
    <xf numFmtId="1" fontId="1" fillId="4" borderId="6" xfId="0" applyNumberFormat="1" applyFont="1" applyFill="1" applyBorder="1" applyAlignment="1">
      <alignment horizontal="center" vertical="top" wrapText="1" readingOrder="1"/>
    </xf>
    <xf numFmtId="1" fontId="1" fillId="6" borderId="0" xfId="0" applyNumberFormat="1" applyFont="1" applyFill="1" applyBorder="1" applyAlignment="1">
      <alignment horizontal="center" vertical="top" wrapText="1" readingOrder="1"/>
    </xf>
    <xf numFmtId="1" fontId="0" fillId="6" borderId="0" xfId="0" applyNumberFormat="1" applyFill="1" applyBorder="1"/>
    <xf numFmtId="0" fontId="1" fillId="0" borderId="1" xfId="0" applyFont="1" applyFill="1" applyBorder="1" applyAlignment="1">
      <alignment horizontal="center" vertical="top" readingOrder="1"/>
    </xf>
    <xf numFmtId="0" fontId="2" fillId="0" borderId="1" xfId="0" applyFont="1" applyBorder="1" applyAlignment="1">
      <alignment vertical="top" readingOrder="1"/>
    </xf>
    <xf numFmtId="0" fontId="2" fillId="0" borderId="3" xfId="0" applyFont="1" applyBorder="1" applyAlignment="1">
      <alignment vertical="top" readingOrder="1"/>
    </xf>
    <xf numFmtId="0" fontId="2" fillId="0" borderId="1" xfId="0" applyFont="1" applyFill="1" applyBorder="1" applyAlignment="1">
      <alignment vertical="top" readingOrder="1"/>
    </xf>
    <xf numFmtId="0" fontId="2" fillId="0" borderId="3" xfId="0" applyFont="1" applyFill="1" applyBorder="1" applyAlignment="1">
      <alignment vertical="top" readingOrder="1"/>
    </xf>
    <xf numFmtId="0" fontId="0" fillId="0" borderId="1" xfId="0" applyBorder="1" applyAlignment="1"/>
    <xf numFmtId="0" fontId="2" fillId="2" borderId="0" xfId="0" applyFont="1" applyFill="1" applyBorder="1" applyAlignment="1">
      <alignment vertical="top" readingOrder="1"/>
    </xf>
    <xf numFmtId="0" fontId="0" fillId="0" borderId="0" xfId="0" applyBorder="1" applyAlignment="1"/>
    <xf numFmtId="0" fontId="2" fillId="0" borderId="0" xfId="0" applyFont="1" applyBorder="1" applyAlignment="1">
      <alignment vertical="top" readingOrder="1"/>
    </xf>
    <xf numFmtId="0" fontId="2" fillId="2" borderId="1" xfId="0" applyFont="1" applyFill="1" applyBorder="1" applyAlignment="1">
      <alignment vertical="top" readingOrder="1"/>
    </xf>
    <xf numFmtId="0" fontId="2" fillId="0" borderId="1" xfId="2" applyFont="1" applyBorder="1" applyAlignment="1">
      <alignment vertical="top" readingOrder="1"/>
    </xf>
    <xf numFmtId="0" fontId="2" fillId="0" borderId="1" xfId="3" applyFont="1" applyBorder="1" applyAlignment="1">
      <alignment vertical="top" readingOrder="1"/>
    </xf>
    <xf numFmtId="0" fontId="4" fillId="0" borderId="1" xfId="4" applyFont="1" applyBorder="1" applyAlignment="1">
      <alignment vertical="top" readingOrder="1"/>
    </xf>
    <xf numFmtId="0" fontId="4" fillId="0" borderId="1" xfId="0" applyFont="1" applyBorder="1" applyAlignment="1">
      <alignment vertical="top" readingOrder="1"/>
    </xf>
    <xf numFmtId="0" fontId="2" fillId="0" borderId="1" xfId="3" applyFont="1" applyFill="1" applyBorder="1" applyAlignment="1">
      <alignment vertical="top" readingOrder="1"/>
    </xf>
    <xf numFmtId="0" fontId="0" fillId="0" borderId="0" xfId="0" applyAlignment="1"/>
    <xf numFmtId="0" fontId="2" fillId="5" borderId="1" xfId="0" applyFont="1" applyFill="1" applyBorder="1" applyAlignment="1">
      <alignment vertical="top" readingOrder="1"/>
    </xf>
    <xf numFmtId="0" fontId="1" fillId="0" borderId="1" xfId="1" applyFont="1" applyBorder="1" applyAlignment="1">
      <alignment horizontal="center" vertical="top" readingOrder="1"/>
    </xf>
    <xf numFmtId="0" fontId="2" fillId="0" borderId="1" xfId="1" applyFont="1" applyBorder="1" applyAlignment="1">
      <alignment vertical="top" readingOrder="1"/>
    </xf>
  </cellXfs>
  <cellStyles count="5">
    <cellStyle name="Normal" xfId="0" builtinId="0"/>
    <cellStyle name="Normal 2" xfId="1" xr:uid="{AA929DD8-71AD-4391-9026-34C571B5FF90}"/>
    <cellStyle name="Normal 3" xfId="2" xr:uid="{1600A43B-3C1C-4FDC-A037-1F228C485791}"/>
    <cellStyle name="Normal 4" xfId="3" xr:uid="{B14A054A-1128-483A-BC28-6C24B1FF16D6}"/>
    <cellStyle name="Normal 5" xfId="4" xr:uid="{57B6A5A2-026B-4D46-8A78-1EFCF33B8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0752-2B5A-4BEA-8A36-90CE970ED129}">
  <sheetPr>
    <pageSetUpPr fitToPage="1"/>
  </sheetPr>
  <dimension ref="A1:AK265"/>
  <sheetViews>
    <sheetView zoomScaleNormal="100" workbookViewId="0"/>
  </sheetViews>
  <sheetFormatPr defaultColWidth="20.6640625" defaultRowHeight="14.4" x14ac:dyDescent="0.3"/>
  <cols>
    <col min="1" max="1" width="66.77734375" style="100" bestFit="1" customWidth="1"/>
    <col min="4" max="4" width="28" style="100" bestFit="1" customWidth="1"/>
    <col min="10" max="21" width="20.6640625" style="50"/>
    <col min="22" max="22" width="28.44140625" style="84" customWidth="1"/>
    <col min="23" max="23" width="20.6640625" style="84"/>
    <col min="24" max="34" width="20.6640625" style="50" customWidth="1"/>
    <col min="35" max="35" width="22.109375" style="50" bestFit="1" customWidth="1"/>
  </cols>
  <sheetData>
    <row r="1" spans="1:37" s="25" customFormat="1" ht="26.4" x14ac:dyDescent="0.3">
      <c r="A1" s="85" t="s">
        <v>0</v>
      </c>
      <c r="B1" s="1" t="s">
        <v>1</v>
      </c>
      <c r="C1" s="1" t="s">
        <v>2</v>
      </c>
      <c r="D1" s="85" t="s">
        <v>3</v>
      </c>
      <c r="E1" s="1" t="s">
        <v>4</v>
      </c>
      <c r="F1" s="1" t="s">
        <v>5</v>
      </c>
      <c r="G1" s="1" t="s">
        <v>6</v>
      </c>
      <c r="H1" s="1" t="s">
        <v>302</v>
      </c>
      <c r="I1" s="76" t="s">
        <v>328</v>
      </c>
      <c r="J1" s="42" t="s">
        <v>304</v>
      </c>
      <c r="K1" s="42" t="s">
        <v>305</v>
      </c>
      <c r="L1" s="42" t="s">
        <v>306</v>
      </c>
      <c r="M1" s="42" t="s">
        <v>307</v>
      </c>
      <c r="N1" s="42" t="s">
        <v>308</v>
      </c>
      <c r="O1" s="42" t="s">
        <v>309</v>
      </c>
      <c r="P1" s="42" t="s">
        <v>310</v>
      </c>
      <c r="Q1" s="42" t="s">
        <v>311</v>
      </c>
      <c r="R1" s="42" t="s">
        <v>312</v>
      </c>
      <c r="S1" s="42" t="s">
        <v>313</v>
      </c>
      <c r="T1" s="42" t="s">
        <v>314</v>
      </c>
      <c r="U1" s="81" t="s">
        <v>315</v>
      </c>
      <c r="V1" s="83" t="s">
        <v>331</v>
      </c>
      <c r="W1" s="83" t="s">
        <v>332</v>
      </c>
      <c r="X1" s="82" t="s">
        <v>316</v>
      </c>
      <c r="Y1" s="51" t="s">
        <v>317</v>
      </c>
      <c r="Z1" s="51" t="s">
        <v>318</v>
      </c>
      <c r="AA1" s="51" t="s">
        <v>319</v>
      </c>
      <c r="AB1" s="51" t="s">
        <v>320</v>
      </c>
      <c r="AC1" s="51" t="s">
        <v>321</v>
      </c>
      <c r="AD1" s="51" t="s">
        <v>322</v>
      </c>
      <c r="AE1" s="51" t="s">
        <v>323</v>
      </c>
      <c r="AF1" s="51" t="s">
        <v>324</v>
      </c>
      <c r="AG1" s="51" t="s">
        <v>325</v>
      </c>
      <c r="AH1" s="51" t="s">
        <v>326</v>
      </c>
      <c r="AI1" s="51" t="s">
        <v>327</v>
      </c>
      <c r="AJ1" s="83" t="s">
        <v>331</v>
      </c>
      <c r="AK1" s="83" t="s">
        <v>332</v>
      </c>
    </row>
    <row r="2" spans="1:37" x14ac:dyDescent="0.3">
      <c r="A2" s="34" t="s">
        <v>13</v>
      </c>
      <c r="B2" s="2"/>
      <c r="C2" s="4">
        <v>3021214000</v>
      </c>
      <c r="D2" s="88" t="s">
        <v>333</v>
      </c>
      <c r="E2" s="2" t="s">
        <v>11</v>
      </c>
      <c r="F2" s="2" t="s">
        <v>9</v>
      </c>
      <c r="G2" s="2" t="s">
        <v>66</v>
      </c>
      <c r="H2" s="24">
        <v>44281</v>
      </c>
      <c r="I2" s="24" t="s">
        <v>330</v>
      </c>
      <c r="J2" s="43">
        <v>1790</v>
      </c>
      <c r="K2" s="52">
        <v>1461</v>
      </c>
      <c r="L2" s="50">
        <v>999</v>
      </c>
      <c r="M2" s="50">
        <v>458</v>
      </c>
      <c r="N2" s="50">
        <v>284</v>
      </c>
      <c r="O2" s="50">
        <v>444</v>
      </c>
      <c r="P2" s="50">
        <v>623</v>
      </c>
      <c r="Q2" s="50">
        <v>373</v>
      </c>
      <c r="R2" s="50">
        <v>374</v>
      </c>
      <c r="S2" s="50">
        <v>409</v>
      </c>
      <c r="T2" s="50">
        <v>480</v>
      </c>
      <c r="U2" s="50">
        <v>778</v>
      </c>
      <c r="V2" s="84">
        <f>AVERAGE(J2:U2)</f>
        <v>706.08333333333337</v>
      </c>
      <c r="W2" s="84">
        <f>AVERAGEIF(J2:U2,"&lt;&gt;0")</f>
        <v>706.08333333333337</v>
      </c>
      <c r="X2" s="50">
        <v>750</v>
      </c>
      <c r="Y2" s="50">
        <v>453</v>
      </c>
      <c r="Z2" s="50">
        <v>490</v>
      </c>
      <c r="AA2" s="50">
        <v>471</v>
      </c>
      <c r="AB2" s="50">
        <v>517</v>
      </c>
      <c r="AC2" s="50">
        <v>572</v>
      </c>
      <c r="AD2" s="50">
        <v>270</v>
      </c>
      <c r="AE2" s="50">
        <v>359</v>
      </c>
      <c r="AF2" s="50">
        <v>646</v>
      </c>
      <c r="AG2" s="50">
        <v>854</v>
      </c>
      <c r="AH2" s="50">
        <v>1398</v>
      </c>
      <c r="AI2" s="50">
        <v>1165</v>
      </c>
      <c r="AJ2" s="50">
        <f>AVERAGE(X2:AI2)</f>
        <v>662.08333333333337</v>
      </c>
      <c r="AK2" s="50">
        <f>AVERAGEIF(X2:AI2,"&lt;&gt;0")</f>
        <v>662.08333333333337</v>
      </c>
    </row>
    <row r="3" spans="1:37" x14ac:dyDescent="0.3">
      <c r="A3" s="86" t="s">
        <v>191</v>
      </c>
      <c r="B3" s="6"/>
      <c r="C3" s="8">
        <v>3120402002</v>
      </c>
      <c r="D3" s="86" t="s">
        <v>334</v>
      </c>
      <c r="E3" s="6" t="s">
        <v>16</v>
      </c>
      <c r="F3" s="6" t="s">
        <v>9</v>
      </c>
      <c r="G3" s="6" t="s">
        <v>192</v>
      </c>
      <c r="H3" s="24">
        <v>44299</v>
      </c>
      <c r="I3" s="24" t="s">
        <v>330</v>
      </c>
      <c r="J3" s="44">
        <v>882</v>
      </c>
      <c r="K3" s="53">
        <v>767</v>
      </c>
      <c r="L3" s="50">
        <v>856</v>
      </c>
      <c r="M3" s="50">
        <v>879</v>
      </c>
      <c r="N3" s="50">
        <v>785</v>
      </c>
      <c r="O3" s="50">
        <v>752</v>
      </c>
      <c r="P3" s="50">
        <v>1118</v>
      </c>
      <c r="Q3" s="50">
        <v>1117</v>
      </c>
      <c r="R3" s="50">
        <v>1112</v>
      </c>
      <c r="S3" s="50">
        <v>1001</v>
      </c>
      <c r="T3" s="50">
        <v>739</v>
      </c>
      <c r="U3" s="50">
        <v>796</v>
      </c>
      <c r="V3" s="84">
        <f t="shared" ref="V3:V22" si="0">AVERAGE(J3:U3)</f>
        <v>900.33333333333337</v>
      </c>
      <c r="W3" s="84">
        <f t="shared" ref="W3:W22" si="1">AVERAGEIF(J3:U3,"&lt;&gt;0")</f>
        <v>900.33333333333337</v>
      </c>
      <c r="X3" s="50">
        <v>909</v>
      </c>
      <c r="Y3" s="50">
        <v>735</v>
      </c>
      <c r="Z3" s="50">
        <v>713</v>
      </c>
      <c r="AA3" s="50">
        <v>492</v>
      </c>
      <c r="AB3" s="50">
        <v>667</v>
      </c>
      <c r="AC3" s="50">
        <v>1125</v>
      </c>
      <c r="AD3" s="50">
        <v>888</v>
      </c>
      <c r="AE3" s="50">
        <v>1029</v>
      </c>
      <c r="AF3" s="50">
        <v>1071</v>
      </c>
      <c r="AG3" s="50">
        <v>952</v>
      </c>
      <c r="AH3" s="50">
        <v>1050</v>
      </c>
      <c r="AI3" s="50">
        <v>876</v>
      </c>
      <c r="AJ3" s="50">
        <f t="shared" ref="AJ3:AJ66" si="2">AVERAGE(X3:AI3)</f>
        <v>875.58333333333337</v>
      </c>
      <c r="AK3" s="50">
        <f t="shared" ref="AK3:AK66" si="3">AVERAGEIF(X3:AI3,"&lt;&gt;0")</f>
        <v>875.58333333333337</v>
      </c>
    </row>
    <row r="4" spans="1:37" x14ac:dyDescent="0.3">
      <c r="A4" s="86" t="s">
        <v>26</v>
      </c>
      <c r="B4" s="6"/>
      <c r="C4" s="8">
        <v>3150085004</v>
      </c>
      <c r="D4" s="86" t="s">
        <v>335</v>
      </c>
      <c r="E4" s="6" t="s">
        <v>16</v>
      </c>
      <c r="F4" s="6" t="s">
        <v>9</v>
      </c>
      <c r="G4" s="6" t="s">
        <v>86</v>
      </c>
      <c r="H4" s="24">
        <v>44301</v>
      </c>
      <c r="I4" s="24" t="s">
        <v>330</v>
      </c>
      <c r="J4" s="44">
        <v>1832</v>
      </c>
      <c r="K4" s="53">
        <v>932</v>
      </c>
      <c r="L4" s="50">
        <v>1288</v>
      </c>
      <c r="M4" s="50">
        <v>1532</v>
      </c>
      <c r="N4" s="50">
        <v>1880</v>
      </c>
      <c r="O4" s="50">
        <v>1416</v>
      </c>
      <c r="P4" s="50">
        <v>1556</v>
      </c>
      <c r="Q4" s="50">
        <v>2006</v>
      </c>
      <c r="R4" s="50">
        <v>1774</v>
      </c>
      <c r="S4" s="50">
        <v>2078</v>
      </c>
      <c r="T4" s="50">
        <v>1408</v>
      </c>
      <c r="U4" s="50">
        <v>976</v>
      </c>
      <c r="V4" s="84">
        <f t="shared" si="0"/>
        <v>1556.5</v>
      </c>
      <c r="W4" s="84">
        <f t="shared" si="1"/>
        <v>1556.5</v>
      </c>
      <c r="X4" s="50">
        <v>1146</v>
      </c>
      <c r="Y4" s="50">
        <v>850</v>
      </c>
      <c r="Z4" s="50">
        <v>1092</v>
      </c>
      <c r="AA4" s="50">
        <v>2216</v>
      </c>
      <c r="AB4" s="50">
        <v>2258</v>
      </c>
      <c r="AC4" s="50">
        <v>1504</v>
      </c>
      <c r="AD4" s="50">
        <v>1232</v>
      </c>
      <c r="AE4" s="50">
        <v>1292</v>
      </c>
      <c r="AF4" s="50">
        <v>1350</v>
      </c>
      <c r="AG4" s="50">
        <v>1844</v>
      </c>
      <c r="AH4" s="50">
        <v>1460</v>
      </c>
      <c r="AI4" s="50">
        <v>1240</v>
      </c>
      <c r="AJ4" s="50">
        <f t="shared" si="2"/>
        <v>1457</v>
      </c>
      <c r="AK4" s="50">
        <f t="shared" si="3"/>
        <v>1457</v>
      </c>
    </row>
    <row r="5" spans="1:37" x14ac:dyDescent="0.3">
      <c r="A5" s="87" t="s">
        <v>26</v>
      </c>
      <c r="B5" s="6"/>
      <c r="C5" s="8">
        <v>3151746001</v>
      </c>
      <c r="D5" s="86" t="s">
        <v>336</v>
      </c>
      <c r="E5" s="6" t="s">
        <v>8</v>
      </c>
      <c r="F5" s="6" t="s">
        <v>9</v>
      </c>
      <c r="G5" s="6" t="s">
        <v>95</v>
      </c>
      <c r="H5" s="24">
        <v>44305</v>
      </c>
      <c r="I5" s="24" t="s">
        <v>330</v>
      </c>
      <c r="J5" s="44">
        <v>835</v>
      </c>
      <c r="K5" s="52">
        <v>831</v>
      </c>
      <c r="L5" s="50">
        <v>1084</v>
      </c>
      <c r="M5" s="50">
        <v>1364</v>
      </c>
      <c r="N5" s="50">
        <v>1097</v>
      </c>
      <c r="O5" s="50">
        <v>876</v>
      </c>
      <c r="P5" s="50">
        <v>791</v>
      </c>
      <c r="Q5" s="50">
        <v>714</v>
      </c>
      <c r="R5" s="50">
        <v>983</v>
      </c>
      <c r="S5" s="50">
        <v>685</v>
      </c>
      <c r="T5" s="50">
        <v>686</v>
      </c>
      <c r="U5" s="50">
        <v>618</v>
      </c>
      <c r="V5" s="84">
        <f t="shared" si="0"/>
        <v>880.33333333333337</v>
      </c>
      <c r="W5" s="84">
        <f t="shared" si="1"/>
        <v>880.33333333333337</v>
      </c>
      <c r="X5" s="50">
        <v>644</v>
      </c>
      <c r="Y5" s="50">
        <v>612</v>
      </c>
      <c r="Z5" s="50">
        <v>1069</v>
      </c>
      <c r="AA5" s="50">
        <v>1419</v>
      </c>
      <c r="AB5" s="50">
        <v>1195</v>
      </c>
      <c r="AC5" s="50">
        <v>1110</v>
      </c>
      <c r="AD5" s="50">
        <v>654</v>
      </c>
      <c r="AE5" s="50">
        <v>914</v>
      </c>
      <c r="AF5" s="50">
        <v>1286</v>
      </c>
      <c r="AG5" s="50">
        <v>2024</v>
      </c>
      <c r="AH5" s="50">
        <v>1935</v>
      </c>
      <c r="AI5" s="50">
        <v>1214</v>
      </c>
      <c r="AJ5" s="50">
        <f t="shared" si="2"/>
        <v>1173</v>
      </c>
      <c r="AK5" s="50">
        <f t="shared" si="3"/>
        <v>1173</v>
      </c>
    </row>
    <row r="6" spans="1:37" x14ac:dyDescent="0.3">
      <c r="A6" s="86" t="s">
        <v>26</v>
      </c>
      <c r="B6" s="6"/>
      <c r="C6" s="8">
        <v>3020110000</v>
      </c>
      <c r="D6" s="86" t="s">
        <v>337</v>
      </c>
      <c r="E6" s="6" t="s">
        <v>11</v>
      </c>
      <c r="F6" s="6" t="s">
        <v>9</v>
      </c>
      <c r="G6" s="6" t="s">
        <v>93</v>
      </c>
      <c r="H6" s="24">
        <v>44308</v>
      </c>
      <c r="I6" s="24" t="s">
        <v>330</v>
      </c>
      <c r="J6" s="44">
        <v>846</v>
      </c>
      <c r="K6" s="53">
        <v>786</v>
      </c>
      <c r="L6" s="50">
        <v>606</v>
      </c>
      <c r="M6" s="50">
        <v>832</v>
      </c>
      <c r="N6" s="50">
        <v>108</v>
      </c>
      <c r="O6" s="50">
        <v>1626</v>
      </c>
      <c r="P6" s="50">
        <v>932</v>
      </c>
      <c r="Q6" s="50">
        <v>998</v>
      </c>
      <c r="R6" s="50">
        <v>1398</v>
      </c>
      <c r="S6" s="50">
        <v>1856</v>
      </c>
      <c r="T6" s="50">
        <v>1582</v>
      </c>
      <c r="U6" s="50">
        <v>1802</v>
      </c>
      <c r="V6" s="84">
        <f t="shared" si="0"/>
        <v>1114.3333333333333</v>
      </c>
      <c r="W6" s="84">
        <f t="shared" si="1"/>
        <v>1114.3333333333333</v>
      </c>
      <c r="X6" s="50">
        <v>832</v>
      </c>
      <c r="Y6" s="50">
        <v>606</v>
      </c>
      <c r="Z6" s="50">
        <v>516</v>
      </c>
      <c r="AA6" s="50">
        <v>924</v>
      </c>
      <c r="AB6" s="50">
        <v>1332</v>
      </c>
      <c r="AC6" s="50">
        <v>1442</v>
      </c>
      <c r="AD6" s="50">
        <v>1098</v>
      </c>
      <c r="AE6" s="50">
        <v>772</v>
      </c>
      <c r="AF6" s="50">
        <v>1556</v>
      </c>
      <c r="AG6" s="50">
        <v>1998</v>
      </c>
      <c r="AH6" s="50">
        <v>2730</v>
      </c>
      <c r="AI6" s="50">
        <v>1884</v>
      </c>
      <c r="AJ6" s="50">
        <f t="shared" si="2"/>
        <v>1307.5</v>
      </c>
      <c r="AK6" s="50">
        <f t="shared" si="3"/>
        <v>1307.5</v>
      </c>
    </row>
    <row r="7" spans="1:37" x14ac:dyDescent="0.3">
      <c r="A7" s="87" t="s">
        <v>24</v>
      </c>
      <c r="B7" s="6"/>
      <c r="C7" s="8">
        <v>3132100001</v>
      </c>
      <c r="D7" s="86" t="s">
        <v>338</v>
      </c>
      <c r="E7" s="6" t="s">
        <v>16</v>
      </c>
      <c r="F7" s="6" t="s">
        <v>9</v>
      </c>
      <c r="G7" s="6" t="s">
        <v>84</v>
      </c>
      <c r="H7" s="24">
        <v>44313</v>
      </c>
      <c r="I7" s="24" t="s">
        <v>330</v>
      </c>
      <c r="J7" s="44">
        <v>973</v>
      </c>
      <c r="K7" s="52">
        <v>889</v>
      </c>
      <c r="L7" s="50">
        <v>1359</v>
      </c>
      <c r="M7" s="50">
        <v>1645</v>
      </c>
      <c r="N7" s="50">
        <v>1741</v>
      </c>
      <c r="O7" s="50">
        <v>993</v>
      </c>
      <c r="P7" s="50">
        <v>661</v>
      </c>
      <c r="Q7" s="50">
        <v>993</v>
      </c>
      <c r="R7" s="50">
        <v>1299</v>
      </c>
      <c r="S7" s="50">
        <v>1266</v>
      </c>
      <c r="T7" s="50">
        <v>1231</v>
      </c>
      <c r="U7" s="50">
        <v>769</v>
      </c>
      <c r="V7" s="84">
        <f t="shared" si="0"/>
        <v>1151.5833333333333</v>
      </c>
      <c r="W7" s="84">
        <f t="shared" si="1"/>
        <v>1151.5833333333333</v>
      </c>
      <c r="X7" s="50">
        <v>568</v>
      </c>
      <c r="Y7" s="50">
        <v>522</v>
      </c>
      <c r="Z7" s="50">
        <v>897</v>
      </c>
      <c r="AA7" s="50">
        <v>1056</v>
      </c>
      <c r="AB7" s="50">
        <v>1080</v>
      </c>
      <c r="AC7" s="50">
        <v>794</v>
      </c>
      <c r="AD7" s="50">
        <v>555</v>
      </c>
      <c r="AE7" s="50">
        <v>702</v>
      </c>
      <c r="AF7" s="50">
        <v>1016</v>
      </c>
      <c r="AG7" s="50">
        <v>1102</v>
      </c>
      <c r="AH7" s="50">
        <v>621</v>
      </c>
      <c r="AI7" s="50">
        <v>514</v>
      </c>
      <c r="AJ7" s="50">
        <f t="shared" si="2"/>
        <v>785.58333333333337</v>
      </c>
      <c r="AK7" s="50">
        <f t="shared" si="3"/>
        <v>785.58333333333337</v>
      </c>
    </row>
    <row r="8" spans="1:37" x14ac:dyDescent="0.3">
      <c r="A8" s="34" t="s">
        <v>13</v>
      </c>
      <c r="B8" s="2"/>
      <c r="C8" s="4">
        <v>3120915001</v>
      </c>
      <c r="D8" s="88" t="s">
        <v>339</v>
      </c>
      <c r="E8" s="2" t="s">
        <v>16</v>
      </c>
      <c r="F8" s="2" t="s">
        <v>9</v>
      </c>
      <c r="G8" s="2" t="s">
        <v>19</v>
      </c>
      <c r="H8" s="24">
        <v>44315</v>
      </c>
      <c r="I8" s="24" t="s">
        <v>330</v>
      </c>
      <c r="J8" s="43">
        <v>806</v>
      </c>
      <c r="K8" s="52">
        <v>707</v>
      </c>
      <c r="L8" s="50">
        <v>1222</v>
      </c>
      <c r="M8" s="50">
        <v>1359</v>
      </c>
      <c r="N8" s="50">
        <v>2653</v>
      </c>
      <c r="O8" s="50">
        <v>1469</v>
      </c>
      <c r="P8" s="50">
        <v>954</v>
      </c>
      <c r="Q8" s="50">
        <v>1127</v>
      </c>
      <c r="R8" s="50">
        <v>1518</v>
      </c>
      <c r="S8" s="50">
        <v>1412</v>
      </c>
      <c r="T8" s="50">
        <v>1440</v>
      </c>
      <c r="U8" s="50">
        <v>1439</v>
      </c>
      <c r="V8" s="84">
        <f t="shared" si="0"/>
        <v>1342.1666666666667</v>
      </c>
      <c r="W8" s="84">
        <f t="shared" si="1"/>
        <v>1342.1666666666667</v>
      </c>
      <c r="X8" s="50">
        <v>975</v>
      </c>
      <c r="Y8" s="50">
        <v>924</v>
      </c>
      <c r="Z8" s="50">
        <v>1414</v>
      </c>
      <c r="AA8" s="50">
        <v>1334</v>
      </c>
      <c r="AB8" s="50">
        <v>1286</v>
      </c>
      <c r="AC8" s="50">
        <v>889</v>
      </c>
      <c r="AD8" s="50">
        <v>610</v>
      </c>
      <c r="AE8" s="50">
        <v>773</v>
      </c>
      <c r="AF8" s="50">
        <v>952</v>
      </c>
      <c r="AG8" s="50">
        <v>864</v>
      </c>
      <c r="AH8" s="50">
        <v>963</v>
      </c>
      <c r="AI8" s="50">
        <v>800</v>
      </c>
      <c r="AJ8" s="50">
        <f t="shared" si="2"/>
        <v>982</v>
      </c>
      <c r="AK8" s="50">
        <f t="shared" si="3"/>
        <v>982</v>
      </c>
    </row>
    <row r="9" spans="1:37" x14ac:dyDescent="0.3">
      <c r="A9" s="5" t="s">
        <v>13</v>
      </c>
      <c r="B9" s="2"/>
      <c r="C9" s="4">
        <v>3141643000</v>
      </c>
      <c r="D9" s="88" t="s">
        <v>340</v>
      </c>
      <c r="E9" s="2" t="s">
        <v>8</v>
      </c>
      <c r="F9" s="2" t="s">
        <v>9</v>
      </c>
      <c r="G9" s="2" t="s">
        <v>57</v>
      </c>
      <c r="H9" s="24">
        <v>44330</v>
      </c>
      <c r="I9" s="24" t="s">
        <v>330</v>
      </c>
      <c r="J9" s="43">
        <v>572</v>
      </c>
      <c r="K9" s="52">
        <v>937</v>
      </c>
      <c r="L9" s="50">
        <v>1132</v>
      </c>
      <c r="M9" s="50">
        <v>1077</v>
      </c>
      <c r="N9" s="50">
        <v>751</v>
      </c>
      <c r="O9" s="50">
        <v>630</v>
      </c>
      <c r="P9" s="50">
        <v>526</v>
      </c>
      <c r="Q9" s="50">
        <v>671</v>
      </c>
      <c r="R9" s="50">
        <v>687</v>
      </c>
      <c r="S9" s="50">
        <v>979</v>
      </c>
      <c r="T9" s="50">
        <v>573</v>
      </c>
      <c r="U9" s="50">
        <v>499</v>
      </c>
      <c r="V9" s="84">
        <f t="shared" si="0"/>
        <v>752.83333333333337</v>
      </c>
      <c r="W9" s="84">
        <f t="shared" si="1"/>
        <v>752.83333333333337</v>
      </c>
      <c r="X9" s="50">
        <v>688</v>
      </c>
      <c r="Y9" s="50">
        <v>894</v>
      </c>
      <c r="Z9" s="50">
        <v>1097</v>
      </c>
      <c r="AA9" s="50">
        <v>1072</v>
      </c>
      <c r="AB9" s="50">
        <v>931</v>
      </c>
      <c r="AC9" s="50">
        <v>802</v>
      </c>
      <c r="AD9" s="50">
        <v>566</v>
      </c>
      <c r="AE9" s="50">
        <v>531</v>
      </c>
      <c r="AF9" s="50">
        <v>725</v>
      </c>
      <c r="AG9" s="50">
        <v>642</v>
      </c>
      <c r="AH9" s="50">
        <v>580</v>
      </c>
      <c r="AI9" s="50">
        <v>501</v>
      </c>
      <c r="AJ9" s="50">
        <f t="shared" si="2"/>
        <v>752.41666666666663</v>
      </c>
      <c r="AK9" s="50">
        <f t="shared" si="3"/>
        <v>752.41666666666663</v>
      </c>
    </row>
    <row r="10" spans="1:37" x14ac:dyDescent="0.3">
      <c r="A10" s="86" t="s">
        <v>24</v>
      </c>
      <c r="B10" s="6"/>
      <c r="C10" s="8">
        <v>3121672000</v>
      </c>
      <c r="D10" s="86" t="s">
        <v>341</v>
      </c>
      <c r="E10" s="6" t="s">
        <v>16</v>
      </c>
      <c r="F10" s="6" t="s">
        <v>9</v>
      </c>
      <c r="G10" s="6" t="s">
        <v>72</v>
      </c>
      <c r="H10" s="24">
        <v>44342</v>
      </c>
      <c r="I10" s="24" t="s">
        <v>330</v>
      </c>
      <c r="J10" s="44">
        <v>950</v>
      </c>
      <c r="K10" s="52">
        <v>1124</v>
      </c>
      <c r="L10" s="50">
        <v>1224</v>
      </c>
      <c r="M10" s="50">
        <v>1390</v>
      </c>
      <c r="N10" s="50">
        <v>1025</v>
      </c>
      <c r="O10" s="50">
        <v>920</v>
      </c>
      <c r="P10" s="50">
        <v>1416</v>
      </c>
      <c r="Q10" s="50">
        <v>1852</v>
      </c>
      <c r="R10" s="50">
        <v>1779</v>
      </c>
      <c r="S10" s="50">
        <v>1907</v>
      </c>
      <c r="T10" s="50">
        <v>1903</v>
      </c>
      <c r="U10" s="50">
        <v>1670</v>
      </c>
      <c r="V10" s="84">
        <f t="shared" si="0"/>
        <v>1430</v>
      </c>
      <c r="W10" s="84">
        <f t="shared" si="1"/>
        <v>1430</v>
      </c>
      <c r="X10" s="50">
        <v>1055</v>
      </c>
      <c r="Y10" s="50">
        <v>1209</v>
      </c>
      <c r="Z10" s="50">
        <v>1297</v>
      </c>
      <c r="AA10" s="50">
        <v>1483</v>
      </c>
      <c r="AB10" s="50">
        <v>1080</v>
      </c>
      <c r="AC10" s="50">
        <v>922</v>
      </c>
      <c r="AD10" s="50">
        <v>1116</v>
      </c>
      <c r="AE10" s="50">
        <v>1333</v>
      </c>
      <c r="AF10" s="50">
        <v>1220</v>
      </c>
      <c r="AG10" s="50">
        <v>1221</v>
      </c>
      <c r="AH10" s="50">
        <v>1188</v>
      </c>
      <c r="AI10" s="50">
        <v>960</v>
      </c>
      <c r="AJ10" s="50">
        <f t="shared" si="2"/>
        <v>1173.6666666666667</v>
      </c>
      <c r="AK10" s="50">
        <f t="shared" si="3"/>
        <v>1173.6666666666667</v>
      </c>
    </row>
    <row r="11" spans="1:37" x14ac:dyDescent="0.3">
      <c r="A11" s="87" t="s">
        <v>26</v>
      </c>
      <c r="B11" s="6"/>
      <c r="C11" s="8">
        <v>3130420006</v>
      </c>
      <c r="D11" s="86" t="s">
        <v>342</v>
      </c>
      <c r="E11" s="6" t="s">
        <v>16</v>
      </c>
      <c r="F11" s="6" t="s">
        <v>9</v>
      </c>
      <c r="G11" s="6" t="s">
        <v>76</v>
      </c>
      <c r="H11" s="24">
        <v>44356</v>
      </c>
      <c r="I11" s="24" t="s">
        <v>330</v>
      </c>
      <c r="J11" s="44">
        <v>0</v>
      </c>
      <c r="K11" s="52">
        <v>0</v>
      </c>
      <c r="L11" s="50">
        <v>0</v>
      </c>
      <c r="M11" s="50">
        <v>0</v>
      </c>
      <c r="N11" s="50">
        <v>0</v>
      </c>
      <c r="O11" s="50">
        <v>104</v>
      </c>
      <c r="P11" s="50">
        <v>529</v>
      </c>
      <c r="Q11" s="50">
        <v>617</v>
      </c>
      <c r="R11" s="50">
        <v>593</v>
      </c>
      <c r="S11" s="50">
        <v>564</v>
      </c>
      <c r="T11" s="50">
        <v>778</v>
      </c>
      <c r="U11" s="50">
        <v>741</v>
      </c>
      <c r="V11" s="84">
        <f t="shared" si="0"/>
        <v>327.16666666666669</v>
      </c>
      <c r="W11" s="84">
        <f t="shared" si="1"/>
        <v>560.85714285714289</v>
      </c>
      <c r="X11" s="50">
        <v>654</v>
      </c>
      <c r="Y11" s="50">
        <v>704</v>
      </c>
      <c r="Z11" s="50">
        <v>808</v>
      </c>
      <c r="AA11" s="50">
        <v>872</v>
      </c>
      <c r="AB11" s="50">
        <v>719</v>
      </c>
      <c r="AC11" s="50">
        <v>1097</v>
      </c>
      <c r="AD11" s="50">
        <v>1682</v>
      </c>
      <c r="AE11" s="50">
        <v>2330</v>
      </c>
      <c r="AF11" s="50">
        <v>1868</v>
      </c>
      <c r="AG11" s="50">
        <v>1606</v>
      </c>
      <c r="AH11" s="50">
        <v>1842</v>
      </c>
      <c r="AI11" s="50">
        <v>1162</v>
      </c>
      <c r="AJ11" s="50">
        <f t="shared" si="2"/>
        <v>1278.6666666666667</v>
      </c>
      <c r="AK11" s="50">
        <f t="shared" si="3"/>
        <v>1278.6666666666667</v>
      </c>
    </row>
    <row r="12" spans="1:37" x14ac:dyDescent="0.3">
      <c r="A12" s="86" t="s">
        <v>26</v>
      </c>
      <c r="B12" s="6"/>
      <c r="C12" s="8">
        <v>3012142001</v>
      </c>
      <c r="D12" s="86" t="s">
        <v>343</v>
      </c>
      <c r="E12" s="6" t="s">
        <v>11</v>
      </c>
      <c r="F12" s="6" t="s">
        <v>9</v>
      </c>
      <c r="G12" s="6" t="s">
        <v>30</v>
      </c>
      <c r="H12" s="24">
        <v>44362</v>
      </c>
      <c r="I12" s="24" t="s">
        <v>330</v>
      </c>
      <c r="J12" s="44">
        <v>0</v>
      </c>
      <c r="K12" s="52">
        <v>0</v>
      </c>
      <c r="L12" s="50">
        <v>0</v>
      </c>
      <c r="M12" s="50">
        <v>0</v>
      </c>
      <c r="N12" s="50">
        <v>126</v>
      </c>
      <c r="O12" s="50">
        <v>620</v>
      </c>
      <c r="P12" s="50">
        <v>672</v>
      </c>
      <c r="Q12" s="50">
        <v>720</v>
      </c>
      <c r="R12" s="50">
        <v>714</v>
      </c>
      <c r="S12" s="50">
        <v>750</v>
      </c>
      <c r="T12" s="50">
        <v>611</v>
      </c>
      <c r="U12" s="50">
        <v>748</v>
      </c>
      <c r="V12" s="84">
        <f t="shared" si="0"/>
        <v>413.41666666666669</v>
      </c>
      <c r="W12" s="84">
        <f t="shared" si="1"/>
        <v>620.125</v>
      </c>
      <c r="X12" s="50">
        <v>773</v>
      </c>
      <c r="Y12" s="50">
        <v>821</v>
      </c>
      <c r="Z12" s="50">
        <v>665</v>
      </c>
      <c r="AA12" s="50">
        <v>1297</v>
      </c>
      <c r="AB12" s="50">
        <v>982</v>
      </c>
      <c r="AC12" s="50">
        <v>863</v>
      </c>
      <c r="AD12" s="50">
        <v>1286</v>
      </c>
      <c r="AE12" s="50">
        <v>1221</v>
      </c>
      <c r="AF12" s="50">
        <v>1168</v>
      </c>
      <c r="AG12" s="50">
        <v>1301</v>
      </c>
      <c r="AH12" s="50">
        <v>911</v>
      </c>
      <c r="AI12" s="50">
        <v>914</v>
      </c>
      <c r="AJ12" s="50">
        <f t="shared" si="2"/>
        <v>1016.8333333333334</v>
      </c>
      <c r="AK12" s="50">
        <f t="shared" si="3"/>
        <v>1016.8333333333334</v>
      </c>
    </row>
    <row r="13" spans="1:37" x14ac:dyDescent="0.3">
      <c r="A13" s="86" t="s">
        <v>13</v>
      </c>
      <c r="B13" s="6"/>
      <c r="C13" s="8">
        <v>3072565000</v>
      </c>
      <c r="D13" s="86" t="s">
        <v>344</v>
      </c>
      <c r="E13" s="6" t="s">
        <v>11</v>
      </c>
      <c r="F13" s="6" t="s">
        <v>9</v>
      </c>
      <c r="G13" s="6" t="s">
        <v>156</v>
      </c>
      <c r="H13" s="24">
        <v>44367</v>
      </c>
      <c r="I13" s="24" t="s">
        <v>330</v>
      </c>
      <c r="J13" s="44">
        <v>976</v>
      </c>
      <c r="K13" s="54">
        <v>1192</v>
      </c>
      <c r="L13" s="50">
        <v>1344</v>
      </c>
      <c r="M13" s="50">
        <v>1010</v>
      </c>
      <c r="N13" s="50">
        <v>587</v>
      </c>
      <c r="O13" s="50">
        <v>610</v>
      </c>
      <c r="P13" s="50">
        <v>747</v>
      </c>
      <c r="Q13" s="50">
        <v>811</v>
      </c>
      <c r="R13" s="50">
        <v>712</v>
      </c>
      <c r="S13" s="50">
        <v>627</v>
      </c>
      <c r="T13" s="50">
        <v>511</v>
      </c>
      <c r="U13" s="50">
        <v>616</v>
      </c>
      <c r="V13" s="84">
        <f t="shared" si="0"/>
        <v>811.91666666666663</v>
      </c>
      <c r="W13" s="84">
        <f t="shared" si="1"/>
        <v>811.91666666666663</v>
      </c>
      <c r="X13" s="50">
        <v>898</v>
      </c>
      <c r="Y13" s="50">
        <v>878</v>
      </c>
      <c r="Z13" s="50">
        <v>1203</v>
      </c>
      <c r="AA13" s="50">
        <v>876</v>
      </c>
      <c r="AB13" s="50">
        <v>683</v>
      </c>
      <c r="AC13" s="50">
        <v>550</v>
      </c>
      <c r="AD13" s="50">
        <v>707</v>
      </c>
      <c r="AE13" s="50">
        <v>622</v>
      </c>
      <c r="AF13" s="50">
        <v>582</v>
      </c>
      <c r="AG13" s="50">
        <v>545</v>
      </c>
      <c r="AH13" s="50">
        <v>546</v>
      </c>
      <c r="AI13" s="50">
        <v>606</v>
      </c>
      <c r="AJ13" s="50">
        <f t="shared" si="2"/>
        <v>724.66666666666663</v>
      </c>
      <c r="AK13" s="50">
        <f t="shared" si="3"/>
        <v>724.66666666666663</v>
      </c>
    </row>
    <row r="14" spans="1:37" x14ac:dyDescent="0.3">
      <c r="A14" s="86" t="s">
        <v>26</v>
      </c>
      <c r="B14" s="6"/>
      <c r="C14" s="8">
        <v>3051502001</v>
      </c>
      <c r="D14" s="86" t="s">
        <v>345</v>
      </c>
      <c r="E14" s="6" t="s">
        <v>11</v>
      </c>
      <c r="F14" s="6" t="s">
        <v>9</v>
      </c>
      <c r="G14" s="6" t="s">
        <v>54</v>
      </c>
      <c r="H14" s="24">
        <v>44383</v>
      </c>
      <c r="I14" s="24" t="s">
        <v>330</v>
      </c>
      <c r="J14" s="44">
        <v>1250</v>
      </c>
      <c r="K14" s="53">
        <v>980</v>
      </c>
      <c r="L14" s="50">
        <v>1218</v>
      </c>
      <c r="M14" s="50">
        <v>719</v>
      </c>
      <c r="N14" s="50">
        <v>667</v>
      </c>
      <c r="O14" s="50">
        <v>718</v>
      </c>
      <c r="P14" s="50">
        <v>673</v>
      </c>
      <c r="Q14" s="50">
        <v>707</v>
      </c>
      <c r="R14" s="50">
        <v>739</v>
      </c>
      <c r="S14" s="50">
        <v>770</v>
      </c>
      <c r="T14" s="50">
        <v>800</v>
      </c>
      <c r="U14" s="50">
        <v>942</v>
      </c>
      <c r="V14" s="84">
        <f t="shared" si="0"/>
        <v>848.58333333333337</v>
      </c>
      <c r="W14" s="84">
        <f t="shared" si="1"/>
        <v>848.58333333333337</v>
      </c>
      <c r="X14" s="50">
        <v>1403</v>
      </c>
      <c r="Y14" s="50">
        <v>1330</v>
      </c>
      <c r="Z14" s="50">
        <v>1442</v>
      </c>
      <c r="AA14" s="50">
        <v>1109</v>
      </c>
      <c r="AB14" s="50">
        <v>1046</v>
      </c>
      <c r="AC14" s="50">
        <v>858</v>
      </c>
      <c r="AD14" s="50">
        <v>836</v>
      </c>
      <c r="AE14" s="50">
        <v>775</v>
      </c>
      <c r="AF14" s="50">
        <v>834</v>
      </c>
      <c r="AG14" s="50">
        <v>796</v>
      </c>
      <c r="AH14" s="50">
        <v>780</v>
      </c>
      <c r="AI14" s="50">
        <v>1300</v>
      </c>
      <c r="AJ14" s="50">
        <f t="shared" si="2"/>
        <v>1042.4166666666667</v>
      </c>
      <c r="AK14" s="50">
        <f t="shared" si="3"/>
        <v>1042.4166666666667</v>
      </c>
    </row>
    <row r="15" spans="1:37" x14ac:dyDescent="0.3">
      <c r="A15" s="88" t="s">
        <v>7</v>
      </c>
      <c r="B15" s="2"/>
      <c r="C15" s="4">
        <v>3131202001</v>
      </c>
      <c r="D15" s="88" t="s">
        <v>346</v>
      </c>
      <c r="E15" s="2" t="s">
        <v>16</v>
      </c>
      <c r="F15" s="2" t="s">
        <v>9</v>
      </c>
      <c r="G15" s="2" t="s">
        <v>17</v>
      </c>
      <c r="H15" s="24">
        <v>44390</v>
      </c>
      <c r="I15" s="24" t="s">
        <v>330</v>
      </c>
      <c r="J15" s="43">
        <v>1468</v>
      </c>
      <c r="K15" s="55">
        <v>1536</v>
      </c>
      <c r="L15" s="50">
        <v>878</v>
      </c>
      <c r="M15" s="50">
        <v>678</v>
      </c>
      <c r="N15" s="50">
        <v>1056</v>
      </c>
      <c r="O15" s="50">
        <v>2328</v>
      </c>
      <c r="P15" s="50">
        <v>2030</v>
      </c>
      <c r="Q15" s="50">
        <v>2308</v>
      </c>
      <c r="R15" s="50">
        <v>1566</v>
      </c>
      <c r="S15" s="50">
        <v>696</v>
      </c>
      <c r="T15" s="50">
        <v>1032</v>
      </c>
      <c r="U15" s="50">
        <v>1836</v>
      </c>
      <c r="V15" s="84">
        <f t="shared" si="0"/>
        <v>1451</v>
      </c>
      <c r="W15" s="84">
        <f t="shared" si="1"/>
        <v>1451</v>
      </c>
      <c r="X15" s="50">
        <v>1394</v>
      </c>
      <c r="Y15" s="50">
        <v>1414</v>
      </c>
      <c r="Z15" s="50">
        <v>1016</v>
      </c>
      <c r="AA15" s="50">
        <v>682</v>
      </c>
      <c r="AB15" s="50">
        <v>982</v>
      </c>
      <c r="AC15" s="50">
        <v>1730</v>
      </c>
      <c r="AD15" s="50">
        <v>2834</v>
      </c>
      <c r="AE15" s="50">
        <v>2776</v>
      </c>
      <c r="AF15" s="50">
        <v>1714</v>
      </c>
      <c r="AG15" s="50">
        <v>840</v>
      </c>
      <c r="AH15" s="50">
        <v>674</v>
      </c>
      <c r="AI15" s="50">
        <v>610</v>
      </c>
      <c r="AJ15" s="50">
        <f t="shared" si="2"/>
        <v>1388.8333333333333</v>
      </c>
      <c r="AK15" s="50">
        <f t="shared" si="3"/>
        <v>1388.8333333333333</v>
      </c>
    </row>
    <row r="16" spans="1:37" x14ac:dyDescent="0.3">
      <c r="A16" s="86" t="s">
        <v>26</v>
      </c>
      <c r="B16" s="6"/>
      <c r="C16" s="8">
        <v>3112862001</v>
      </c>
      <c r="D16" s="86" t="s">
        <v>347</v>
      </c>
      <c r="E16" s="6" t="s">
        <v>8</v>
      </c>
      <c r="F16" s="6" t="s">
        <v>9</v>
      </c>
      <c r="G16" s="6" t="s">
        <v>69</v>
      </c>
      <c r="H16" s="24">
        <v>44392</v>
      </c>
      <c r="I16" s="24" t="s">
        <v>330</v>
      </c>
      <c r="J16" s="44">
        <v>666</v>
      </c>
      <c r="K16" s="52">
        <v>573</v>
      </c>
      <c r="L16" s="50">
        <v>540</v>
      </c>
      <c r="M16" s="50">
        <v>480</v>
      </c>
      <c r="N16" s="50">
        <v>463</v>
      </c>
      <c r="O16" s="50">
        <v>570</v>
      </c>
      <c r="P16" s="50">
        <v>665</v>
      </c>
      <c r="Q16" s="50">
        <v>574</v>
      </c>
      <c r="R16" s="50">
        <v>553</v>
      </c>
      <c r="S16" s="50">
        <v>499</v>
      </c>
      <c r="T16" s="50">
        <v>691</v>
      </c>
      <c r="U16" s="50">
        <v>815</v>
      </c>
      <c r="V16" s="84">
        <f t="shared" si="0"/>
        <v>590.75</v>
      </c>
      <c r="W16" s="84">
        <f t="shared" si="1"/>
        <v>590.75</v>
      </c>
      <c r="X16" s="50">
        <v>885</v>
      </c>
      <c r="Y16" s="50">
        <v>867</v>
      </c>
      <c r="Z16" s="50">
        <v>657</v>
      </c>
      <c r="AA16" s="50">
        <v>736</v>
      </c>
      <c r="AB16" s="50">
        <v>1197</v>
      </c>
      <c r="AC16" s="50">
        <v>1523</v>
      </c>
      <c r="AD16" s="50">
        <v>1196</v>
      </c>
      <c r="AE16" s="50">
        <v>539</v>
      </c>
      <c r="AF16" s="50">
        <v>473</v>
      </c>
      <c r="AG16" s="50">
        <v>492</v>
      </c>
      <c r="AH16" s="50">
        <v>507</v>
      </c>
      <c r="AI16" s="50">
        <v>608</v>
      </c>
      <c r="AJ16" s="50">
        <f t="shared" si="2"/>
        <v>806.66666666666663</v>
      </c>
      <c r="AK16" s="50">
        <f t="shared" si="3"/>
        <v>806.66666666666663</v>
      </c>
    </row>
    <row r="17" spans="1:37" x14ac:dyDescent="0.3">
      <c r="A17" s="86" t="s">
        <v>24</v>
      </c>
      <c r="B17" s="6"/>
      <c r="C17" s="8">
        <v>3130061005</v>
      </c>
      <c r="D17" s="86" t="s">
        <v>348</v>
      </c>
      <c r="E17" s="6" t="s">
        <v>16</v>
      </c>
      <c r="F17" s="6" t="s">
        <v>9</v>
      </c>
      <c r="G17" s="6" t="s">
        <v>74</v>
      </c>
      <c r="H17" s="24">
        <v>44393</v>
      </c>
      <c r="I17" s="24" t="s">
        <v>330</v>
      </c>
      <c r="J17" s="44">
        <v>0</v>
      </c>
      <c r="K17" s="52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84">
        <f t="shared" si="0"/>
        <v>0</v>
      </c>
      <c r="W17" s="84" t="e">
        <f t="shared" si="1"/>
        <v>#DIV/0!</v>
      </c>
      <c r="X17" s="50">
        <v>946</v>
      </c>
      <c r="Y17" s="50">
        <v>955</v>
      </c>
      <c r="Z17" s="50">
        <v>855</v>
      </c>
      <c r="AA17" s="50">
        <v>645</v>
      </c>
      <c r="AB17" s="50">
        <v>769</v>
      </c>
      <c r="AC17" s="50">
        <v>791</v>
      </c>
      <c r="AD17" s="50">
        <v>939</v>
      </c>
      <c r="AE17" s="50">
        <v>740</v>
      </c>
      <c r="AF17" s="50">
        <v>744</v>
      </c>
      <c r="AG17" s="50">
        <v>588</v>
      </c>
      <c r="AH17" s="50">
        <v>732</v>
      </c>
      <c r="AI17" s="50">
        <v>717</v>
      </c>
      <c r="AJ17" s="50">
        <f t="shared" si="2"/>
        <v>785.08333333333337</v>
      </c>
      <c r="AK17" s="50">
        <f t="shared" si="3"/>
        <v>785.08333333333337</v>
      </c>
    </row>
    <row r="18" spans="1:37" x14ac:dyDescent="0.3">
      <c r="A18" s="86" t="s">
        <v>26</v>
      </c>
      <c r="B18" s="6"/>
      <c r="C18" s="8">
        <v>3130062005</v>
      </c>
      <c r="D18" s="86" t="s">
        <v>348</v>
      </c>
      <c r="E18" s="6" t="s">
        <v>16</v>
      </c>
      <c r="F18" s="6" t="s">
        <v>9</v>
      </c>
      <c r="G18" s="6" t="s">
        <v>74</v>
      </c>
      <c r="H18" s="24">
        <v>44393</v>
      </c>
      <c r="I18" s="24" t="s">
        <v>330</v>
      </c>
      <c r="J18" s="44">
        <v>0</v>
      </c>
      <c r="K18" s="52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84">
        <f t="shared" si="0"/>
        <v>0</v>
      </c>
      <c r="W18" s="84" t="e">
        <f t="shared" si="1"/>
        <v>#DIV/0!</v>
      </c>
      <c r="X18" s="50">
        <v>828</v>
      </c>
      <c r="Y18" s="50">
        <v>823</v>
      </c>
      <c r="Z18" s="50">
        <v>698</v>
      </c>
      <c r="AA18" s="50">
        <v>661</v>
      </c>
      <c r="AB18" s="50">
        <v>1041</v>
      </c>
      <c r="AC18" s="50">
        <v>1038</v>
      </c>
      <c r="AD18" s="50">
        <v>797</v>
      </c>
      <c r="AE18" s="50">
        <v>649</v>
      </c>
      <c r="AF18" s="50">
        <v>1082</v>
      </c>
      <c r="AG18" s="50">
        <v>1167</v>
      </c>
      <c r="AH18" s="50">
        <v>837</v>
      </c>
      <c r="AI18" s="50">
        <v>496</v>
      </c>
      <c r="AJ18" s="50">
        <f t="shared" si="2"/>
        <v>843.08333333333337</v>
      </c>
      <c r="AK18" s="50">
        <f t="shared" si="3"/>
        <v>843.08333333333337</v>
      </c>
    </row>
    <row r="19" spans="1:37" s="30" customFormat="1" x14ac:dyDescent="0.3">
      <c r="A19" s="5" t="s">
        <v>13</v>
      </c>
      <c r="B19" s="2"/>
      <c r="C19" s="4">
        <v>3062400004</v>
      </c>
      <c r="D19" s="88" t="s">
        <v>349</v>
      </c>
      <c r="E19" s="2" t="s">
        <v>11</v>
      </c>
      <c r="F19" s="2" t="s">
        <v>9</v>
      </c>
      <c r="G19" s="2" t="s">
        <v>92</v>
      </c>
      <c r="H19" s="24">
        <v>44397</v>
      </c>
      <c r="I19" s="24" t="s">
        <v>330</v>
      </c>
      <c r="J19" s="43">
        <v>1032</v>
      </c>
      <c r="K19" s="54">
        <v>1282</v>
      </c>
      <c r="L19" s="65">
        <v>1015</v>
      </c>
      <c r="M19" s="65">
        <v>401</v>
      </c>
      <c r="N19" s="65">
        <v>635</v>
      </c>
      <c r="O19" s="65">
        <v>1194</v>
      </c>
      <c r="P19" s="65">
        <v>1173</v>
      </c>
      <c r="Q19" s="65">
        <v>307</v>
      </c>
      <c r="R19" s="65">
        <v>394</v>
      </c>
      <c r="S19" s="65">
        <v>256</v>
      </c>
      <c r="T19" s="65">
        <v>182</v>
      </c>
      <c r="U19" s="65">
        <v>199</v>
      </c>
      <c r="V19" s="84">
        <f t="shared" si="0"/>
        <v>672.5</v>
      </c>
      <c r="W19" s="84">
        <f t="shared" si="1"/>
        <v>672.5</v>
      </c>
      <c r="X19" s="65">
        <v>262</v>
      </c>
      <c r="Y19" s="65">
        <v>515</v>
      </c>
      <c r="Z19" s="65">
        <v>923</v>
      </c>
      <c r="AA19" s="65">
        <v>466</v>
      </c>
      <c r="AB19" s="65">
        <v>605</v>
      </c>
      <c r="AC19" s="65">
        <v>907</v>
      </c>
      <c r="AD19" s="65">
        <v>993</v>
      </c>
      <c r="AE19" s="65">
        <v>862</v>
      </c>
      <c r="AF19" s="65">
        <v>881</v>
      </c>
      <c r="AG19" s="65">
        <v>484</v>
      </c>
      <c r="AH19" s="65">
        <v>314</v>
      </c>
      <c r="AI19" s="65">
        <v>281</v>
      </c>
      <c r="AJ19" s="50">
        <f t="shared" si="2"/>
        <v>624.41666666666663</v>
      </c>
      <c r="AK19" s="50">
        <f t="shared" si="3"/>
        <v>624.41666666666663</v>
      </c>
    </row>
    <row r="20" spans="1:37" x14ac:dyDescent="0.3">
      <c r="A20" s="86" t="s">
        <v>26</v>
      </c>
      <c r="B20" s="6"/>
      <c r="C20" s="8">
        <v>3131911004</v>
      </c>
      <c r="D20" s="86" t="s">
        <v>350</v>
      </c>
      <c r="E20" s="6" t="s">
        <v>16</v>
      </c>
      <c r="F20" s="6" t="s">
        <v>9</v>
      </c>
      <c r="G20" s="6" t="s">
        <v>82</v>
      </c>
      <c r="H20" s="24">
        <v>44397</v>
      </c>
      <c r="I20" s="24" t="s">
        <v>330</v>
      </c>
      <c r="J20" s="44">
        <v>0</v>
      </c>
      <c r="K20" s="52">
        <v>0</v>
      </c>
      <c r="L20" s="50">
        <v>0</v>
      </c>
      <c r="M20" s="50">
        <v>326</v>
      </c>
      <c r="N20" s="50">
        <v>540</v>
      </c>
      <c r="O20" s="50">
        <v>745</v>
      </c>
      <c r="P20" s="50">
        <v>733</v>
      </c>
      <c r="Q20" s="50">
        <v>709</v>
      </c>
      <c r="R20" s="50">
        <v>768</v>
      </c>
      <c r="S20" s="50">
        <v>623</v>
      </c>
      <c r="T20" s="50">
        <v>645</v>
      </c>
      <c r="U20" s="50">
        <v>578</v>
      </c>
      <c r="V20" s="84">
        <f t="shared" si="0"/>
        <v>472.25</v>
      </c>
      <c r="W20" s="84">
        <f t="shared" si="1"/>
        <v>629.66666666666663</v>
      </c>
      <c r="X20" s="50">
        <v>769</v>
      </c>
      <c r="Y20" s="50">
        <v>991</v>
      </c>
      <c r="Z20" s="50">
        <v>704</v>
      </c>
      <c r="AA20" s="50">
        <v>580</v>
      </c>
      <c r="AB20" s="50">
        <v>838</v>
      </c>
      <c r="AC20" s="50">
        <v>996</v>
      </c>
      <c r="AD20" s="50">
        <v>1165</v>
      </c>
      <c r="AE20" s="50">
        <v>1057</v>
      </c>
      <c r="AF20" s="50">
        <v>975</v>
      </c>
      <c r="AG20" s="50">
        <v>821</v>
      </c>
      <c r="AH20" s="50">
        <v>749</v>
      </c>
      <c r="AI20" s="50">
        <v>615</v>
      </c>
      <c r="AJ20" s="50">
        <f t="shared" si="2"/>
        <v>855</v>
      </c>
      <c r="AK20" s="50">
        <f t="shared" si="3"/>
        <v>855</v>
      </c>
    </row>
    <row r="21" spans="1:37" x14ac:dyDescent="0.3">
      <c r="A21" s="87" t="s">
        <v>24</v>
      </c>
      <c r="B21" s="6"/>
      <c r="C21" s="8">
        <v>3010174002</v>
      </c>
      <c r="D21" s="86" t="s">
        <v>351</v>
      </c>
      <c r="E21" s="6" t="s">
        <v>11</v>
      </c>
      <c r="F21" s="6" t="s">
        <v>9</v>
      </c>
      <c r="G21" s="6" t="s">
        <v>25</v>
      </c>
      <c r="H21" s="24">
        <v>44398</v>
      </c>
      <c r="I21" s="24" t="s">
        <v>330</v>
      </c>
      <c r="J21" s="44"/>
      <c r="K21" s="52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415</v>
      </c>
      <c r="T21" s="50">
        <v>429</v>
      </c>
      <c r="U21" s="50">
        <v>443</v>
      </c>
      <c r="V21" s="84">
        <f t="shared" si="0"/>
        <v>117</v>
      </c>
      <c r="W21" s="84">
        <f t="shared" si="1"/>
        <v>429</v>
      </c>
      <c r="X21" s="50">
        <v>682</v>
      </c>
      <c r="Y21" s="50">
        <v>641</v>
      </c>
      <c r="Z21" s="50">
        <v>658</v>
      </c>
      <c r="AA21" s="50">
        <v>441</v>
      </c>
      <c r="AB21" s="50">
        <v>556</v>
      </c>
      <c r="AC21" s="50">
        <v>1327</v>
      </c>
      <c r="AD21" s="50">
        <v>944</v>
      </c>
      <c r="AE21" s="50">
        <v>601</v>
      </c>
      <c r="AF21" s="50">
        <v>737</v>
      </c>
      <c r="AG21" s="50">
        <v>737</v>
      </c>
      <c r="AH21" s="50">
        <v>655</v>
      </c>
      <c r="AI21" s="50">
        <v>685</v>
      </c>
      <c r="AJ21" s="50">
        <f t="shared" si="2"/>
        <v>722</v>
      </c>
      <c r="AK21" s="50">
        <f t="shared" si="3"/>
        <v>722</v>
      </c>
    </row>
    <row r="22" spans="1:37" x14ac:dyDescent="0.3">
      <c r="A22" s="87" t="s">
        <v>26</v>
      </c>
      <c r="B22" s="6"/>
      <c r="C22" s="8">
        <v>3130548000</v>
      </c>
      <c r="D22" s="86" t="s">
        <v>352</v>
      </c>
      <c r="E22" s="6" t="s">
        <v>16</v>
      </c>
      <c r="F22" s="6" t="s">
        <v>9</v>
      </c>
      <c r="G22" s="6" t="s">
        <v>78</v>
      </c>
      <c r="H22" s="24">
        <v>44398</v>
      </c>
      <c r="I22" s="24" t="s">
        <v>330</v>
      </c>
      <c r="J22" s="44">
        <v>2241</v>
      </c>
      <c r="K22" s="52">
        <v>2494</v>
      </c>
      <c r="L22" s="50">
        <v>1381</v>
      </c>
      <c r="M22" s="50">
        <v>1124</v>
      </c>
      <c r="N22" s="50">
        <v>965</v>
      </c>
      <c r="O22" s="50">
        <v>1288</v>
      </c>
      <c r="P22" s="50">
        <v>1039</v>
      </c>
      <c r="Q22" s="50">
        <v>1264</v>
      </c>
      <c r="R22" s="50">
        <v>1206</v>
      </c>
      <c r="S22" s="50">
        <v>1200</v>
      </c>
      <c r="T22" s="50">
        <v>1255</v>
      </c>
      <c r="U22" s="50">
        <v>1614</v>
      </c>
      <c r="V22" s="84">
        <f t="shared" si="0"/>
        <v>1422.5833333333333</v>
      </c>
      <c r="W22" s="84">
        <f t="shared" si="1"/>
        <v>1422.5833333333333</v>
      </c>
      <c r="X22" s="50">
        <v>1717</v>
      </c>
      <c r="Y22" s="50">
        <v>1738</v>
      </c>
      <c r="Z22" s="50">
        <v>1347</v>
      </c>
      <c r="AA22" s="50">
        <v>888</v>
      </c>
      <c r="AB22" s="50">
        <v>1130</v>
      </c>
      <c r="AC22" s="50">
        <v>1273</v>
      </c>
      <c r="AD22" s="50">
        <v>1902</v>
      </c>
      <c r="AE22" s="50">
        <v>1753</v>
      </c>
      <c r="AF22" s="50">
        <v>1394</v>
      </c>
      <c r="AG22" s="50">
        <v>966</v>
      </c>
      <c r="AH22" s="50">
        <v>1697</v>
      </c>
      <c r="AI22" s="50">
        <v>1326</v>
      </c>
      <c r="AJ22" s="50">
        <f t="shared" si="2"/>
        <v>1427.5833333333333</v>
      </c>
      <c r="AK22" s="50">
        <f t="shared" si="3"/>
        <v>1427.5833333333333</v>
      </c>
    </row>
    <row r="23" spans="1:37" x14ac:dyDescent="0.3">
      <c r="A23" s="88" t="s">
        <v>7</v>
      </c>
      <c r="B23" s="2"/>
      <c r="C23" s="4">
        <v>3012241001</v>
      </c>
      <c r="D23" s="88" t="s">
        <v>353</v>
      </c>
      <c r="E23" s="2" t="s">
        <v>11</v>
      </c>
      <c r="F23" s="2" t="s">
        <v>9</v>
      </c>
      <c r="G23" s="2" t="s">
        <v>20</v>
      </c>
      <c r="H23" s="24">
        <v>44399</v>
      </c>
      <c r="I23" s="24" t="s">
        <v>330</v>
      </c>
      <c r="J23" s="43">
        <v>1236</v>
      </c>
      <c r="K23" s="52">
        <v>1155</v>
      </c>
      <c r="L23" s="50">
        <v>1051</v>
      </c>
      <c r="M23" s="50">
        <v>629</v>
      </c>
      <c r="N23" s="50">
        <v>650</v>
      </c>
      <c r="O23" s="50">
        <v>652</v>
      </c>
      <c r="P23" s="50">
        <v>859</v>
      </c>
      <c r="Q23" s="50">
        <v>671</v>
      </c>
      <c r="R23" s="50">
        <v>615</v>
      </c>
      <c r="S23" s="50">
        <v>479</v>
      </c>
      <c r="T23" s="50">
        <v>474</v>
      </c>
      <c r="U23" s="50">
        <v>909</v>
      </c>
      <c r="V23" s="84">
        <f t="shared" ref="V23:V86" si="4">AVERAGE(J23:U23)</f>
        <v>781.66666666666663</v>
      </c>
      <c r="W23" s="84">
        <f t="shared" ref="W23:W86" si="5">AVERAGEIF(J23:U23,"&lt;&gt;0")</f>
        <v>781.66666666666663</v>
      </c>
      <c r="X23" s="50">
        <v>1232</v>
      </c>
      <c r="Y23" s="50">
        <v>1156</v>
      </c>
      <c r="Z23" s="50">
        <v>1015</v>
      </c>
      <c r="AA23" s="50">
        <v>839</v>
      </c>
      <c r="AB23" s="50">
        <v>1107</v>
      </c>
      <c r="AC23" s="50">
        <v>1749</v>
      </c>
      <c r="AD23" s="50">
        <v>1450</v>
      </c>
      <c r="AE23" s="50">
        <v>1241</v>
      </c>
      <c r="AF23" s="50">
        <v>1355</v>
      </c>
      <c r="AG23" s="50">
        <v>1004</v>
      </c>
      <c r="AH23" s="50">
        <v>715</v>
      </c>
      <c r="AI23" s="50">
        <v>1026</v>
      </c>
      <c r="AJ23" s="50">
        <f t="shared" si="2"/>
        <v>1157.4166666666667</v>
      </c>
      <c r="AK23" s="50">
        <f t="shared" si="3"/>
        <v>1157.4166666666667</v>
      </c>
    </row>
    <row r="24" spans="1:37" x14ac:dyDescent="0.3">
      <c r="A24" s="34" t="s">
        <v>13</v>
      </c>
      <c r="B24" s="2"/>
      <c r="C24" s="4">
        <v>3040859000</v>
      </c>
      <c r="D24" s="88" t="s">
        <v>354</v>
      </c>
      <c r="E24" s="2" t="s">
        <v>11</v>
      </c>
      <c r="F24" s="2" t="s">
        <v>9</v>
      </c>
      <c r="G24" s="2" t="s">
        <v>59</v>
      </c>
      <c r="H24" s="24">
        <v>44403</v>
      </c>
      <c r="I24" s="24" t="s">
        <v>330</v>
      </c>
      <c r="J24" s="43">
        <v>540</v>
      </c>
      <c r="K24" s="52">
        <v>640</v>
      </c>
      <c r="L24" s="50">
        <v>474</v>
      </c>
      <c r="M24" s="50">
        <v>346</v>
      </c>
      <c r="N24" s="50">
        <v>344</v>
      </c>
      <c r="O24" s="50">
        <v>386</v>
      </c>
      <c r="P24" s="50">
        <v>365</v>
      </c>
      <c r="Q24" s="50">
        <v>322</v>
      </c>
      <c r="R24" s="50">
        <v>320</v>
      </c>
      <c r="S24" s="50">
        <v>322</v>
      </c>
      <c r="T24" s="50">
        <v>389</v>
      </c>
      <c r="U24" s="50">
        <v>424</v>
      </c>
      <c r="V24" s="84">
        <f t="shared" si="4"/>
        <v>406</v>
      </c>
      <c r="W24" s="84">
        <f t="shared" si="5"/>
        <v>406</v>
      </c>
      <c r="X24" s="50">
        <v>485</v>
      </c>
      <c r="Y24" s="50">
        <v>393</v>
      </c>
      <c r="Z24" s="50">
        <v>540</v>
      </c>
      <c r="AA24" s="50">
        <v>341</v>
      </c>
      <c r="AB24" s="50">
        <v>317</v>
      </c>
      <c r="AC24" s="50">
        <v>456</v>
      </c>
      <c r="AD24" s="50">
        <v>518</v>
      </c>
      <c r="AE24" s="50">
        <v>361</v>
      </c>
      <c r="AF24" s="50">
        <v>355</v>
      </c>
      <c r="AG24" s="50">
        <v>354</v>
      </c>
      <c r="AH24" s="50">
        <v>322</v>
      </c>
      <c r="AI24" s="50">
        <v>319</v>
      </c>
      <c r="AJ24" s="50">
        <f t="shared" si="2"/>
        <v>396.75</v>
      </c>
      <c r="AK24" s="50">
        <f t="shared" si="3"/>
        <v>396.75</v>
      </c>
    </row>
    <row r="25" spans="1:37" x14ac:dyDescent="0.3">
      <c r="A25" s="87" t="s">
        <v>26</v>
      </c>
      <c r="B25" s="6"/>
      <c r="C25" s="8">
        <v>3020142000</v>
      </c>
      <c r="D25" s="86" t="s">
        <v>337</v>
      </c>
      <c r="E25" s="6" t="s">
        <v>11</v>
      </c>
      <c r="F25" s="6" t="s">
        <v>9</v>
      </c>
      <c r="G25" s="6" t="s">
        <v>31</v>
      </c>
      <c r="H25" s="24">
        <v>44407</v>
      </c>
      <c r="I25" s="24" t="s">
        <v>330</v>
      </c>
      <c r="J25" s="44">
        <v>307</v>
      </c>
      <c r="K25" s="52">
        <v>477</v>
      </c>
      <c r="L25" s="50">
        <v>427</v>
      </c>
      <c r="M25" s="50">
        <v>325</v>
      </c>
      <c r="N25" s="50">
        <v>475</v>
      </c>
      <c r="O25" s="50">
        <v>406</v>
      </c>
      <c r="P25" s="50">
        <v>403</v>
      </c>
      <c r="Q25" s="50">
        <v>399</v>
      </c>
      <c r="R25" s="50">
        <v>386</v>
      </c>
      <c r="S25" s="50">
        <v>247</v>
      </c>
      <c r="T25" s="50">
        <v>353</v>
      </c>
      <c r="U25" s="50">
        <v>338</v>
      </c>
      <c r="V25" s="84">
        <f t="shared" si="4"/>
        <v>378.58333333333331</v>
      </c>
      <c r="W25" s="84">
        <f t="shared" si="5"/>
        <v>378.58333333333331</v>
      </c>
      <c r="X25" s="50">
        <v>352</v>
      </c>
      <c r="Y25" s="50">
        <v>452</v>
      </c>
      <c r="Z25" s="50">
        <v>521</v>
      </c>
      <c r="AA25" s="50">
        <v>406</v>
      </c>
      <c r="AB25" s="50">
        <v>540</v>
      </c>
      <c r="AC25" s="50">
        <v>485</v>
      </c>
      <c r="AD25" s="50">
        <v>465</v>
      </c>
      <c r="AE25" s="50">
        <v>502</v>
      </c>
      <c r="AF25" s="50">
        <v>314</v>
      </c>
      <c r="AG25" s="50">
        <v>156</v>
      </c>
      <c r="AH25" s="50">
        <v>413</v>
      </c>
      <c r="AI25" s="50">
        <v>345</v>
      </c>
      <c r="AJ25" s="50">
        <f t="shared" si="2"/>
        <v>412.58333333333331</v>
      </c>
      <c r="AK25" s="50">
        <f t="shared" si="3"/>
        <v>412.58333333333331</v>
      </c>
    </row>
    <row r="26" spans="1:37" x14ac:dyDescent="0.3">
      <c r="A26" s="87" t="s">
        <v>26</v>
      </c>
      <c r="B26" s="6"/>
      <c r="C26" s="8">
        <v>3131435001</v>
      </c>
      <c r="D26" s="86" t="s">
        <v>355</v>
      </c>
      <c r="E26" s="6" t="s">
        <v>16</v>
      </c>
      <c r="F26" s="6" t="s">
        <v>9</v>
      </c>
      <c r="G26" s="6" t="s">
        <v>80</v>
      </c>
      <c r="H26" s="24">
        <v>44407</v>
      </c>
      <c r="I26" s="24" t="s">
        <v>330</v>
      </c>
      <c r="J26" s="44">
        <v>390</v>
      </c>
      <c r="K26" s="52">
        <v>460</v>
      </c>
      <c r="L26" s="50">
        <v>378</v>
      </c>
      <c r="M26" s="50">
        <v>312</v>
      </c>
      <c r="N26" s="50">
        <v>449</v>
      </c>
      <c r="O26" s="50">
        <v>620</v>
      </c>
      <c r="P26" s="50">
        <v>512</v>
      </c>
      <c r="Q26" s="50">
        <v>423</v>
      </c>
      <c r="R26" s="50">
        <v>471</v>
      </c>
      <c r="S26" s="50">
        <v>405</v>
      </c>
      <c r="T26" s="50">
        <v>380</v>
      </c>
      <c r="U26" s="50">
        <v>392</v>
      </c>
      <c r="V26" s="84">
        <f t="shared" si="4"/>
        <v>432.66666666666669</v>
      </c>
      <c r="W26" s="84">
        <f t="shared" si="5"/>
        <v>432.66666666666669</v>
      </c>
      <c r="X26" s="50">
        <v>398</v>
      </c>
      <c r="Y26" s="50">
        <v>488</v>
      </c>
      <c r="Z26" s="50">
        <v>281</v>
      </c>
      <c r="AA26" s="50">
        <v>367</v>
      </c>
      <c r="AB26" s="50">
        <v>476</v>
      </c>
      <c r="AC26" s="50">
        <v>548</v>
      </c>
      <c r="AD26" s="50">
        <v>566</v>
      </c>
      <c r="AE26" s="50">
        <v>461</v>
      </c>
      <c r="AF26" s="50">
        <v>444</v>
      </c>
      <c r="AG26" s="50">
        <v>431</v>
      </c>
      <c r="AH26" s="50">
        <v>419</v>
      </c>
      <c r="AI26" s="50">
        <v>406</v>
      </c>
      <c r="AJ26" s="50">
        <f t="shared" si="2"/>
        <v>440.41666666666669</v>
      </c>
      <c r="AK26" s="50">
        <f t="shared" si="3"/>
        <v>440.41666666666669</v>
      </c>
    </row>
    <row r="27" spans="1:37" x14ac:dyDescent="0.3">
      <c r="A27" s="67" t="s">
        <v>13</v>
      </c>
      <c r="B27" s="68"/>
      <c r="C27" s="69">
        <v>3050616002</v>
      </c>
      <c r="D27" s="101" t="s">
        <v>356</v>
      </c>
      <c r="E27" s="68" t="s">
        <v>11</v>
      </c>
      <c r="F27" s="68" t="s">
        <v>9</v>
      </c>
      <c r="G27" s="68" t="s">
        <v>40</v>
      </c>
      <c r="H27" s="24">
        <v>44418</v>
      </c>
      <c r="I27" s="24" t="s">
        <v>330</v>
      </c>
      <c r="J27" s="66">
        <v>1008</v>
      </c>
      <c r="K27" s="66">
        <v>866</v>
      </c>
      <c r="L27" s="66">
        <v>527</v>
      </c>
      <c r="M27" s="66">
        <v>482</v>
      </c>
      <c r="N27" s="66">
        <v>470</v>
      </c>
      <c r="O27" s="66">
        <v>445</v>
      </c>
      <c r="P27" s="66">
        <v>404</v>
      </c>
      <c r="Q27" s="66">
        <v>392</v>
      </c>
      <c r="R27" s="66">
        <v>456</v>
      </c>
      <c r="S27" s="66">
        <v>490</v>
      </c>
      <c r="T27" s="66">
        <v>609</v>
      </c>
      <c r="U27" s="66">
        <v>890</v>
      </c>
      <c r="V27" s="84">
        <f t="shared" si="4"/>
        <v>586.58333333333337</v>
      </c>
      <c r="W27" s="84">
        <f t="shared" si="5"/>
        <v>586.58333333333337</v>
      </c>
      <c r="X27" s="66">
        <v>859</v>
      </c>
      <c r="Y27" s="66">
        <v>893</v>
      </c>
      <c r="Z27" s="66">
        <v>651</v>
      </c>
      <c r="AA27" s="66">
        <v>501</v>
      </c>
      <c r="AB27" s="66">
        <v>467</v>
      </c>
      <c r="AC27" s="66">
        <v>470</v>
      </c>
      <c r="AD27" s="66">
        <v>430</v>
      </c>
      <c r="AE27" s="66">
        <v>467</v>
      </c>
      <c r="AF27" s="66">
        <v>490</v>
      </c>
      <c r="AG27" s="50">
        <v>462</v>
      </c>
      <c r="AH27" s="50">
        <v>802</v>
      </c>
      <c r="AI27" s="50">
        <v>745</v>
      </c>
      <c r="AJ27" s="50">
        <f t="shared" si="2"/>
        <v>603.08333333333337</v>
      </c>
      <c r="AK27" s="50">
        <f t="shared" si="3"/>
        <v>603.08333333333337</v>
      </c>
    </row>
    <row r="28" spans="1:37" x14ac:dyDescent="0.3">
      <c r="A28" s="88" t="s">
        <v>7</v>
      </c>
      <c r="B28" s="2"/>
      <c r="C28" s="4">
        <v>3062480000</v>
      </c>
      <c r="D28" s="88" t="s">
        <v>357</v>
      </c>
      <c r="E28" s="2" t="s">
        <v>11</v>
      </c>
      <c r="F28" s="2" t="s">
        <v>9</v>
      </c>
      <c r="G28" s="2" t="s">
        <v>67</v>
      </c>
      <c r="H28" s="24">
        <v>44420</v>
      </c>
      <c r="I28" s="24" t="s">
        <v>330</v>
      </c>
      <c r="J28" s="43">
        <v>1880</v>
      </c>
      <c r="K28" s="56">
        <v>2009</v>
      </c>
      <c r="L28" s="50">
        <v>1005</v>
      </c>
      <c r="M28" s="50">
        <v>945</v>
      </c>
      <c r="N28" s="50">
        <v>1209</v>
      </c>
      <c r="O28" s="50">
        <v>1421</v>
      </c>
      <c r="P28" s="50">
        <v>1334</v>
      </c>
      <c r="Q28" s="50">
        <v>1421</v>
      </c>
      <c r="R28" s="50">
        <v>997</v>
      </c>
      <c r="S28" s="50">
        <v>836</v>
      </c>
      <c r="T28" s="50">
        <v>1551</v>
      </c>
      <c r="U28" s="50">
        <v>1629</v>
      </c>
      <c r="V28" s="84">
        <f t="shared" si="4"/>
        <v>1353.0833333333333</v>
      </c>
      <c r="W28" s="84">
        <f t="shared" si="5"/>
        <v>1353.0833333333333</v>
      </c>
      <c r="X28" s="50">
        <v>1601</v>
      </c>
      <c r="Y28" s="50">
        <v>1804</v>
      </c>
      <c r="Z28" s="50">
        <v>1092</v>
      </c>
      <c r="AA28" s="50">
        <v>668</v>
      </c>
      <c r="AB28" s="50">
        <v>1079</v>
      </c>
      <c r="AC28" s="50">
        <v>1304</v>
      </c>
      <c r="AD28" s="50">
        <v>1111</v>
      </c>
      <c r="AE28" s="50">
        <v>1156</v>
      </c>
      <c r="AF28" s="50">
        <v>895</v>
      </c>
      <c r="AG28" s="50">
        <v>903</v>
      </c>
      <c r="AH28" s="50">
        <v>1495</v>
      </c>
      <c r="AI28" s="50">
        <v>1636</v>
      </c>
      <c r="AJ28" s="50">
        <f t="shared" si="2"/>
        <v>1228.6666666666667</v>
      </c>
      <c r="AK28" s="50">
        <f t="shared" si="3"/>
        <v>1228.6666666666667</v>
      </c>
    </row>
    <row r="29" spans="1:37" x14ac:dyDescent="0.3">
      <c r="A29" s="86" t="s">
        <v>26</v>
      </c>
      <c r="B29" s="6"/>
      <c r="C29" s="8">
        <v>3040465001</v>
      </c>
      <c r="D29" s="86" t="s">
        <v>358</v>
      </c>
      <c r="E29" s="6" t="s">
        <v>11</v>
      </c>
      <c r="F29" s="6" t="s">
        <v>9</v>
      </c>
      <c r="G29" s="6" t="s">
        <v>44</v>
      </c>
      <c r="H29" s="24">
        <v>44427</v>
      </c>
      <c r="I29" s="24" t="s">
        <v>330</v>
      </c>
      <c r="J29" s="44">
        <v>422</v>
      </c>
      <c r="K29" s="56">
        <v>271</v>
      </c>
      <c r="L29" s="50">
        <v>205</v>
      </c>
      <c r="M29" s="50">
        <v>233</v>
      </c>
      <c r="N29" s="50">
        <v>252</v>
      </c>
      <c r="O29" s="50">
        <v>267</v>
      </c>
      <c r="P29" s="50">
        <v>282</v>
      </c>
      <c r="Q29" s="50">
        <v>293</v>
      </c>
      <c r="R29" s="50">
        <v>233</v>
      </c>
      <c r="S29" s="50">
        <v>209</v>
      </c>
      <c r="T29" s="50">
        <v>189</v>
      </c>
      <c r="U29" s="50">
        <v>247</v>
      </c>
      <c r="V29" s="84">
        <f t="shared" si="4"/>
        <v>258.58333333333331</v>
      </c>
      <c r="W29" s="84">
        <f t="shared" si="5"/>
        <v>258.58333333333331</v>
      </c>
      <c r="X29" s="50">
        <v>304</v>
      </c>
      <c r="Y29" s="50">
        <v>394</v>
      </c>
      <c r="Z29" s="50">
        <v>283</v>
      </c>
      <c r="AA29" s="50">
        <v>277</v>
      </c>
      <c r="AB29" s="50">
        <v>631</v>
      </c>
      <c r="AC29" s="50">
        <v>605</v>
      </c>
      <c r="AD29" s="50">
        <v>365</v>
      </c>
      <c r="AE29" s="50">
        <v>326</v>
      </c>
      <c r="AF29" s="50">
        <v>310</v>
      </c>
      <c r="AG29" s="50">
        <v>297</v>
      </c>
      <c r="AH29" s="50">
        <v>289</v>
      </c>
      <c r="AI29" s="50">
        <v>345</v>
      </c>
      <c r="AJ29" s="50">
        <f t="shared" si="2"/>
        <v>368.83333333333331</v>
      </c>
      <c r="AK29" s="50">
        <f t="shared" si="3"/>
        <v>368.83333333333331</v>
      </c>
    </row>
    <row r="30" spans="1:37" x14ac:dyDescent="0.3">
      <c r="A30" s="34" t="s">
        <v>13</v>
      </c>
      <c r="B30" s="2"/>
      <c r="C30" s="4">
        <v>3121487003</v>
      </c>
      <c r="D30" s="88" t="s">
        <v>359</v>
      </c>
      <c r="E30" s="2" t="s">
        <v>16</v>
      </c>
      <c r="F30" s="2" t="s">
        <v>9</v>
      </c>
      <c r="G30" s="2" t="s">
        <v>65</v>
      </c>
      <c r="H30" s="24">
        <v>44431</v>
      </c>
      <c r="I30" s="24" t="s">
        <v>330</v>
      </c>
      <c r="J30" s="43">
        <v>0</v>
      </c>
      <c r="K30" s="52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15</v>
      </c>
      <c r="V30" s="84">
        <f t="shared" si="4"/>
        <v>1.25</v>
      </c>
      <c r="W30" s="84">
        <f t="shared" si="5"/>
        <v>15</v>
      </c>
      <c r="X30" s="50">
        <v>297</v>
      </c>
      <c r="Y30" s="50">
        <v>230</v>
      </c>
      <c r="Z30" s="50">
        <v>443</v>
      </c>
      <c r="AA30" s="50">
        <v>756</v>
      </c>
      <c r="AB30" s="50">
        <v>1378</v>
      </c>
      <c r="AC30" s="50">
        <v>1832</v>
      </c>
      <c r="AD30" s="50">
        <v>1908</v>
      </c>
      <c r="AE30" s="50">
        <v>1386</v>
      </c>
      <c r="AF30" s="50">
        <v>985</v>
      </c>
      <c r="AG30" s="50">
        <v>799</v>
      </c>
      <c r="AH30" s="50">
        <v>645</v>
      </c>
      <c r="AI30" s="50">
        <v>800</v>
      </c>
      <c r="AJ30" s="50">
        <f t="shared" si="2"/>
        <v>954.91666666666663</v>
      </c>
      <c r="AK30" s="50">
        <f t="shared" si="3"/>
        <v>954.91666666666663</v>
      </c>
    </row>
    <row r="31" spans="1:37" x14ac:dyDescent="0.3">
      <c r="A31" s="34" t="s">
        <v>13</v>
      </c>
      <c r="B31" s="2"/>
      <c r="C31" s="4">
        <v>3150567002</v>
      </c>
      <c r="D31" s="88" t="s">
        <v>334</v>
      </c>
      <c r="E31" s="2" t="s">
        <v>8</v>
      </c>
      <c r="F31" s="2" t="s">
        <v>9</v>
      </c>
      <c r="G31" s="2" t="s">
        <v>60</v>
      </c>
      <c r="H31" s="24">
        <v>44431</v>
      </c>
      <c r="I31" s="24" t="s">
        <v>330</v>
      </c>
      <c r="J31" s="43">
        <v>1136</v>
      </c>
      <c r="K31" s="52">
        <v>1168</v>
      </c>
      <c r="L31" s="50">
        <v>988</v>
      </c>
      <c r="M31" s="50">
        <v>643</v>
      </c>
      <c r="N31" s="50">
        <v>823</v>
      </c>
      <c r="O31" s="50">
        <v>707</v>
      </c>
      <c r="P31" s="50">
        <v>712</v>
      </c>
      <c r="Q31" s="50">
        <v>653</v>
      </c>
      <c r="R31" s="50">
        <v>621</v>
      </c>
      <c r="S31" s="50">
        <v>766</v>
      </c>
      <c r="T31" s="50">
        <v>1119</v>
      </c>
      <c r="U31" s="50">
        <v>1169</v>
      </c>
      <c r="V31" s="84">
        <f t="shared" si="4"/>
        <v>875.41666666666663</v>
      </c>
      <c r="W31" s="84">
        <f t="shared" si="5"/>
        <v>875.41666666666663</v>
      </c>
      <c r="X31" s="50">
        <v>1042</v>
      </c>
      <c r="Y31" s="50">
        <v>992</v>
      </c>
      <c r="Z31" s="50">
        <v>545</v>
      </c>
      <c r="AA31" s="50">
        <v>634</v>
      </c>
      <c r="AB31" s="50">
        <v>764</v>
      </c>
      <c r="AC31" s="50">
        <v>729</v>
      </c>
      <c r="AD31" s="50">
        <v>756</v>
      </c>
      <c r="AE31" s="50">
        <v>666</v>
      </c>
      <c r="AF31" s="50">
        <v>580</v>
      </c>
      <c r="AG31" s="50">
        <v>1528</v>
      </c>
      <c r="AH31" s="50">
        <v>1951</v>
      </c>
      <c r="AI31" s="50">
        <v>1768</v>
      </c>
      <c r="AJ31" s="50">
        <f t="shared" si="2"/>
        <v>996.25</v>
      </c>
      <c r="AK31" s="50">
        <f t="shared" si="3"/>
        <v>996.25</v>
      </c>
    </row>
    <row r="32" spans="1:37" x14ac:dyDescent="0.3">
      <c r="A32" s="86" t="s">
        <v>24</v>
      </c>
      <c r="B32" s="6"/>
      <c r="C32" s="8">
        <v>3080924002</v>
      </c>
      <c r="D32" s="86" t="s">
        <v>360</v>
      </c>
      <c r="E32" s="6" t="s">
        <v>11</v>
      </c>
      <c r="F32" s="6" t="s">
        <v>9</v>
      </c>
      <c r="G32" s="6" t="s">
        <v>50</v>
      </c>
      <c r="H32" s="24">
        <v>44432</v>
      </c>
      <c r="I32" s="24" t="s">
        <v>330</v>
      </c>
      <c r="J32" s="44">
        <v>0</v>
      </c>
      <c r="K32" s="55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367</v>
      </c>
      <c r="U32" s="50">
        <v>533</v>
      </c>
      <c r="V32" s="84">
        <f t="shared" si="4"/>
        <v>75</v>
      </c>
      <c r="W32" s="84">
        <f t="shared" si="5"/>
        <v>450</v>
      </c>
      <c r="X32" s="50">
        <v>686</v>
      </c>
      <c r="Y32" s="50">
        <v>895</v>
      </c>
      <c r="Z32" s="50">
        <v>928</v>
      </c>
      <c r="AA32" s="50">
        <v>2198</v>
      </c>
      <c r="AB32" s="50">
        <v>2196</v>
      </c>
      <c r="AC32" s="50">
        <v>2126</v>
      </c>
      <c r="AD32" s="50">
        <v>1340</v>
      </c>
      <c r="AE32" s="50">
        <v>1384</v>
      </c>
      <c r="AF32" s="50">
        <v>1544</v>
      </c>
      <c r="AG32" s="50">
        <v>1290</v>
      </c>
      <c r="AH32" s="50">
        <v>656</v>
      </c>
      <c r="AI32" s="50">
        <v>880</v>
      </c>
      <c r="AJ32" s="50">
        <f t="shared" si="2"/>
        <v>1343.5833333333333</v>
      </c>
      <c r="AK32" s="50">
        <f t="shared" si="3"/>
        <v>1343.5833333333333</v>
      </c>
    </row>
    <row r="33" spans="1:37" x14ac:dyDescent="0.3">
      <c r="A33" s="88" t="s">
        <v>7</v>
      </c>
      <c r="B33" s="2"/>
      <c r="C33" s="4">
        <v>3140412000</v>
      </c>
      <c r="D33" s="88" t="s">
        <v>361</v>
      </c>
      <c r="E33" s="2" t="s">
        <v>8</v>
      </c>
      <c r="F33" s="2" t="s">
        <v>9</v>
      </c>
      <c r="G33" s="2" t="s">
        <v>10</v>
      </c>
      <c r="H33" s="24">
        <v>44434</v>
      </c>
      <c r="I33" s="24" t="s">
        <v>330</v>
      </c>
      <c r="J33" s="43">
        <v>2980</v>
      </c>
      <c r="K33" s="55">
        <v>1967</v>
      </c>
      <c r="L33" s="50">
        <v>1988</v>
      </c>
      <c r="M33" s="50">
        <v>2315</v>
      </c>
      <c r="N33" s="50">
        <v>3333</v>
      </c>
      <c r="O33" s="50">
        <v>3187</v>
      </c>
      <c r="P33" s="50">
        <v>3579</v>
      </c>
      <c r="Q33" s="50">
        <v>2624</v>
      </c>
      <c r="R33" s="50">
        <v>1359</v>
      </c>
      <c r="S33" s="50">
        <v>1194</v>
      </c>
      <c r="T33" s="50">
        <v>2548</v>
      </c>
      <c r="U33" s="50">
        <v>2529</v>
      </c>
      <c r="V33" s="84">
        <f t="shared" si="4"/>
        <v>2466.9166666666665</v>
      </c>
      <c r="W33" s="84">
        <f t="shared" si="5"/>
        <v>2466.9166666666665</v>
      </c>
      <c r="X33" s="50">
        <v>2233</v>
      </c>
      <c r="Y33" s="50">
        <v>1852</v>
      </c>
      <c r="Z33" s="50">
        <v>1181</v>
      </c>
      <c r="AA33" s="50">
        <v>1469</v>
      </c>
      <c r="AB33" s="50">
        <v>1663</v>
      </c>
      <c r="AC33" s="50">
        <v>2003</v>
      </c>
      <c r="AD33" s="50">
        <v>1769</v>
      </c>
      <c r="AE33" s="50">
        <v>1268</v>
      </c>
      <c r="AF33" s="50">
        <v>978</v>
      </c>
      <c r="AG33" s="50">
        <v>1383</v>
      </c>
      <c r="AH33" s="50">
        <v>1376</v>
      </c>
      <c r="AI33" s="50">
        <v>1928</v>
      </c>
      <c r="AJ33" s="50">
        <f t="shared" si="2"/>
        <v>1591.9166666666667</v>
      </c>
      <c r="AK33" s="50">
        <f t="shared" si="3"/>
        <v>1591.9166666666667</v>
      </c>
    </row>
    <row r="34" spans="1:37" x14ac:dyDescent="0.3">
      <c r="A34" s="34" t="s">
        <v>13</v>
      </c>
      <c r="B34" s="2"/>
      <c r="C34" s="4">
        <v>3141115000</v>
      </c>
      <c r="D34" s="88" t="s">
        <v>362</v>
      </c>
      <c r="E34" s="2" t="s">
        <v>8</v>
      </c>
      <c r="F34" s="2" t="s">
        <v>9</v>
      </c>
      <c r="G34" s="2" t="s">
        <v>64</v>
      </c>
      <c r="H34" s="24">
        <v>44439</v>
      </c>
      <c r="I34" s="24" t="s">
        <v>330</v>
      </c>
      <c r="J34" s="43">
        <v>897</v>
      </c>
      <c r="K34" s="55">
        <v>673</v>
      </c>
      <c r="L34" s="50">
        <v>569</v>
      </c>
      <c r="M34" s="50">
        <v>697</v>
      </c>
      <c r="N34" s="50">
        <v>694</v>
      </c>
      <c r="O34" s="50">
        <v>746</v>
      </c>
      <c r="P34" s="50">
        <v>736</v>
      </c>
      <c r="Q34" s="50">
        <v>694</v>
      </c>
      <c r="R34" s="50">
        <v>564</v>
      </c>
      <c r="S34" s="50">
        <v>667</v>
      </c>
      <c r="T34" s="50">
        <v>755</v>
      </c>
      <c r="U34" s="50">
        <v>881</v>
      </c>
      <c r="V34" s="84">
        <f t="shared" si="4"/>
        <v>714.41666666666663</v>
      </c>
      <c r="W34" s="84">
        <f t="shared" si="5"/>
        <v>714.41666666666663</v>
      </c>
      <c r="X34" s="50">
        <v>823</v>
      </c>
      <c r="Y34" s="50">
        <v>698</v>
      </c>
      <c r="Z34" s="50">
        <v>593</v>
      </c>
      <c r="AA34" s="50">
        <v>603</v>
      </c>
      <c r="AB34" s="50">
        <v>591</v>
      </c>
      <c r="AC34" s="50">
        <v>834</v>
      </c>
      <c r="AD34" s="50">
        <v>683</v>
      </c>
      <c r="AE34" s="50">
        <v>685</v>
      </c>
      <c r="AF34" s="50">
        <v>639</v>
      </c>
      <c r="AG34" s="50">
        <v>523</v>
      </c>
      <c r="AH34" s="50">
        <v>572</v>
      </c>
      <c r="AI34" s="50">
        <v>804</v>
      </c>
      <c r="AJ34" s="50">
        <f t="shared" si="2"/>
        <v>670.66666666666663</v>
      </c>
      <c r="AK34" s="50">
        <f t="shared" si="3"/>
        <v>670.66666666666663</v>
      </c>
    </row>
    <row r="35" spans="1:37" x14ac:dyDescent="0.3">
      <c r="A35" s="88" t="s">
        <v>7</v>
      </c>
      <c r="B35" s="2"/>
      <c r="C35" s="4">
        <v>3031281001</v>
      </c>
      <c r="D35" s="88" t="s">
        <v>363</v>
      </c>
      <c r="E35" s="2" t="s">
        <v>11</v>
      </c>
      <c r="F35" s="2" t="s">
        <v>9</v>
      </c>
      <c r="G35" s="2" t="s">
        <v>62</v>
      </c>
      <c r="H35" s="24">
        <v>44440</v>
      </c>
      <c r="I35" s="24" t="s">
        <v>330</v>
      </c>
      <c r="J35" s="43">
        <v>0</v>
      </c>
      <c r="K35" s="55">
        <v>0</v>
      </c>
      <c r="L35" s="50">
        <v>0</v>
      </c>
      <c r="M35" s="50">
        <v>0</v>
      </c>
      <c r="N35" s="50">
        <v>0</v>
      </c>
      <c r="O35" s="50">
        <v>0</v>
      </c>
      <c r="P35" s="50">
        <v>398</v>
      </c>
      <c r="Q35" s="50">
        <v>633</v>
      </c>
      <c r="R35" s="50">
        <v>657</v>
      </c>
      <c r="S35" s="50">
        <v>799</v>
      </c>
      <c r="T35" s="50">
        <v>1064</v>
      </c>
      <c r="U35" s="50">
        <v>1198</v>
      </c>
      <c r="V35" s="84">
        <f t="shared" si="4"/>
        <v>395.75</v>
      </c>
      <c r="W35" s="84">
        <f t="shared" si="5"/>
        <v>791.5</v>
      </c>
      <c r="X35" s="50">
        <v>1189</v>
      </c>
      <c r="Y35" s="50">
        <v>820</v>
      </c>
      <c r="Z35" s="50">
        <v>754</v>
      </c>
      <c r="AA35" s="50">
        <v>1345</v>
      </c>
      <c r="AB35" s="50">
        <v>1376</v>
      </c>
      <c r="AC35" s="50">
        <v>923</v>
      </c>
      <c r="AD35" s="50">
        <v>735</v>
      </c>
      <c r="AE35" s="50">
        <v>895</v>
      </c>
      <c r="AF35" s="50">
        <v>891</v>
      </c>
      <c r="AG35" s="50">
        <v>729</v>
      </c>
      <c r="AH35" s="50">
        <v>892</v>
      </c>
      <c r="AI35" s="50">
        <v>1255</v>
      </c>
      <c r="AJ35" s="50">
        <f t="shared" si="2"/>
        <v>983.66666666666663</v>
      </c>
      <c r="AK35" s="50">
        <f t="shared" si="3"/>
        <v>983.66666666666663</v>
      </c>
    </row>
    <row r="36" spans="1:37" x14ac:dyDescent="0.3">
      <c r="A36" s="34" t="s">
        <v>13</v>
      </c>
      <c r="B36" s="2"/>
      <c r="C36" s="4">
        <v>3021760000</v>
      </c>
      <c r="D36" s="88" t="s">
        <v>364</v>
      </c>
      <c r="E36" s="2" t="s">
        <v>11</v>
      </c>
      <c r="F36" s="2" t="s">
        <v>9</v>
      </c>
      <c r="G36" s="2" t="s">
        <v>56</v>
      </c>
      <c r="H36" s="24">
        <v>44441</v>
      </c>
      <c r="I36" s="24" t="s">
        <v>330</v>
      </c>
      <c r="J36" s="43">
        <v>626</v>
      </c>
      <c r="K36" s="55">
        <v>640</v>
      </c>
      <c r="L36" s="50">
        <v>648</v>
      </c>
      <c r="M36" s="50">
        <v>828</v>
      </c>
      <c r="N36" s="50">
        <v>1122</v>
      </c>
      <c r="O36" s="50">
        <v>868</v>
      </c>
      <c r="P36" s="50">
        <v>968</v>
      </c>
      <c r="Q36" s="50">
        <v>538</v>
      </c>
      <c r="R36" s="50">
        <v>486</v>
      </c>
      <c r="S36" s="50">
        <v>516</v>
      </c>
      <c r="T36" s="50">
        <v>564</v>
      </c>
      <c r="U36" s="50">
        <v>576</v>
      </c>
      <c r="V36" s="84">
        <f t="shared" si="4"/>
        <v>698.33333333333337</v>
      </c>
      <c r="W36" s="84">
        <f t="shared" si="5"/>
        <v>698.33333333333337</v>
      </c>
      <c r="X36" s="50">
        <v>858</v>
      </c>
      <c r="Y36" s="50">
        <v>476</v>
      </c>
      <c r="Z36" s="50">
        <v>542</v>
      </c>
      <c r="AA36" s="50">
        <v>766</v>
      </c>
      <c r="AB36" s="50">
        <v>820</v>
      </c>
      <c r="AC36" s="50">
        <v>814</v>
      </c>
      <c r="AD36" s="50">
        <v>698</v>
      </c>
      <c r="AE36" s="50">
        <v>468</v>
      </c>
      <c r="AF36" s="50">
        <v>494</v>
      </c>
      <c r="AG36" s="50">
        <v>470</v>
      </c>
      <c r="AH36" s="50">
        <v>482</v>
      </c>
      <c r="AI36" s="50">
        <v>626</v>
      </c>
      <c r="AJ36" s="50">
        <f t="shared" si="2"/>
        <v>626.16666666666663</v>
      </c>
      <c r="AK36" s="50">
        <f t="shared" si="3"/>
        <v>626.16666666666663</v>
      </c>
    </row>
    <row r="37" spans="1:37" x14ac:dyDescent="0.3">
      <c r="A37" s="34" t="s">
        <v>13</v>
      </c>
      <c r="B37" s="2"/>
      <c r="C37" s="4">
        <v>3062396001</v>
      </c>
      <c r="D37" s="88" t="s">
        <v>365</v>
      </c>
      <c r="E37" s="2" t="s">
        <v>11</v>
      </c>
      <c r="F37" s="2" t="s">
        <v>9</v>
      </c>
      <c r="G37" s="2" t="s">
        <v>63</v>
      </c>
      <c r="H37" s="24">
        <v>44446</v>
      </c>
      <c r="I37" s="24" t="s">
        <v>330</v>
      </c>
      <c r="J37" s="43">
        <v>689</v>
      </c>
      <c r="K37" s="52">
        <v>651</v>
      </c>
      <c r="L37" s="50">
        <v>772</v>
      </c>
      <c r="M37" s="50">
        <v>973</v>
      </c>
      <c r="N37" s="50">
        <v>1170</v>
      </c>
      <c r="O37" s="50">
        <v>1057</v>
      </c>
      <c r="P37" s="50">
        <v>1053</v>
      </c>
      <c r="Q37" s="50">
        <v>638</v>
      </c>
      <c r="R37" s="50">
        <v>507</v>
      </c>
      <c r="S37" s="50">
        <v>574</v>
      </c>
      <c r="T37" s="50">
        <v>578</v>
      </c>
      <c r="U37" s="50">
        <v>637</v>
      </c>
      <c r="V37" s="84">
        <f t="shared" si="4"/>
        <v>774.91666666666663</v>
      </c>
      <c r="W37" s="84">
        <f t="shared" si="5"/>
        <v>774.91666666666663</v>
      </c>
      <c r="X37" s="50">
        <v>691</v>
      </c>
      <c r="Y37" s="50">
        <v>587</v>
      </c>
      <c r="Z37" s="50">
        <v>629</v>
      </c>
      <c r="AA37" s="50">
        <v>868</v>
      </c>
      <c r="AB37" s="50">
        <v>1042</v>
      </c>
      <c r="AC37" s="50">
        <v>1246</v>
      </c>
      <c r="AD37" s="50">
        <v>1075</v>
      </c>
      <c r="AE37" s="50">
        <v>688</v>
      </c>
      <c r="AF37" s="50">
        <v>616</v>
      </c>
      <c r="AG37" s="50">
        <v>517</v>
      </c>
      <c r="AH37" s="50">
        <v>648</v>
      </c>
      <c r="AI37" s="50">
        <v>884</v>
      </c>
      <c r="AJ37" s="50">
        <f t="shared" si="2"/>
        <v>790.91666666666663</v>
      </c>
      <c r="AK37" s="50">
        <f t="shared" si="3"/>
        <v>790.91666666666663</v>
      </c>
    </row>
    <row r="38" spans="1:37" x14ac:dyDescent="0.3">
      <c r="A38" s="86" t="s">
        <v>24</v>
      </c>
      <c r="B38" s="6"/>
      <c r="C38" s="8">
        <v>3011852000</v>
      </c>
      <c r="D38" s="86" t="s">
        <v>364</v>
      </c>
      <c r="E38" s="6" t="s">
        <v>11</v>
      </c>
      <c r="F38" s="6" t="s">
        <v>9</v>
      </c>
      <c r="G38" s="6" t="s">
        <v>28</v>
      </c>
      <c r="H38" s="24">
        <v>44449</v>
      </c>
      <c r="I38" s="24" t="s">
        <v>330</v>
      </c>
      <c r="J38" s="44">
        <v>736</v>
      </c>
      <c r="K38" s="55">
        <v>462</v>
      </c>
      <c r="L38" s="50">
        <v>540</v>
      </c>
      <c r="M38" s="50">
        <v>623</v>
      </c>
      <c r="N38" s="50">
        <v>836</v>
      </c>
      <c r="O38" s="50">
        <v>986</v>
      </c>
      <c r="P38" s="50">
        <v>1391</v>
      </c>
      <c r="Q38" s="50">
        <v>762</v>
      </c>
      <c r="R38" s="50">
        <v>540</v>
      </c>
      <c r="S38" s="50">
        <v>550</v>
      </c>
      <c r="T38" s="50">
        <v>599</v>
      </c>
      <c r="U38" s="50">
        <v>578</v>
      </c>
      <c r="V38" s="84">
        <f t="shared" si="4"/>
        <v>716.91666666666663</v>
      </c>
      <c r="W38" s="84">
        <f t="shared" si="5"/>
        <v>716.91666666666663</v>
      </c>
      <c r="X38" s="50">
        <v>799</v>
      </c>
      <c r="Y38" s="50">
        <v>536</v>
      </c>
      <c r="Z38" s="50">
        <v>610</v>
      </c>
      <c r="AA38" s="50">
        <v>831</v>
      </c>
      <c r="AB38" s="50">
        <v>928</v>
      </c>
      <c r="AC38" s="50">
        <v>662</v>
      </c>
      <c r="AD38" s="50">
        <v>757</v>
      </c>
      <c r="AE38" s="50">
        <v>946</v>
      </c>
      <c r="AF38" s="50">
        <v>828</v>
      </c>
      <c r="AG38" s="50">
        <v>771</v>
      </c>
      <c r="AH38" s="50">
        <v>734</v>
      </c>
      <c r="AI38" s="50">
        <v>1063</v>
      </c>
      <c r="AJ38" s="50">
        <f t="shared" si="2"/>
        <v>788.75</v>
      </c>
      <c r="AK38" s="50">
        <f t="shared" si="3"/>
        <v>788.75</v>
      </c>
    </row>
    <row r="39" spans="1:37" x14ac:dyDescent="0.3">
      <c r="A39" s="86" t="s">
        <v>26</v>
      </c>
      <c r="B39" s="6"/>
      <c r="C39" s="4">
        <v>3120684000</v>
      </c>
      <c r="D39" s="86" t="s">
        <v>366</v>
      </c>
      <c r="E39" s="6" t="s">
        <v>16</v>
      </c>
      <c r="F39" s="6" t="s">
        <v>9</v>
      </c>
      <c r="G39" s="6" t="s">
        <v>71</v>
      </c>
      <c r="H39" s="24">
        <v>44449</v>
      </c>
      <c r="I39" s="24" t="s">
        <v>330</v>
      </c>
      <c r="J39" s="44">
        <v>1236</v>
      </c>
      <c r="K39" s="56">
        <v>937</v>
      </c>
      <c r="L39" s="50">
        <v>860</v>
      </c>
      <c r="M39" s="50">
        <v>922</v>
      </c>
      <c r="N39" s="50">
        <v>844</v>
      </c>
      <c r="O39" s="50">
        <v>773</v>
      </c>
      <c r="P39" s="50">
        <v>811</v>
      </c>
      <c r="Q39" s="50">
        <v>571</v>
      </c>
      <c r="R39" s="50">
        <v>847</v>
      </c>
      <c r="S39" s="50">
        <v>1383</v>
      </c>
      <c r="T39" s="50">
        <v>1338</v>
      </c>
      <c r="U39" s="50">
        <v>1400</v>
      </c>
      <c r="V39" s="84">
        <f t="shared" si="4"/>
        <v>993.5</v>
      </c>
      <c r="W39" s="84">
        <f t="shared" si="5"/>
        <v>993.5</v>
      </c>
      <c r="X39" s="50">
        <v>1122</v>
      </c>
      <c r="Y39" s="50">
        <v>956</v>
      </c>
      <c r="Z39" s="50">
        <v>1684</v>
      </c>
      <c r="AA39" s="50">
        <v>1409</v>
      </c>
      <c r="AB39" s="50">
        <v>1696</v>
      </c>
      <c r="AC39" s="50">
        <v>1555</v>
      </c>
      <c r="AD39" s="50">
        <v>1372</v>
      </c>
      <c r="AE39" s="50">
        <v>1388</v>
      </c>
      <c r="AF39" s="50">
        <v>1275</v>
      </c>
      <c r="AG39" s="50">
        <v>1197</v>
      </c>
      <c r="AH39" s="50">
        <v>1532</v>
      </c>
      <c r="AI39" s="50">
        <v>1732</v>
      </c>
      <c r="AJ39" s="50">
        <f t="shared" si="2"/>
        <v>1409.8333333333333</v>
      </c>
      <c r="AK39" s="50">
        <f t="shared" si="3"/>
        <v>1409.8333333333333</v>
      </c>
    </row>
    <row r="40" spans="1:37" x14ac:dyDescent="0.3">
      <c r="A40" s="5" t="s">
        <v>13</v>
      </c>
      <c r="B40" s="2"/>
      <c r="C40" s="4">
        <v>3011718006</v>
      </c>
      <c r="D40" s="88" t="s">
        <v>367</v>
      </c>
      <c r="E40" s="2" t="s">
        <v>11</v>
      </c>
      <c r="F40" s="2" t="s">
        <v>9</v>
      </c>
      <c r="G40" s="2" t="s">
        <v>58</v>
      </c>
      <c r="H40" s="24">
        <v>44455</v>
      </c>
      <c r="I40" s="24" t="s">
        <v>330</v>
      </c>
      <c r="J40" s="43">
        <v>1037</v>
      </c>
      <c r="K40" s="55">
        <v>668</v>
      </c>
      <c r="L40" s="50">
        <v>493</v>
      </c>
      <c r="M40" s="50">
        <v>438</v>
      </c>
      <c r="N40" s="50">
        <v>398</v>
      </c>
      <c r="O40" s="50">
        <v>330</v>
      </c>
      <c r="P40" s="50">
        <v>387</v>
      </c>
      <c r="Q40" s="50">
        <v>327</v>
      </c>
      <c r="R40" s="50">
        <v>345</v>
      </c>
      <c r="S40" s="50">
        <v>637</v>
      </c>
      <c r="T40" s="50">
        <v>1050</v>
      </c>
      <c r="U40" s="50">
        <v>1076</v>
      </c>
      <c r="V40" s="84">
        <f t="shared" si="4"/>
        <v>598.83333333333337</v>
      </c>
      <c r="W40" s="84">
        <f t="shared" si="5"/>
        <v>598.83333333333337</v>
      </c>
      <c r="X40" s="50">
        <v>1250</v>
      </c>
      <c r="Y40" s="50">
        <v>774</v>
      </c>
      <c r="Z40" s="50">
        <v>496</v>
      </c>
      <c r="AA40" s="50">
        <v>400</v>
      </c>
      <c r="AB40" s="50">
        <v>393</v>
      </c>
      <c r="AC40" s="50">
        <v>365</v>
      </c>
      <c r="AD40" s="50">
        <v>385</v>
      </c>
      <c r="AE40" s="50">
        <v>319</v>
      </c>
      <c r="AF40" s="50">
        <v>315</v>
      </c>
      <c r="AG40" s="50">
        <v>681</v>
      </c>
      <c r="AH40" s="50">
        <v>945</v>
      </c>
      <c r="AI40" s="50">
        <v>1364</v>
      </c>
      <c r="AJ40" s="50">
        <f t="shared" si="2"/>
        <v>640.58333333333337</v>
      </c>
      <c r="AK40" s="50">
        <f t="shared" si="3"/>
        <v>640.58333333333337</v>
      </c>
    </row>
    <row r="41" spans="1:37" x14ac:dyDescent="0.3">
      <c r="A41" s="86" t="s">
        <v>26</v>
      </c>
      <c r="B41" s="6"/>
      <c r="C41" s="8">
        <v>3132533001</v>
      </c>
      <c r="D41" s="86" t="s">
        <v>352</v>
      </c>
      <c r="E41" s="6" t="s">
        <v>16</v>
      </c>
      <c r="F41" s="6" t="s">
        <v>9</v>
      </c>
      <c r="G41" s="6" t="s">
        <v>85</v>
      </c>
      <c r="H41" s="24">
        <v>44455</v>
      </c>
      <c r="I41" s="24" t="s">
        <v>330</v>
      </c>
      <c r="J41" s="44">
        <v>0</v>
      </c>
      <c r="K41" s="55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988</v>
      </c>
      <c r="T41" s="50">
        <v>1282</v>
      </c>
      <c r="U41" s="50">
        <v>1523</v>
      </c>
      <c r="V41" s="84">
        <f t="shared" si="4"/>
        <v>316.08333333333331</v>
      </c>
      <c r="W41" s="84">
        <f t="shared" si="5"/>
        <v>1264.3333333333333</v>
      </c>
      <c r="X41" s="50">
        <v>1388</v>
      </c>
      <c r="Y41" s="50">
        <v>883</v>
      </c>
      <c r="Z41" s="50">
        <v>1039</v>
      </c>
      <c r="AA41" s="50">
        <v>1210</v>
      </c>
      <c r="AB41" s="50">
        <v>727</v>
      </c>
      <c r="AC41" s="50">
        <v>1101</v>
      </c>
      <c r="AD41" s="50">
        <v>1674</v>
      </c>
      <c r="AE41" s="50">
        <v>1088</v>
      </c>
      <c r="AF41" s="50">
        <v>921</v>
      </c>
      <c r="AG41" s="50">
        <v>1042</v>
      </c>
      <c r="AH41" s="50">
        <v>1387</v>
      </c>
      <c r="AI41" s="50">
        <v>1342</v>
      </c>
      <c r="AJ41" s="50">
        <f t="shared" si="2"/>
        <v>1150.1666666666667</v>
      </c>
      <c r="AK41" s="50">
        <f t="shared" si="3"/>
        <v>1150.1666666666667</v>
      </c>
    </row>
    <row r="42" spans="1:37" x14ac:dyDescent="0.3">
      <c r="A42" s="86" t="s">
        <v>26</v>
      </c>
      <c r="B42" s="6"/>
      <c r="C42" s="8">
        <v>3020584003</v>
      </c>
      <c r="D42" s="86" t="s">
        <v>368</v>
      </c>
      <c r="E42" s="6" t="s">
        <v>11</v>
      </c>
      <c r="F42" s="6" t="s">
        <v>9</v>
      </c>
      <c r="G42" s="6" t="s">
        <v>41</v>
      </c>
      <c r="H42" s="24">
        <v>44456</v>
      </c>
      <c r="I42" s="24" t="s">
        <v>330</v>
      </c>
      <c r="J42" s="44">
        <v>972</v>
      </c>
      <c r="K42" s="55">
        <v>520</v>
      </c>
      <c r="L42" s="50">
        <v>384</v>
      </c>
      <c r="M42" s="50">
        <v>516</v>
      </c>
      <c r="N42" s="50">
        <v>577</v>
      </c>
      <c r="O42" s="50">
        <v>501</v>
      </c>
      <c r="P42" s="50">
        <v>560</v>
      </c>
      <c r="Q42" s="50">
        <v>405</v>
      </c>
      <c r="R42" s="50">
        <v>394</v>
      </c>
      <c r="S42" s="50">
        <v>561</v>
      </c>
      <c r="T42" s="50">
        <v>1077</v>
      </c>
      <c r="U42" s="50">
        <v>980</v>
      </c>
      <c r="V42" s="84">
        <f t="shared" si="4"/>
        <v>620.58333333333337</v>
      </c>
      <c r="W42" s="84">
        <f t="shared" si="5"/>
        <v>620.58333333333337</v>
      </c>
      <c r="X42" s="50">
        <v>1298</v>
      </c>
      <c r="Y42" s="50">
        <v>493</v>
      </c>
      <c r="Z42" s="50">
        <v>360</v>
      </c>
      <c r="AA42" s="50">
        <v>487</v>
      </c>
      <c r="AB42" s="50">
        <v>475</v>
      </c>
      <c r="AC42" s="50">
        <v>504</v>
      </c>
      <c r="AD42" s="50">
        <v>373</v>
      </c>
      <c r="AE42" s="50">
        <v>354</v>
      </c>
      <c r="AF42" s="50">
        <v>388</v>
      </c>
      <c r="AG42" s="50">
        <v>405</v>
      </c>
      <c r="AH42" s="50">
        <v>530</v>
      </c>
      <c r="AI42" s="50">
        <v>1025</v>
      </c>
      <c r="AJ42" s="50">
        <f t="shared" si="2"/>
        <v>557.66666666666663</v>
      </c>
      <c r="AK42" s="50">
        <f t="shared" si="3"/>
        <v>557.66666666666663</v>
      </c>
    </row>
    <row r="43" spans="1:37" x14ac:dyDescent="0.3">
      <c r="A43" s="86" t="s">
        <v>26</v>
      </c>
      <c r="B43" s="6"/>
      <c r="C43" s="8">
        <v>3140630000</v>
      </c>
      <c r="D43" s="86" t="s">
        <v>369</v>
      </c>
      <c r="E43" s="6" t="s">
        <v>8</v>
      </c>
      <c r="F43" s="6" t="s">
        <v>9</v>
      </c>
      <c r="G43" s="6" t="s">
        <v>87</v>
      </c>
      <c r="H43" s="24">
        <v>44461</v>
      </c>
      <c r="I43" s="24" t="s">
        <v>330</v>
      </c>
      <c r="J43" s="44">
        <v>566</v>
      </c>
      <c r="K43" s="55">
        <v>431</v>
      </c>
      <c r="L43" s="50">
        <v>426</v>
      </c>
      <c r="M43" s="50">
        <v>899</v>
      </c>
      <c r="N43" s="50">
        <v>820</v>
      </c>
      <c r="O43" s="50">
        <v>877</v>
      </c>
      <c r="P43" s="50">
        <v>699</v>
      </c>
      <c r="Q43" s="50">
        <v>390</v>
      </c>
      <c r="R43" s="50">
        <v>476</v>
      </c>
      <c r="S43" s="50">
        <v>591</v>
      </c>
      <c r="T43" s="50">
        <v>706</v>
      </c>
      <c r="U43" s="50">
        <v>877</v>
      </c>
      <c r="V43" s="84">
        <f t="shared" si="4"/>
        <v>646.5</v>
      </c>
      <c r="W43" s="84">
        <f t="shared" si="5"/>
        <v>646.5</v>
      </c>
      <c r="X43" s="50">
        <v>511</v>
      </c>
      <c r="Y43" s="50">
        <v>520</v>
      </c>
      <c r="Z43" s="50">
        <v>425</v>
      </c>
      <c r="AA43" s="50">
        <v>879</v>
      </c>
      <c r="AB43" s="50">
        <v>893</v>
      </c>
      <c r="AC43" s="50">
        <v>940</v>
      </c>
      <c r="AD43" s="50">
        <v>754</v>
      </c>
      <c r="AE43" s="50">
        <v>507</v>
      </c>
      <c r="AF43" s="50">
        <v>521</v>
      </c>
      <c r="AG43" s="50">
        <v>565</v>
      </c>
      <c r="AH43" s="50">
        <v>855</v>
      </c>
      <c r="AI43" s="50">
        <v>819</v>
      </c>
      <c r="AJ43" s="50">
        <f t="shared" si="2"/>
        <v>682.41666666666663</v>
      </c>
      <c r="AK43" s="50">
        <f t="shared" si="3"/>
        <v>682.41666666666663</v>
      </c>
    </row>
    <row r="44" spans="1:37" x14ac:dyDescent="0.3">
      <c r="A44" s="89" t="s">
        <v>7</v>
      </c>
      <c r="B44" s="2"/>
      <c r="C44" s="4">
        <v>3121819000</v>
      </c>
      <c r="D44" s="88" t="s">
        <v>370</v>
      </c>
      <c r="E44" s="2" t="s">
        <v>16</v>
      </c>
      <c r="F44" s="2" t="s">
        <v>9</v>
      </c>
      <c r="G44" s="2" t="s">
        <v>22</v>
      </c>
      <c r="H44" s="24">
        <v>44462</v>
      </c>
      <c r="I44" s="24" t="s">
        <v>330</v>
      </c>
      <c r="J44" s="43">
        <v>1463</v>
      </c>
      <c r="K44" s="52">
        <v>1237</v>
      </c>
      <c r="L44" s="50">
        <v>1183</v>
      </c>
      <c r="M44" s="50">
        <v>1869</v>
      </c>
      <c r="N44" s="50">
        <v>1628</v>
      </c>
      <c r="O44" s="50">
        <v>1404</v>
      </c>
      <c r="P44" s="50">
        <v>1452</v>
      </c>
      <c r="Q44" s="50">
        <v>1156</v>
      </c>
      <c r="R44" s="50">
        <v>1226</v>
      </c>
      <c r="S44" s="50">
        <v>1802</v>
      </c>
      <c r="T44" s="50">
        <v>1912</v>
      </c>
      <c r="U44" s="50">
        <v>2226</v>
      </c>
      <c r="V44" s="84">
        <f t="shared" si="4"/>
        <v>1546.5</v>
      </c>
      <c r="W44" s="84">
        <f t="shared" si="5"/>
        <v>1546.5</v>
      </c>
      <c r="X44" s="50">
        <v>1794</v>
      </c>
      <c r="Y44" s="50">
        <v>1385</v>
      </c>
      <c r="Z44" s="50">
        <v>1478</v>
      </c>
      <c r="AA44" s="50">
        <v>1901</v>
      </c>
      <c r="AB44" s="50">
        <v>1568</v>
      </c>
      <c r="AC44" s="50">
        <v>1065</v>
      </c>
      <c r="AD44" s="50">
        <v>1042</v>
      </c>
      <c r="AE44" s="50">
        <v>1074</v>
      </c>
      <c r="AF44" s="50">
        <v>1336</v>
      </c>
      <c r="AG44" s="50">
        <v>1491</v>
      </c>
      <c r="AH44" s="50">
        <v>1843</v>
      </c>
      <c r="AI44" s="50">
        <v>2118</v>
      </c>
      <c r="AJ44" s="50">
        <f t="shared" si="2"/>
        <v>1507.9166666666667</v>
      </c>
      <c r="AK44" s="50">
        <f t="shared" si="3"/>
        <v>1507.9166666666667</v>
      </c>
    </row>
    <row r="45" spans="1:37" x14ac:dyDescent="0.3">
      <c r="A45" s="87" t="s">
        <v>26</v>
      </c>
      <c r="B45" s="6"/>
      <c r="C45" s="8">
        <v>3131961001</v>
      </c>
      <c r="D45" s="86" t="s">
        <v>338</v>
      </c>
      <c r="E45" s="6" t="s">
        <v>16</v>
      </c>
      <c r="F45" s="6" t="s">
        <v>9</v>
      </c>
      <c r="G45" s="6" t="s">
        <v>83</v>
      </c>
      <c r="H45" s="24">
        <v>44463</v>
      </c>
      <c r="I45" s="24" t="s">
        <v>330</v>
      </c>
      <c r="J45" s="44">
        <v>494</v>
      </c>
      <c r="K45" s="53">
        <v>367</v>
      </c>
      <c r="L45" s="50">
        <v>410</v>
      </c>
      <c r="M45" s="50">
        <v>517</v>
      </c>
      <c r="N45" s="50">
        <v>450</v>
      </c>
      <c r="O45" s="50">
        <v>424</v>
      </c>
      <c r="P45" s="50">
        <v>434</v>
      </c>
      <c r="Q45" s="50">
        <v>483</v>
      </c>
      <c r="R45" s="50">
        <v>427</v>
      </c>
      <c r="S45" s="50">
        <v>554</v>
      </c>
      <c r="T45" s="50">
        <v>824</v>
      </c>
      <c r="U45" s="50">
        <v>774</v>
      </c>
      <c r="V45" s="84">
        <f t="shared" si="4"/>
        <v>513.16666666666663</v>
      </c>
      <c r="W45" s="84">
        <f t="shared" si="5"/>
        <v>513.16666666666663</v>
      </c>
      <c r="X45" s="50">
        <v>717</v>
      </c>
      <c r="Y45" s="50">
        <v>633</v>
      </c>
      <c r="Z45" s="50">
        <v>775</v>
      </c>
      <c r="AA45" s="50">
        <v>1018</v>
      </c>
      <c r="AB45" s="50">
        <v>1217</v>
      </c>
      <c r="AC45" s="50">
        <v>1146</v>
      </c>
      <c r="AD45" s="50">
        <v>739</v>
      </c>
      <c r="AE45" s="50">
        <v>652</v>
      </c>
      <c r="AF45" s="50">
        <v>822</v>
      </c>
      <c r="AG45" s="50">
        <v>577</v>
      </c>
      <c r="AH45" s="50">
        <v>884</v>
      </c>
      <c r="AI45" s="50">
        <v>860</v>
      </c>
      <c r="AJ45" s="50">
        <f t="shared" si="2"/>
        <v>836.66666666666663</v>
      </c>
      <c r="AK45" s="50">
        <f t="shared" si="3"/>
        <v>836.66666666666663</v>
      </c>
    </row>
    <row r="46" spans="1:37" x14ac:dyDescent="0.3">
      <c r="A46" s="87" t="s">
        <v>26</v>
      </c>
      <c r="B46" s="6"/>
      <c r="C46" s="8">
        <v>3052412005</v>
      </c>
      <c r="D46" s="86" t="s">
        <v>371</v>
      </c>
      <c r="E46" s="6" t="s">
        <v>11</v>
      </c>
      <c r="F46" s="6" t="s">
        <v>9</v>
      </c>
      <c r="G46" s="6" t="s">
        <v>12</v>
      </c>
      <c r="H46" s="24">
        <v>44469</v>
      </c>
      <c r="I46" s="24" t="s">
        <v>330</v>
      </c>
      <c r="J46" s="44">
        <v>0</v>
      </c>
      <c r="K46" s="53">
        <v>0</v>
      </c>
      <c r="L46" s="50">
        <v>0</v>
      </c>
      <c r="M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245</v>
      </c>
      <c r="U46" s="50">
        <v>1133</v>
      </c>
      <c r="V46" s="84">
        <f t="shared" si="4"/>
        <v>125.27272727272727</v>
      </c>
      <c r="W46" s="84">
        <f t="shared" si="5"/>
        <v>689</v>
      </c>
      <c r="X46" s="50">
        <v>1114</v>
      </c>
      <c r="Y46" s="50">
        <v>975</v>
      </c>
      <c r="Z46" s="50">
        <v>780</v>
      </c>
      <c r="AA46" s="50">
        <v>874</v>
      </c>
      <c r="AB46" s="50">
        <v>1739</v>
      </c>
      <c r="AC46" s="50">
        <v>1556</v>
      </c>
      <c r="AD46" s="50">
        <v>1667</v>
      </c>
      <c r="AE46" s="50">
        <v>1533</v>
      </c>
      <c r="AF46" s="50">
        <v>939</v>
      </c>
      <c r="AG46" s="50">
        <v>1139</v>
      </c>
      <c r="AH46" s="50">
        <v>1058</v>
      </c>
      <c r="AI46" s="50">
        <v>1180</v>
      </c>
      <c r="AJ46" s="50">
        <f t="shared" si="2"/>
        <v>1212.8333333333333</v>
      </c>
      <c r="AK46" s="50">
        <f t="shared" si="3"/>
        <v>1212.8333333333333</v>
      </c>
    </row>
    <row r="47" spans="1:37" x14ac:dyDescent="0.3">
      <c r="A47" s="87" t="s">
        <v>26</v>
      </c>
      <c r="B47" s="6"/>
      <c r="C47" s="8">
        <v>3021581000</v>
      </c>
      <c r="D47" s="86" t="s">
        <v>372</v>
      </c>
      <c r="E47" s="6" t="s">
        <v>16</v>
      </c>
      <c r="F47" s="6" t="s">
        <v>9</v>
      </c>
      <c r="G47" s="6" t="s">
        <v>42</v>
      </c>
      <c r="H47" s="24">
        <v>44470</v>
      </c>
      <c r="I47" s="24" t="s">
        <v>330</v>
      </c>
      <c r="J47" s="44">
        <v>910</v>
      </c>
      <c r="K47" s="52">
        <v>1052</v>
      </c>
      <c r="L47" s="50">
        <v>1374</v>
      </c>
      <c r="M47" s="50">
        <v>2508</v>
      </c>
      <c r="N47" s="50">
        <v>1294</v>
      </c>
      <c r="O47" s="50">
        <v>1138</v>
      </c>
      <c r="P47" s="50">
        <v>964</v>
      </c>
      <c r="Q47" s="50">
        <v>912</v>
      </c>
      <c r="R47" s="50">
        <v>972</v>
      </c>
      <c r="S47" s="50">
        <v>1008</v>
      </c>
      <c r="T47" s="50">
        <v>976</v>
      </c>
      <c r="U47" s="50">
        <v>1024</v>
      </c>
      <c r="V47" s="84">
        <f t="shared" si="4"/>
        <v>1177.6666666666667</v>
      </c>
      <c r="W47" s="84">
        <f t="shared" si="5"/>
        <v>1177.6666666666667</v>
      </c>
      <c r="X47" s="50">
        <v>904</v>
      </c>
      <c r="Y47" s="50">
        <v>1228</v>
      </c>
      <c r="Z47" s="50">
        <v>1434</v>
      </c>
      <c r="AA47" s="50">
        <v>1760</v>
      </c>
      <c r="AB47" s="50">
        <v>1320</v>
      </c>
      <c r="AC47" s="50">
        <v>1164</v>
      </c>
      <c r="AD47" s="50">
        <v>926</v>
      </c>
      <c r="AE47" s="50">
        <v>744</v>
      </c>
      <c r="AF47" s="50">
        <v>604</v>
      </c>
      <c r="AG47" s="50">
        <v>612</v>
      </c>
      <c r="AH47" s="50">
        <v>870</v>
      </c>
      <c r="AI47" s="50">
        <v>744</v>
      </c>
      <c r="AJ47" s="50">
        <f t="shared" si="2"/>
        <v>1025.8333333333333</v>
      </c>
      <c r="AK47" s="50">
        <f t="shared" si="3"/>
        <v>1025.8333333333333</v>
      </c>
    </row>
    <row r="48" spans="1:37" x14ac:dyDescent="0.3">
      <c r="A48" s="5" t="s">
        <v>13</v>
      </c>
      <c r="B48" s="2"/>
      <c r="C48" s="4">
        <v>3041644000</v>
      </c>
      <c r="D48" s="88" t="s">
        <v>373</v>
      </c>
      <c r="E48" s="2" t="s">
        <v>11</v>
      </c>
      <c r="F48" s="2" t="s">
        <v>9</v>
      </c>
      <c r="G48" s="2" t="s">
        <v>61</v>
      </c>
      <c r="H48" s="24">
        <v>44473</v>
      </c>
      <c r="I48" s="24" t="s">
        <v>330</v>
      </c>
      <c r="J48" s="43">
        <v>200</v>
      </c>
      <c r="K48" s="52">
        <v>186</v>
      </c>
      <c r="L48" s="50">
        <v>718</v>
      </c>
      <c r="M48" s="50">
        <v>1584</v>
      </c>
      <c r="N48" s="50">
        <v>1632</v>
      </c>
      <c r="O48" s="50">
        <v>1606</v>
      </c>
      <c r="P48" s="50">
        <v>476</v>
      </c>
      <c r="Q48" s="50">
        <v>164</v>
      </c>
      <c r="R48" s="50">
        <v>506</v>
      </c>
      <c r="S48" s="50">
        <v>704</v>
      </c>
      <c r="T48" s="50">
        <v>382</v>
      </c>
      <c r="U48" s="50">
        <v>920</v>
      </c>
      <c r="V48" s="84">
        <f t="shared" si="4"/>
        <v>756.5</v>
      </c>
      <c r="W48" s="84">
        <f t="shared" si="5"/>
        <v>756.5</v>
      </c>
      <c r="X48" s="50">
        <v>728</v>
      </c>
      <c r="Y48" s="50">
        <v>1092</v>
      </c>
      <c r="Z48" s="50">
        <v>1644</v>
      </c>
      <c r="AA48" s="50">
        <v>2322</v>
      </c>
      <c r="AB48" s="50">
        <v>2578</v>
      </c>
      <c r="AC48" s="50">
        <v>1850</v>
      </c>
      <c r="AD48" s="50">
        <v>1218</v>
      </c>
      <c r="AE48" s="50">
        <v>688</v>
      </c>
      <c r="AF48" s="50">
        <v>514</v>
      </c>
      <c r="AG48" s="50">
        <v>360</v>
      </c>
      <c r="AH48" s="50">
        <v>352</v>
      </c>
      <c r="AI48" s="50">
        <v>300</v>
      </c>
      <c r="AJ48" s="50">
        <f t="shared" si="2"/>
        <v>1137.1666666666667</v>
      </c>
      <c r="AK48" s="50">
        <f t="shared" si="3"/>
        <v>1137.1666666666667</v>
      </c>
    </row>
    <row r="49" spans="1:37" x14ac:dyDescent="0.3">
      <c r="A49" s="87" t="s">
        <v>26</v>
      </c>
      <c r="B49" s="6"/>
      <c r="C49" s="8">
        <v>3062459002</v>
      </c>
      <c r="D49" s="86" t="s">
        <v>365</v>
      </c>
      <c r="E49" s="6" t="s">
        <v>11</v>
      </c>
      <c r="F49" s="6" t="s">
        <v>9</v>
      </c>
      <c r="G49" s="6" t="s">
        <v>49</v>
      </c>
      <c r="H49" s="24">
        <v>44473</v>
      </c>
      <c r="I49" s="24" t="s">
        <v>330</v>
      </c>
      <c r="J49" s="44">
        <v>456</v>
      </c>
      <c r="K49" s="52">
        <v>466</v>
      </c>
      <c r="L49" s="50">
        <v>622</v>
      </c>
      <c r="M49" s="50">
        <v>667</v>
      </c>
      <c r="N49" s="50">
        <v>500</v>
      </c>
      <c r="O49" s="50">
        <v>502</v>
      </c>
      <c r="P49" s="50">
        <v>514</v>
      </c>
      <c r="Q49" s="50">
        <v>553</v>
      </c>
      <c r="R49" s="50">
        <v>898</v>
      </c>
      <c r="S49" s="50">
        <v>1097</v>
      </c>
      <c r="T49" s="50">
        <v>1553</v>
      </c>
      <c r="U49" s="50">
        <v>1685</v>
      </c>
      <c r="V49" s="84">
        <f t="shared" si="4"/>
        <v>792.75</v>
      </c>
      <c r="W49" s="84">
        <f t="shared" si="5"/>
        <v>792.75</v>
      </c>
      <c r="X49" s="50">
        <v>1040</v>
      </c>
      <c r="Y49" s="50">
        <v>1021</v>
      </c>
      <c r="Z49" s="50">
        <v>1048</v>
      </c>
      <c r="AA49" s="50">
        <v>674</v>
      </c>
      <c r="AB49" s="50">
        <v>535</v>
      </c>
      <c r="AC49" s="50">
        <v>746</v>
      </c>
      <c r="AD49" s="50">
        <v>561</v>
      </c>
      <c r="AE49" s="50">
        <v>461</v>
      </c>
      <c r="AF49" s="50">
        <v>624</v>
      </c>
      <c r="AG49" s="50">
        <v>1098</v>
      </c>
      <c r="AH49" s="50">
        <v>1834</v>
      </c>
      <c r="AI49" s="50">
        <v>927</v>
      </c>
      <c r="AJ49" s="50">
        <f t="shared" si="2"/>
        <v>880.75</v>
      </c>
      <c r="AK49" s="50">
        <f t="shared" si="3"/>
        <v>880.75</v>
      </c>
    </row>
    <row r="50" spans="1:37" x14ac:dyDescent="0.3">
      <c r="A50" s="34" t="s">
        <v>13</v>
      </c>
      <c r="B50" s="2"/>
      <c r="C50" s="4">
        <v>3021632001</v>
      </c>
      <c r="D50" s="88" t="s">
        <v>374</v>
      </c>
      <c r="E50" s="2" t="s">
        <v>11</v>
      </c>
      <c r="F50" s="2" t="s">
        <v>9</v>
      </c>
      <c r="G50" s="2" t="s">
        <v>36</v>
      </c>
      <c r="H50" s="24">
        <v>44474</v>
      </c>
      <c r="I50" s="24" t="s">
        <v>330</v>
      </c>
      <c r="J50" s="43">
        <v>0</v>
      </c>
      <c r="K50" s="52">
        <v>0</v>
      </c>
      <c r="L50" s="50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278</v>
      </c>
      <c r="S50" s="50">
        <v>826</v>
      </c>
      <c r="T50" s="50">
        <v>966</v>
      </c>
      <c r="U50" s="50">
        <v>898</v>
      </c>
      <c r="V50" s="84">
        <f t="shared" si="4"/>
        <v>247.33333333333334</v>
      </c>
      <c r="W50" s="84">
        <f t="shared" si="5"/>
        <v>742</v>
      </c>
      <c r="X50" s="50">
        <v>842</v>
      </c>
      <c r="Y50" s="50">
        <v>1216</v>
      </c>
      <c r="Z50" s="50">
        <v>2362</v>
      </c>
      <c r="AA50" s="50">
        <v>1824</v>
      </c>
      <c r="AB50" s="50">
        <v>328</v>
      </c>
      <c r="AC50" s="50">
        <v>420</v>
      </c>
      <c r="AD50" s="50">
        <v>378</v>
      </c>
      <c r="AE50" s="50">
        <v>454</v>
      </c>
      <c r="AF50" s="50">
        <v>652</v>
      </c>
      <c r="AG50" s="50">
        <v>776</v>
      </c>
      <c r="AH50" s="50">
        <v>984</v>
      </c>
      <c r="AI50" s="50">
        <v>698</v>
      </c>
      <c r="AJ50" s="50">
        <f t="shared" si="2"/>
        <v>911.16666666666663</v>
      </c>
      <c r="AK50" s="50">
        <f t="shared" si="3"/>
        <v>911.16666666666663</v>
      </c>
    </row>
    <row r="51" spans="1:37" x14ac:dyDescent="0.3">
      <c r="A51" s="5" t="s">
        <v>13</v>
      </c>
      <c r="B51" s="2"/>
      <c r="C51" s="4">
        <v>3121314001</v>
      </c>
      <c r="D51" s="88" t="s">
        <v>375</v>
      </c>
      <c r="E51" s="2" t="s">
        <v>16</v>
      </c>
      <c r="F51" s="2" t="s">
        <v>9</v>
      </c>
      <c r="G51" s="2" t="s">
        <v>34</v>
      </c>
      <c r="H51" s="24">
        <v>44480</v>
      </c>
      <c r="I51" s="24" t="s">
        <v>330</v>
      </c>
      <c r="J51" s="43">
        <v>45</v>
      </c>
      <c r="K51" s="52">
        <v>81</v>
      </c>
      <c r="L51" s="50">
        <v>202</v>
      </c>
      <c r="M51" s="50">
        <v>480</v>
      </c>
      <c r="N51" s="50">
        <v>604</v>
      </c>
      <c r="O51" s="50">
        <v>472</v>
      </c>
      <c r="P51" s="50">
        <v>95</v>
      </c>
      <c r="Q51" s="50">
        <v>16</v>
      </c>
      <c r="R51" s="50">
        <v>41</v>
      </c>
      <c r="S51" s="50">
        <v>41</v>
      </c>
      <c r="T51" s="50">
        <v>37</v>
      </c>
      <c r="U51" s="50">
        <v>36</v>
      </c>
      <c r="V51" s="84">
        <f t="shared" si="4"/>
        <v>179.16666666666666</v>
      </c>
      <c r="W51" s="84">
        <f t="shared" si="5"/>
        <v>179.16666666666666</v>
      </c>
      <c r="X51" s="50">
        <v>28</v>
      </c>
      <c r="Y51" s="50">
        <v>402</v>
      </c>
      <c r="Z51" s="50">
        <v>1549</v>
      </c>
      <c r="AA51" s="50">
        <v>2173</v>
      </c>
      <c r="AB51" s="50">
        <v>2101</v>
      </c>
      <c r="AC51" s="50">
        <v>1121</v>
      </c>
      <c r="AD51" s="50">
        <v>741</v>
      </c>
      <c r="AE51" s="50">
        <v>680</v>
      </c>
      <c r="AF51" s="50">
        <v>382</v>
      </c>
      <c r="AG51" s="50">
        <v>620</v>
      </c>
      <c r="AH51" s="50">
        <v>745</v>
      </c>
      <c r="AI51" s="50">
        <v>563</v>
      </c>
      <c r="AJ51" s="50">
        <f t="shared" si="2"/>
        <v>925.41666666666663</v>
      </c>
      <c r="AK51" s="50">
        <f t="shared" si="3"/>
        <v>925.41666666666663</v>
      </c>
    </row>
    <row r="52" spans="1:37" x14ac:dyDescent="0.3">
      <c r="A52" s="87" t="s">
        <v>26</v>
      </c>
      <c r="B52" s="6"/>
      <c r="C52" s="8">
        <v>3132480000</v>
      </c>
      <c r="D52" s="86" t="s">
        <v>376</v>
      </c>
      <c r="E52" s="6" t="s">
        <v>16</v>
      </c>
      <c r="F52" s="6" t="s">
        <v>9</v>
      </c>
      <c r="G52" s="6" t="s">
        <v>55</v>
      </c>
      <c r="H52" s="24">
        <v>44480</v>
      </c>
      <c r="I52" s="24" t="s">
        <v>330</v>
      </c>
      <c r="J52" s="44">
        <v>667</v>
      </c>
      <c r="K52" s="53">
        <v>716</v>
      </c>
      <c r="L52" s="50">
        <v>981</v>
      </c>
      <c r="M52" s="50">
        <v>868</v>
      </c>
      <c r="N52" s="50">
        <v>836</v>
      </c>
      <c r="O52" s="50">
        <v>844</v>
      </c>
      <c r="P52" s="50">
        <v>705</v>
      </c>
      <c r="Q52" s="50">
        <v>768</v>
      </c>
      <c r="R52" s="50">
        <v>1071</v>
      </c>
      <c r="S52" s="50">
        <v>1191</v>
      </c>
      <c r="T52" s="50">
        <v>1227</v>
      </c>
      <c r="U52" s="50">
        <v>960</v>
      </c>
      <c r="V52" s="84">
        <f t="shared" si="4"/>
        <v>902.83333333333337</v>
      </c>
      <c r="W52" s="84">
        <f t="shared" si="5"/>
        <v>902.83333333333337</v>
      </c>
      <c r="X52" s="50">
        <v>690</v>
      </c>
      <c r="Y52" s="50">
        <v>755</v>
      </c>
      <c r="Z52" s="50">
        <v>769</v>
      </c>
      <c r="AA52" s="50">
        <v>1016</v>
      </c>
      <c r="AB52" s="50">
        <v>854</v>
      </c>
      <c r="AC52" s="50">
        <v>854</v>
      </c>
      <c r="AD52" s="50">
        <v>778</v>
      </c>
      <c r="AE52" s="50">
        <v>897</v>
      </c>
      <c r="AF52" s="50">
        <v>840</v>
      </c>
      <c r="AG52" s="50">
        <v>1310</v>
      </c>
      <c r="AH52" s="50">
        <v>1291</v>
      </c>
      <c r="AI52" s="50">
        <v>880</v>
      </c>
      <c r="AJ52" s="50">
        <f t="shared" si="2"/>
        <v>911.16666666666663</v>
      </c>
      <c r="AK52" s="50">
        <f t="shared" si="3"/>
        <v>911.16666666666663</v>
      </c>
    </row>
    <row r="53" spans="1:37" x14ac:dyDescent="0.3">
      <c r="A53" s="87" t="s">
        <v>26</v>
      </c>
      <c r="B53" s="6"/>
      <c r="C53" s="8">
        <v>3131705000</v>
      </c>
      <c r="D53" s="86" t="s">
        <v>377</v>
      </c>
      <c r="E53" s="6" t="s">
        <v>16</v>
      </c>
      <c r="F53" s="6" t="s">
        <v>9</v>
      </c>
      <c r="G53" s="6" t="s">
        <v>81</v>
      </c>
      <c r="H53" s="24">
        <v>44481</v>
      </c>
      <c r="I53" s="24" t="s">
        <v>330</v>
      </c>
      <c r="J53" s="44">
        <v>490</v>
      </c>
      <c r="K53" s="52">
        <v>491</v>
      </c>
      <c r="L53" s="50">
        <v>797</v>
      </c>
      <c r="M53" s="50">
        <v>890</v>
      </c>
      <c r="N53" s="50">
        <v>534</v>
      </c>
      <c r="O53" s="50">
        <v>485</v>
      </c>
      <c r="P53" s="50">
        <v>400</v>
      </c>
      <c r="Q53" s="50">
        <v>482</v>
      </c>
      <c r="R53" s="50">
        <v>828</v>
      </c>
      <c r="S53" s="50">
        <v>747</v>
      </c>
      <c r="T53" s="50">
        <v>910</v>
      </c>
      <c r="U53" s="50">
        <v>1047</v>
      </c>
      <c r="V53" s="84">
        <f t="shared" si="4"/>
        <v>675.08333333333337</v>
      </c>
      <c r="W53" s="84">
        <f t="shared" si="5"/>
        <v>675.08333333333337</v>
      </c>
      <c r="X53" s="50">
        <v>758</v>
      </c>
      <c r="Y53" s="50">
        <v>1130</v>
      </c>
      <c r="Z53" s="50">
        <v>1224</v>
      </c>
      <c r="AA53" s="50">
        <v>793</v>
      </c>
      <c r="AB53" s="50">
        <v>1338</v>
      </c>
      <c r="AC53" s="50">
        <v>1524</v>
      </c>
      <c r="AD53" s="50">
        <v>967</v>
      </c>
      <c r="AE53" s="50">
        <v>847</v>
      </c>
      <c r="AF53" s="50">
        <v>737</v>
      </c>
      <c r="AG53" s="50">
        <v>794</v>
      </c>
      <c r="AH53" s="50">
        <v>829</v>
      </c>
      <c r="AI53" s="50">
        <v>889</v>
      </c>
      <c r="AJ53" s="50">
        <f t="shared" si="2"/>
        <v>985.83333333333337</v>
      </c>
      <c r="AK53" s="50">
        <f t="shared" si="3"/>
        <v>985.83333333333337</v>
      </c>
    </row>
    <row r="54" spans="1:37" x14ac:dyDescent="0.3">
      <c r="A54" s="87" t="s">
        <v>26</v>
      </c>
      <c r="B54" s="6"/>
      <c r="C54" s="8">
        <v>3131913002</v>
      </c>
      <c r="D54" s="86" t="s">
        <v>350</v>
      </c>
      <c r="E54" s="6" t="s">
        <v>16</v>
      </c>
      <c r="F54" s="6" t="s">
        <v>9</v>
      </c>
      <c r="G54" s="6" t="s">
        <v>82</v>
      </c>
      <c r="H54" s="24">
        <v>44487</v>
      </c>
      <c r="I54" s="24" t="s">
        <v>330</v>
      </c>
      <c r="J54" s="44">
        <v>624</v>
      </c>
      <c r="K54" s="52">
        <v>783</v>
      </c>
      <c r="L54" s="50">
        <v>790</v>
      </c>
      <c r="M54" s="50">
        <v>754</v>
      </c>
      <c r="N54" s="50">
        <v>608</v>
      </c>
      <c r="O54" s="50">
        <v>737</v>
      </c>
      <c r="P54" s="50">
        <v>609</v>
      </c>
      <c r="Q54" s="50">
        <v>641</v>
      </c>
      <c r="R54" s="50">
        <v>673</v>
      </c>
      <c r="S54" s="50">
        <v>682</v>
      </c>
      <c r="T54" s="50">
        <v>717</v>
      </c>
      <c r="U54" s="50">
        <v>722</v>
      </c>
      <c r="V54" s="84">
        <f t="shared" si="4"/>
        <v>695</v>
      </c>
      <c r="W54" s="84">
        <f t="shared" si="5"/>
        <v>695</v>
      </c>
      <c r="X54" s="50">
        <v>766</v>
      </c>
      <c r="Y54" s="50">
        <v>862</v>
      </c>
      <c r="Z54" s="50">
        <v>1195</v>
      </c>
      <c r="AA54" s="50">
        <v>2311</v>
      </c>
      <c r="AB54" s="50">
        <v>1930</v>
      </c>
      <c r="AC54" s="50">
        <v>1792</v>
      </c>
      <c r="AD54" s="50">
        <v>1319</v>
      </c>
      <c r="AE54" s="50">
        <v>1195</v>
      </c>
      <c r="AF54" s="50">
        <v>972</v>
      </c>
      <c r="AG54" s="50">
        <v>1228</v>
      </c>
      <c r="AH54" s="50">
        <v>1068</v>
      </c>
      <c r="AI54" s="50">
        <v>998</v>
      </c>
      <c r="AJ54" s="50">
        <f t="shared" si="2"/>
        <v>1303</v>
      </c>
      <c r="AK54" s="50">
        <f t="shared" si="3"/>
        <v>1303</v>
      </c>
    </row>
    <row r="55" spans="1:37" x14ac:dyDescent="0.3">
      <c r="A55" s="34" t="s">
        <v>13</v>
      </c>
      <c r="B55" s="2"/>
      <c r="C55" s="4">
        <v>3092548000</v>
      </c>
      <c r="D55" s="88" t="s">
        <v>378</v>
      </c>
      <c r="E55" s="2" t="s">
        <v>11</v>
      </c>
      <c r="F55" s="2" t="s">
        <v>9</v>
      </c>
      <c r="G55" s="2" t="s">
        <v>21</v>
      </c>
      <c r="H55" s="24">
        <v>44494</v>
      </c>
      <c r="I55" s="24" t="s">
        <v>330</v>
      </c>
      <c r="J55" s="43">
        <v>291</v>
      </c>
      <c r="K55" s="52">
        <v>392</v>
      </c>
      <c r="L55" s="50">
        <v>699</v>
      </c>
      <c r="M55" s="50">
        <v>716</v>
      </c>
      <c r="N55" s="50">
        <v>827</v>
      </c>
      <c r="O55" s="50">
        <v>726</v>
      </c>
      <c r="P55" s="50">
        <v>383</v>
      </c>
      <c r="Q55" s="50">
        <v>388</v>
      </c>
      <c r="R55" s="50">
        <v>367</v>
      </c>
      <c r="S55" s="50">
        <v>401</v>
      </c>
      <c r="T55" s="50">
        <v>359</v>
      </c>
      <c r="U55" s="50">
        <v>366</v>
      </c>
      <c r="V55" s="84">
        <f t="shared" si="4"/>
        <v>492.91666666666669</v>
      </c>
      <c r="W55" s="84">
        <f t="shared" si="5"/>
        <v>492.91666666666669</v>
      </c>
      <c r="X55" s="50">
        <v>302</v>
      </c>
      <c r="Y55" s="50">
        <v>350</v>
      </c>
      <c r="Z55" s="50">
        <v>563</v>
      </c>
      <c r="AA55" s="50">
        <v>841</v>
      </c>
      <c r="AB55" s="50">
        <v>816</v>
      </c>
      <c r="AC55" s="50">
        <v>593</v>
      </c>
      <c r="AD55" s="50">
        <v>436</v>
      </c>
      <c r="AE55" s="50">
        <v>393</v>
      </c>
      <c r="AF55" s="50">
        <v>519</v>
      </c>
      <c r="AG55" s="50">
        <v>730</v>
      </c>
      <c r="AH55" s="50">
        <v>781</v>
      </c>
      <c r="AI55" s="50">
        <v>575</v>
      </c>
      <c r="AJ55" s="50">
        <f t="shared" si="2"/>
        <v>574.91666666666663</v>
      </c>
      <c r="AK55" s="50">
        <f t="shared" si="3"/>
        <v>574.91666666666663</v>
      </c>
    </row>
    <row r="56" spans="1:37" x14ac:dyDescent="0.3">
      <c r="A56" s="87" t="s">
        <v>188</v>
      </c>
      <c r="B56" s="6"/>
      <c r="C56" s="8">
        <v>3140559001</v>
      </c>
      <c r="D56" s="86" t="s">
        <v>379</v>
      </c>
      <c r="E56" s="6" t="s">
        <v>8</v>
      </c>
      <c r="F56" s="6" t="s">
        <v>9</v>
      </c>
      <c r="G56" s="6" t="s">
        <v>189</v>
      </c>
      <c r="H56" s="24">
        <v>44495</v>
      </c>
      <c r="I56" s="24" t="s">
        <v>330</v>
      </c>
      <c r="J56" s="44">
        <v>636</v>
      </c>
      <c r="K56" s="70">
        <v>747</v>
      </c>
      <c r="L56" s="57">
        <v>868</v>
      </c>
      <c r="M56" s="50">
        <v>839</v>
      </c>
      <c r="N56" s="50">
        <v>817</v>
      </c>
      <c r="O56" s="50">
        <v>796</v>
      </c>
      <c r="P56" s="50">
        <v>667</v>
      </c>
      <c r="Q56" s="50">
        <v>753</v>
      </c>
      <c r="R56" s="50">
        <v>929</v>
      </c>
      <c r="S56" s="50">
        <v>1001</v>
      </c>
      <c r="T56" s="50">
        <v>1075</v>
      </c>
      <c r="U56" s="50">
        <v>788</v>
      </c>
      <c r="V56" s="84">
        <f t="shared" si="4"/>
        <v>826.33333333333337</v>
      </c>
      <c r="W56" s="84">
        <f t="shared" si="5"/>
        <v>826.33333333333337</v>
      </c>
      <c r="X56" s="50">
        <v>719</v>
      </c>
      <c r="Y56" s="50">
        <v>689</v>
      </c>
      <c r="Z56" s="50">
        <v>889</v>
      </c>
      <c r="AA56" s="50">
        <v>1138</v>
      </c>
      <c r="AB56" s="50">
        <v>880</v>
      </c>
      <c r="AC56" s="50">
        <v>809</v>
      </c>
      <c r="AD56" s="50">
        <v>778</v>
      </c>
      <c r="AE56" s="50">
        <v>804</v>
      </c>
      <c r="AF56" s="50">
        <v>785</v>
      </c>
      <c r="AG56" s="50">
        <v>1134</v>
      </c>
      <c r="AH56" s="50">
        <v>1009</v>
      </c>
      <c r="AI56" s="50">
        <v>827</v>
      </c>
      <c r="AJ56" s="50">
        <f t="shared" si="2"/>
        <v>871.75</v>
      </c>
      <c r="AK56" s="50">
        <f t="shared" si="3"/>
        <v>871.75</v>
      </c>
    </row>
    <row r="57" spans="1:37" x14ac:dyDescent="0.3">
      <c r="A57" s="88" t="s">
        <v>7</v>
      </c>
      <c r="B57" s="2"/>
      <c r="C57" s="4">
        <v>3011962000</v>
      </c>
      <c r="D57" s="88" t="s">
        <v>380</v>
      </c>
      <c r="E57" s="2" t="s">
        <v>11</v>
      </c>
      <c r="F57" s="2" t="s">
        <v>9</v>
      </c>
      <c r="G57" s="2" t="s">
        <v>38</v>
      </c>
      <c r="H57" s="24">
        <v>44506</v>
      </c>
      <c r="I57" s="24" t="s">
        <v>330</v>
      </c>
      <c r="J57" s="43">
        <v>1178</v>
      </c>
      <c r="K57" s="55">
        <v>1502</v>
      </c>
      <c r="L57" s="50">
        <v>2563</v>
      </c>
      <c r="M57" s="50">
        <v>2135</v>
      </c>
      <c r="N57" s="50">
        <v>2173</v>
      </c>
      <c r="O57" s="50">
        <v>1120</v>
      </c>
      <c r="P57" s="50">
        <v>948</v>
      </c>
      <c r="Q57" s="50">
        <v>958</v>
      </c>
      <c r="R57" s="50">
        <v>880</v>
      </c>
      <c r="S57" s="50">
        <v>493</v>
      </c>
      <c r="T57" s="50">
        <v>943</v>
      </c>
      <c r="U57" s="50">
        <v>928</v>
      </c>
      <c r="V57" s="84">
        <f t="shared" si="4"/>
        <v>1318.4166666666667</v>
      </c>
      <c r="W57" s="84">
        <f t="shared" si="5"/>
        <v>1318.4166666666667</v>
      </c>
      <c r="X57" s="50">
        <v>905</v>
      </c>
      <c r="Y57" s="50">
        <v>1567</v>
      </c>
      <c r="Z57" s="50">
        <v>2076</v>
      </c>
      <c r="AA57" s="50">
        <v>2480</v>
      </c>
      <c r="AB57" s="50">
        <v>1956</v>
      </c>
      <c r="AC57" s="50">
        <v>1112</v>
      </c>
      <c r="AD57" s="50">
        <v>898</v>
      </c>
      <c r="AE57" s="50">
        <v>733</v>
      </c>
      <c r="AF57" s="50">
        <v>768</v>
      </c>
      <c r="AG57" s="50">
        <v>1341</v>
      </c>
      <c r="AH57" s="50">
        <v>1100</v>
      </c>
      <c r="AI57" s="50">
        <v>827</v>
      </c>
      <c r="AJ57" s="50">
        <f t="shared" si="2"/>
        <v>1313.5833333333333</v>
      </c>
      <c r="AK57" s="50">
        <f t="shared" si="3"/>
        <v>1313.5833333333333</v>
      </c>
    </row>
    <row r="58" spans="1:37" x14ac:dyDescent="0.3">
      <c r="A58" s="88" t="s">
        <v>7</v>
      </c>
      <c r="B58" s="2"/>
      <c r="C58" s="4">
        <v>3041381005</v>
      </c>
      <c r="D58" s="88" t="s">
        <v>381</v>
      </c>
      <c r="E58" s="2" t="s">
        <v>11</v>
      </c>
      <c r="F58" s="2" t="s">
        <v>9</v>
      </c>
      <c r="G58" s="2" t="s">
        <v>12</v>
      </c>
      <c r="H58" s="24">
        <v>44516</v>
      </c>
      <c r="I58" s="24" t="s">
        <v>330</v>
      </c>
      <c r="J58" s="43">
        <v>411</v>
      </c>
      <c r="K58" s="56">
        <v>527</v>
      </c>
      <c r="L58" s="50">
        <v>521</v>
      </c>
      <c r="M58" s="50">
        <v>506</v>
      </c>
      <c r="N58" s="50">
        <v>491</v>
      </c>
      <c r="O58" s="50">
        <v>453</v>
      </c>
      <c r="P58" s="50">
        <v>486</v>
      </c>
      <c r="Q58" s="50">
        <v>502</v>
      </c>
      <c r="R58" s="50">
        <v>574</v>
      </c>
      <c r="S58" s="50">
        <v>546</v>
      </c>
      <c r="T58" s="50">
        <v>559</v>
      </c>
      <c r="U58" s="50">
        <v>428</v>
      </c>
      <c r="V58" s="84">
        <f t="shared" si="4"/>
        <v>500.33333333333331</v>
      </c>
      <c r="W58" s="84">
        <f t="shared" si="5"/>
        <v>500.33333333333331</v>
      </c>
      <c r="X58" s="50">
        <v>407</v>
      </c>
      <c r="Y58" s="50">
        <v>1227</v>
      </c>
      <c r="Z58" s="50">
        <v>1395</v>
      </c>
      <c r="AA58" s="50">
        <v>1779</v>
      </c>
      <c r="AB58" s="50">
        <v>1356</v>
      </c>
      <c r="AC58" s="50">
        <v>971</v>
      </c>
      <c r="AD58" s="50">
        <v>643</v>
      </c>
      <c r="AE58" s="50">
        <v>537</v>
      </c>
      <c r="AF58" s="50">
        <v>599</v>
      </c>
      <c r="AG58" s="50">
        <v>605</v>
      </c>
      <c r="AH58" s="50">
        <v>608</v>
      </c>
      <c r="AI58" s="50">
        <v>570</v>
      </c>
      <c r="AJ58" s="50">
        <f t="shared" si="2"/>
        <v>891.41666666666663</v>
      </c>
      <c r="AK58" s="50">
        <f t="shared" si="3"/>
        <v>891.41666666666663</v>
      </c>
    </row>
    <row r="59" spans="1:37" x14ac:dyDescent="0.3">
      <c r="A59" s="34" t="s">
        <v>13</v>
      </c>
      <c r="B59" s="2"/>
      <c r="C59" s="4">
        <v>3081585000</v>
      </c>
      <c r="D59" s="88" t="s">
        <v>382</v>
      </c>
      <c r="E59" s="2" t="s">
        <v>11</v>
      </c>
      <c r="F59" s="2" t="s">
        <v>9</v>
      </c>
      <c r="G59" s="2" t="s">
        <v>23</v>
      </c>
      <c r="H59" s="24">
        <v>44517</v>
      </c>
      <c r="I59" s="24" t="s">
        <v>330</v>
      </c>
      <c r="J59" s="43">
        <v>412</v>
      </c>
      <c r="K59" s="52">
        <v>458</v>
      </c>
      <c r="L59" s="50">
        <v>421</v>
      </c>
      <c r="M59" s="50">
        <v>352</v>
      </c>
      <c r="N59" s="50">
        <v>366</v>
      </c>
      <c r="O59" s="50">
        <v>294</v>
      </c>
      <c r="P59" s="50">
        <v>323</v>
      </c>
      <c r="Q59" s="50">
        <v>571</v>
      </c>
      <c r="R59" s="50">
        <v>543</v>
      </c>
      <c r="S59" s="50">
        <v>712</v>
      </c>
      <c r="T59" s="50">
        <v>547</v>
      </c>
      <c r="U59" s="50">
        <v>336</v>
      </c>
      <c r="V59" s="84">
        <f t="shared" si="4"/>
        <v>444.58333333333331</v>
      </c>
      <c r="W59" s="84">
        <f t="shared" si="5"/>
        <v>444.58333333333331</v>
      </c>
      <c r="X59" s="50">
        <v>321</v>
      </c>
      <c r="Y59" s="50">
        <v>337</v>
      </c>
      <c r="Z59" s="50">
        <v>769</v>
      </c>
      <c r="AA59" s="50">
        <v>385</v>
      </c>
      <c r="AB59" s="50">
        <v>343</v>
      </c>
      <c r="AC59" s="50">
        <v>326</v>
      </c>
      <c r="AD59" s="50">
        <v>363</v>
      </c>
      <c r="AE59" s="50">
        <v>408</v>
      </c>
      <c r="AF59" s="50">
        <v>422</v>
      </c>
      <c r="AG59" s="50">
        <v>675</v>
      </c>
      <c r="AH59" s="50">
        <v>519</v>
      </c>
      <c r="AI59" s="50">
        <v>354</v>
      </c>
      <c r="AJ59" s="50">
        <f t="shared" si="2"/>
        <v>435.16666666666669</v>
      </c>
      <c r="AK59" s="50">
        <f t="shared" si="3"/>
        <v>435.16666666666669</v>
      </c>
    </row>
    <row r="60" spans="1:37" x14ac:dyDescent="0.3">
      <c r="A60" s="86" t="s">
        <v>24</v>
      </c>
      <c r="B60" s="6"/>
      <c r="C60" s="8">
        <v>3130072002</v>
      </c>
      <c r="D60" s="86" t="s">
        <v>348</v>
      </c>
      <c r="E60" s="6" t="s">
        <v>16</v>
      </c>
      <c r="F60" s="6" t="s">
        <v>9</v>
      </c>
      <c r="G60" s="6" t="s">
        <v>75</v>
      </c>
      <c r="H60" s="24">
        <v>44523</v>
      </c>
      <c r="I60" s="24" t="s">
        <v>330</v>
      </c>
      <c r="J60" s="44">
        <v>483</v>
      </c>
      <c r="K60" s="56">
        <v>632</v>
      </c>
      <c r="L60" s="50">
        <v>686</v>
      </c>
      <c r="M60" s="50">
        <v>718</v>
      </c>
      <c r="N60" s="50">
        <v>634</v>
      </c>
      <c r="O60" s="50">
        <v>419</v>
      </c>
      <c r="P60" s="50">
        <v>422</v>
      </c>
      <c r="Q60" s="50">
        <v>542</v>
      </c>
      <c r="R60" s="50">
        <v>1085</v>
      </c>
      <c r="S60" s="50">
        <v>873</v>
      </c>
      <c r="T60" s="50">
        <v>703</v>
      </c>
      <c r="U60" s="50">
        <v>413</v>
      </c>
      <c r="V60" s="84">
        <f t="shared" si="4"/>
        <v>634.16666666666663</v>
      </c>
      <c r="W60" s="84">
        <f t="shared" si="5"/>
        <v>634.16666666666663</v>
      </c>
      <c r="X60" s="50">
        <v>468</v>
      </c>
      <c r="Y60" s="50">
        <v>1783</v>
      </c>
      <c r="Z60" s="50">
        <v>1597</v>
      </c>
      <c r="AA60" s="50">
        <v>639</v>
      </c>
      <c r="AB60" s="50">
        <v>450</v>
      </c>
      <c r="AC60" s="50">
        <v>377</v>
      </c>
      <c r="AD60" s="50">
        <v>641</v>
      </c>
      <c r="AE60" s="50">
        <v>659</v>
      </c>
      <c r="AF60" s="50">
        <v>996</v>
      </c>
      <c r="AG60" s="50">
        <v>1114</v>
      </c>
      <c r="AH60" s="50">
        <v>786</v>
      </c>
      <c r="AI60" s="50">
        <v>453</v>
      </c>
      <c r="AJ60" s="50">
        <f t="shared" si="2"/>
        <v>830.25</v>
      </c>
      <c r="AK60" s="50">
        <f t="shared" si="3"/>
        <v>830.25</v>
      </c>
    </row>
    <row r="61" spans="1:37" x14ac:dyDescent="0.3">
      <c r="A61" s="88" t="s">
        <v>7</v>
      </c>
      <c r="B61" s="2"/>
      <c r="C61" s="4">
        <v>3160797000</v>
      </c>
      <c r="D61" s="88" t="s">
        <v>383</v>
      </c>
      <c r="E61" s="2" t="s">
        <v>14</v>
      </c>
      <c r="F61" s="2" t="s">
        <v>9</v>
      </c>
      <c r="G61" s="2" t="s">
        <v>18</v>
      </c>
      <c r="H61" s="24">
        <v>44523</v>
      </c>
      <c r="I61" s="24" t="s">
        <v>330</v>
      </c>
      <c r="J61" s="43">
        <v>675</v>
      </c>
      <c r="K61" s="55">
        <v>1442</v>
      </c>
      <c r="L61" s="50">
        <v>699</v>
      </c>
      <c r="M61" s="50">
        <v>613</v>
      </c>
      <c r="N61" s="50">
        <v>747</v>
      </c>
      <c r="O61" s="50">
        <v>552</v>
      </c>
      <c r="P61" s="50">
        <v>1153</v>
      </c>
      <c r="Q61" s="50">
        <v>1882</v>
      </c>
      <c r="R61" s="50">
        <v>2009</v>
      </c>
      <c r="S61" s="50">
        <v>2034</v>
      </c>
      <c r="T61" s="50">
        <v>173</v>
      </c>
      <c r="U61" s="50">
        <v>1167</v>
      </c>
      <c r="V61" s="84">
        <f t="shared" si="4"/>
        <v>1095.5</v>
      </c>
      <c r="W61" s="84">
        <f t="shared" si="5"/>
        <v>1095.5</v>
      </c>
      <c r="X61" s="50">
        <v>1482</v>
      </c>
      <c r="Y61" s="50">
        <v>866</v>
      </c>
      <c r="Z61" s="50">
        <v>4167</v>
      </c>
      <c r="AA61" s="50">
        <v>1494</v>
      </c>
      <c r="AB61" s="50">
        <v>895</v>
      </c>
      <c r="AC61" s="50">
        <v>703</v>
      </c>
      <c r="AD61" s="50">
        <v>1065</v>
      </c>
      <c r="AE61" s="50">
        <v>1237</v>
      </c>
      <c r="AF61" s="50">
        <v>1419</v>
      </c>
      <c r="AG61" s="50">
        <v>1745</v>
      </c>
      <c r="AH61" s="50">
        <v>1219</v>
      </c>
      <c r="AI61" s="50">
        <v>732</v>
      </c>
      <c r="AJ61" s="50">
        <f t="shared" si="2"/>
        <v>1418.6666666666667</v>
      </c>
      <c r="AK61" s="50">
        <f t="shared" si="3"/>
        <v>1418.6666666666667</v>
      </c>
    </row>
    <row r="62" spans="1:37" x14ac:dyDescent="0.3">
      <c r="A62" s="86" t="s">
        <v>188</v>
      </c>
      <c r="B62" s="6"/>
      <c r="C62" s="8">
        <v>3131411005</v>
      </c>
      <c r="D62" s="86" t="s">
        <v>355</v>
      </c>
      <c r="E62" s="6" t="s">
        <v>16</v>
      </c>
      <c r="F62" s="6" t="s">
        <v>9</v>
      </c>
      <c r="G62" s="6" t="s">
        <v>190</v>
      </c>
      <c r="H62" s="24">
        <v>44529</v>
      </c>
      <c r="I62" s="24" t="s">
        <v>330</v>
      </c>
      <c r="J62" s="44">
        <v>577</v>
      </c>
      <c r="K62" s="50">
        <v>991</v>
      </c>
      <c r="L62" s="50">
        <v>924</v>
      </c>
      <c r="M62" s="50">
        <v>979</v>
      </c>
      <c r="N62" s="50">
        <v>755</v>
      </c>
      <c r="O62" s="50">
        <v>444</v>
      </c>
      <c r="P62" s="50">
        <v>359</v>
      </c>
      <c r="Q62" s="50">
        <v>309</v>
      </c>
      <c r="R62" s="50">
        <v>388</v>
      </c>
      <c r="S62" s="50">
        <v>435</v>
      </c>
      <c r="T62" s="50">
        <v>350</v>
      </c>
      <c r="U62" s="50">
        <v>432</v>
      </c>
      <c r="V62" s="84">
        <f t="shared" si="4"/>
        <v>578.58333333333337</v>
      </c>
      <c r="W62" s="84">
        <f t="shared" si="5"/>
        <v>578.58333333333337</v>
      </c>
      <c r="X62" s="50">
        <v>617</v>
      </c>
      <c r="Y62" s="50">
        <v>760</v>
      </c>
      <c r="Z62" s="50">
        <v>1039</v>
      </c>
      <c r="AA62" s="50">
        <v>926</v>
      </c>
      <c r="AB62" s="50">
        <v>678</v>
      </c>
      <c r="AC62" s="50">
        <v>418</v>
      </c>
      <c r="AD62" s="50">
        <v>349</v>
      </c>
      <c r="AE62" s="50">
        <v>267</v>
      </c>
      <c r="AF62" s="50">
        <v>403</v>
      </c>
      <c r="AG62" s="50">
        <v>413</v>
      </c>
      <c r="AH62" s="50">
        <v>320</v>
      </c>
      <c r="AI62" s="50">
        <v>473</v>
      </c>
      <c r="AJ62" s="50">
        <f t="shared" si="2"/>
        <v>555.25</v>
      </c>
      <c r="AK62" s="50">
        <f t="shared" si="3"/>
        <v>555.25</v>
      </c>
    </row>
    <row r="63" spans="1:37" x14ac:dyDescent="0.3">
      <c r="A63" s="86" t="s">
        <v>26</v>
      </c>
      <c r="B63" s="6"/>
      <c r="C63" s="8">
        <v>3041312000</v>
      </c>
      <c r="D63" s="86" t="s">
        <v>384</v>
      </c>
      <c r="E63" s="6" t="s">
        <v>11</v>
      </c>
      <c r="F63" s="6" t="s">
        <v>9</v>
      </c>
      <c r="G63" s="6" t="s">
        <v>45</v>
      </c>
      <c r="H63" s="24">
        <v>44530</v>
      </c>
      <c r="I63" s="24" t="s">
        <v>330</v>
      </c>
      <c r="J63" s="44">
        <v>758</v>
      </c>
      <c r="K63" s="57">
        <v>1232</v>
      </c>
      <c r="L63" s="50">
        <v>956</v>
      </c>
      <c r="M63" s="50">
        <v>840</v>
      </c>
      <c r="N63" s="50">
        <v>920</v>
      </c>
      <c r="O63" s="50">
        <v>686</v>
      </c>
      <c r="P63" s="50">
        <v>728</v>
      </c>
      <c r="Q63" s="50">
        <v>1096</v>
      </c>
      <c r="R63" s="50">
        <v>996</v>
      </c>
      <c r="S63" s="50">
        <v>798</v>
      </c>
      <c r="T63" s="50">
        <v>1390</v>
      </c>
      <c r="U63" s="50">
        <v>814</v>
      </c>
      <c r="V63" s="84">
        <f t="shared" si="4"/>
        <v>934.5</v>
      </c>
      <c r="W63" s="84">
        <f t="shared" si="5"/>
        <v>934.5</v>
      </c>
      <c r="X63" s="50">
        <v>878</v>
      </c>
      <c r="Y63" s="50">
        <v>1390</v>
      </c>
      <c r="Z63" s="50">
        <v>1636</v>
      </c>
      <c r="AA63" s="50">
        <v>1030</v>
      </c>
      <c r="AB63" s="50">
        <v>958</v>
      </c>
      <c r="AC63" s="50">
        <v>686</v>
      </c>
      <c r="AD63" s="50">
        <v>760</v>
      </c>
      <c r="AE63" s="50">
        <v>1016</v>
      </c>
      <c r="AF63" s="50">
        <v>1012</v>
      </c>
      <c r="AG63" s="50">
        <v>1122</v>
      </c>
      <c r="AH63" s="50">
        <v>1044</v>
      </c>
      <c r="AI63" s="50">
        <v>942</v>
      </c>
      <c r="AJ63" s="50">
        <f t="shared" si="2"/>
        <v>1039.5</v>
      </c>
      <c r="AK63" s="50">
        <f t="shared" si="3"/>
        <v>1039.5</v>
      </c>
    </row>
    <row r="64" spans="1:37" x14ac:dyDescent="0.3">
      <c r="A64" s="86" t="s">
        <v>24</v>
      </c>
      <c r="B64" s="6"/>
      <c r="C64" s="8">
        <v>3021663000</v>
      </c>
      <c r="D64" s="86" t="s">
        <v>385</v>
      </c>
      <c r="E64" s="6" t="s">
        <v>16</v>
      </c>
      <c r="F64" s="6" t="s">
        <v>9</v>
      </c>
      <c r="G64" s="6" t="s">
        <v>43</v>
      </c>
      <c r="H64" s="24">
        <v>44533</v>
      </c>
      <c r="I64" s="24" t="s">
        <v>330</v>
      </c>
      <c r="J64" s="44">
        <v>806</v>
      </c>
      <c r="K64" s="55">
        <v>1168</v>
      </c>
      <c r="L64" s="50">
        <v>740</v>
      </c>
      <c r="M64" s="50">
        <v>608</v>
      </c>
      <c r="N64" s="50">
        <v>432</v>
      </c>
      <c r="O64" s="50">
        <v>630</v>
      </c>
      <c r="P64" s="50">
        <v>1010</v>
      </c>
      <c r="Q64" s="50">
        <v>1736</v>
      </c>
      <c r="R64" s="50">
        <v>1438</v>
      </c>
      <c r="S64" s="50">
        <v>796</v>
      </c>
      <c r="T64" s="50">
        <v>452</v>
      </c>
      <c r="U64" s="50">
        <v>578</v>
      </c>
      <c r="V64" s="84">
        <f t="shared" si="4"/>
        <v>866.16666666666663</v>
      </c>
      <c r="W64" s="84">
        <f t="shared" si="5"/>
        <v>866.16666666666663</v>
      </c>
      <c r="X64" s="50">
        <v>1138</v>
      </c>
      <c r="Y64" s="50">
        <v>1840</v>
      </c>
      <c r="Z64" s="50">
        <v>1314</v>
      </c>
      <c r="AA64" s="50">
        <v>1114</v>
      </c>
      <c r="AB64" s="50">
        <v>742</v>
      </c>
      <c r="AC64" s="50">
        <v>474</v>
      </c>
      <c r="AD64" s="50">
        <v>574</v>
      </c>
      <c r="AE64" s="50">
        <v>912</v>
      </c>
      <c r="AF64" s="50">
        <v>1036</v>
      </c>
      <c r="AG64" s="50">
        <v>832</v>
      </c>
      <c r="AH64" s="50">
        <v>484</v>
      </c>
      <c r="AI64" s="50">
        <v>990</v>
      </c>
      <c r="AJ64" s="50">
        <f t="shared" si="2"/>
        <v>954.16666666666663</v>
      </c>
      <c r="AK64" s="50">
        <f t="shared" si="3"/>
        <v>954.16666666666663</v>
      </c>
    </row>
    <row r="65" spans="1:37" x14ac:dyDescent="0.3">
      <c r="A65" s="34" t="s">
        <v>13</v>
      </c>
      <c r="B65" s="2"/>
      <c r="C65" s="4">
        <v>3160990001</v>
      </c>
      <c r="D65" s="88" t="s">
        <v>386</v>
      </c>
      <c r="E65" s="2" t="s">
        <v>14</v>
      </c>
      <c r="F65" s="2" t="s">
        <v>9</v>
      </c>
      <c r="G65" s="2" t="s">
        <v>15</v>
      </c>
      <c r="H65" s="24">
        <v>44536</v>
      </c>
      <c r="I65" s="24" t="s">
        <v>330</v>
      </c>
      <c r="J65" s="43">
        <v>1846</v>
      </c>
      <c r="K65" s="55">
        <v>1702</v>
      </c>
      <c r="L65" s="50">
        <v>2029</v>
      </c>
      <c r="M65" s="50">
        <v>1716</v>
      </c>
      <c r="N65" s="50">
        <v>872</v>
      </c>
      <c r="O65" s="50">
        <v>677</v>
      </c>
      <c r="P65" s="50">
        <v>738</v>
      </c>
      <c r="Q65" s="50">
        <v>785</v>
      </c>
      <c r="R65" s="50">
        <v>753</v>
      </c>
      <c r="S65" s="50">
        <v>692</v>
      </c>
      <c r="T65" s="50">
        <v>661</v>
      </c>
      <c r="U65" s="50">
        <v>922</v>
      </c>
      <c r="V65" s="84">
        <f t="shared" si="4"/>
        <v>1116.0833333333333</v>
      </c>
      <c r="W65" s="84">
        <f t="shared" si="5"/>
        <v>1116.0833333333333</v>
      </c>
      <c r="X65" s="50">
        <v>1319</v>
      </c>
      <c r="Y65" s="50">
        <v>2400</v>
      </c>
      <c r="Z65" s="50">
        <v>1945</v>
      </c>
      <c r="AA65" s="50">
        <v>1667</v>
      </c>
      <c r="AB65" s="50">
        <v>1082</v>
      </c>
      <c r="AC65" s="50">
        <v>861</v>
      </c>
      <c r="AD65" s="50">
        <v>918</v>
      </c>
      <c r="AE65" s="50">
        <v>959</v>
      </c>
      <c r="AF65" s="50">
        <v>986</v>
      </c>
      <c r="AG65" s="50">
        <v>744</v>
      </c>
      <c r="AH65" s="50">
        <v>902</v>
      </c>
      <c r="AI65" s="50">
        <v>1402</v>
      </c>
      <c r="AJ65" s="50">
        <f t="shared" si="2"/>
        <v>1265.4166666666667</v>
      </c>
      <c r="AK65" s="50">
        <f t="shared" si="3"/>
        <v>1265.4166666666667</v>
      </c>
    </row>
    <row r="66" spans="1:37" x14ac:dyDescent="0.3">
      <c r="A66" s="34" t="s">
        <v>13</v>
      </c>
      <c r="B66" s="2"/>
      <c r="C66" s="4">
        <v>3121467000</v>
      </c>
      <c r="D66" s="88" t="s">
        <v>387</v>
      </c>
      <c r="E66" s="2" t="s">
        <v>16</v>
      </c>
      <c r="F66" s="2" t="s">
        <v>9</v>
      </c>
      <c r="G66" s="2" t="s">
        <v>32</v>
      </c>
      <c r="H66" s="24">
        <v>44537</v>
      </c>
      <c r="I66" s="24" t="s">
        <v>330</v>
      </c>
      <c r="J66" s="43">
        <v>660</v>
      </c>
      <c r="K66" s="56">
        <v>590</v>
      </c>
      <c r="L66" s="50">
        <v>558</v>
      </c>
      <c r="M66" s="50">
        <v>539</v>
      </c>
      <c r="N66" s="50">
        <v>485</v>
      </c>
      <c r="O66" s="50">
        <v>524</v>
      </c>
      <c r="P66" s="50">
        <v>609</v>
      </c>
      <c r="Q66" s="50">
        <v>822</v>
      </c>
      <c r="R66" s="50">
        <v>863</v>
      </c>
      <c r="S66" s="50">
        <v>761</v>
      </c>
      <c r="T66" s="50">
        <v>508</v>
      </c>
      <c r="U66" s="50">
        <v>522</v>
      </c>
      <c r="V66" s="84">
        <f t="shared" si="4"/>
        <v>620.08333333333337</v>
      </c>
      <c r="W66" s="84">
        <f t="shared" si="5"/>
        <v>620.08333333333337</v>
      </c>
      <c r="X66" s="50">
        <v>841</v>
      </c>
      <c r="Y66" s="50">
        <v>1006</v>
      </c>
      <c r="Z66" s="50">
        <v>590</v>
      </c>
      <c r="AA66" s="50">
        <v>529</v>
      </c>
      <c r="AB66" s="50">
        <v>494</v>
      </c>
      <c r="AC66" s="50">
        <v>503</v>
      </c>
      <c r="AD66" s="50">
        <v>449</v>
      </c>
      <c r="AE66" s="50">
        <v>447</v>
      </c>
      <c r="AF66" s="50">
        <v>455</v>
      </c>
      <c r="AG66" s="50">
        <v>404</v>
      </c>
      <c r="AH66" s="50">
        <v>461</v>
      </c>
      <c r="AI66" s="50">
        <v>561</v>
      </c>
      <c r="AJ66" s="50">
        <f t="shared" si="2"/>
        <v>561.66666666666663</v>
      </c>
      <c r="AK66" s="50">
        <f t="shared" si="3"/>
        <v>561.66666666666663</v>
      </c>
    </row>
    <row r="67" spans="1:37" x14ac:dyDescent="0.3">
      <c r="A67" s="88" t="s">
        <v>7</v>
      </c>
      <c r="B67" s="2"/>
      <c r="C67" s="4">
        <v>3142258001</v>
      </c>
      <c r="D67" s="88" t="s">
        <v>388</v>
      </c>
      <c r="E67" s="2" t="s">
        <v>8</v>
      </c>
      <c r="F67" s="2" t="s">
        <v>9</v>
      </c>
      <c r="G67" s="2" t="s">
        <v>37</v>
      </c>
      <c r="H67" s="24">
        <v>44543</v>
      </c>
      <c r="I67" s="24" t="s">
        <v>330</v>
      </c>
      <c r="J67" s="43">
        <v>0</v>
      </c>
      <c r="K67" s="56">
        <v>0</v>
      </c>
      <c r="L67" s="50">
        <v>2417</v>
      </c>
      <c r="M67" s="50">
        <v>3906</v>
      </c>
      <c r="N67" s="50">
        <v>2925</v>
      </c>
      <c r="O67" s="50">
        <v>1596</v>
      </c>
      <c r="P67" s="50">
        <v>1244</v>
      </c>
      <c r="Q67" s="50">
        <v>1141</v>
      </c>
      <c r="R67" s="50">
        <v>1383</v>
      </c>
      <c r="S67" s="50">
        <v>1151</v>
      </c>
      <c r="T67" s="50">
        <v>1231</v>
      </c>
      <c r="U67" s="50">
        <v>1134</v>
      </c>
      <c r="V67" s="84">
        <f t="shared" si="4"/>
        <v>1510.6666666666667</v>
      </c>
      <c r="W67" s="84">
        <f t="shared" si="5"/>
        <v>1812.8</v>
      </c>
      <c r="X67" s="50">
        <v>1824</v>
      </c>
      <c r="Y67" s="50">
        <v>2538</v>
      </c>
      <c r="Z67" s="50">
        <v>4238</v>
      </c>
      <c r="AA67" s="50">
        <v>4163</v>
      </c>
      <c r="AB67" s="50">
        <v>3225</v>
      </c>
      <c r="AC67" s="50">
        <v>2122</v>
      </c>
      <c r="AD67" s="50">
        <v>1632</v>
      </c>
      <c r="AE67" s="50">
        <v>1321</v>
      </c>
      <c r="AF67" s="50">
        <v>1634</v>
      </c>
      <c r="AG67" s="50">
        <v>1584</v>
      </c>
      <c r="AH67" s="50">
        <v>1520</v>
      </c>
      <c r="AI67" s="50">
        <v>444</v>
      </c>
      <c r="AJ67" s="50">
        <f t="shared" ref="AJ67:AJ130" si="6">AVERAGE(X67:AI67)</f>
        <v>2187.0833333333335</v>
      </c>
      <c r="AK67" s="50">
        <f t="shared" ref="AK67:AK130" si="7">AVERAGEIF(X67:AI67,"&lt;&gt;0")</f>
        <v>2187.0833333333335</v>
      </c>
    </row>
    <row r="68" spans="1:37" x14ac:dyDescent="0.3">
      <c r="A68" s="88" t="s">
        <v>7</v>
      </c>
      <c r="B68" s="2"/>
      <c r="C68" s="4">
        <v>3112044001</v>
      </c>
      <c r="D68" s="88" t="s">
        <v>389</v>
      </c>
      <c r="E68" s="2" t="s">
        <v>16</v>
      </c>
      <c r="F68" s="2" t="s">
        <v>9</v>
      </c>
      <c r="G68" s="2" t="s">
        <v>33</v>
      </c>
      <c r="H68" s="24">
        <v>44544</v>
      </c>
      <c r="I68" s="24" t="s">
        <v>330</v>
      </c>
      <c r="J68" s="43">
        <v>1456</v>
      </c>
      <c r="K68" s="56">
        <v>1448</v>
      </c>
      <c r="L68" s="50">
        <v>1082</v>
      </c>
      <c r="M68" s="50">
        <v>976</v>
      </c>
      <c r="N68" s="50">
        <v>770</v>
      </c>
      <c r="O68" s="50">
        <v>684</v>
      </c>
      <c r="P68" s="50">
        <v>838</v>
      </c>
      <c r="Q68" s="50">
        <v>924</v>
      </c>
      <c r="R68" s="50">
        <v>1060</v>
      </c>
      <c r="S68" s="50">
        <v>864</v>
      </c>
      <c r="T68" s="50">
        <v>784</v>
      </c>
      <c r="U68" s="50">
        <v>924</v>
      </c>
      <c r="V68" s="84">
        <f t="shared" si="4"/>
        <v>984.16666666666663</v>
      </c>
      <c r="W68" s="84">
        <f t="shared" si="5"/>
        <v>984.16666666666663</v>
      </c>
      <c r="X68" s="50">
        <v>1172</v>
      </c>
      <c r="Y68" s="50">
        <v>2858</v>
      </c>
      <c r="Z68" s="50">
        <v>2356</v>
      </c>
      <c r="AA68" s="50">
        <v>1660</v>
      </c>
      <c r="AB68" s="50">
        <v>1224</v>
      </c>
      <c r="AC68" s="50">
        <v>942</v>
      </c>
      <c r="AD68" s="50">
        <v>720</v>
      </c>
      <c r="AE68" s="50">
        <v>852</v>
      </c>
      <c r="AF68" s="50">
        <v>1092</v>
      </c>
      <c r="AG68" s="50">
        <v>864</v>
      </c>
      <c r="AH68" s="50">
        <v>1028</v>
      </c>
      <c r="AI68" s="50">
        <v>1172</v>
      </c>
      <c r="AJ68" s="50">
        <f t="shared" si="6"/>
        <v>1328.3333333333333</v>
      </c>
      <c r="AK68" s="50">
        <f t="shared" si="7"/>
        <v>1328.3333333333333</v>
      </c>
    </row>
    <row r="69" spans="1:37" x14ac:dyDescent="0.3">
      <c r="A69" s="86" t="s">
        <v>26</v>
      </c>
      <c r="B69" s="6"/>
      <c r="C69" s="8">
        <v>3160820000</v>
      </c>
      <c r="D69" s="86" t="s">
        <v>390</v>
      </c>
      <c r="E69" s="6" t="s">
        <v>14</v>
      </c>
      <c r="F69" s="6" t="s">
        <v>9</v>
      </c>
      <c r="G69" s="6" t="s">
        <v>102</v>
      </c>
      <c r="H69" s="24">
        <v>44544</v>
      </c>
      <c r="I69" s="24" t="s">
        <v>330</v>
      </c>
      <c r="J69" s="44">
        <v>1096</v>
      </c>
      <c r="K69" s="56">
        <v>783</v>
      </c>
      <c r="L69" s="50">
        <v>875</v>
      </c>
      <c r="M69" s="50">
        <v>845</v>
      </c>
      <c r="N69" s="50">
        <v>694</v>
      </c>
      <c r="O69" s="50">
        <v>1009</v>
      </c>
      <c r="P69" s="50">
        <v>1396</v>
      </c>
      <c r="Q69" s="50">
        <v>1430</v>
      </c>
      <c r="R69" s="50">
        <v>1330</v>
      </c>
      <c r="S69" s="50">
        <v>1034</v>
      </c>
      <c r="T69" s="50">
        <v>674</v>
      </c>
      <c r="U69" s="50">
        <v>1192</v>
      </c>
      <c r="V69" s="84">
        <f t="shared" si="4"/>
        <v>1029.8333333333333</v>
      </c>
      <c r="W69" s="84">
        <f t="shared" si="5"/>
        <v>1029.8333333333333</v>
      </c>
      <c r="X69" s="50">
        <v>879</v>
      </c>
      <c r="Y69" s="50">
        <v>2896</v>
      </c>
      <c r="Z69" s="50">
        <v>1593</v>
      </c>
      <c r="AA69" s="50">
        <v>1415</v>
      </c>
      <c r="AB69" s="50">
        <v>952</v>
      </c>
      <c r="AC69" s="50">
        <v>833</v>
      </c>
      <c r="AD69" s="50">
        <v>1013</v>
      </c>
      <c r="AE69" s="50">
        <v>1119</v>
      </c>
      <c r="AF69" s="50">
        <v>1004</v>
      </c>
      <c r="AG69" s="50">
        <v>667</v>
      </c>
      <c r="AH69" s="50">
        <v>706</v>
      </c>
      <c r="AI69" s="50">
        <v>909</v>
      </c>
      <c r="AJ69" s="50">
        <f t="shared" si="6"/>
        <v>1165.5</v>
      </c>
      <c r="AK69" s="50">
        <f t="shared" si="7"/>
        <v>1165.5</v>
      </c>
    </row>
    <row r="70" spans="1:37" x14ac:dyDescent="0.3">
      <c r="A70" s="88" t="s">
        <v>7</v>
      </c>
      <c r="B70" s="2"/>
      <c r="C70" s="4">
        <v>3011511001</v>
      </c>
      <c r="D70" s="88" t="s">
        <v>391</v>
      </c>
      <c r="E70" s="2" t="s">
        <v>11</v>
      </c>
      <c r="F70" s="2" t="s">
        <v>9</v>
      </c>
      <c r="G70" s="2" t="s">
        <v>35</v>
      </c>
      <c r="H70" s="24">
        <v>44545</v>
      </c>
      <c r="I70" s="24" t="s">
        <v>330</v>
      </c>
      <c r="J70" s="43">
        <v>0</v>
      </c>
      <c r="K70" s="52">
        <v>0</v>
      </c>
      <c r="L70" s="50">
        <v>0</v>
      </c>
      <c r="M70" s="50">
        <v>0</v>
      </c>
      <c r="N70" s="50">
        <v>0</v>
      </c>
      <c r="O70" s="50">
        <v>90</v>
      </c>
      <c r="P70" s="50">
        <v>244</v>
      </c>
      <c r="Q70" s="50">
        <v>688</v>
      </c>
      <c r="R70" s="50">
        <v>588</v>
      </c>
      <c r="S70" s="50">
        <v>948</v>
      </c>
      <c r="T70" s="50">
        <v>718</v>
      </c>
      <c r="U70" s="50">
        <v>698</v>
      </c>
      <c r="V70" s="84">
        <f t="shared" si="4"/>
        <v>331.16666666666669</v>
      </c>
      <c r="W70" s="84">
        <f t="shared" si="5"/>
        <v>567.71428571428567</v>
      </c>
      <c r="X70" s="50">
        <v>1044</v>
      </c>
      <c r="Y70" s="50">
        <v>962</v>
      </c>
      <c r="Z70" s="50">
        <v>1288</v>
      </c>
      <c r="AA70" s="50">
        <v>1132</v>
      </c>
      <c r="AB70" s="50">
        <v>834</v>
      </c>
      <c r="AC70" s="50">
        <v>640</v>
      </c>
      <c r="AD70" s="50">
        <v>802</v>
      </c>
      <c r="AE70" s="50">
        <v>780</v>
      </c>
      <c r="AF70" s="50">
        <v>1224</v>
      </c>
      <c r="AG70" s="50">
        <v>1316</v>
      </c>
      <c r="AH70" s="50">
        <v>1218</v>
      </c>
      <c r="AI70" s="50">
        <v>1174</v>
      </c>
      <c r="AJ70" s="50">
        <f t="shared" si="6"/>
        <v>1034.5</v>
      </c>
      <c r="AK70" s="50">
        <f t="shared" si="7"/>
        <v>1034.5</v>
      </c>
    </row>
    <row r="71" spans="1:37" x14ac:dyDescent="0.3">
      <c r="A71" s="86" t="s">
        <v>26</v>
      </c>
      <c r="B71" s="6"/>
      <c r="C71" s="8">
        <v>3011883000</v>
      </c>
      <c r="D71" s="86" t="s">
        <v>392</v>
      </c>
      <c r="E71" s="6" t="s">
        <v>11</v>
      </c>
      <c r="F71" s="6" t="s">
        <v>9</v>
      </c>
      <c r="G71" s="6" t="s">
        <v>29</v>
      </c>
      <c r="H71" s="24">
        <v>44552</v>
      </c>
      <c r="I71" s="24" t="s">
        <v>330</v>
      </c>
      <c r="J71" s="44">
        <v>487</v>
      </c>
      <c r="K71" s="56">
        <v>576</v>
      </c>
      <c r="L71" s="50">
        <v>449</v>
      </c>
      <c r="M71" s="50">
        <v>499</v>
      </c>
      <c r="N71" s="50">
        <v>409</v>
      </c>
      <c r="O71" s="50">
        <v>354</v>
      </c>
      <c r="P71" s="50">
        <v>556</v>
      </c>
      <c r="Q71" s="50">
        <v>734</v>
      </c>
      <c r="R71" s="50">
        <v>679</v>
      </c>
      <c r="S71" s="50">
        <v>850</v>
      </c>
      <c r="T71" s="50">
        <v>488</v>
      </c>
      <c r="U71" s="50">
        <v>408</v>
      </c>
      <c r="V71" s="84">
        <f t="shared" si="4"/>
        <v>540.75</v>
      </c>
      <c r="W71" s="84">
        <f t="shared" si="5"/>
        <v>540.75</v>
      </c>
      <c r="X71" s="50">
        <v>544</v>
      </c>
      <c r="Y71" s="50">
        <v>753</v>
      </c>
      <c r="Z71" s="50">
        <v>1646</v>
      </c>
      <c r="AA71" s="50">
        <v>1933</v>
      </c>
      <c r="AB71" s="50">
        <v>981</v>
      </c>
      <c r="AC71" s="50">
        <v>671</v>
      </c>
      <c r="AD71" s="50">
        <v>701</v>
      </c>
      <c r="AE71" s="50">
        <v>673</v>
      </c>
      <c r="AF71" s="50">
        <v>961</v>
      </c>
      <c r="AG71" s="50">
        <v>786</v>
      </c>
      <c r="AH71" s="50">
        <v>560</v>
      </c>
      <c r="AI71" s="50">
        <v>615</v>
      </c>
      <c r="AJ71" s="50">
        <f t="shared" si="6"/>
        <v>902</v>
      </c>
      <c r="AK71" s="50">
        <f t="shared" si="7"/>
        <v>902</v>
      </c>
    </row>
    <row r="72" spans="1:37" x14ac:dyDescent="0.3">
      <c r="A72" s="86" t="s">
        <v>26</v>
      </c>
      <c r="B72" s="6"/>
      <c r="C72" s="8">
        <v>3051531001</v>
      </c>
      <c r="D72" s="86" t="s">
        <v>393</v>
      </c>
      <c r="E72" s="6" t="s">
        <v>11</v>
      </c>
      <c r="F72" s="6" t="s">
        <v>9</v>
      </c>
      <c r="G72" s="6" t="s">
        <v>47</v>
      </c>
      <c r="H72" s="24">
        <v>44557</v>
      </c>
      <c r="I72" s="24" t="s">
        <v>330</v>
      </c>
      <c r="J72" s="44">
        <v>758</v>
      </c>
      <c r="K72" s="56">
        <v>900</v>
      </c>
      <c r="L72" s="50">
        <v>707</v>
      </c>
      <c r="M72" s="50">
        <v>785</v>
      </c>
      <c r="N72" s="50">
        <v>652</v>
      </c>
      <c r="O72" s="50">
        <v>639</v>
      </c>
      <c r="P72" s="50">
        <v>716</v>
      </c>
      <c r="Q72" s="50">
        <v>859</v>
      </c>
      <c r="R72" s="50">
        <v>811</v>
      </c>
      <c r="S72" s="50">
        <v>932</v>
      </c>
      <c r="T72" s="50">
        <v>677</v>
      </c>
      <c r="U72" s="50">
        <v>703</v>
      </c>
      <c r="V72" s="84">
        <f t="shared" si="4"/>
        <v>761.58333333333337</v>
      </c>
      <c r="W72" s="84">
        <f t="shared" si="5"/>
        <v>761.58333333333337</v>
      </c>
      <c r="X72" s="50">
        <v>731</v>
      </c>
      <c r="Y72" s="50">
        <v>846</v>
      </c>
      <c r="Z72" s="50">
        <v>790</v>
      </c>
      <c r="AA72" s="50">
        <v>785</v>
      </c>
      <c r="AB72" s="50">
        <v>677</v>
      </c>
      <c r="AC72" s="50">
        <v>642</v>
      </c>
      <c r="AD72" s="50">
        <v>900</v>
      </c>
      <c r="AE72" s="50">
        <v>839</v>
      </c>
      <c r="AF72" s="50">
        <v>1048</v>
      </c>
      <c r="AG72" s="50">
        <v>937</v>
      </c>
      <c r="AH72" s="50">
        <v>761</v>
      </c>
      <c r="AI72" s="50">
        <v>708</v>
      </c>
      <c r="AJ72" s="50">
        <f t="shared" si="6"/>
        <v>805.33333333333337</v>
      </c>
      <c r="AK72" s="50">
        <f t="shared" si="7"/>
        <v>805.33333333333337</v>
      </c>
    </row>
    <row r="73" spans="1:37" x14ac:dyDescent="0.3">
      <c r="A73" s="34" t="s">
        <v>13</v>
      </c>
      <c r="B73" s="2"/>
      <c r="C73" s="4">
        <v>3010641000</v>
      </c>
      <c r="D73" s="88" t="s">
        <v>394</v>
      </c>
      <c r="E73" s="2" t="s">
        <v>11</v>
      </c>
      <c r="F73" s="2" t="s">
        <v>9</v>
      </c>
      <c r="G73" s="2" t="s">
        <v>39</v>
      </c>
      <c r="H73" s="24">
        <v>44560</v>
      </c>
      <c r="I73" s="24" t="s">
        <v>330</v>
      </c>
      <c r="J73" s="43">
        <v>926</v>
      </c>
      <c r="K73" s="56">
        <v>1163</v>
      </c>
      <c r="L73" s="50">
        <v>1075</v>
      </c>
      <c r="M73" s="50">
        <v>1189</v>
      </c>
      <c r="N73" s="50">
        <v>855</v>
      </c>
      <c r="O73" s="50">
        <v>679</v>
      </c>
      <c r="P73" s="50">
        <v>726</v>
      </c>
      <c r="Q73" s="50">
        <v>1145</v>
      </c>
      <c r="R73" s="50">
        <v>1160</v>
      </c>
      <c r="S73" s="50">
        <v>1371</v>
      </c>
      <c r="T73" s="50">
        <v>741</v>
      </c>
      <c r="U73" s="50">
        <v>514</v>
      </c>
      <c r="V73" s="84">
        <f t="shared" si="4"/>
        <v>962</v>
      </c>
      <c r="W73" s="84">
        <f t="shared" si="5"/>
        <v>962</v>
      </c>
      <c r="X73" s="50">
        <v>1193</v>
      </c>
      <c r="Y73" s="50">
        <v>1440</v>
      </c>
      <c r="Z73" s="50">
        <v>4588</v>
      </c>
      <c r="AA73" s="50">
        <v>3604</v>
      </c>
      <c r="AB73" s="50">
        <v>1610</v>
      </c>
      <c r="AC73" s="50">
        <v>854</v>
      </c>
      <c r="AD73" s="50">
        <v>734</v>
      </c>
      <c r="AE73" s="50">
        <v>866</v>
      </c>
      <c r="AF73" s="50">
        <v>1314</v>
      </c>
      <c r="AG73" s="50">
        <v>1094</v>
      </c>
      <c r="AH73" s="50">
        <v>760</v>
      </c>
      <c r="AI73" s="50">
        <v>1074</v>
      </c>
      <c r="AJ73" s="50">
        <f t="shared" si="6"/>
        <v>1594.25</v>
      </c>
      <c r="AK73" s="50">
        <f t="shared" si="7"/>
        <v>1594.25</v>
      </c>
    </row>
    <row r="74" spans="1:37" x14ac:dyDescent="0.3">
      <c r="A74" s="86" t="s">
        <v>13</v>
      </c>
      <c r="B74" s="6"/>
      <c r="C74" s="4">
        <v>3121831003</v>
      </c>
      <c r="D74" s="86" t="s">
        <v>395</v>
      </c>
      <c r="E74" s="6" t="s">
        <v>16</v>
      </c>
      <c r="F74" s="6" t="s">
        <v>9</v>
      </c>
      <c r="G74" s="6" t="s">
        <v>73</v>
      </c>
      <c r="H74" s="24">
        <v>44564</v>
      </c>
      <c r="I74" s="24" t="s">
        <v>330</v>
      </c>
      <c r="J74" s="44">
        <v>0</v>
      </c>
      <c r="K74" s="58">
        <v>0</v>
      </c>
      <c r="L74" s="50">
        <v>0</v>
      </c>
      <c r="M74" s="50">
        <v>0</v>
      </c>
      <c r="N74" s="50">
        <v>0</v>
      </c>
      <c r="O74" s="50">
        <v>0</v>
      </c>
      <c r="P74" s="50">
        <v>623</v>
      </c>
      <c r="Q74" s="50">
        <v>1770</v>
      </c>
      <c r="R74" s="50">
        <v>1358</v>
      </c>
      <c r="S74" s="50">
        <v>1196</v>
      </c>
      <c r="T74" s="50">
        <v>792</v>
      </c>
      <c r="U74" s="50">
        <v>1002</v>
      </c>
      <c r="V74" s="84">
        <f t="shared" si="4"/>
        <v>561.75</v>
      </c>
      <c r="W74" s="84">
        <f t="shared" si="5"/>
        <v>1123.5</v>
      </c>
      <c r="X74" s="50">
        <v>1387</v>
      </c>
      <c r="Y74" s="50">
        <v>1435</v>
      </c>
      <c r="Z74" s="50">
        <v>1096</v>
      </c>
      <c r="AA74" s="50">
        <v>829</v>
      </c>
      <c r="AB74" s="50">
        <v>1268</v>
      </c>
      <c r="AC74" s="50">
        <v>1264</v>
      </c>
      <c r="AD74" s="50">
        <v>1588</v>
      </c>
      <c r="AE74" s="50">
        <v>1859</v>
      </c>
      <c r="AF74" s="50">
        <v>1492</v>
      </c>
      <c r="AG74" s="50">
        <v>1518</v>
      </c>
      <c r="AH74" s="50">
        <v>1534</v>
      </c>
      <c r="AI74" s="50">
        <v>2654</v>
      </c>
      <c r="AJ74" s="50">
        <f t="shared" si="6"/>
        <v>1493.6666666666667</v>
      </c>
      <c r="AK74" s="50">
        <f t="shared" si="7"/>
        <v>1493.6666666666667</v>
      </c>
    </row>
    <row r="75" spans="1:37" x14ac:dyDescent="0.3">
      <c r="A75" s="86" t="s">
        <v>13</v>
      </c>
      <c r="B75" s="6"/>
      <c r="C75" s="8">
        <v>3121069000</v>
      </c>
      <c r="D75" s="86" t="s">
        <v>396</v>
      </c>
      <c r="E75" s="6" t="s">
        <v>16</v>
      </c>
      <c r="F75" s="6" t="s">
        <v>9</v>
      </c>
      <c r="G75" s="6" t="s">
        <v>94</v>
      </c>
      <c r="H75" s="24">
        <v>44580</v>
      </c>
      <c r="I75" s="24" t="s">
        <v>330</v>
      </c>
      <c r="J75" s="44">
        <v>1329</v>
      </c>
      <c r="K75" s="56">
        <v>1589</v>
      </c>
      <c r="L75" s="50">
        <v>1508</v>
      </c>
      <c r="M75" s="50">
        <v>801</v>
      </c>
      <c r="N75" s="50">
        <v>945</v>
      </c>
      <c r="O75" s="50">
        <v>1437</v>
      </c>
      <c r="P75" s="50">
        <v>1479</v>
      </c>
      <c r="Q75" s="50">
        <v>1354</v>
      </c>
      <c r="R75" s="50">
        <v>1296</v>
      </c>
      <c r="S75" s="50">
        <v>886</v>
      </c>
      <c r="T75" s="50">
        <v>791</v>
      </c>
      <c r="U75" s="50">
        <v>1000</v>
      </c>
      <c r="V75" s="84">
        <f t="shared" si="4"/>
        <v>1201.25</v>
      </c>
      <c r="W75" s="84">
        <f t="shared" si="5"/>
        <v>1201.25</v>
      </c>
      <c r="X75" s="50">
        <v>1129</v>
      </c>
      <c r="Y75" s="50">
        <v>1130</v>
      </c>
      <c r="Z75" s="50">
        <v>697</v>
      </c>
      <c r="AA75" s="50">
        <v>821</v>
      </c>
      <c r="AB75" s="50">
        <v>811</v>
      </c>
      <c r="AC75" s="50">
        <v>1428</v>
      </c>
      <c r="AD75" s="50">
        <v>1650</v>
      </c>
      <c r="AE75" s="50">
        <v>1912</v>
      </c>
      <c r="AF75" s="50">
        <v>1311</v>
      </c>
      <c r="AG75" s="50">
        <v>796</v>
      </c>
      <c r="AH75" s="50">
        <v>704</v>
      </c>
      <c r="AI75" s="50">
        <v>946</v>
      </c>
      <c r="AJ75" s="50">
        <f t="shared" si="6"/>
        <v>1111.25</v>
      </c>
      <c r="AK75" s="50">
        <f t="shared" si="7"/>
        <v>1111.25</v>
      </c>
    </row>
    <row r="76" spans="1:37" x14ac:dyDescent="0.3">
      <c r="A76" s="86" t="s">
        <v>26</v>
      </c>
      <c r="B76" s="6"/>
      <c r="C76" s="8">
        <v>3101519000</v>
      </c>
      <c r="D76" s="86" t="s">
        <v>397</v>
      </c>
      <c r="E76" s="6" t="s">
        <v>11</v>
      </c>
      <c r="F76" s="6" t="s">
        <v>9</v>
      </c>
      <c r="G76" s="6" t="s">
        <v>51</v>
      </c>
      <c r="H76" s="24">
        <v>44600</v>
      </c>
      <c r="I76" s="24" t="s">
        <v>330</v>
      </c>
      <c r="J76" s="44">
        <v>428</v>
      </c>
      <c r="K76" s="55">
        <v>355</v>
      </c>
      <c r="L76" s="50">
        <v>327</v>
      </c>
      <c r="M76" s="50">
        <v>361</v>
      </c>
      <c r="N76" s="50">
        <v>480</v>
      </c>
      <c r="O76" s="50">
        <v>786</v>
      </c>
      <c r="P76" s="50">
        <v>665</v>
      </c>
      <c r="Q76" s="50">
        <v>644</v>
      </c>
      <c r="R76" s="50">
        <v>318</v>
      </c>
      <c r="S76" s="50">
        <v>320</v>
      </c>
      <c r="T76" s="50">
        <v>343</v>
      </c>
      <c r="U76" s="50">
        <v>361</v>
      </c>
      <c r="V76" s="84">
        <f t="shared" si="4"/>
        <v>449</v>
      </c>
      <c r="W76" s="84">
        <f t="shared" si="5"/>
        <v>449</v>
      </c>
      <c r="X76" s="50">
        <v>270</v>
      </c>
      <c r="Y76" s="50">
        <v>355</v>
      </c>
      <c r="Z76" s="50">
        <v>321</v>
      </c>
      <c r="AA76" s="50">
        <v>334</v>
      </c>
      <c r="AB76" s="50">
        <v>323</v>
      </c>
      <c r="AC76" s="50">
        <v>414</v>
      </c>
      <c r="AD76" s="50">
        <v>484</v>
      </c>
      <c r="AE76" s="50">
        <v>430</v>
      </c>
      <c r="AF76" s="50">
        <v>378</v>
      </c>
      <c r="AG76" s="50">
        <v>291</v>
      </c>
      <c r="AH76" s="50">
        <v>324</v>
      </c>
      <c r="AI76" s="50">
        <v>390</v>
      </c>
      <c r="AJ76" s="50">
        <f t="shared" si="6"/>
        <v>359.5</v>
      </c>
      <c r="AK76" s="50">
        <f t="shared" si="7"/>
        <v>359.5</v>
      </c>
    </row>
    <row r="77" spans="1:37" x14ac:dyDescent="0.3">
      <c r="A77" s="36" t="s">
        <v>52</v>
      </c>
      <c r="B77" s="6"/>
      <c r="C77" s="4">
        <v>3111836001</v>
      </c>
      <c r="D77" s="86" t="s">
        <v>398</v>
      </c>
      <c r="E77" s="6" t="s">
        <v>14</v>
      </c>
      <c r="F77" s="6" t="s">
        <v>9</v>
      </c>
      <c r="G77" s="6" t="s">
        <v>53</v>
      </c>
      <c r="H77" s="24">
        <v>44614</v>
      </c>
      <c r="I77" s="24" t="s">
        <v>330</v>
      </c>
      <c r="J77" s="44">
        <v>1978</v>
      </c>
      <c r="K77" s="50">
        <v>1276</v>
      </c>
      <c r="L77" s="50">
        <v>890</v>
      </c>
      <c r="M77" s="50">
        <v>772</v>
      </c>
      <c r="N77" s="50">
        <v>1098</v>
      </c>
      <c r="O77" s="50">
        <v>1366</v>
      </c>
      <c r="P77" s="50">
        <v>1274</v>
      </c>
      <c r="Q77" s="50">
        <v>1032</v>
      </c>
      <c r="R77" s="50">
        <v>1036</v>
      </c>
      <c r="S77" s="50">
        <v>1530</v>
      </c>
      <c r="T77" s="50">
        <v>2922</v>
      </c>
      <c r="U77" s="50">
        <v>3214</v>
      </c>
      <c r="V77" s="84">
        <f t="shared" si="4"/>
        <v>1532.3333333333333</v>
      </c>
      <c r="W77" s="84">
        <f t="shared" si="5"/>
        <v>1532.3333333333333</v>
      </c>
      <c r="X77" s="50">
        <v>2536</v>
      </c>
      <c r="Y77" s="50">
        <v>2158</v>
      </c>
      <c r="Z77" s="50">
        <v>1368</v>
      </c>
      <c r="AA77" s="50">
        <v>890</v>
      </c>
      <c r="AB77" s="50">
        <v>938</v>
      </c>
      <c r="AC77" s="50">
        <v>942</v>
      </c>
      <c r="AD77" s="50">
        <v>1172</v>
      </c>
      <c r="AE77" s="50">
        <v>1046</v>
      </c>
      <c r="AF77" s="50">
        <v>1456</v>
      </c>
      <c r="AG77" s="50">
        <v>2114</v>
      </c>
      <c r="AH77" s="50">
        <v>2876</v>
      </c>
      <c r="AI77" s="50">
        <v>2722</v>
      </c>
      <c r="AJ77" s="50">
        <f t="shared" si="6"/>
        <v>1684.8333333333333</v>
      </c>
      <c r="AK77" s="50">
        <f t="shared" si="7"/>
        <v>1684.8333333333333</v>
      </c>
    </row>
    <row r="78" spans="1:37" x14ac:dyDescent="0.3">
      <c r="A78" s="87" t="s">
        <v>13</v>
      </c>
      <c r="B78" s="6"/>
      <c r="C78" s="8">
        <v>3131256001</v>
      </c>
      <c r="D78" s="86" t="s">
        <v>399</v>
      </c>
      <c r="E78" s="6" t="s">
        <v>16</v>
      </c>
      <c r="F78" s="6" t="s">
        <v>9</v>
      </c>
      <c r="G78" s="6" t="s">
        <v>122</v>
      </c>
      <c r="H78" s="24">
        <v>44630</v>
      </c>
      <c r="I78" s="24" t="s">
        <v>330</v>
      </c>
      <c r="J78" s="44">
        <v>458</v>
      </c>
      <c r="K78" s="55">
        <v>477</v>
      </c>
      <c r="L78" s="50">
        <v>1100</v>
      </c>
      <c r="M78" s="50">
        <v>2228</v>
      </c>
      <c r="N78" s="50">
        <v>2204</v>
      </c>
      <c r="O78" s="50">
        <v>2469</v>
      </c>
      <c r="P78" s="50">
        <v>1962</v>
      </c>
      <c r="Q78" s="50">
        <v>1088</v>
      </c>
      <c r="R78" s="50">
        <v>699</v>
      </c>
      <c r="S78" s="50">
        <v>602</v>
      </c>
      <c r="T78" s="50">
        <v>694</v>
      </c>
      <c r="U78" s="50">
        <v>511</v>
      </c>
      <c r="V78" s="84">
        <f t="shared" si="4"/>
        <v>1207.6666666666667</v>
      </c>
      <c r="W78" s="84">
        <f t="shared" si="5"/>
        <v>1207.6666666666667</v>
      </c>
      <c r="X78" s="50">
        <v>604</v>
      </c>
      <c r="Y78" s="50">
        <v>728</v>
      </c>
      <c r="Z78" s="50">
        <v>926</v>
      </c>
      <c r="AA78" s="50">
        <v>1014</v>
      </c>
      <c r="AB78" s="50">
        <v>1384</v>
      </c>
      <c r="AC78" s="50">
        <v>1387</v>
      </c>
      <c r="AD78" s="50">
        <v>1028</v>
      </c>
      <c r="AE78" s="50">
        <v>1057</v>
      </c>
      <c r="AF78" s="50">
        <v>669</v>
      </c>
      <c r="AG78" s="50">
        <v>914</v>
      </c>
      <c r="AH78" s="50">
        <v>1433</v>
      </c>
      <c r="AI78" s="50">
        <v>1455</v>
      </c>
      <c r="AJ78" s="50">
        <f t="shared" si="6"/>
        <v>1049.9166666666667</v>
      </c>
      <c r="AK78" s="50">
        <f t="shared" si="7"/>
        <v>1049.9166666666667</v>
      </c>
    </row>
    <row r="79" spans="1:37" x14ac:dyDescent="0.3">
      <c r="A79" s="86" t="s">
        <v>88</v>
      </c>
      <c r="B79" s="6"/>
      <c r="C79" s="8">
        <v>3141108000</v>
      </c>
      <c r="D79" s="86" t="s">
        <v>400</v>
      </c>
      <c r="E79" s="6" t="s">
        <v>8</v>
      </c>
      <c r="F79" s="6" t="s">
        <v>9</v>
      </c>
      <c r="G79" s="6" t="s">
        <v>89</v>
      </c>
      <c r="H79" s="24">
        <v>44631</v>
      </c>
      <c r="I79" s="24" t="s">
        <v>330</v>
      </c>
      <c r="J79" s="44">
        <v>463</v>
      </c>
      <c r="K79" s="52">
        <v>372</v>
      </c>
      <c r="L79" s="50">
        <v>589</v>
      </c>
      <c r="M79" s="50">
        <v>1002</v>
      </c>
      <c r="N79" s="50">
        <v>1019</v>
      </c>
      <c r="O79" s="50">
        <v>1098</v>
      </c>
      <c r="P79" s="50">
        <v>839</v>
      </c>
      <c r="Q79" s="50">
        <v>439</v>
      </c>
      <c r="R79" s="50">
        <v>400</v>
      </c>
      <c r="S79" s="50">
        <v>469</v>
      </c>
      <c r="T79" s="50">
        <v>745</v>
      </c>
      <c r="U79" s="50">
        <v>453</v>
      </c>
      <c r="V79" s="84">
        <f t="shared" si="4"/>
        <v>657.33333333333337</v>
      </c>
      <c r="W79" s="84">
        <f t="shared" si="5"/>
        <v>657.33333333333337</v>
      </c>
      <c r="X79" s="50">
        <v>539</v>
      </c>
      <c r="Y79" s="50">
        <v>597</v>
      </c>
      <c r="Z79" s="50">
        <v>590</v>
      </c>
      <c r="AA79" s="50">
        <v>690</v>
      </c>
      <c r="AB79" s="50">
        <v>840</v>
      </c>
      <c r="AC79" s="50">
        <v>989</v>
      </c>
      <c r="AD79" s="50">
        <v>743</v>
      </c>
      <c r="AE79" s="50">
        <v>450</v>
      </c>
      <c r="AF79" s="50">
        <v>505</v>
      </c>
      <c r="AG79" s="50">
        <v>586</v>
      </c>
      <c r="AH79" s="50">
        <v>670</v>
      </c>
      <c r="AI79" s="50">
        <v>602</v>
      </c>
      <c r="AJ79" s="50">
        <f t="shared" si="6"/>
        <v>650.08333333333337</v>
      </c>
      <c r="AK79" s="50">
        <f t="shared" si="7"/>
        <v>650.08333333333337</v>
      </c>
    </row>
    <row r="80" spans="1:37" x14ac:dyDescent="0.3">
      <c r="A80" s="86" t="s">
        <v>26</v>
      </c>
      <c r="B80" s="6"/>
      <c r="C80" s="8">
        <v>3130527000</v>
      </c>
      <c r="D80" s="86" t="s">
        <v>401</v>
      </c>
      <c r="E80" s="6" t="s">
        <v>16</v>
      </c>
      <c r="F80" s="6" t="s">
        <v>9</v>
      </c>
      <c r="G80" s="6" t="s">
        <v>77</v>
      </c>
      <c r="H80" s="24">
        <v>44635</v>
      </c>
      <c r="I80" s="24" t="s">
        <v>330</v>
      </c>
      <c r="J80" s="44">
        <v>333</v>
      </c>
      <c r="K80" s="56">
        <v>274</v>
      </c>
      <c r="L80" s="50">
        <v>282</v>
      </c>
      <c r="M80" s="50">
        <v>481</v>
      </c>
      <c r="N80" s="50">
        <v>599</v>
      </c>
      <c r="O80" s="50">
        <v>550</v>
      </c>
      <c r="P80" s="50">
        <v>564</v>
      </c>
      <c r="Q80" s="50">
        <v>486</v>
      </c>
      <c r="R80" s="50">
        <v>359</v>
      </c>
      <c r="S80" s="50">
        <v>368</v>
      </c>
      <c r="T80" s="50">
        <v>415</v>
      </c>
      <c r="U80" s="50">
        <v>311</v>
      </c>
      <c r="V80" s="84">
        <f t="shared" si="4"/>
        <v>418.5</v>
      </c>
      <c r="W80" s="84">
        <f t="shared" si="5"/>
        <v>418.5</v>
      </c>
      <c r="X80" s="50">
        <v>286</v>
      </c>
      <c r="Y80" s="50">
        <v>268</v>
      </c>
      <c r="Z80" s="50">
        <v>333</v>
      </c>
      <c r="AA80" s="50">
        <v>503</v>
      </c>
      <c r="AB80" s="50">
        <v>602</v>
      </c>
      <c r="AC80" s="50">
        <v>517</v>
      </c>
      <c r="AD80" s="50">
        <v>563</v>
      </c>
      <c r="AE80" s="50">
        <v>609</v>
      </c>
      <c r="AF80" s="50">
        <v>374</v>
      </c>
      <c r="AG80" s="50">
        <v>318</v>
      </c>
      <c r="AH80" s="50">
        <v>436</v>
      </c>
      <c r="AI80" s="50">
        <v>373</v>
      </c>
      <c r="AJ80" s="50">
        <f t="shared" si="6"/>
        <v>431.83333333333331</v>
      </c>
      <c r="AK80" s="50">
        <f t="shared" si="7"/>
        <v>431.83333333333331</v>
      </c>
    </row>
    <row r="81" spans="1:37" x14ac:dyDescent="0.3">
      <c r="A81" s="86" t="s">
        <v>24</v>
      </c>
      <c r="B81" s="6"/>
      <c r="C81" s="4">
        <v>3111438000</v>
      </c>
      <c r="D81" s="86" t="s">
        <v>402</v>
      </c>
      <c r="E81" s="6" t="s">
        <v>16</v>
      </c>
      <c r="F81" s="6" t="s">
        <v>9</v>
      </c>
      <c r="G81" s="6" t="s">
        <v>68</v>
      </c>
      <c r="H81" s="24">
        <v>44637</v>
      </c>
      <c r="I81" s="24" t="s">
        <v>330</v>
      </c>
      <c r="J81" s="44">
        <v>360</v>
      </c>
      <c r="K81" s="52">
        <v>228</v>
      </c>
      <c r="L81" s="50">
        <v>212</v>
      </c>
      <c r="M81" s="50">
        <v>448</v>
      </c>
      <c r="N81" s="50">
        <v>596</v>
      </c>
      <c r="O81" s="50">
        <v>584</v>
      </c>
      <c r="P81" s="50">
        <v>544</v>
      </c>
      <c r="Q81" s="50">
        <v>400</v>
      </c>
      <c r="R81" s="50">
        <v>338</v>
      </c>
      <c r="S81" s="50">
        <v>410</v>
      </c>
      <c r="T81" s="50">
        <v>436</v>
      </c>
      <c r="U81" s="50">
        <v>404</v>
      </c>
      <c r="V81" s="84">
        <f t="shared" si="4"/>
        <v>413.33333333333331</v>
      </c>
      <c r="W81" s="84">
        <f t="shared" si="5"/>
        <v>413.33333333333331</v>
      </c>
      <c r="X81" s="50">
        <v>324</v>
      </c>
      <c r="Y81" s="50">
        <v>318</v>
      </c>
      <c r="Z81" s="50">
        <v>364</v>
      </c>
      <c r="AA81" s="50">
        <v>404</v>
      </c>
      <c r="AB81" s="50">
        <v>456</v>
      </c>
      <c r="AC81" s="50">
        <v>532</v>
      </c>
      <c r="AD81" s="50">
        <v>444</v>
      </c>
      <c r="AE81" s="50">
        <v>412</v>
      </c>
      <c r="AF81" s="50">
        <v>460</v>
      </c>
      <c r="AG81" s="50">
        <v>898</v>
      </c>
      <c r="AH81" s="50">
        <v>1000</v>
      </c>
      <c r="AI81" s="50">
        <v>948</v>
      </c>
      <c r="AJ81" s="50">
        <f t="shared" si="6"/>
        <v>546.66666666666663</v>
      </c>
      <c r="AK81" s="50">
        <f t="shared" si="7"/>
        <v>546.66666666666663</v>
      </c>
    </row>
    <row r="82" spans="1:37" x14ac:dyDescent="0.3">
      <c r="A82" s="86" t="s">
        <v>90</v>
      </c>
      <c r="B82" s="6"/>
      <c r="C82" s="8">
        <v>3120353001</v>
      </c>
      <c r="D82" s="86" t="s">
        <v>403</v>
      </c>
      <c r="E82" s="6" t="s">
        <v>16</v>
      </c>
      <c r="F82" s="6" t="s">
        <v>9</v>
      </c>
      <c r="G82" s="6" t="s">
        <v>148</v>
      </c>
      <c r="H82" s="24">
        <v>44643</v>
      </c>
      <c r="I82" s="24" t="s">
        <v>330</v>
      </c>
      <c r="J82" s="44">
        <v>310</v>
      </c>
      <c r="K82" s="54">
        <v>234</v>
      </c>
      <c r="L82" s="50">
        <v>229</v>
      </c>
      <c r="M82" s="50">
        <v>357</v>
      </c>
      <c r="N82" s="50">
        <v>590</v>
      </c>
      <c r="O82" s="50">
        <v>725</v>
      </c>
      <c r="P82" s="50">
        <v>517</v>
      </c>
      <c r="Q82" s="50">
        <v>249</v>
      </c>
      <c r="R82" s="50">
        <v>249</v>
      </c>
      <c r="S82" s="50">
        <v>325</v>
      </c>
      <c r="T82" s="50">
        <v>355</v>
      </c>
      <c r="U82" s="50">
        <v>342</v>
      </c>
      <c r="V82" s="84">
        <f t="shared" si="4"/>
        <v>373.5</v>
      </c>
      <c r="W82" s="84">
        <f t="shared" si="5"/>
        <v>373.5</v>
      </c>
      <c r="X82" s="50">
        <v>270</v>
      </c>
      <c r="Y82" s="50">
        <v>621</v>
      </c>
      <c r="Z82" s="50">
        <v>455</v>
      </c>
      <c r="AA82" s="50">
        <v>232</v>
      </c>
      <c r="AB82" s="50">
        <v>466</v>
      </c>
      <c r="AC82" s="50">
        <v>529</v>
      </c>
      <c r="AD82" s="50">
        <v>331</v>
      </c>
      <c r="AE82" s="50">
        <v>254</v>
      </c>
      <c r="AF82" s="50">
        <v>227</v>
      </c>
      <c r="AG82" s="50">
        <v>264</v>
      </c>
      <c r="AH82" s="50">
        <v>319</v>
      </c>
      <c r="AI82" s="50">
        <v>331</v>
      </c>
      <c r="AJ82" s="50">
        <f t="shared" si="6"/>
        <v>358.25</v>
      </c>
      <c r="AK82" s="50">
        <f t="shared" si="7"/>
        <v>358.25</v>
      </c>
    </row>
    <row r="83" spans="1:37" x14ac:dyDescent="0.3">
      <c r="A83" s="86" t="s">
        <v>26</v>
      </c>
      <c r="B83" s="6"/>
      <c r="C83" s="8">
        <v>3080564000</v>
      </c>
      <c r="D83" s="86" t="s">
        <v>404</v>
      </c>
      <c r="E83" s="6" t="s">
        <v>11</v>
      </c>
      <c r="F83" s="6" t="s">
        <v>9</v>
      </c>
      <c r="G83" s="6" t="s">
        <v>12</v>
      </c>
      <c r="H83" s="24">
        <v>44648</v>
      </c>
      <c r="I83" s="24" t="s">
        <v>330</v>
      </c>
      <c r="J83" s="44">
        <v>983</v>
      </c>
      <c r="K83" s="55">
        <v>786</v>
      </c>
      <c r="L83" s="50">
        <v>909</v>
      </c>
      <c r="M83" s="50">
        <v>1318</v>
      </c>
      <c r="N83" s="50">
        <v>1373</v>
      </c>
      <c r="O83" s="50">
        <v>1592</v>
      </c>
      <c r="P83" s="50">
        <v>1512</v>
      </c>
      <c r="Q83" s="50">
        <v>1063</v>
      </c>
      <c r="R83" s="50">
        <v>996</v>
      </c>
      <c r="S83" s="50">
        <v>970</v>
      </c>
      <c r="T83" s="50">
        <v>1111</v>
      </c>
      <c r="U83" s="50">
        <v>1097</v>
      </c>
      <c r="V83" s="84">
        <f t="shared" si="4"/>
        <v>1142.5</v>
      </c>
      <c r="W83" s="84">
        <f t="shared" si="5"/>
        <v>1142.5</v>
      </c>
      <c r="X83" s="50">
        <v>987</v>
      </c>
      <c r="Y83" s="50">
        <v>1175</v>
      </c>
      <c r="Z83" s="50">
        <v>1326</v>
      </c>
      <c r="AA83" s="50">
        <v>1260</v>
      </c>
      <c r="AB83" s="50">
        <v>1446</v>
      </c>
      <c r="AC83" s="50">
        <v>1751</v>
      </c>
      <c r="AD83" s="50">
        <v>1543</v>
      </c>
      <c r="AE83" s="50">
        <v>1179</v>
      </c>
      <c r="AF83" s="50">
        <v>1269</v>
      </c>
      <c r="AG83" s="50">
        <v>2221</v>
      </c>
      <c r="AH83" s="50">
        <v>2452</v>
      </c>
      <c r="AI83" s="50">
        <v>2197</v>
      </c>
      <c r="AJ83" s="50">
        <f t="shared" si="6"/>
        <v>1567.1666666666667</v>
      </c>
      <c r="AK83" s="50">
        <f t="shared" si="7"/>
        <v>1567.1666666666667</v>
      </c>
    </row>
    <row r="84" spans="1:37" x14ac:dyDescent="0.3">
      <c r="A84" s="34" t="s">
        <v>13</v>
      </c>
      <c r="B84" s="2"/>
      <c r="C84" s="4">
        <v>3060501001</v>
      </c>
      <c r="D84" s="88" t="s">
        <v>405</v>
      </c>
      <c r="E84" s="2" t="s">
        <v>11</v>
      </c>
      <c r="F84" s="2" t="s">
        <v>9</v>
      </c>
      <c r="G84" s="2" t="s">
        <v>12</v>
      </c>
      <c r="H84" s="24">
        <v>44652</v>
      </c>
      <c r="I84" s="24" t="s">
        <v>330</v>
      </c>
      <c r="J84" s="43">
        <v>0</v>
      </c>
      <c r="K84" s="56">
        <v>0</v>
      </c>
      <c r="L84" s="50">
        <v>0</v>
      </c>
      <c r="M84" s="50">
        <v>0</v>
      </c>
      <c r="N84" s="50">
        <v>0</v>
      </c>
      <c r="O84" s="50">
        <v>0</v>
      </c>
      <c r="P84" s="50">
        <v>0</v>
      </c>
      <c r="Q84" s="50">
        <v>304</v>
      </c>
      <c r="R84" s="50">
        <v>547</v>
      </c>
      <c r="S84" s="50">
        <v>718</v>
      </c>
      <c r="T84" s="50">
        <v>834</v>
      </c>
      <c r="U84" s="50">
        <v>691</v>
      </c>
      <c r="V84" s="84">
        <f t="shared" si="4"/>
        <v>257.83333333333331</v>
      </c>
      <c r="W84" s="84">
        <f t="shared" si="5"/>
        <v>618.79999999999995</v>
      </c>
      <c r="X84" s="50">
        <v>479</v>
      </c>
      <c r="Y84" s="50">
        <v>456</v>
      </c>
      <c r="Z84" s="50">
        <v>351</v>
      </c>
      <c r="AA84" s="50">
        <v>559</v>
      </c>
      <c r="AB84" s="50">
        <v>1002</v>
      </c>
      <c r="AC84" s="50">
        <v>618</v>
      </c>
      <c r="AD84" s="50">
        <v>282</v>
      </c>
      <c r="AE84" s="50">
        <v>269</v>
      </c>
      <c r="AF84" s="50">
        <v>465</v>
      </c>
      <c r="AG84" s="50">
        <v>535</v>
      </c>
      <c r="AH84" s="50">
        <v>515</v>
      </c>
      <c r="AI84" s="50">
        <v>418</v>
      </c>
      <c r="AJ84" s="50">
        <f t="shared" si="6"/>
        <v>495.75</v>
      </c>
      <c r="AK84" s="50">
        <f t="shared" si="7"/>
        <v>495.75</v>
      </c>
    </row>
    <row r="85" spans="1:37" x14ac:dyDescent="0.3">
      <c r="A85" s="86" t="s">
        <v>13</v>
      </c>
      <c r="B85" s="6"/>
      <c r="C85" s="8">
        <v>3131213000</v>
      </c>
      <c r="D85" s="86" t="s">
        <v>406</v>
      </c>
      <c r="E85" s="6" t="s">
        <v>16</v>
      </c>
      <c r="F85" s="6" t="s">
        <v>9</v>
      </c>
      <c r="G85" s="6" t="s">
        <v>136</v>
      </c>
      <c r="H85" s="24">
        <v>44652</v>
      </c>
      <c r="I85" s="24" t="s">
        <v>330</v>
      </c>
      <c r="J85" s="44">
        <v>796</v>
      </c>
      <c r="K85" s="56">
        <v>857</v>
      </c>
      <c r="L85" s="50">
        <v>1018</v>
      </c>
      <c r="M85" s="50">
        <v>999</v>
      </c>
      <c r="N85" s="50">
        <v>1128</v>
      </c>
      <c r="O85" s="50">
        <v>823</v>
      </c>
      <c r="P85" s="50">
        <v>630</v>
      </c>
      <c r="Q85" s="50">
        <v>800</v>
      </c>
      <c r="R85" s="50">
        <v>845</v>
      </c>
      <c r="S85" s="50">
        <v>1291</v>
      </c>
      <c r="T85" s="50">
        <v>1178</v>
      </c>
      <c r="U85" s="50">
        <v>875</v>
      </c>
      <c r="V85" s="84">
        <f t="shared" si="4"/>
        <v>936.66666666666663</v>
      </c>
      <c r="W85" s="84">
        <f t="shared" si="5"/>
        <v>936.66666666666663</v>
      </c>
      <c r="X85" s="50">
        <v>745</v>
      </c>
      <c r="Y85" s="50">
        <v>906</v>
      </c>
      <c r="Z85" s="50">
        <v>758</v>
      </c>
      <c r="AA85" s="50">
        <v>1261</v>
      </c>
      <c r="AB85" s="50">
        <v>1044</v>
      </c>
      <c r="AC85" s="50">
        <v>789</v>
      </c>
      <c r="AD85" s="50">
        <v>706</v>
      </c>
      <c r="AE85" s="50">
        <v>876</v>
      </c>
      <c r="AF85" s="50">
        <v>1056</v>
      </c>
      <c r="AG85" s="50">
        <v>1265</v>
      </c>
      <c r="AH85" s="50">
        <v>981</v>
      </c>
      <c r="AI85" s="50">
        <v>989</v>
      </c>
      <c r="AJ85" s="50">
        <f t="shared" si="6"/>
        <v>948</v>
      </c>
      <c r="AK85" s="50">
        <f t="shared" si="7"/>
        <v>948</v>
      </c>
    </row>
    <row r="86" spans="1:37" x14ac:dyDescent="0.3">
      <c r="A86" s="86" t="s">
        <v>13</v>
      </c>
      <c r="B86" s="6"/>
      <c r="C86" s="8">
        <v>3131597001</v>
      </c>
      <c r="D86" s="86" t="s">
        <v>407</v>
      </c>
      <c r="E86" s="6" t="s">
        <v>16</v>
      </c>
      <c r="F86" s="6" t="s">
        <v>9</v>
      </c>
      <c r="G86" s="6" t="s">
        <v>109</v>
      </c>
      <c r="H86" s="24">
        <v>44654</v>
      </c>
      <c r="I86" s="24" t="s">
        <v>330</v>
      </c>
      <c r="J86" s="44">
        <v>311</v>
      </c>
      <c r="K86" s="60">
        <v>324</v>
      </c>
      <c r="L86" s="50">
        <v>434</v>
      </c>
      <c r="M86" s="50">
        <v>578</v>
      </c>
      <c r="N86" s="50">
        <v>626</v>
      </c>
      <c r="O86" s="50">
        <v>651</v>
      </c>
      <c r="P86" s="50">
        <v>462</v>
      </c>
      <c r="Q86" s="50">
        <v>561</v>
      </c>
      <c r="R86" s="50">
        <v>509</v>
      </c>
      <c r="S86" s="50">
        <v>658</v>
      </c>
      <c r="T86" s="50">
        <v>516</v>
      </c>
      <c r="U86" s="50">
        <v>490</v>
      </c>
      <c r="V86" s="84">
        <f t="shared" si="4"/>
        <v>510</v>
      </c>
      <c r="W86" s="84">
        <f t="shared" si="5"/>
        <v>510</v>
      </c>
      <c r="X86" s="50">
        <v>378</v>
      </c>
      <c r="Y86" s="50">
        <v>413</v>
      </c>
      <c r="Z86" s="50">
        <v>258</v>
      </c>
      <c r="AA86" s="50">
        <v>402</v>
      </c>
      <c r="AB86" s="50">
        <v>412</v>
      </c>
      <c r="AC86" s="50">
        <v>258</v>
      </c>
      <c r="AD86" s="50">
        <v>413</v>
      </c>
      <c r="AE86" s="50">
        <v>985</v>
      </c>
      <c r="AF86" s="50">
        <v>972</v>
      </c>
      <c r="AG86" s="50">
        <v>1170</v>
      </c>
      <c r="AH86" s="50">
        <v>1095</v>
      </c>
      <c r="AI86" s="50">
        <v>985</v>
      </c>
      <c r="AJ86" s="50">
        <f t="shared" si="6"/>
        <v>645.08333333333337</v>
      </c>
      <c r="AK86" s="50">
        <f t="shared" si="7"/>
        <v>645.08333333333337</v>
      </c>
    </row>
    <row r="87" spans="1:37" x14ac:dyDescent="0.3">
      <c r="A87" s="86" t="s">
        <v>113</v>
      </c>
      <c r="B87" s="6"/>
      <c r="C87" s="8">
        <v>3131350003</v>
      </c>
      <c r="D87" s="86" t="s">
        <v>408</v>
      </c>
      <c r="E87" s="6" t="s">
        <v>16</v>
      </c>
      <c r="F87" s="6" t="s">
        <v>9</v>
      </c>
      <c r="G87" s="6" t="s">
        <v>114</v>
      </c>
      <c r="H87" s="24">
        <v>44655</v>
      </c>
      <c r="I87" s="24" t="s">
        <v>330</v>
      </c>
      <c r="J87" s="44">
        <v>22</v>
      </c>
      <c r="K87" s="45">
        <v>34</v>
      </c>
      <c r="L87" s="50">
        <v>417</v>
      </c>
      <c r="M87" s="50">
        <v>90</v>
      </c>
      <c r="N87" s="50">
        <v>92</v>
      </c>
      <c r="O87" s="50">
        <v>141</v>
      </c>
      <c r="P87" s="50">
        <v>142</v>
      </c>
      <c r="Q87" s="50">
        <v>127</v>
      </c>
      <c r="R87" s="50">
        <v>52</v>
      </c>
      <c r="S87" s="50">
        <v>30</v>
      </c>
      <c r="T87" s="50">
        <v>30</v>
      </c>
      <c r="U87" s="50">
        <v>184</v>
      </c>
      <c r="V87" s="84">
        <f t="shared" ref="V87:V150" si="8">AVERAGE(J87:U87)</f>
        <v>113.41666666666667</v>
      </c>
      <c r="W87" s="84">
        <f t="shared" ref="W87:W150" si="9">AVERAGEIF(J87:U87,"&lt;&gt;0")</f>
        <v>113.41666666666667</v>
      </c>
      <c r="X87" s="50">
        <v>224</v>
      </c>
      <c r="Y87" s="50">
        <v>172</v>
      </c>
      <c r="Z87" s="50">
        <v>146</v>
      </c>
      <c r="AA87" s="50">
        <v>176</v>
      </c>
      <c r="AB87" s="50">
        <v>218</v>
      </c>
      <c r="AC87" s="50">
        <v>125</v>
      </c>
      <c r="AD87" s="50">
        <v>168</v>
      </c>
      <c r="AE87" s="50">
        <v>168</v>
      </c>
      <c r="AF87" s="50">
        <v>366</v>
      </c>
      <c r="AG87" s="50">
        <v>300</v>
      </c>
      <c r="AH87" s="50">
        <v>856</v>
      </c>
      <c r="AI87" s="50">
        <v>672</v>
      </c>
      <c r="AJ87" s="50">
        <f t="shared" si="6"/>
        <v>299.25</v>
      </c>
      <c r="AK87" s="50">
        <f t="shared" si="7"/>
        <v>299.25</v>
      </c>
    </row>
    <row r="88" spans="1:37" x14ac:dyDescent="0.3">
      <c r="A88" s="86" t="s">
        <v>13</v>
      </c>
      <c r="B88" s="6"/>
      <c r="C88" s="8">
        <v>3041392000</v>
      </c>
      <c r="D88" s="86" t="s">
        <v>409</v>
      </c>
      <c r="E88" s="6" t="s">
        <v>11</v>
      </c>
      <c r="F88" s="6" t="s">
        <v>9</v>
      </c>
      <c r="G88" s="6" t="s">
        <v>46</v>
      </c>
      <c r="H88" s="24">
        <v>44660</v>
      </c>
      <c r="I88" s="24" t="s">
        <v>330</v>
      </c>
      <c r="J88" s="44">
        <v>424</v>
      </c>
      <c r="K88" s="59">
        <v>544</v>
      </c>
      <c r="L88" s="50">
        <v>914</v>
      </c>
      <c r="M88" s="50">
        <v>1240</v>
      </c>
      <c r="N88" s="50">
        <v>1812</v>
      </c>
      <c r="O88" s="50">
        <v>1448</v>
      </c>
      <c r="P88" s="50">
        <v>830</v>
      </c>
      <c r="Q88" s="50">
        <v>728</v>
      </c>
      <c r="R88" s="50">
        <v>816</v>
      </c>
      <c r="S88" s="50">
        <v>1122</v>
      </c>
      <c r="T88" s="50">
        <v>754</v>
      </c>
      <c r="U88" s="50">
        <v>638</v>
      </c>
      <c r="V88" s="84">
        <f t="shared" si="8"/>
        <v>939.16666666666663</v>
      </c>
      <c r="W88" s="84">
        <f t="shared" si="9"/>
        <v>939.16666666666663</v>
      </c>
      <c r="X88" s="50">
        <v>572</v>
      </c>
      <c r="Y88" s="50">
        <v>676</v>
      </c>
      <c r="Z88" s="50">
        <v>732</v>
      </c>
      <c r="AA88" s="50">
        <v>936</v>
      </c>
      <c r="AB88" s="50">
        <v>1098</v>
      </c>
      <c r="AC88" s="50">
        <v>952</v>
      </c>
      <c r="AD88" s="50">
        <v>628</v>
      </c>
      <c r="AE88" s="50">
        <v>698</v>
      </c>
      <c r="AF88" s="50">
        <v>2266</v>
      </c>
      <c r="AG88" s="50">
        <v>2918</v>
      </c>
      <c r="AH88" s="50">
        <v>2278</v>
      </c>
      <c r="AI88" s="50">
        <v>2330</v>
      </c>
      <c r="AJ88" s="50">
        <f t="shared" si="6"/>
        <v>1340.3333333333333</v>
      </c>
      <c r="AK88" s="50">
        <f t="shared" si="7"/>
        <v>1340.3333333333333</v>
      </c>
    </row>
    <row r="89" spans="1:37" x14ac:dyDescent="0.3">
      <c r="A89" s="86" t="s">
        <v>26</v>
      </c>
      <c r="B89" s="6"/>
      <c r="C89" s="8">
        <v>3060522000</v>
      </c>
      <c r="D89" s="86" t="s">
        <v>405</v>
      </c>
      <c r="E89" s="6" t="s">
        <v>11</v>
      </c>
      <c r="F89" s="6" t="s">
        <v>9</v>
      </c>
      <c r="G89" s="6" t="s">
        <v>48</v>
      </c>
      <c r="H89" s="24">
        <v>44663</v>
      </c>
      <c r="I89" s="24" t="s">
        <v>330</v>
      </c>
      <c r="J89" s="44">
        <v>473</v>
      </c>
      <c r="K89" s="56">
        <v>454</v>
      </c>
      <c r="L89" s="50">
        <v>545</v>
      </c>
      <c r="M89" s="50">
        <v>661</v>
      </c>
      <c r="N89" s="50">
        <v>644</v>
      </c>
      <c r="O89" s="50">
        <v>779</v>
      </c>
      <c r="P89" s="50">
        <v>452</v>
      </c>
      <c r="Q89" s="50">
        <v>482</v>
      </c>
      <c r="R89" s="50">
        <v>787</v>
      </c>
      <c r="S89" s="50">
        <v>980</v>
      </c>
      <c r="T89" s="50">
        <v>1156</v>
      </c>
      <c r="U89" s="50">
        <v>917</v>
      </c>
      <c r="V89" s="84">
        <f t="shared" si="8"/>
        <v>694.16666666666663</v>
      </c>
      <c r="W89" s="84">
        <f t="shared" si="9"/>
        <v>694.16666666666663</v>
      </c>
      <c r="X89" s="50">
        <v>636</v>
      </c>
      <c r="Y89" s="50">
        <v>466</v>
      </c>
      <c r="Z89" s="50">
        <v>528</v>
      </c>
      <c r="AA89" s="50">
        <v>558</v>
      </c>
      <c r="AB89" s="50">
        <v>940</v>
      </c>
      <c r="AC89" s="50">
        <v>575</v>
      </c>
      <c r="AD89" s="50">
        <v>503</v>
      </c>
      <c r="AE89" s="50">
        <v>717</v>
      </c>
      <c r="AF89" s="50">
        <v>1619</v>
      </c>
      <c r="AG89" s="50">
        <v>2270</v>
      </c>
      <c r="AH89" s="50">
        <v>2075</v>
      </c>
      <c r="AI89" s="50">
        <v>814</v>
      </c>
      <c r="AJ89" s="50">
        <f t="shared" si="6"/>
        <v>975.08333333333337</v>
      </c>
      <c r="AK89" s="50">
        <f t="shared" si="7"/>
        <v>975.08333333333337</v>
      </c>
    </row>
    <row r="90" spans="1:37" x14ac:dyDescent="0.3">
      <c r="A90" s="86" t="s">
        <v>90</v>
      </c>
      <c r="B90" s="6"/>
      <c r="C90" s="8">
        <v>3132861000</v>
      </c>
      <c r="D90" s="86" t="s">
        <v>410</v>
      </c>
      <c r="E90" s="6" t="s">
        <v>8</v>
      </c>
      <c r="F90" s="6" t="s">
        <v>9</v>
      </c>
      <c r="G90" s="6" t="s">
        <v>199</v>
      </c>
      <c r="H90" s="24">
        <v>44663</v>
      </c>
      <c r="I90" s="24" t="s">
        <v>330</v>
      </c>
      <c r="J90" s="44">
        <v>819</v>
      </c>
      <c r="K90" s="53">
        <v>838</v>
      </c>
      <c r="L90" s="50">
        <v>1057</v>
      </c>
      <c r="M90" s="50">
        <v>1045</v>
      </c>
      <c r="N90" s="50">
        <v>1117</v>
      </c>
      <c r="O90" s="50">
        <v>816</v>
      </c>
      <c r="P90" s="50">
        <v>665</v>
      </c>
      <c r="Q90" s="50">
        <v>808</v>
      </c>
      <c r="R90" s="50">
        <v>1189</v>
      </c>
      <c r="S90" s="50">
        <v>1343</v>
      </c>
      <c r="T90" s="50">
        <v>990</v>
      </c>
      <c r="U90" s="50">
        <v>1016</v>
      </c>
      <c r="V90" s="84">
        <f t="shared" si="8"/>
        <v>975.25</v>
      </c>
      <c r="W90" s="84">
        <f t="shared" si="9"/>
        <v>975.25</v>
      </c>
      <c r="X90" s="50">
        <v>870</v>
      </c>
      <c r="Y90" s="50">
        <v>614</v>
      </c>
      <c r="Z90" s="50">
        <v>686</v>
      </c>
      <c r="AA90" s="50">
        <v>1131</v>
      </c>
      <c r="AB90" s="50">
        <v>1240</v>
      </c>
      <c r="AC90" s="50">
        <v>892</v>
      </c>
      <c r="AD90" s="50">
        <v>642</v>
      </c>
      <c r="AE90" s="50">
        <v>539</v>
      </c>
      <c r="AF90" s="50">
        <v>785</v>
      </c>
      <c r="AG90" s="50">
        <v>841</v>
      </c>
      <c r="AH90" s="50">
        <v>590</v>
      </c>
      <c r="AI90" s="50">
        <v>572</v>
      </c>
      <c r="AJ90" s="50">
        <f t="shared" si="6"/>
        <v>783.5</v>
      </c>
      <c r="AK90" s="50">
        <f t="shared" si="7"/>
        <v>783.5</v>
      </c>
    </row>
    <row r="91" spans="1:37" x14ac:dyDescent="0.3">
      <c r="A91" s="86" t="s">
        <v>26</v>
      </c>
      <c r="B91" s="6"/>
      <c r="C91" s="8">
        <v>3130629000</v>
      </c>
      <c r="D91" s="86" t="s">
        <v>339</v>
      </c>
      <c r="E91" s="6" t="s">
        <v>16</v>
      </c>
      <c r="F91" s="6" t="s">
        <v>9</v>
      </c>
      <c r="G91" s="6" t="s">
        <v>79</v>
      </c>
      <c r="H91" s="24">
        <v>44665</v>
      </c>
      <c r="I91" s="24" t="s">
        <v>330</v>
      </c>
      <c r="J91" s="44">
        <v>328</v>
      </c>
      <c r="K91" s="60">
        <v>267</v>
      </c>
      <c r="L91" s="50">
        <v>231</v>
      </c>
      <c r="M91" s="50">
        <v>212</v>
      </c>
      <c r="N91" s="50">
        <v>184</v>
      </c>
      <c r="O91" s="50">
        <v>134</v>
      </c>
      <c r="P91" s="50">
        <v>101</v>
      </c>
      <c r="Q91" s="50">
        <v>249</v>
      </c>
      <c r="R91" s="50">
        <v>735</v>
      </c>
      <c r="S91" s="50">
        <v>787</v>
      </c>
      <c r="T91" s="50">
        <v>580</v>
      </c>
      <c r="U91" s="50">
        <v>454</v>
      </c>
      <c r="V91" s="84">
        <f t="shared" si="8"/>
        <v>355.16666666666669</v>
      </c>
      <c r="W91" s="84">
        <f t="shared" si="9"/>
        <v>355.16666666666669</v>
      </c>
      <c r="X91" s="50">
        <v>318</v>
      </c>
      <c r="Y91" s="50">
        <v>303</v>
      </c>
      <c r="Z91" s="50">
        <v>200</v>
      </c>
      <c r="AA91" s="50">
        <v>303</v>
      </c>
      <c r="AB91" s="50">
        <v>199</v>
      </c>
      <c r="AC91" s="50">
        <v>148</v>
      </c>
      <c r="AD91" s="50">
        <v>153</v>
      </c>
      <c r="AE91" s="50">
        <v>192</v>
      </c>
      <c r="AF91" s="50">
        <v>340</v>
      </c>
      <c r="AG91" s="50">
        <v>429</v>
      </c>
      <c r="AH91" s="50">
        <v>576</v>
      </c>
      <c r="AI91" s="50">
        <v>441</v>
      </c>
      <c r="AJ91" s="50">
        <f t="shared" si="6"/>
        <v>300.16666666666669</v>
      </c>
      <c r="AK91" s="50">
        <f t="shared" si="7"/>
        <v>300.16666666666669</v>
      </c>
    </row>
    <row r="92" spans="1:37" x14ac:dyDescent="0.3">
      <c r="A92" s="86" t="s">
        <v>24</v>
      </c>
      <c r="B92" s="6"/>
      <c r="C92" s="4">
        <v>3120169000</v>
      </c>
      <c r="D92" s="86" t="s">
        <v>411</v>
      </c>
      <c r="E92" s="6" t="s">
        <v>16</v>
      </c>
      <c r="F92" s="6" t="s">
        <v>9</v>
      </c>
      <c r="G92" s="6" t="s">
        <v>70</v>
      </c>
      <c r="H92" s="24">
        <v>44672</v>
      </c>
      <c r="I92" s="24" t="s">
        <v>330</v>
      </c>
      <c r="J92" s="44">
        <v>427</v>
      </c>
      <c r="K92" s="52">
        <v>407</v>
      </c>
      <c r="L92" s="50">
        <v>804</v>
      </c>
      <c r="M92" s="50">
        <v>776</v>
      </c>
      <c r="N92" s="50">
        <v>716</v>
      </c>
      <c r="O92" s="50">
        <v>721</v>
      </c>
      <c r="P92" s="50">
        <v>633</v>
      </c>
      <c r="Q92" s="50">
        <v>614</v>
      </c>
      <c r="R92" s="50">
        <v>713</v>
      </c>
      <c r="S92" s="50">
        <v>646</v>
      </c>
      <c r="T92" s="50">
        <v>531</v>
      </c>
      <c r="U92" s="50">
        <v>486</v>
      </c>
      <c r="V92" s="84">
        <f t="shared" si="8"/>
        <v>622.83333333333337</v>
      </c>
      <c r="W92" s="84">
        <f t="shared" si="9"/>
        <v>622.83333333333337</v>
      </c>
      <c r="X92" s="50">
        <v>481</v>
      </c>
      <c r="Y92" s="50">
        <v>596</v>
      </c>
      <c r="Z92" s="50">
        <v>557</v>
      </c>
      <c r="AA92" s="50">
        <v>895</v>
      </c>
      <c r="AB92" s="50">
        <v>804</v>
      </c>
      <c r="AC92" s="50">
        <v>811</v>
      </c>
      <c r="AD92" s="50">
        <v>675</v>
      </c>
      <c r="AE92" s="50">
        <v>850</v>
      </c>
      <c r="AF92" s="50">
        <v>1006</v>
      </c>
      <c r="AG92" s="50">
        <v>1237</v>
      </c>
      <c r="AH92" s="50">
        <v>1669</v>
      </c>
      <c r="AI92" s="50">
        <v>1127</v>
      </c>
      <c r="AJ92" s="50">
        <f t="shared" si="6"/>
        <v>892.33333333333337</v>
      </c>
      <c r="AK92" s="50">
        <f t="shared" si="7"/>
        <v>892.33333333333337</v>
      </c>
    </row>
    <row r="93" spans="1:37" x14ac:dyDescent="0.3">
      <c r="A93" s="86" t="s">
        <v>13</v>
      </c>
      <c r="B93" s="6"/>
      <c r="C93" s="8">
        <v>3130139002</v>
      </c>
      <c r="D93" s="86" t="s">
        <v>412</v>
      </c>
      <c r="E93" s="6" t="s">
        <v>16</v>
      </c>
      <c r="F93" s="6" t="s">
        <v>9</v>
      </c>
      <c r="G93" s="6" t="s">
        <v>121</v>
      </c>
      <c r="H93" s="24">
        <v>44678</v>
      </c>
      <c r="I93" s="24" t="s">
        <v>330</v>
      </c>
      <c r="J93" s="44">
        <v>0</v>
      </c>
      <c r="K93" s="52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587</v>
      </c>
      <c r="R93" s="50">
        <v>942</v>
      </c>
      <c r="S93" s="50">
        <v>1040</v>
      </c>
      <c r="T93" s="50">
        <v>943</v>
      </c>
      <c r="U93" s="50">
        <v>894</v>
      </c>
      <c r="V93" s="84">
        <f t="shared" si="8"/>
        <v>367.16666666666669</v>
      </c>
      <c r="W93" s="84">
        <f t="shared" si="9"/>
        <v>881.2</v>
      </c>
      <c r="X93" s="50">
        <v>830</v>
      </c>
      <c r="Y93" s="50">
        <v>930</v>
      </c>
      <c r="Z93" s="50">
        <v>911</v>
      </c>
      <c r="AA93" s="50">
        <v>1213</v>
      </c>
      <c r="AB93" s="50">
        <v>1217</v>
      </c>
      <c r="AC93" s="50">
        <v>940</v>
      </c>
      <c r="AD93" s="50">
        <v>957</v>
      </c>
      <c r="AE93" s="50">
        <v>1559</v>
      </c>
      <c r="AF93" s="50">
        <v>1134</v>
      </c>
      <c r="AG93" s="50">
        <v>1126</v>
      </c>
      <c r="AH93" s="50">
        <v>1127</v>
      </c>
      <c r="AI93" s="50">
        <v>1038</v>
      </c>
      <c r="AJ93" s="50">
        <f t="shared" si="6"/>
        <v>1081.8333333333333</v>
      </c>
      <c r="AK93" s="50">
        <f t="shared" si="7"/>
        <v>1081.8333333333333</v>
      </c>
    </row>
    <row r="94" spans="1:37" x14ac:dyDescent="0.3">
      <c r="A94" s="86" t="s">
        <v>13</v>
      </c>
      <c r="B94" s="6"/>
      <c r="C94" s="8">
        <v>3010217000</v>
      </c>
      <c r="D94" s="86" t="s">
        <v>413</v>
      </c>
      <c r="E94" s="6" t="s">
        <v>11</v>
      </c>
      <c r="F94" s="6" t="s">
        <v>9</v>
      </c>
      <c r="G94" s="6" t="s">
        <v>140</v>
      </c>
      <c r="H94" s="24">
        <v>44681</v>
      </c>
      <c r="I94" s="24" t="s">
        <v>330</v>
      </c>
      <c r="J94" s="44">
        <v>975</v>
      </c>
      <c r="K94" s="55">
        <v>864</v>
      </c>
      <c r="L94" s="50">
        <v>1085</v>
      </c>
      <c r="M94" s="50">
        <v>1273</v>
      </c>
      <c r="N94" s="50">
        <v>1439</v>
      </c>
      <c r="O94" s="50">
        <v>1978</v>
      </c>
      <c r="P94" s="50">
        <v>822</v>
      </c>
      <c r="Q94" s="50">
        <v>663</v>
      </c>
      <c r="R94" s="50">
        <v>1020</v>
      </c>
      <c r="S94" s="50">
        <v>1026</v>
      </c>
      <c r="T94" s="50">
        <v>922</v>
      </c>
      <c r="U94" s="50">
        <v>897</v>
      </c>
      <c r="V94" s="84">
        <f t="shared" si="8"/>
        <v>1080.3333333333333</v>
      </c>
      <c r="W94" s="84">
        <f t="shared" si="9"/>
        <v>1080.3333333333333</v>
      </c>
      <c r="X94" s="50">
        <v>788</v>
      </c>
      <c r="Y94" s="50">
        <v>754</v>
      </c>
      <c r="Z94" s="50">
        <v>816</v>
      </c>
      <c r="AA94" s="50">
        <v>911</v>
      </c>
      <c r="AB94" s="50">
        <v>1421</v>
      </c>
      <c r="AC94" s="50">
        <v>1273</v>
      </c>
      <c r="AD94" s="50">
        <v>796</v>
      </c>
      <c r="AE94" s="50">
        <v>855</v>
      </c>
      <c r="AF94" s="50">
        <v>1269</v>
      </c>
      <c r="AG94" s="50">
        <v>1383</v>
      </c>
      <c r="AH94" s="50">
        <v>1554</v>
      </c>
      <c r="AI94" s="50">
        <v>1372</v>
      </c>
      <c r="AJ94" s="50">
        <f t="shared" si="6"/>
        <v>1099.3333333333333</v>
      </c>
      <c r="AK94" s="50">
        <f t="shared" si="7"/>
        <v>1099.3333333333333</v>
      </c>
    </row>
    <row r="95" spans="1:37" x14ac:dyDescent="0.3">
      <c r="A95" s="86" t="s">
        <v>52</v>
      </c>
      <c r="B95" s="6"/>
      <c r="C95" s="8">
        <v>3130139002</v>
      </c>
      <c r="D95" s="86" t="s">
        <v>394</v>
      </c>
      <c r="E95" s="6" t="s">
        <v>11</v>
      </c>
      <c r="F95" s="6" t="s">
        <v>9</v>
      </c>
      <c r="G95" s="6" t="s">
        <v>246</v>
      </c>
      <c r="H95" s="24">
        <v>44681</v>
      </c>
      <c r="I95" s="24" t="s">
        <v>330</v>
      </c>
      <c r="J95" s="44">
        <v>0</v>
      </c>
      <c r="K95" s="50">
        <v>0</v>
      </c>
      <c r="L95" s="50">
        <v>0</v>
      </c>
      <c r="M95" s="50">
        <v>0</v>
      </c>
      <c r="N95" s="50">
        <v>0</v>
      </c>
      <c r="O95" s="50">
        <v>0</v>
      </c>
      <c r="P95" s="50">
        <v>0</v>
      </c>
      <c r="Q95" s="50">
        <v>587</v>
      </c>
      <c r="R95" s="50">
        <v>942</v>
      </c>
      <c r="S95" s="50">
        <v>1040</v>
      </c>
      <c r="T95" s="50">
        <v>943</v>
      </c>
      <c r="U95" s="50">
        <v>894</v>
      </c>
      <c r="V95" s="84">
        <f t="shared" si="8"/>
        <v>367.16666666666669</v>
      </c>
      <c r="W95" s="84">
        <f t="shared" si="9"/>
        <v>881.2</v>
      </c>
      <c r="X95" s="50">
        <v>830</v>
      </c>
      <c r="Y95" s="50">
        <v>930</v>
      </c>
      <c r="Z95" s="50">
        <v>911</v>
      </c>
      <c r="AA95" s="50">
        <v>1213</v>
      </c>
      <c r="AB95" s="50">
        <v>1217</v>
      </c>
      <c r="AC95" s="50">
        <v>940</v>
      </c>
      <c r="AD95" s="50">
        <v>957</v>
      </c>
      <c r="AE95" s="50">
        <v>1559</v>
      </c>
      <c r="AF95" s="50">
        <v>1134</v>
      </c>
      <c r="AG95" s="50">
        <v>1126</v>
      </c>
      <c r="AH95" s="50">
        <v>1127</v>
      </c>
      <c r="AI95" s="50">
        <v>1038</v>
      </c>
      <c r="AJ95" s="50">
        <f t="shared" si="6"/>
        <v>1081.8333333333333</v>
      </c>
      <c r="AK95" s="50">
        <f t="shared" si="7"/>
        <v>1081.8333333333333</v>
      </c>
    </row>
    <row r="96" spans="1:37" x14ac:dyDescent="0.3">
      <c r="A96" s="86" t="s">
        <v>90</v>
      </c>
      <c r="B96" s="6"/>
      <c r="C96" s="38">
        <v>3121700002</v>
      </c>
      <c r="D96" s="86" t="s">
        <v>370</v>
      </c>
      <c r="E96" s="6" t="s">
        <v>16</v>
      </c>
      <c r="F96" s="6" t="s">
        <v>9</v>
      </c>
      <c r="G96" s="6" t="s">
        <v>158</v>
      </c>
      <c r="H96" s="24">
        <v>44683</v>
      </c>
      <c r="I96" s="24" t="s">
        <v>330</v>
      </c>
      <c r="J96" s="44">
        <v>425</v>
      </c>
      <c r="K96" s="54">
        <v>962</v>
      </c>
      <c r="L96" s="50">
        <v>832</v>
      </c>
      <c r="M96" s="50">
        <v>1006</v>
      </c>
      <c r="N96" s="50">
        <v>902</v>
      </c>
      <c r="O96" s="50">
        <v>635</v>
      </c>
      <c r="P96" s="50">
        <v>631</v>
      </c>
      <c r="Q96" s="50">
        <v>649</v>
      </c>
      <c r="R96" s="50">
        <v>638</v>
      </c>
      <c r="S96" s="50">
        <v>555</v>
      </c>
      <c r="T96" s="50">
        <v>610</v>
      </c>
      <c r="U96" s="50">
        <v>597</v>
      </c>
      <c r="V96" s="84">
        <f t="shared" si="8"/>
        <v>703.5</v>
      </c>
      <c r="W96" s="84">
        <f t="shared" si="9"/>
        <v>703.5</v>
      </c>
      <c r="X96" s="50">
        <v>739</v>
      </c>
      <c r="Y96" s="50">
        <v>1033</v>
      </c>
      <c r="Z96" s="50">
        <v>1240</v>
      </c>
      <c r="AA96" s="50">
        <v>1615</v>
      </c>
      <c r="AB96" s="50">
        <v>1371</v>
      </c>
      <c r="AC96" s="50">
        <v>812</v>
      </c>
      <c r="AD96" s="50">
        <v>924</v>
      </c>
      <c r="AE96" s="50">
        <v>1045</v>
      </c>
      <c r="AF96" s="50">
        <v>1638</v>
      </c>
      <c r="AG96" s="50">
        <v>1969</v>
      </c>
      <c r="AH96" s="50">
        <v>1587</v>
      </c>
      <c r="AI96" s="50">
        <v>949</v>
      </c>
      <c r="AJ96" s="50">
        <f t="shared" si="6"/>
        <v>1243.5</v>
      </c>
      <c r="AK96" s="50">
        <f t="shared" si="7"/>
        <v>1243.5</v>
      </c>
    </row>
    <row r="97" spans="1:37" x14ac:dyDescent="0.3">
      <c r="A97" s="86" t="s">
        <v>90</v>
      </c>
      <c r="B97" s="6"/>
      <c r="C97" s="8">
        <v>3151757001</v>
      </c>
      <c r="D97" s="86" t="s">
        <v>414</v>
      </c>
      <c r="E97" s="6" t="s">
        <v>8</v>
      </c>
      <c r="F97" s="6" t="s">
        <v>9</v>
      </c>
      <c r="G97" s="6" t="s">
        <v>106</v>
      </c>
      <c r="H97" s="24">
        <v>44690</v>
      </c>
      <c r="I97" s="24" t="s">
        <v>330</v>
      </c>
      <c r="J97" s="44">
        <v>998</v>
      </c>
      <c r="K97" s="53">
        <v>925</v>
      </c>
      <c r="L97" s="50">
        <v>1116</v>
      </c>
      <c r="M97" s="50">
        <v>1125</v>
      </c>
      <c r="N97" s="50">
        <v>982</v>
      </c>
      <c r="O97" s="50">
        <v>897</v>
      </c>
      <c r="P97" s="50">
        <v>891</v>
      </c>
      <c r="Q97" s="50">
        <v>902</v>
      </c>
      <c r="R97" s="50">
        <v>1057</v>
      </c>
      <c r="S97" s="50">
        <v>1034</v>
      </c>
      <c r="T97" s="50">
        <v>839</v>
      </c>
      <c r="U97" s="50">
        <v>679</v>
      </c>
      <c r="V97" s="84">
        <f t="shared" si="8"/>
        <v>953.75</v>
      </c>
      <c r="W97" s="84">
        <f t="shared" si="9"/>
        <v>953.75</v>
      </c>
      <c r="X97" s="50">
        <v>783</v>
      </c>
      <c r="Y97" s="50">
        <v>1108</v>
      </c>
      <c r="Z97" s="50">
        <v>1291</v>
      </c>
      <c r="AA97" s="50">
        <v>975</v>
      </c>
      <c r="AB97" s="50">
        <v>1015</v>
      </c>
      <c r="AC97" s="50">
        <v>1012</v>
      </c>
      <c r="AD97" s="50">
        <v>1522</v>
      </c>
      <c r="AE97" s="50">
        <v>1964</v>
      </c>
      <c r="AF97" s="50">
        <v>1581</v>
      </c>
      <c r="AG97" s="50">
        <v>2014</v>
      </c>
      <c r="AH97" s="50">
        <v>1924</v>
      </c>
      <c r="AI97" s="50">
        <v>992</v>
      </c>
      <c r="AJ97" s="50">
        <f t="shared" si="6"/>
        <v>1348.4166666666667</v>
      </c>
      <c r="AK97" s="50">
        <f t="shared" si="7"/>
        <v>1348.4166666666667</v>
      </c>
    </row>
    <row r="98" spans="1:37" x14ac:dyDescent="0.3">
      <c r="A98" s="86" t="s">
        <v>13</v>
      </c>
      <c r="B98" s="6"/>
      <c r="C98" s="8">
        <v>3071541002</v>
      </c>
      <c r="D98" s="86" t="s">
        <v>415</v>
      </c>
      <c r="E98" s="6" t="s">
        <v>11</v>
      </c>
      <c r="F98" s="6" t="s">
        <v>9</v>
      </c>
      <c r="G98" s="6" t="s">
        <v>108</v>
      </c>
      <c r="H98" s="24">
        <v>44692</v>
      </c>
      <c r="I98" s="24" t="s">
        <v>330</v>
      </c>
      <c r="J98" s="44">
        <v>515</v>
      </c>
      <c r="K98" s="61">
        <v>818</v>
      </c>
      <c r="L98" s="50">
        <v>978</v>
      </c>
      <c r="M98" s="50">
        <v>1057</v>
      </c>
      <c r="N98" s="50">
        <v>792</v>
      </c>
      <c r="O98" s="50">
        <v>658</v>
      </c>
      <c r="P98" s="50">
        <v>498</v>
      </c>
      <c r="Q98" s="50">
        <v>595</v>
      </c>
      <c r="R98" s="50">
        <v>572</v>
      </c>
      <c r="S98" s="50">
        <v>564</v>
      </c>
      <c r="T98" s="50">
        <v>494</v>
      </c>
      <c r="U98" s="50">
        <v>464</v>
      </c>
      <c r="V98" s="84">
        <f t="shared" si="8"/>
        <v>667.08333333333337</v>
      </c>
      <c r="W98" s="84">
        <f t="shared" si="9"/>
        <v>667.08333333333337</v>
      </c>
      <c r="X98" s="50">
        <v>568</v>
      </c>
      <c r="Y98" s="50">
        <v>480</v>
      </c>
      <c r="Z98" s="50">
        <v>952</v>
      </c>
      <c r="AA98" s="50">
        <v>1193</v>
      </c>
      <c r="AB98" s="50">
        <v>961</v>
      </c>
      <c r="AC98" s="50">
        <v>680</v>
      </c>
      <c r="AD98" s="50">
        <v>716</v>
      </c>
      <c r="AE98" s="50">
        <v>1095</v>
      </c>
      <c r="AF98" s="50">
        <v>1142</v>
      </c>
      <c r="AG98" s="50">
        <v>1075</v>
      </c>
      <c r="AH98" s="50">
        <v>909</v>
      </c>
      <c r="AI98" s="50">
        <v>709</v>
      </c>
      <c r="AJ98" s="50">
        <f t="shared" si="6"/>
        <v>873.33333333333337</v>
      </c>
      <c r="AK98" s="50">
        <f t="shared" si="7"/>
        <v>873.33333333333337</v>
      </c>
    </row>
    <row r="99" spans="1:37" x14ac:dyDescent="0.3">
      <c r="A99" s="86" t="s">
        <v>90</v>
      </c>
      <c r="B99" s="6"/>
      <c r="C99" s="8">
        <v>3130218001</v>
      </c>
      <c r="D99" s="86" t="s">
        <v>352</v>
      </c>
      <c r="E99" s="6" t="s">
        <v>16</v>
      </c>
      <c r="F99" s="6" t="s">
        <v>9</v>
      </c>
      <c r="G99" s="6" t="s">
        <v>112</v>
      </c>
      <c r="H99" s="24">
        <v>44693</v>
      </c>
      <c r="I99" s="24" t="s">
        <v>330</v>
      </c>
      <c r="J99" s="44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84">
        <f t="shared" si="8"/>
        <v>0</v>
      </c>
      <c r="W99" s="84" t="e">
        <f t="shared" si="9"/>
        <v>#DIV/0!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5</v>
      </c>
      <c r="AI99" s="50">
        <v>9</v>
      </c>
      <c r="AJ99" s="50">
        <f t="shared" si="6"/>
        <v>1.1666666666666667</v>
      </c>
      <c r="AK99" s="50">
        <f t="shared" si="7"/>
        <v>7</v>
      </c>
    </row>
    <row r="100" spans="1:37" x14ac:dyDescent="0.3">
      <c r="A100" s="86" t="s">
        <v>90</v>
      </c>
      <c r="B100" s="6"/>
      <c r="C100" s="8">
        <v>3130219008</v>
      </c>
      <c r="D100" s="86" t="s">
        <v>352</v>
      </c>
      <c r="E100" s="6" t="s">
        <v>16</v>
      </c>
      <c r="F100" s="6" t="s">
        <v>9</v>
      </c>
      <c r="G100" s="6" t="s">
        <v>111</v>
      </c>
      <c r="H100" s="24">
        <v>44693</v>
      </c>
      <c r="I100" s="24" t="s">
        <v>330</v>
      </c>
      <c r="J100" s="44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117</v>
      </c>
      <c r="Q100" s="50">
        <v>299</v>
      </c>
      <c r="R100" s="50">
        <v>330</v>
      </c>
      <c r="S100" s="50">
        <v>267</v>
      </c>
      <c r="T100" s="50">
        <v>289</v>
      </c>
      <c r="U100" s="50">
        <v>279</v>
      </c>
      <c r="V100" s="84">
        <f t="shared" si="8"/>
        <v>131.75</v>
      </c>
      <c r="W100" s="84">
        <f t="shared" si="9"/>
        <v>263.5</v>
      </c>
      <c r="X100" s="50">
        <v>311</v>
      </c>
      <c r="Y100" s="50">
        <v>366</v>
      </c>
      <c r="Z100" s="50">
        <v>551</v>
      </c>
      <c r="AA100" s="50">
        <v>802</v>
      </c>
      <c r="AB100" s="50">
        <v>432</v>
      </c>
      <c r="AC100" s="50">
        <v>578</v>
      </c>
      <c r="AD100" s="50">
        <v>1182</v>
      </c>
      <c r="AE100" s="50">
        <v>2282</v>
      </c>
      <c r="AF100" s="50">
        <v>2806</v>
      </c>
      <c r="AG100" s="50">
        <v>2234</v>
      </c>
      <c r="AH100" s="50">
        <v>2200</v>
      </c>
      <c r="AI100" s="50">
        <v>1088</v>
      </c>
      <c r="AJ100" s="50">
        <f t="shared" si="6"/>
        <v>1236</v>
      </c>
      <c r="AK100" s="50">
        <f t="shared" si="7"/>
        <v>1236</v>
      </c>
    </row>
    <row r="101" spans="1:37" x14ac:dyDescent="0.3">
      <c r="A101" s="86" t="s">
        <v>24</v>
      </c>
      <c r="B101" s="35"/>
      <c r="C101" s="37">
        <v>3132745002</v>
      </c>
      <c r="D101" s="90" t="s">
        <v>416</v>
      </c>
      <c r="E101" s="35" t="s">
        <v>16</v>
      </c>
      <c r="F101" s="35" t="s">
        <v>9</v>
      </c>
      <c r="G101" s="35" t="s">
        <v>162</v>
      </c>
      <c r="H101" s="24">
        <v>44693</v>
      </c>
      <c r="I101" s="24" t="s">
        <v>330</v>
      </c>
      <c r="J101" s="45">
        <v>822</v>
      </c>
      <c r="K101" s="71">
        <v>1264</v>
      </c>
      <c r="L101" s="50">
        <v>1199</v>
      </c>
      <c r="M101" s="50">
        <v>739</v>
      </c>
      <c r="N101" s="50">
        <v>496</v>
      </c>
      <c r="O101" s="50">
        <v>367</v>
      </c>
      <c r="P101" s="50">
        <v>572</v>
      </c>
      <c r="Q101" s="50">
        <v>780</v>
      </c>
      <c r="R101" s="50">
        <v>849</v>
      </c>
      <c r="S101" s="50">
        <v>390</v>
      </c>
      <c r="T101" s="50">
        <v>580</v>
      </c>
      <c r="U101" s="50">
        <v>591</v>
      </c>
      <c r="V101" s="84">
        <f t="shared" si="8"/>
        <v>720.75</v>
      </c>
      <c r="W101" s="84">
        <f t="shared" si="9"/>
        <v>720.75</v>
      </c>
      <c r="X101" s="50">
        <v>903</v>
      </c>
      <c r="Y101" s="50">
        <v>792</v>
      </c>
      <c r="Z101" s="50">
        <v>1339</v>
      </c>
      <c r="AA101" s="50">
        <v>1012</v>
      </c>
      <c r="AB101" s="50">
        <v>734</v>
      </c>
      <c r="AC101" s="50">
        <v>508</v>
      </c>
      <c r="AD101" s="50">
        <v>537</v>
      </c>
      <c r="AE101" s="50">
        <v>1358</v>
      </c>
      <c r="AF101" s="50">
        <v>786</v>
      </c>
      <c r="AG101" s="50">
        <v>536</v>
      </c>
      <c r="AH101" s="50">
        <v>540</v>
      </c>
      <c r="AI101" s="50">
        <v>640</v>
      </c>
      <c r="AJ101" s="50">
        <f t="shared" si="6"/>
        <v>807.08333333333337</v>
      </c>
      <c r="AK101" s="50">
        <f t="shared" si="7"/>
        <v>807.08333333333337</v>
      </c>
    </row>
    <row r="102" spans="1:37" x14ac:dyDescent="0.3">
      <c r="A102" s="86" t="s">
        <v>26</v>
      </c>
      <c r="B102" s="6"/>
      <c r="C102" s="8">
        <v>3011474000</v>
      </c>
      <c r="D102" s="86" t="s">
        <v>417</v>
      </c>
      <c r="E102" s="6" t="s">
        <v>11</v>
      </c>
      <c r="F102" s="6" t="s">
        <v>9</v>
      </c>
      <c r="G102" s="6" t="s">
        <v>27</v>
      </c>
      <c r="H102" s="24">
        <v>44697</v>
      </c>
      <c r="I102" s="24" t="s">
        <v>330</v>
      </c>
      <c r="J102" s="44">
        <v>842</v>
      </c>
      <c r="K102" s="52">
        <v>1096</v>
      </c>
      <c r="L102" s="50">
        <v>1592</v>
      </c>
      <c r="M102" s="50">
        <v>1682</v>
      </c>
      <c r="N102" s="50">
        <v>2033</v>
      </c>
      <c r="O102" s="50">
        <v>1274</v>
      </c>
      <c r="P102" s="50">
        <v>821</v>
      </c>
      <c r="Q102" s="50">
        <v>967</v>
      </c>
      <c r="R102" s="50">
        <v>1081</v>
      </c>
      <c r="S102" s="50">
        <v>1062</v>
      </c>
      <c r="T102" s="50">
        <v>948</v>
      </c>
      <c r="U102" s="50">
        <v>671</v>
      </c>
      <c r="V102" s="84">
        <f t="shared" si="8"/>
        <v>1172.4166666666667</v>
      </c>
      <c r="W102" s="84">
        <f t="shared" si="9"/>
        <v>1172.4166666666667</v>
      </c>
      <c r="X102" s="50">
        <v>629</v>
      </c>
      <c r="Y102" s="50">
        <v>1044</v>
      </c>
      <c r="Z102" s="50">
        <v>1250</v>
      </c>
      <c r="AA102" s="50">
        <v>1929</v>
      </c>
      <c r="AB102" s="50">
        <v>1604</v>
      </c>
      <c r="AC102" s="50">
        <v>904</v>
      </c>
      <c r="AD102" s="50">
        <v>628</v>
      </c>
      <c r="AE102" s="50">
        <v>627</v>
      </c>
      <c r="AF102" s="50">
        <v>626</v>
      </c>
      <c r="AG102" s="50">
        <v>592</v>
      </c>
      <c r="AH102" s="50">
        <v>507</v>
      </c>
      <c r="AI102" s="50">
        <v>509</v>
      </c>
      <c r="AJ102" s="50">
        <f t="shared" si="6"/>
        <v>904.08333333333337</v>
      </c>
      <c r="AK102" s="50">
        <f t="shared" si="7"/>
        <v>904.08333333333337</v>
      </c>
    </row>
    <row r="103" spans="1:37" x14ac:dyDescent="0.3">
      <c r="A103" s="86" t="s">
        <v>98</v>
      </c>
      <c r="B103" s="6"/>
      <c r="C103" s="8">
        <v>3150151001</v>
      </c>
      <c r="D103" s="86" t="s">
        <v>418</v>
      </c>
      <c r="E103" s="6" t="s">
        <v>11</v>
      </c>
      <c r="F103" s="6" t="s">
        <v>9</v>
      </c>
      <c r="G103" s="6" t="s">
        <v>99</v>
      </c>
      <c r="H103" s="24">
        <v>44697</v>
      </c>
      <c r="I103" s="24" t="s">
        <v>330</v>
      </c>
      <c r="J103" s="44">
        <v>688</v>
      </c>
      <c r="K103" s="52">
        <v>816</v>
      </c>
      <c r="L103" s="50">
        <v>1148</v>
      </c>
      <c r="M103" s="50">
        <v>1116</v>
      </c>
      <c r="N103" s="50">
        <v>1216</v>
      </c>
      <c r="O103" s="50">
        <v>650</v>
      </c>
      <c r="P103" s="50">
        <v>1008</v>
      </c>
      <c r="Q103" s="50">
        <v>678</v>
      </c>
      <c r="R103" s="50">
        <v>930</v>
      </c>
      <c r="S103" s="50">
        <v>774</v>
      </c>
      <c r="T103" s="50">
        <v>526</v>
      </c>
      <c r="U103" s="50">
        <v>368</v>
      </c>
      <c r="V103" s="84">
        <f t="shared" si="8"/>
        <v>826.5</v>
      </c>
      <c r="W103" s="84">
        <f t="shared" si="9"/>
        <v>826.5</v>
      </c>
      <c r="X103" s="50">
        <v>360</v>
      </c>
      <c r="Y103" s="50">
        <v>598</v>
      </c>
      <c r="Z103" s="50">
        <v>746</v>
      </c>
      <c r="AA103" s="50">
        <v>892</v>
      </c>
      <c r="AB103" s="50">
        <v>810</v>
      </c>
      <c r="AC103" s="50">
        <v>572</v>
      </c>
      <c r="AD103" s="50">
        <v>822</v>
      </c>
      <c r="AE103" s="50">
        <v>1676</v>
      </c>
      <c r="AF103" s="50">
        <v>2276</v>
      </c>
      <c r="AG103" s="50">
        <v>1864</v>
      </c>
      <c r="AH103" s="50">
        <v>1956</v>
      </c>
      <c r="AI103" s="50">
        <v>868</v>
      </c>
      <c r="AJ103" s="50">
        <f t="shared" si="6"/>
        <v>1120</v>
      </c>
      <c r="AK103" s="50">
        <f t="shared" si="7"/>
        <v>1120</v>
      </c>
    </row>
    <row r="104" spans="1:37" x14ac:dyDescent="0.3">
      <c r="A104" s="86" t="s">
        <v>90</v>
      </c>
      <c r="B104" s="6"/>
      <c r="C104" s="8">
        <v>3062415001</v>
      </c>
      <c r="D104" s="86" t="s">
        <v>419</v>
      </c>
      <c r="E104" s="6" t="s">
        <v>11</v>
      </c>
      <c r="F104" s="6" t="s">
        <v>9</v>
      </c>
      <c r="G104" s="6" t="s">
        <v>133</v>
      </c>
      <c r="H104" s="24">
        <v>44701</v>
      </c>
      <c r="I104" s="24" t="s">
        <v>330</v>
      </c>
      <c r="J104" s="44">
        <v>351</v>
      </c>
      <c r="K104" s="54">
        <v>468</v>
      </c>
      <c r="L104" s="50">
        <v>545</v>
      </c>
      <c r="M104" s="50">
        <v>478</v>
      </c>
      <c r="N104" s="50">
        <v>86</v>
      </c>
      <c r="O104" s="50">
        <v>13</v>
      </c>
      <c r="P104" s="50">
        <v>58</v>
      </c>
      <c r="Q104" s="50">
        <v>1140</v>
      </c>
      <c r="R104" s="50">
        <v>1972</v>
      </c>
      <c r="S104" s="50">
        <v>1858</v>
      </c>
      <c r="T104" s="50">
        <v>1662</v>
      </c>
      <c r="U104" s="50">
        <v>1212</v>
      </c>
      <c r="V104" s="84">
        <f t="shared" si="8"/>
        <v>820.25</v>
      </c>
      <c r="W104" s="84">
        <f t="shared" si="9"/>
        <v>820.25</v>
      </c>
      <c r="X104" s="50">
        <v>1254</v>
      </c>
      <c r="Y104" s="50">
        <v>1320</v>
      </c>
      <c r="Z104" s="50">
        <v>1466</v>
      </c>
      <c r="AA104" s="50">
        <v>1992</v>
      </c>
      <c r="AB104" s="50">
        <v>1624</v>
      </c>
      <c r="AC104" s="50">
        <v>1638</v>
      </c>
      <c r="AD104" s="50">
        <v>2194</v>
      </c>
      <c r="AE104" s="50">
        <v>4172</v>
      </c>
      <c r="AF104" s="50">
        <v>4576</v>
      </c>
      <c r="AG104" s="50">
        <v>4726</v>
      </c>
      <c r="AH104" s="50">
        <v>3524</v>
      </c>
      <c r="AI104" s="50">
        <v>2594</v>
      </c>
      <c r="AJ104" s="50">
        <f t="shared" si="6"/>
        <v>2590</v>
      </c>
      <c r="AK104" s="50">
        <f t="shared" si="7"/>
        <v>2590</v>
      </c>
    </row>
    <row r="105" spans="1:37" x14ac:dyDescent="0.3">
      <c r="A105" s="86" t="s">
        <v>96</v>
      </c>
      <c r="B105" s="6"/>
      <c r="C105" s="8">
        <v>3120089000</v>
      </c>
      <c r="D105" s="86" t="s">
        <v>403</v>
      </c>
      <c r="E105" s="6" t="s">
        <v>16</v>
      </c>
      <c r="F105" s="6" t="s">
        <v>9</v>
      </c>
      <c r="G105" s="6" t="s">
        <v>97</v>
      </c>
      <c r="H105" s="24">
        <v>44701</v>
      </c>
      <c r="I105" s="24" t="s">
        <v>330</v>
      </c>
      <c r="J105" s="44">
        <v>486</v>
      </c>
      <c r="K105" s="52">
        <v>465</v>
      </c>
      <c r="L105" s="50">
        <v>692</v>
      </c>
      <c r="M105" s="50">
        <v>612</v>
      </c>
      <c r="N105" s="50">
        <v>644</v>
      </c>
      <c r="O105" s="50">
        <v>376</v>
      </c>
      <c r="P105" s="50">
        <v>513</v>
      </c>
      <c r="Q105" s="50">
        <v>607</v>
      </c>
      <c r="R105" s="50">
        <v>587</v>
      </c>
      <c r="S105" s="50">
        <v>582</v>
      </c>
      <c r="T105" s="50">
        <v>524</v>
      </c>
      <c r="U105" s="50">
        <v>460</v>
      </c>
      <c r="V105" s="84">
        <f t="shared" si="8"/>
        <v>545.66666666666663</v>
      </c>
      <c r="W105" s="84">
        <f t="shared" si="9"/>
        <v>545.66666666666663</v>
      </c>
      <c r="X105" s="50">
        <v>526</v>
      </c>
      <c r="Y105" s="50">
        <v>419</v>
      </c>
      <c r="Z105" s="50">
        <v>493</v>
      </c>
      <c r="AA105" s="50">
        <v>601</v>
      </c>
      <c r="AB105" s="50">
        <v>444</v>
      </c>
      <c r="AC105" s="50">
        <v>587</v>
      </c>
      <c r="AD105" s="50">
        <v>657</v>
      </c>
      <c r="AE105" s="50">
        <v>751</v>
      </c>
      <c r="AF105" s="50">
        <v>962</v>
      </c>
      <c r="AG105" s="50">
        <v>946</v>
      </c>
      <c r="AH105" s="50">
        <v>907</v>
      </c>
      <c r="AI105" s="50">
        <v>633</v>
      </c>
      <c r="AJ105" s="50">
        <f t="shared" si="6"/>
        <v>660.5</v>
      </c>
      <c r="AK105" s="50">
        <f t="shared" si="7"/>
        <v>660.5</v>
      </c>
    </row>
    <row r="106" spans="1:37" x14ac:dyDescent="0.3">
      <c r="A106" s="86" t="s">
        <v>90</v>
      </c>
      <c r="B106" s="6"/>
      <c r="C106" s="8">
        <v>3131349002</v>
      </c>
      <c r="D106" s="86" t="s">
        <v>420</v>
      </c>
      <c r="E106" s="6" t="s">
        <v>8</v>
      </c>
      <c r="F106" s="6" t="s">
        <v>9</v>
      </c>
      <c r="G106" s="6" t="s">
        <v>203</v>
      </c>
      <c r="H106" s="24">
        <v>44701</v>
      </c>
      <c r="I106" s="24" t="s">
        <v>330</v>
      </c>
      <c r="J106" s="44">
        <v>588</v>
      </c>
      <c r="K106" s="53">
        <v>891</v>
      </c>
      <c r="L106" s="50">
        <v>1064</v>
      </c>
      <c r="M106" s="50">
        <v>1167</v>
      </c>
      <c r="N106" s="50">
        <v>860</v>
      </c>
      <c r="O106" s="50">
        <v>468</v>
      </c>
      <c r="P106" s="50">
        <v>526</v>
      </c>
      <c r="Q106" s="50">
        <v>571</v>
      </c>
      <c r="R106" s="50">
        <v>647</v>
      </c>
      <c r="S106" s="50">
        <v>797</v>
      </c>
      <c r="T106" s="50">
        <v>609</v>
      </c>
      <c r="U106" s="50">
        <v>505</v>
      </c>
      <c r="V106" s="84">
        <f t="shared" si="8"/>
        <v>724.41666666666663</v>
      </c>
      <c r="W106" s="84">
        <f t="shared" si="9"/>
        <v>724.41666666666663</v>
      </c>
      <c r="X106" s="50">
        <v>634</v>
      </c>
      <c r="Y106" s="50">
        <v>900</v>
      </c>
      <c r="Z106" s="50">
        <v>1632</v>
      </c>
      <c r="AA106" s="50">
        <v>1332</v>
      </c>
      <c r="AB106" s="50">
        <v>702</v>
      </c>
      <c r="AC106" s="50">
        <v>553</v>
      </c>
      <c r="AD106" s="50">
        <v>249</v>
      </c>
      <c r="AE106" s="50">
        <v>580</v>
      </c>
      <c r="AF106" s="50">
        <v>841</v>
      </c>
      <c r="AG106" s="50">
        <v>617</v>
      </c>
      <c r="AH106" s="50">
        <v>897</v>
      </c>
      <c r="AI106" s="50">
        <v>745</v>
      </c>
      <c r="AJ106" s="50">
        <f t="shared" si="6"/>
        <v>806.83333333333337</v>
      </c>
      <c r="AK106" s="50">
        <f t="shared" si="7"/>
        <v>806.83333333333337</v>
      </c>
    </row>
    <row r="107" spans="1:37" x14ac:dyDescent="0.3">
      <c r="A107" s="86" t="s">
        <v>13</v>
      </c>
      <c r="B107" s="6"/>
      <c r="C107" s="8">
        <v>3021607000</v>
      </c>
      <c r="D107" s="86" t="s">
        <v>348</v>
      </c>
      <c r="E107" s="6" t="s">
        <v>16</v>
      </c>
      <c r="F107" s="6" t="s">
        <v>9</v>
      </c>
      <c r="G107" s="6" t="s">
        <v>116</v>
      </c>
      <c r="H107" s="24">
        <v>44708</v>
      </c>
      <c r="I107" s="24" t="s">
        <v>330</v>
      </c>
      <c r="J107" s="44">
        <v>548</v>
      </c>
      <c r="K107" s="62">
        <v>2764</v>
      </c>
      <c r="L107" s="50">
        <v>3146</v>
      </c>
      <c r="M107" s="50">
        <v>2890</v>
      </c>
      <c r="N107" s="50">
        <v>1360</v>
      </c>
      <c r="O107" s="50">
        <v>590</v>
      </c>
      <c r="P107" s="50">
        <v>704</v>
      </c>
      <c r="Q107" s="50">
        <v>738</v>
      </c>
      <c r="R107" s="50">
        <v>990</v>
      </c>
      <c r="S107" s="50">
        <v>804</v>
      </c>
      <c r="T107" s="50">
        <v>672</v>
      </c>
      <c r="U107" s="50">
        <v>582</v>
      </c>
      <c r="V107" s="84">
        <f t="shared" si="8"/>
        <v>1315.6666666666667</v>
      </c>
      <c r="W107" s="84">
        <f t="shared" si="9"/>
        <v>1315.6666666666667</v>
      </c>
      <c r="X107" s="50">
        <v>640</v>
      </c>
      <c r="Y107" s="50">
        <v>2770</v>
      </c>
      <c r="Z107" s="50">
        <v>2238</v>
      </c>
      <c r="AA107" s="50">
        <v>1610</v>
      </c>
      <c r="AB107" s="50">
        <v>1312</v>
      </c>
      <c r="AC107" s="50">
        <v>908</v>
      </c>
      <c r="AD107" s="50">
        <v>1528</v>
      </c>
      <c r="AE107" s="50">
        <v>2244</v>
      </c>
      <c r="AF107" s="50">
        <v>2956</v>
      </c>
      <c r="AG107" s="50">
        <v>2356</v>
      </c>
      <c r="AH107" s="50">
        <v>2192</v>
      </c>
      <c r="AI107" s="50">
        <v>1290</v>
      </c>
      <c r="AJ107" s="50">
        <f t="shared" si="6"/>
        <v>1837</v>
      </c>
      <c r="AK107" s="50">
        <f t="shared" si="7"/>
        <v>1837</v>
      </c>
    </row>
    <row r="108" spans="1:37" x14ac:dyDescent="0.3">
      <c r="A108" s="86" t="s">
        <v>13</v>
      </c>
      <c r="B108" s="6"/>
      <c r="C108" s="8">
        <v>3120287003</v>
      </c>
      <c r="D108" s="86" t="s">
        <v>403</v>
      </c>
      <c r="E108" s="6" t="s">
        <v>16</v>
      </c>
      <c r="F108" s="6" t="s">
        <v>9</v>
      </c>
      <c r="G108" s="6" t="s">
        <v>110</v>
      </c>
      <c r="H108" s="24">
        <v>44713</v>
      </c>
      <c r="I108" s="24" t="s">
        <v>330</v>
      </c>
      <c r="J108" s="44">
        <v>497</v>
      </c>
      <c r="K108" s="55">
        <v>639</v>
      </c>
      <c r="L108" s="50">
        <v>928</v>
      </c>
      <c r="M108" s="50">
        <v>737</v>
      </c>
      <c r="N108" s="50">
        <v>400</v>
      </c>
      <c r="O108" s="50">
        <v>344</v>
      </c>
      <c r="P108" s="50">
        <v>384</v>
      </c>
      <c r="Q108" s="50">
        <v>357</v>
      </c>
      <c r="R108" s="50">
        <v>406</v>
      </c>
      <c r="S108" s="50">
        <v>469</v>
      </c>
      <c r="T108" s="50">
        <v>508</v>
      </c>
      <c r="U108" s="50">
        <v>602</v>
      </c>
      <c r="V108" s="84">
        <f t="shared" si="8"/>
        <v>522.58333333333337</v>
      </c>
      <c r="W108" s="84">
        <f t="shared" si="9"/>
        <v>522.58333333333337</v>
      </c>
      <c r="X108" s="50">
        <v>528</v>
      </c>
      <c r="Y108" s="50">
        <v>642</v>
      </c>
      <c r="Z108" s="50">
        <v>677</v>
      </c>
      <c r="AA108" s="50">
        <v>506</v>
      </c>
      <c r="AB108" s="50">
        <v>230</v>
      </c>
      <c r="AC108" s="50">
        <v>544</v>
      </c>
      <c r="AD108" s="50">
        <v>385</v>
      </c>
      <c r="AE108" s="50">
        <v>446</v>
      </c>
      <c r="AF108" s="50">
        <v>466</v>
      </c>
      <c r="AG108" s="50">
        <v>420</v>
      </c>
      <c r="AH108" s="50">
        <v>367</v>
      </c>
      <c r="AI108" s="50">
        <v>395</v>
      </c>
      <c r="AJ108" s="50">
        <f t="shared" si="6"/>
        <v>467.16666666666669</v>
      </c>
      <c r="AK108" s="50">
        <f t="shared" si="7"/>
        <v>467.16666666666669</v>
      </c>
    </row>
    <row r="109" spans="1:37" x14ac:dyDescent="0.3">
      <c r="A109" s="86" t="s">
        <v>90</v>
      </c>
      <c r="B109" s="6"/>
      <c r="C109" s="8">
        <v>3062506001</v>
      </c>
      <c r="D109" s="86" t="s">
        <v>357</v>
      </c>
      <c r="E109" s="6" t="s">
        <v>11</v>
      </c>
      <c r="F109" s="6" t="s">
        <v>9</v>
      </c>
      <c r="G109" s="6" t="s">
        <v>91</v>
      </c>
      <c r="H109" s="24">
        <v>44718</v>
      </c>
      <c r="I109" s="24" t="s">
        <v>330</v>
      </c>
      <c r="J109" s="44">
        <v>1078</v>
      </c>
      <c r="K109" s="47">
        <v>1580</v>
      </c>
      <c r="L109" s="50">
        <v>1630</v>
      </c>
      <c r="M109" s="50">
        <v>1716</v>
      </c>
      <c r="N109" s="50">
        <v>1170</v>
      </c>
      <c r="O109" s="50">
        <v>1102</v>
      </c>
      <c r="P109" s="50">
        <v>1534</v>
      </c>
      <c r="Q109" s="50">
        <v>1338</v>
      </c>
      <c r="R109" s="50">
        <v>1222</v>
      </c>
      <c r="S109" s="50">
        <v>1386</v>
      </c>
      <c r="T109" s="50">
        <v>976</v>
      </c>
      <c r="U109" s="50">
        <v>1090</v>
      </c>
      <c r="V109" s="84">
        <f t="shared" si="8"/>
        <v>1318.5</v>
      </c>
      <c r="W109" s="84">
        <f t="shared" si="9"/>
        <v>1318.5</v>
      </c>
      <c r="X109" s="50">
        <v>1002</v>
      </c>
      <c r="Y109" s="50">
        <v>1380</v>
      </c>
      <c r="Z109" s="50">
        <v>1370</v>
      </c>
      <c r="AA109" s="50">
        <v>1068</v>
      </c>
      <c r="AB109" s="50">
        <v>1128</v>
      </c>
      <c r="AC109" s="50">
        <v>1528</v>
      </c>
      <c r="AD109" s="50">
        <v>3544</v>
      </c>
      <c r="AE109" s="50">
        <v>4538</v>
      </c>
      <c r="AF109" s="50">
        <v>4398</v>
      </c>
      <c r="AG109" s="50">
        <v>2858</v>
      </c>
      <c r="AH109" s="50">
        <v>2106</v>
      </c>
      <c r="AI109" s="50">
        <v>1348</v>
      </c>
      <c r="AJ109" s="50">
        <f t="shared" si="6"/>
        <v>2189</v>
      </c>
      <c r="AK109" s="50">
        <f t="shared" si="7"/>
        <v>2189</v>
      </c>
    </row>
    <row r="110" spans="1:37" x14ac:dyDescent="0.3">
      <c r="A110" s="86" t="s">
        <v>13</v>
      </c>
      <c r="B110" s="6"/>
      <c r="C110" s="8">
        <v>3082294000</v>
      </c>
      <c r="D110" s="86" t="s">
        <v>421</v>
      </c>
      <c r="E110" s="6" t="s">
        <v>11</v>
      </c>
      <c r="F110" s="6" t="s">
        <v>9</v>
      </c>
      <c r="G110" s="6" t="s">
        <v>104</v>
      </c>
      <c r="H110" s="24">
        <v>44718</v>
      </c>
      <c r="I110" s="24" t="s">
        <v>330</v>
      </c>
      <c r="J110" s="44">
        <v>819</v>
      </c>
      <c r="K110" s="62">
        <v>859</v>
      </c>
      <c r="L110" s="50">
        <v>954</v>
      </c>
      <c r="M110" s="50">
        <v>858</v>
      </c>
      <c r="N110" s="50">
        <v>739</v>
      </c>
      <c r="O110" s="50">
        <v>788</v>
      </c>
      <c r="P110" s="50">
        <v>1047</v>
      </c>
      <c r="Q110" s="50">
        <v>1512</v>
      </c>
      <c r="R110" s="50">
        <v>859</v>
      </c>
      <c r="S110" s="50">
        <v>866</v>
      </c>
      <c r="T110" s="50">
        <v>817</v>
      </c>
      <c r="U110" s="50">
        <v>923</v>
      </c>
      <c r="V110" s="84">
        <f t="shared" si="8"/>
        <v>920.08333333333337</v>
      </c>
      <c r="W110" s="84">
        <f t="shared" si="9"/>
        <v>920.08333333333337</v>
      </c>
      <c r="X110" s="50">
        <v>956</v>
      </c>
      <c r="Y110" s="50">
        <v>1075</v>
      </c>
      <c r="Z110" s="50">
        <v>1243</v>
      </c>
      <c r="AA110" s="50">
        <v>1016</v>
      </c>
      <c r="AB110" s="50">
        <v>970</v>
      </c>
      <c r="AC110" s="50">
        <v>773</v>
      </c>
      <c r="AD110" s="50">
        <v>1254</v>
      </c>
      <c r="AE110" s="50">
        <v>1669</v>
      </c>
      <c r="AF110" s="50">
        <v>842</v>
      </c>
      <c r="AG110" s="50">
        <v>870</v>
      </c>
      <c r="AH110" s="50">
        <v>907</v>
      </c>
      <c r="AI110" s="50">
        <v>861</v>
      </c>
      <c r="AJ110" s="50">
        <f t="shared" si="6"/>
        <v>1036.3333333333333</v>
      </c>
      <c r="AK110" s="50">
        <f t="shared" si="7"/>
        <v>1036.3333333333333</v>
      </c>
    </row>
    <row r="111" spans="1:37" x14ac:dyDescent="0.3">
      <c r="A111" s="86" t="s">
        <v>13</v>
      </c>
      <c r="B111" s="6"/>
      <c r="C111" s="8">
        <v>3110303000</v>
      </c>
      <c r="D111" s="86" t="s">
        <v>372</v>
      </c>
      <c r="E111" s="6" t="s">
        <v>16</v>
      </c>
      <c r="F111" s="6" t="s">
        <v>9</v>
      </c>
      <c r="G111" s="6" t="s">
        <v>144</v>
      </c>
      <c r="H111" s="24">
        <v>44718</v>
      </c>
      <c r="I111" s="24" t="s">
        <v>330</v>
      </c>
      <c r="J111" s="44">
        <v>610</v>
      </c>
      <c r="K111" s="55">
        <v>762</v>
      </c>
      <c r="L111" s="50">
        <v>850</v>
      </c>
      <c r="M111" s="50">
        <v>826</v>
      </c>
      <c r="N111" s="50">
        <v>678</v>
      </c>
      <c r="O111" s="50">
        <v>746</v>
      </c>
      <c r="P111" s="50">
        <v>1034</v>
      </c>
      <c r="Q111" s="50">
        <v>1198</v>
      </c>
      <c r="R111" s="50">
        <v>998</v>
      </c>
      <c r="S111" s="50">
        <v>730</v>
      </c>
      <c r="T111" s="50">
        <v>532</v>
      </c>
      <c r="U111" s="50">
        <v>540</v>
      </c>
      <c r="V111" s="84">
        <f t="shared" si="8"/>
        <v>792</v>
      </c>
      <c r="W111" s="84">
        <f t="shared" si="9"/>
        <v>792</v>
      </c>
      <c r="X111" s="50">
        <v>498</v>
      </c>
      <c r="Y111" s="50">
        <v>612</v>
      </c>
      <c r="Z111" s="50">
        <v>786</v>
      </c>
      <c r="AA111" s="50">
        <v>750</v>
      </c>
      <c r="AB111" s="50">
        <v>722</v>
      </c>
      <c r="AC111" s="50">
        <v>984</v>
      </c>
      <c r="AD111" s="50">
        <v>1598</v>
      </c>
      <c r="AE111" s="50">
        <v>1878</v>
      </c>
      <c r="AF111" s="50">
        <v>1712</v>
      </c>
      <c r="AG111" s="50">
        <v>1588</v>
      </c>
      <c r="AH111" s="50">
        <v>858</v>
      </c>
      <c r="AI111" s="50">
        <v>720</v>
      </c>
      <c r="AJ111" s="50">
        <f t="shared" si="6"/>
        <v>1058.8333333333333</v>
      </c>
      <c r="AK111" s="50">
        <f t="shared" si="7"/>
        <v>1058.8333333333333</v>
      </c>
    </row>
    <row r="112" spans="1:37" x14ac:dyDescent="0.3">
      <c r="A112" s="86" t="s">
        <v>52</v>
      </c>
      <c r="B112" s="6"/>
      <c r="C112" s="8">
        <v>3130480002</v>
      </c>
      <c r="D112" s="86" t="s">
        <v>348</v>
      </c>
      <c r="E112" s="6" t="s">
        <v>16</v>
      </c>
      <c r="F112" s="6" t="s">
        <v>9</v>
      </c>
      <c r="G112" s="6" t="s">
        <v>107</v>
      </c>
      <c r="H112" s="24">
        <v>44720</v>
      </c>
      <c r="I112" s="24" t="s">
        <v>330</v>
      </c>
      <c r="J112" s="44">
        <v>0</v>
      </c>
      <c r="K112" s="52">
        <v>0</v>
      </c>
      <c r="L112" s="50">
        <v>0</v>
      </c>
      <c r="M112" s="50">
        <v>0</v>
      </c>
      <c r="N112" s="50">
        <v>0</v>
      </c>
      <c r="O112" s="50">
        <v>345</v>
      </c>
      <c r="P112" s="50">
        <v>567</v>
      </c>
      <c r="Q112" s="50">
        <v>660</v>
      </c>
      <c r="R112" s="50">
        <v>663</v>
      </c>
      <c r="S112" s="50">
        <v>400</v>
      </c>
      <c r="T112" s="50">
        <v>396</v>
      </c>
      <c r="U112" s="50">
        <v>466</v>
      </c>
      <c r="V112" s="84">
        <f t="shared" si="8"/>
        <v>291.41666666666669</v>
      </c>
      <c r="W112" s="84">
        <f t="shared" si="9"/>
        <v>499.57142857142856</v>
      </c>
      <c r="X112" s="50">
        <v>722</v>
      </c>
      <c r="Y112" s="50">
        <v>1477</v>
      </c>
      <c r="Z112" s="50">
        <v>1441</v>
      </c>
      <c r="AA112" s="50">
        <v>895</v>
      </c>
      <c r="AB112" s="50">
        <v>415</v>
      </c>
      <c r="AC112" s="50">
        <v>454</v>
      </c>
      <c r="AD112" s="50">
        <v>642</v>
      </c>
      <c r="AE112" s="50">
        <v>932</v>
      </c>
      <c r="AF112" s="50">
        <v>1450</v>
      </c>
      <c r="AG112" s="50">
        <v>1406</v>
      </c>
      <c r="AH112" s="50">
        <v>894</v>
      </c>
      <c r="AI112" s="50">
        <v>640</v>
      </c>
      <c r="AJ112" s="50">
        <f t="shared" si="6"/>
        <v>947.33333333333337</v>
      </c>
      <c r="AK112" s="50">
        <f t="shared" si="7"/>
        <v>947.33333333333337</v>
      </c>
    </row>
    <row r="113" spans="1:37" x14ac:dyDescent="0.3">
      <c r="A113" s="86" t="s">
        <v>13</v>
      </c>
      <c r="B113" s="6"/>
      <c r="C113" s="8">
        <v>3112093000</v>
      </c>
      <c r="D113" s="86" t="s">
        <v>422</v>
      </c>
      <c r="E113" s="6" t="s">
        <v>11</v>
      </c>
      <c r="F113" s="6" t="s">
        <v>9</v>
      </c>
      <c r="G113" s="6" t="s">
        <v>103</v>
      </c>
      <c r="H113" s="24">
        <v>44721</v>
      </c>
      <c r="I113" s="24" t="s">
        <v>330</v>
      </c>
      <c r="J113" s="44">
        <v>1210</v>
      </c>
      <c r="K113" s="58">
        <v>1416</v>
      </c>
      <c r="L113" s="50">
        <v>1290</v>
      </c>
      <c r="M113" s="50">
        <v>1492</v>
      </c>
      <c r="N113" s="50">
        <v>1114</v>
      </c>
      <c r="O113" s="50">
        <v>1048</v>
      </c>
      <c r="P113" s="50">
        <v>1672</v>
      </c>
      <c r="Q113" s="50">
        <v>1936</v>
      </c>
      <c r="R113" s="50">
        <v>1238</v>
      </c>
      <c r="S113" s="50">
        <v>1172</v>
      </c>
      <c r="T113" s="50">
        <v>884</v>
      </c>
      <c r="U113" s="50">
        <v>968</v>
      </c>
      <c r="V113" s="84">
        <f t="shared" si="8"/>
        <v>1286.6666666666667</v>
      </c>
      <c r="W113" s="84">
        <f t="shared" si="9"/>
        <v>1286.6666666666667</v>
      </c>
      <c r="X113" s="50">
        <v>1094</v>
      </c>
      <c r="Y113" s="50">
        <v>1472</v>
      </c>
      <c r="Z113" s="50">
        <v>2082</v>
      </c>
      <c r="AA113" s="50">
        <v>1648</v>
      </c>
      <c r="AB113" s="50">
        <v>1010</v>
      </c>
      <c r="AC113" s="50">
        <v>1312</v>
      </c>
      <c r="AD113" s="50">
        <v>1982</v>
      </c>
      <c r="AE113" s="50">
        <v>1622</v>
      </c>
      <c r="AF113" s="50">
        <v>2140</v>
      </c>
      <c r="AG113" s="50">
        <v>1792</v>
      </c>
      <c r="AH113" s="50">
        <v>1616</v>
      </c>
      <c r="AI113" s="50">
        <v>1836</v>
      </c>
      <c r="AJ113" s="50">
        <f t="shared" si="6"/>
        <v>1633.8333333333333</v>
      </c>
      <c r="AK113" s="50">
        <f t="shared" si="7"/>
        <v>1633.8333333333333</v>
      </c>
    </row>
    <row r="114" spans="1:37" x14ac:dyDescent="0.3">
      <c r="A114" s="86" t="s">
        <v>90</v>
      </c>
      <c r="B114" s="6"/>
      <c r="C114" s="8">
        <v>3140611000</v>
      </c>
      <c r="D114" s="86" t="s">
        <v>369</v>
      </c>
      <c r="E114" s="6" t="s">
        <v>8</v>
      </c>
      <c r="F114" s="6" t="s">
        <v>9</v>
      </c>
      <c r="G114" s="6" t="s">
        <v>101</v>
      </c>
      <c r="H114" s="24">
        <v>44722</v>
      </c>
      <c r="I114" s="24" t="s">
        <v>330</v>
      </c>
      <c r="J114" s="44">
        <v>652</v>
      </c>
      <c r="K114" s="53">
        <v>781</v>
      </c>
      <c r="L114" s="50">
        <v>724</v>
      </c>
      <c r="M114" s="50">
        <v>717</v>
      </c>
      <c r="N114" s="50">
        <v>702</v>
      </c>
      <c r="O114" s="50">
        <v>791</v>
      </c>
      <c r="P114" s="50">
        <v>763</v>
      </c>
      <c r="Q114" s="50">
        <v>1124</v>
      </c>
      <c r="R114" s="50">
        <v>905</v>
      </c>
      <c r="S114" s="50">
        <v>800</v>
      </c>
      <c r="T114" s="50">
        <v>738</v>
      </c>
      <c r="U114" s="50">
        <v>655</v>
      </c>
      <c r="V114" s="84">
        <f t="shared" si="8"/>
        <v>779.33333333333337</v>
      </c>
      <c r="W114" s="84">
        <f t="shared" si="9"/>
        <v>779.33333333333337</v>
      </c>
      <c r="X114" s="50">
        <v>670</v>
      </c>
      <c r="Y114" s="50">
        <v>867</v>
      </c>
      <c r="Z114" s="50">
        <v>1083</v>
      </c>
      <c r="AA114" s="50">
        <v>1028</v>
      </c>
      <c r="AB114" s="50">
        <v>1069</v>
      </c>
      <c r="AC114" s="50">
        <v>1320</v>
      </c>
      <c r="AD114" s="50">
        <v>1698</v>
      </c>
      <c r="AE114" s="50">
        <v>1980</v>
      </c>
      <c r="AF114" s="50">
        <v>1951</v>
      </c>
      <c r="AG114" s="50">
        <v>1950</v>
      </c>
      <c r="AH114" s="50">
        <v>889</v>
      </c>
      <c r="AI114" s="50">
        <v>680</v>
      </c>
      <c r="AJ114" s="50">
        <f t="shared" si="6"/>
        <v>1265.4166666666667</v>
      </c>
      <c r="AK114" s="50">
        <f t="shared" si="7"/>
        <v>1265.4166666666667</v>
      </c>
    </row>
    <row r="115" spans="1:37" x14ac:dyDescent="0.3">
      <c r="A115" s="86" t="s">
        <v>13</v>
      </c>
      <c r="B115" s="6"/>
      <c r="C115" s="8">
        <v>3131785000</v>
      </c>
      <c r="D115" s="86" t="s">
        <v>339</v>
      </c>
      <c r="E115" s="6" t="s">
        <v>16</v>
      </c>
      <c r="F115" s="6" t="s">
        <v>9</v>
      </c>
      <c r="G115" s="6" t="s">
        <v>115</v>
      </c>
      <c r="H115" s="24">
        <v>44727</v>
      </c>
      <c r="I115" s="24" t="s">
        <v>330</v>
      </c>
      <c r="J115" s="44">
        <v>830</v>
      </c>
      <c r="K115" s="62">
        <v>913</v>
      </c>
      <c r="L115" s="50">
        <v>898</v>
      </c>
      <c r="M115" s="50">
        <v>737</v>
      </c>
      <c r="N115" s="50">
        <v>805</v>
      </c>
      <c r="O115" s="50">
        <v>824</v>
      </c>
      <c r="P115" s="50">
        <v>861</v>
      </c>
      <c r="Q115" s="50">
        <v>1029</v>
      </c>
      <c r="R115" s="50">
        <v>942</v>
      </c>
      <c r="S115" s="50">
        <v>980</v>
      </c>
      <c r="T115" s="50">
        <v>855</v>
      </c>
      <c r="U115" s="50">
        <v>868</v>
      </c>
      <c r="V115" s="84">
        <f t="shared" si="8"/>
        <v>878.5</v>
      </c>
      <c r="W115" s="84">
        <f t="shared" si="9"/>
        <v>878.5</v>
      </c>
      <c r="X115" s="50">
        <v>794</v>
      </c>
      <c r="Y115" s="50">
        <v>810</v>
      </c>
      <c r="Z115" s="50">
        <v>786</v>
      </c>
      <c r="AA115" s="50">
        <v>763</v>
      </c>
      <c r="AB115" s="50">
        <v>765</v>
      </c>
      <c r="AC115" s="50">
        <v>1243</v>
      </c>
      <c r="AD115" s="50">
        <v>1342</v>
      </c>
      <c r="AE115" s="50">
        <v>1372</v>
      </c>
      <c r="AF115" s="50">
        <v>771</v>
      </c>
      <c r="AG115" s="50">
        <v>813</v>
      </c>
      <c r="AH115" s="50">
        <v>780</v>
      </c>
      <c r="AI115" s="50">
        <v>775</v>
      </c>
      <c r="AJ115" s="50">
        <f t="shared" si="6"/>
        <v>917.83333333333337</v>
      </c>
      <c r="AK115" s="50">
        <f t="shared" si="7"/>
        <v>917.83333333333337</v>
      </c>
    </row>
    <row r="116" spans="1:37" x14ac:dyDescent="0.3">
      <c r="A116" s="86" t="s">
        <v>13</v>
      </c>
      <c r="B116" s="6"/>
      <c r="C116" s="39">
        <v>3131786001</v>
      </c>
      <c r="D116" s="86" t="s">
        <v>339</v>
      </c>
      <c r="E116" s="6" t="s">
        <v>16</v>
      </c>
      <c r="F116" s="6" t="s">
        <v>9</v>
      </c>
      <c r="G116" s="6" t="s">
        <v>115</v>
      </c>
      <c r="H116" s="24">
        <v>44727</v>
      </c>
      <c r="I116" s="24" t="s">
        <v>330</v>
      </c>
      <c r="J116" s="44">
        <v>494</v>
      </c>
      <c r="K116" s="55">
        <v>560</v>
      </c>
      <c r="L116" s="50">
        <v>626</v>
      </c>
      <c r="M116" s="50">
        <v>457</v>
      </c>
      <c r="N116" s="50">
        <v>447</v>
      </c>
      <c r="O116" s="50">
        <v>350</v>
      </c>
      <c r="P116" s="50">
        <v>343</v>
      </c>
      <c r="Q116" s="50">
        <v>440</v>
      </c>
      <c r="R116" s="50">
        <v>493</v>
      </c>
      <c r="S116" s="50">
        <v>424</v>
      </c>
      <c r="T116" s="50">
        <v>353</v>
      </c>
      <c r="U116" s="50">
        <v>475</v>
      </c>
      <c r="V116" s="84">
        <f t="shared" si="8"/>
        <v>455.16666666666669</v>
      </c>
      <c r="W116" s="84">
        <f t="shared" si="9"/>
        <v>455.16666666666669</v>
      </c>
      <c r="X116" s="50">
        <v>598</v>
      </c>
      <c r="Y116" s="50">
        <v>678</v>
      </c>
      <c r="Z116" s="50">
        <v>655</v>
      </c>
      <c r="AA116" s="50">
        <v>581</v>
      </c>
      <c r="AB116" s="50">
        <v>594</v>
      </c>
      <c r="AC116" s="50">
        <v>809</v>
      </c>
      <c r="AD116" s="50">
        <v>729</v>
      </c>
      <c r="AE116" s="50">
        <v>548</v>
      </c>
      <c r="AF116" s="50">
        <v>496</v>
      </c>
      <c r="AG116" s="50">
        <v>469</v>
      </c>
      <c r="AH116" s="50">
        <v>529</v>
      </c>
      <c r="AI116" s="50">
        <v>498</v>
      </c>
      <c r="AJ116" s="50">
        <f t="shared" si="6"/>
        <v>598.66666666666663</v>
      </c>
      <c r="AK116" s="50">
        <f t="shared" si="7"/>
        <v>598.66666666666663</v>
      </c>
    </row>
    <row r="117" spans="1:37" x14ac:dyDescent="0.3">
      <c r="A117" s="86" t="s">
        <v>24</v>
      </c>
      <c r="B117" s="6"/>
      <c r="C117" s="8">
        <v>3132098001</v>
      </c>
      <c r="D117" s="86" t="s">
        <v>359</v>
      </c>
      <c r="E117" s="6" t="s">
        <v>16</v>
      </c>
      <c r="F117" s="6" t="s">
        <v>9</v>
      </c>
      <c r="G117" s="6" t="s">
        <v>120</v>
      </c>
      <c r="H117" s="24">
        <v>44728</v>
      </c>
      <c r="I117" s="24" t="s">
        <v>330</v>
      </c>
      <c r="J117" s="44">
        <v>321</v>
      </c>
      <c r="K117" s="62">
        <v>448</v>
      </c>
      <c r="L117" s="50">
        <v>372</v>
      </c>
      <c r="M117" s="50">
        <v>397</v>
      </c>
      <c r="N117" s="50">
        <v>271</v>
      </c>
      <c r="O117" s="50">
        <v>315</v>
      </c>
      <c r="P117" s="50">
        <v>366</v>
      </c>
      <c r="Q117" s="50">
        <v>473</v>
      </c>
      <c r="R117" s="50">
        <v>319</v>
      </c>
      <c r="S117" s="50">
        <v>340</v>
      </c>
      <c r="T117" s="50">
        <v>258</v>
      </c>
      <c r="U117" s="50">
        <v>227</v>
      </c>
      <c r="V117" s="84">
        <f t="shared" si="8"/>
        <v>342.25</v>
      </c>
      <c r="W117" s="84">
        <f t="shared" si="9"/>
        <v>342.25</v>
      </c>
      <c r="X117" s="50">
        <v>233</v>
      </c>
      <c r="Y117" s="50">
        <v>486</v>
      </c>
      <c r="Z117" s="50">
        <v>603</v>
      </c>
      <c r="AA117" s="50">
        <v>398</v>
      </c>
      <c r="AB117" s="50">
        <v>404</v>
      </c>
      <c r="AC117" s="50">
        <v>768</v>
      </c>
      <c r="AD117" s="50">
        <v>1301</v>
      </c>
      <c r="AE117" s="50">
        <v>1446</v>
      </c>
      <c r="AF117" s="50">
        <v>1239</v>
      </c>
      <c r="AG117" s="50">
        <v>1269</v>
      </c>
      <c r="AH117" s="50">
        <v>896</v>
      </c>
      <c r="AI117" s="50">
        <v>566</v>
      </c>
      <c r="AJ117" s="50">
        <f t="shared" si="6"/>
        <v>800.75</v>
      </c>
      <c r="AK117" s="50">
        <f t="shared" si="7"/>
        <v>800.75</v>
      </c>
    </row>
    <row r="118" spans="1:37" x14ac:dyDescent="0.3">
      <c r="A118" s="90" t="s">
        <v>90</v>
      </c>
      <c r="B118" s="35"/>
      <c r="C118" s="37">
        <v>3121405000</v>
      </c>
      <c r="D118" s="90" t="s">
        <v>423</v>
      </c>
      <c r="E118" s="35" t="s">
        <v>16</v>
      </c>
      <c r="F118" s="35" t="s">
        <v>9</v>
      </c>
      <c r="G118" s="35" t="s">
        <v>165</v>
      </c>
      <c r="H118" s="24">
        <v>44730</v>
      </c>
      <c r="I118" s="24" t="s">
        <v>330</v>
      </c>
      <c r="J118" s="45">
        <v>230</v>
      </c>
      <c r="K118" s="50">
        <v>365</v>
      </c>
      <c r="L118" s="50">
        <v>488</v>
      </c>
      <c r="M118" s="50">
        <v>505</v>
      </c>
      <c r="N118" s="50">
        <v>313</v>
      </c>
      <c r="O118" s="50">
        <v>322</v>
      </c>
      <c r="P118" s="50">
        <v>382</v>
      </c>
      <c r="Q118" s="50">
        <v>284</v>
      </c>
      <c r="R118" s="50">
        <v>261</v>
      </c>
      <c r="S118" s="50">
        <v>259</v>
      </c>
      <c r="T118" s="50">
        <v>208</v>
      </c>
      <c r="U118" s="50">
        <v>209</v>
      </c>
      <c r="V118" s="84">
        <f t="shared" si="8"/>
        <v>318.83333333333331</v>
      </c>
      <c r="W118" s="84">
        <f t="shared" si="9"/>
        <v>318.83333333333331</v>
      </c>
      <c r="X118" s="50">
        <v>210</v>
      </c>
      <c r="Y118" s="50">
        <v>310</v>
      </c>
      <c r="Z118" s="50">
        <v>380</v>
      </c>
      <c r="AA118" s="50">
        <v>265</v>
      </c>
      <c r="AB118" s="50">
        <v>250</v>
      </c>
      <c r="AC118" s="50">
        <v>572</v>
      </c>
      <c r="AD118" s="50">
        <v>1768</v>
      </c>
      <c r="AE118" s="50">
        <v>1308</v>
      </c>
      <c r="AF118" s="50">
        <v>1041</v>
      </c>
      <c r="AG118" s="50">
        <v>982</v>
      </c>
      <c r="AH118" s="50">
        <v>453</v>
      </c>
      <c r="AI118" s="50">
        <v>327</v>
      </c>
      <c r="AJ118" s="50">
        <f t="shared" si="6"/>
        <v>655.5</v>
      </c>
      <c r="AK118" s="50">
        <f t="shared" si="7"/>
        <v>655.5</v>
      </c>
    </row>
    <row r="119" spans="1:37" x14ac:dyDescent="0.3">
      <c r="A119" s="86" t="s">
        <v>13</v>
      </c>
      <c r="B119" s="6"/>
      <c r="C119" s="8">
        <v>3132560000</v>
      </c>
      <c r="D119" s="86" t="s">
        <v>424</v>
      </c>
      <c r="E119" s="6" t="s">
        <v>16</v>
      </c>
      <c r="F119" s="6" t="s">
        <v>9</v>
      </c>
      <c r="G119" s="6" t="s">
        <v>105</v>
      </c>
      <c r="H119" s="24">
        <v>44733</v>
      </c>
      <c r="I119" s="24" t="s">
        <v>330</v>
      </c>
      <c r="J119" s="44">
        <v>626</v>
      </c>
      <c r="K119" s="62">
        <v>775</v>
      </c>
      <c r="L119" s="50">
        <v>697</v>
      </c>
      <c r="M119" s="50">
        <v>605</v>
      </c>
      <c r="N119" s="50">
        <v>461</v>
      </c>
      <c r="O119" s="50">
        <v>535</v>
      </c>
      <c r="P119" s="50">
        <v>689</v>
      </c>
      <c r="Q119" s="50">
        <v>527</v>
      </c>
      <c r="R119" s="50">
        <v>254</v>
      </c>
      <c r="S119" s="50">
        <v>255</v>
      </c>
      <c r="T119" s="50">
        <v>241</v>
      </c>
      <c r="U119" s="50">
        <v>467</v>
      </c>
      <c r="V119" s="84">
        <f t="shared" si="8"/>
        <v>511</v>
      </c>
      <c r="W119" s="84">
        <f t="shared" si="9"/>
        <v>511</v>
      </c>
      <c r="X119" s="50">
        <v>539</v>
      </c>
      <c r="Y119" s="50">
        <v>800</v>
      </c>
      <c r="Z119" s="50">
        <v>590</v>
      </c>
      <c r="AA119" s="50">
        <v>553</v>
      </c>
      <c r="AB119" s="50">
        <v>504</v>
      </c>
      <c r="AC119" s="50">
        <v>448</v>
      </c>
      <c r="AD119" s="50">
        <v>506</v>
      </c>
      <c r="AE119" s="50">
        <v>397</v>
      </c>
      <c r="AF119" s="50">
        <v>265</v>
      </c>
      <c r="AG119" s="50">
        <v>261</v>
      </c>
      <c r="AH119" s="50">
        <v>260</v>
      </c>
      <c r="AI119" s="50">
        <v>378</v>
      </c>
      <c r="AJ119" s="50">
        <f t="shared" si="6"/>
        <v>458.41666666666669</v>
      </c>
      <c r="AK119" s="50">
        <f t="shared" si="7"/>
        <v>458.41666666666669</v>
      </c>
    </row>
    <row r="120" spans="1:37" x14ac:dyDescent="0.3">
      <c r="A120" s="86" t="s">
        <v>13</v>
      </c>
      <c r="B120" s="6"/>
      <c r="C120" s="8">
        <v>3060470002</v>
      </c>
      <c r="D120" s="86" t="s">
        <v>425</v>
      </c>
      <c r="E120" s="6" t="s">
        <v>11</v>
      </c>
      <c r="F120" s="6" t="s">
        <v>9</v>
      </c>
      <c r="G120" s="6" t="s">
        <v>117</v>
      </c>
      <c r="H120" s="24">
        <v>44734</v>
      </c>
      <c r="I120" s="24" t="s">
        <v>330</v>
      </c>
      <c r="J120" s="44">
        <v>742</v>
      </c>
      <c r="K120" s="60">
        <v>585</v>
      </c>
      <c r="L120" s="50">
        <v>637</v>
      </c>
      <c r="M120" s="50">
        <v>716</v>
      </c>
      <c r="N120" s="50">
        <v>537</v>
      </c>
      <c r="O120" s="50">
        <v>561</v>
      </c>
      <c r="P120" s="50">
        <v>735</v>
      </c>
      <c r="Q120" s="50">
        <v>581</v>
      </c>
      <c r="R120" s="50">
        <v>511</v>
      </c>
      <c r="S120" s="50">
        <v>555</v>
      </c>
      <c r="T120" s="50">
        <v>493</v>
      </c>
      <c r="U120" s="50">
        <v>469</v>
      </c>
      <c r="V120" s="84">
        <f t="shared" si="8"/>
        <v>593.5</v>
      </c>
      <c r="W120" s="84">
        <f t="shared" si="9"/>
        <v>593.5</v>
      </c>
      <c r="X120" s="50">
        <v>590</v>
      </c>
      <c r="Y120" s="50">
        <v>534</v>
      </c>
      <c r="Z120" s="50">
        <v>699</v>
      </c>
      <c r="AA120" s="50">
        <v>585</v>
      </c>
      <c r="AB120" s="50">
        <v>604</v>
      </c>
      <c r="AC120" s="50">
        <v>664</v>
      </c>
      <c r="AD120" s="50">
        <v>981</v>
      </c>
      <c r="AE120" s="50">
        <v>801</v>
      </c>
      <c r="AF120" s="50">
        <v>521</v>
      </c>
      <c r="AG120" s="50">
        <v>459</v>
      </c>
      <c r="AH120" s="50">
        <v>451</v>
      </c>
      <c r="AI120" s="50">
        <v>515</v>
      </c>
      <c r="AJ120" s="50">
        <f t="shared" si="6"/>
        <v>617</v>
      </c>
      <c r="AK120" s="50">
        <f t="shared" si="7"/>
        <v>617</v>
      </c>
    </row>
    <row r="121" spans="1:37" x14ac:dyDescent="0.3">
      <c r="A121" s="86" t="s">
        <v>113</v>
      </c>
      <c r="B121" s="6"/>
      <c r="C121" s="8">
        <v>3120343001</v>
      </c>
      <c r="D121" s="86" t="s">
        <v>426</v>
      </c>
      <c r="E121" s="6" t="s">
        <v>16</v>
      </c>
      <c r="F121" s="6" t="s">
        <v>9</v>
      </c>
      <c r="G121" s="6" t="s">
        <v>151</v>
      </c>
      <c r="H121" s="24">
        <v>44735</v>
      </c>
      <c r="I121" s="24" t="s">
        <v>330</v>
      </c>
      <c r="J121" s="44">
        <v>0</v>
      </c>
      <c r="K121" s="71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158</v>
      </c>
      <c r="Q121" s="50">
        <v>493</v>
      </c>
      <c r="R121" s="50">
        <v>588</v>
      </c>
      <c r="S121" s="50">
        <v>593</v>
      </c>
      <c r="T121" s="50">
        <v>496</v>
      </c>
      <c r="U121" s="50">
        <v>390</v>
      </c>
      <c r="V121" s="84">
        <f t="shared" si="8"/>
        <v>226.5</v>
      </c>
      <c r="W121" s="84">
        <f t="shared" si="9"/>
        <v>453</v>
      </c>
      <c r="X121" s="50">
        <v>389</v>
      </c>
      <c r="Y121" s="50">
        <v>632</v>
      </c>
      <c r="Z121" s="50">
        <v>746</v>
      </c>
      <c r="AA121" s="50">
        <v>458</v>
      </c>
      <c r="AB121" s="50">
        <v>427</v>
      </c>
      <c r="AC121" s="50">
        <v>1063</v>
      </c>
      <c r="AD121" s="50">
        <v>1779</v>
      </c>
      <c r="AE121" s="50">
        <v>1216</v>
      </c>
      <c r="AF121" s="50">
        <v>1312</v>
      </c>
      <c r="AG121" s="50">
        <v>847</v>
      </c>
      <c r="AH121" s="50">
        <v>440</v>
      </c>
      <c r="AI121" s="50">
        <v>441</v>
      </c>
      <c r="AJ121" s="50">
        <f t="shared" si="6"/>
        <v>812.5</v>
      </c>
      <c r="AK121" s="50">
        <f t="shared" si="7"/>
        <v>812.5</v>
      </c>
    </row>
    <row r="122" spans="1:37" x14ac:dyDescent="0.3">
      <c r="A122" s="86" t="s">
        <v>24</v>
      </c>
      <c r="B122" s="6"/>
      <c r="C122" s="8">
        <v>3132732001</v>
      </c>
      <c r="D122" s="86" t="s">
        <v>427</v>
      </c>
      <c r="E122" s="6" t="s">
        <v>16</v>
      </c>
      <c r="F122" s="6" t="s">
        <v>9</v>
      </c>
      <c r="G122" s="6" t="s">
        <v>119</v>
      </c>
      <c r="H122" s="24">
        <v>44735</v>
      </c>
      <c r="I122" s="24" t="s">
        <v>330</v>
      </c>
      <c r="J122" s="44">
        <v>0</v>
      </c>
      <c r="K122" s="53">
        <v>0</v>
      </c>
      <c r="L122" s="50">
        <v>0</v>
      </c>
      <c r="M122" s="50">
        <v>0</v>
      </c>
      <c r="N122" s="50">
        <v>0</v>
      </c>
      <c r="O122" s="50">
        <v>0</v>
      </c>
      <c r="P122" s="50">
        <v>894</v>
      </c>
      <c r="Q122" s="50">
        <v>1115</v>
      </c>
      <c r="R122" s="50">
        <v>1159</v>
      </c>
      <c r="S122" s="50">
        <v>875</v>
      </c>
      <c r="T122" s="50">
        <v>628</v>
      </c>
      <c r="U122" s="50">
        <v>605</v>
      </c>
      <c r="V122" s="84">
        <f t="shared" si="8"/>
        <v>439.66666666666669</v>
      </c>
      <c r="W122" s="84">
        <f t="shared" si="9"/>
        <v>879.33333333333337</v>
      </c>
      <c r="X122" s="50">
        <v>709</v>
      </c>
      <c r="Y122" s="50">
        <v>742</v>
      </c>
      <c r="Z122" s="50">
        <v>569</v>
      </c>
      <c r="AA122" s="50">
        <v>549</v>
      </c>
      <c r="AB122" s="50">
        <v>496</v>
      </c>
      <c r="AC122" s="50">
        <v>489</v>
      </c>
      <c r="AD122" s="50">
        <v>687</v>
      </c>
      <c r="AE122" s="50">
        <v>862</v>
      </c>
      <c r="AF122" s="50">
        <v>829</v>
      </c>
      <c r="AG122" s="50">
        <v>690</v>
      </c>
      <c r="AH122" s="50">
        <v>691</v>
      </c>
      <c r="AI122" s="50">
        <v>537</v>
      </c>
      <c r="AJ122" s="50">
        <f t="shared" si="6"/>
        <v>654.16666666666663</v>
      </c>
      <c r="AK122" s="50">
        <f t="shared" si="7"/>
        <v>654.16666666666663</v>
      </c>
    </row>
    <row r="123" spans="1:37" x14ac:dyDescent="0.3">
      <c r="A123" s="86" t="s">
        <v>90</v>
      </c>
      <c r="B123" s="6"/>
      <c r="C123" s="8">
        <v>3062413000</v>
      </c>
      <c r="D123" s="86" t="s">
        <v>428</v>
      </c>
      <c r="E123" s="6" t="s">
        <v>11</v>
      </c>
      <c r="F123" s="6" t="s">
        <v>9</v>
      </c>
      <c r="G123" s="6" t="s">
        <v>153</v>
      </c>
      <c r="H123" s="24">
        <v>44736</v>
      </c>
      <c r="I123" s="24" t="s">
        <v>330</v>
      </c>
      <c r="J123" s="44">
        <v>748</v>
      </c>
      <c r="K123" s="54">
        <v>669</v>
      </c>
      <c r="L123" s="50">
        <v>744</v>
      </c>
      <c r="M123" s="50">
        <v>822</v>
      </c>
      <c r="N123" s="50">
        <v>525</v>
      </c>
      <c r="O123" s="50">
        <v>467</v>
      </c>
      <c r="P123" s="50">
        <v>626</v>
      </c>
      <c r="Q123" s="50">
        <v>682</v>
      </c>
      <c r="R123" s="50">
        <v>535</v>
      </c>
      <c r="S123" s="50">
        <v>595</v>
      </c>
      <c r="T123" s="50">
        <v>496</v>
      </c>
      <c r="U123" s="50">
        <v>533</v>
      </c>
      <c r="V123" s="84">
        <f t="shared" si="8"/>
        <v>620.16666666666663</v>
      </c>
      <c r="W123" s="84">
        <f t="shared" si="9"/>
        <v>620.16666666666663</v>
      </c>
      <c r="X123" s="50">
        <v>796</v>
      </c>
      <c r="Y123" s="50">
        <v>747</v>
      </c>
      <c r="Z123" s="50">
        <v>860</v>
      </c>
      <c r="AA123" s="50">
        <v>563</v>
      </c>
      <c r="AB123" s="50">
        <v>509</v>
      </c>
      <c r="AC123" s="50">
        <v>556</v>
      </c>
      <c r="AD123" s="50">
        <v>1087</v>
      </c>
      <c r="AE123" s="50">
        <v>1368</v>
      </c>
      <c r="AF123" s="50">
        <v>1609</v>
      </c>
      <c r="AG123" s="50">
        <v>1248</v>
      </c>
      <c r="AH123" s="50">
        <v>791</v>
      </c>
      <c r="AI123" s="50">
        <v>559</v>
      </c>
      <c r="AJ123" s="50">
        <f t="shared" si="6"/>
        <v>891.08333333333337</v>
      </c>
      <c r="AK123" s="50">
        <f t="shared" si="7"/>
        <v>891.08333333333337</v>
      </c>
    </row>
    <row r="124" spans="1:37" x14ac:dyDescent="0.3">
      <c r="A124" s="86" t="s">
        <v>13</v>
      </c>
      <c r="B124" s="6"/>
      <c r="C124" s="8">
        <v>3081836001</v>
      </c>
      <c r="D124" s="86" t="s">
        <v>429</v>
      </c>
      <c r="E124" s="6" t="s">
        <v>11</v>
      </c>
      <c r="F124" s="6" t="s">
        <v>9</v>
      </c>
      <c r="G124" s="6" t="s">
        <v>143</v>
      </c>
      <c r="H124" s="24">
        <v>44742</v>
      </c>
      <c r="I124" s="24" t="s">
        <v>330</v>
      </c>
      <c r="J124" s="44">
        <v>517</v>
      </c>
      <c r="K124" s="52">
        <v>593</v>
      </c>
      <c r="L124" s="50">
        <v>562</v>
      </c>
      <c r="M124" s="50">
        <v>628</v>
      </c>
      <c r="N124" s="50">
        <v>448</v>
      </c>
      <c r="O124" s="50">
        <v>478</v>
      </c>
      <c r="P124" s="50">
        <v>557</v>
      </c>
      <c r="Q124" s="50">
        <v>640</v>
      </c>
      <c r="R124" s="50">
        <v>541</v>
      </c>
      <c r="S124" s="50">
        <v>567</v>
      </c>
      <c r="T124" s="50">
        <v>516</v>
      </c>
      <c r="U124" s="50">
        <v>542</v>
      </c>
      <c r="V124" s="84">
        <f t="shared" si="8"/>
        <v>549.08333333333337</v>
      </c>
      <c r="W124" s="84">
        <f t="shared" si="9"/>
        <v>549.08333333333337</v>
      </c>
      <c r="X124" s="50">
        <v>500</v>
      </c>
      <c r="Y124" s="50">
        <v>625</v>
      </c>
      <c r="Z124" s="50">
        <v>707</v>
      </c>
      <c r="AA124" s="50">
        <v>618</v>
      </c>
      <c r="AB124" s="50">
        <v>503</v>
      </c>
      <c r="AC124" s="50">
        <v>539</v>
      </c>
      <c r="AD124" s="50">
        <v>558</v>
      </c>
      <c r="AE124" s="50">
        <v>720</v>
      </c>
      <c r="AF124" s="50">
        <v>669</v>
      </c>
      <c r="AG124" s="50">
        <v>673</v>
      </c>
      <c r="AH124" s="50">
        <v>643</v>
      </c>
      <c r="AI124" s="50">
        <v>531</v>
      </c>
      <c r="AJ124" s="50">
        <f t="shared" si="6"/>
        <v>607.16666666666663</v>
      </c>
      <c r="AK124" s="50">
        <f t="shared" si="7"/>
        <v>607.16666666666663</v>
      </c>
    </row>
    <row r="125" spans="1:37" x14ac:dyDescent="0.3">
      <c r="A125" s="86" t="s">
        <v>90</v>
      </c>
      <c r="B125" s="6"/>
      <c r="C125" s="8">
        <v>3112224002</v>
      </c>
      <c r="D125" s="86" t="s">
        <v>409</v>
      </c>
      <c r="E125" s="6" t="s">
        <v>11</v>
      </c>
      <c r="F125" s="6" t="s">
        <v>9</v>
      </c>
      <c r="G125" s="6" t="s">
        <v>134</v>
      </c>
      <c r="H125" s="24">
        <v>44742</v>
      </c>
      <c r="I125" s="24" t="s">
        <v>330</v>
      </c>
      <c r="J125" s="44">
        <v>1074</v>
      </c>
      <c r="K125" s="54">
        <v>1098</v>
      </c>
      <c r="L125" s="50">
        <v>1236</v>
      </c>
      <c r="M125" s="50">
        <v>1350</v>
      </c>
      <c r="N125" s="50">
        <v>1172</v>
      </c>
      <c r="O125" s="50">
        <v>1234</v>
      </c>
      <c r="P125" s="50">
        <v>1242</v>
      </c>
      <c r="Q125" s="50">
        <v>1708</v>
      </c>
      <c r="R125" s="50">
        <v>1206</v>
      </c>
      <c r="S125" s="50">
        <v>1294</v>
      </c>
      <c r="T125" s="50">
        <v>1144</v>
      </c>
      <c r="U125" s="50">
        <v>1066</v>
      </c>
      <c r="V125" s="84">
        <f t="shared" si="8"/>
        <v>1235.3333333333333</v>
      </c>
      <c r="W125" s="84">
        <f t="shared" si="9"/>
        <v>1235.3333333333333</v>
      </c>
      <c r="X125" s="50">
        <v>114</v>
      </c>
      <c r="Y125" s="50">
        <v>1270</v>
      </c>
      <c r="Z125" s="50">
        <v>100</v>
      </c>
      <c r="AA125" s="50">
        <v>1104</v>
      </c>
      <c r="AB125" s="50">
        <v>1754</v>
      </c>
      <c r="AC125" s="50">
        <v>2270</v>
      </c>
      <c r="AD125" s="50">
        <v>4210</v>
      </c>
      <c r="AE125" s="50">
        <v>6014</v>
      </c>
      <c r="AF125" s="50">
        <v>5378</v>
      </c>
      <c r="AG125" s="50">
        <v>4728</v>
      </c>
      <c r="AH125" s="50">
        <v>3080</v>
      </c>
      <c r="AI125" s="50">
        <v>2094</v>
      </c>
      <c r="AJ125" s="50">
        <f t="shared" si="6"/>
        <v>2676.3333333333335</v>
      </c>
      <c r="AK125" s="50">
        <f t="shared" si="7"/>
        <v>2676.3333333333335</v>
      </c>
    </row>
    <row r="126" spans="1:37" x14ac:dyDescent="0.3">
      <c r="A126" s="86" t="s">
        <v>90</v>
      </c>
      <c r="B126" s="6"/>
      <c r="C126" s="8">
        <v>3160726002</v>
      </c>
      <c r="D126" s="86" t="s">
        <v>430</v>
      </c>
      <c r="E126" s="6" t="s">
        <v>14</v>
      </c>
      <c r="F126" s="6" t="s">
        <v>9</v>
      </c>
      <c r="G126" s="6" t="s">
        <v>118</v>
      </c>
      <c r="H126" s="24">
        <v>44742</v>
      </c>
      <c r="I126" s="24" t="s">
        <v>330</v>
      </c>
      <c r="J126" s="44">
        <v>709</v>
      </c>
      <c r="K126" s="53">
        <v>1007</v>
      </c>
      <c r="L126" s="50">
        <v>1346</v>
      </c>
      <c r="M126" s="50">
        <v>995</v>
      </c>
      <c r="N126" s="50">
        <v>723</v>
      </c>
      <c r="O126" s="50">
        <v>478</v>
      </c>
      <c r="P126" s="50">
        <v>827</v>
      </c>
      <c r="Q126" s="50">
        <v>267</v>
      </c>
      <c r="R126" s="50">
        <v>507</v>
      </c>
      <c r="S126" s="50">
        <v>569</v>
      </c>
      <c r="T126" s="50">
        <v>475</v>
      </c>
      <c r="U126" s="50">
        <v>594</v>
      </c>
      <c r="V126" s="84">
        <f t="shared" si="8"/>
        <v>708.08333333333337</v>
      </c>
      <c r="W126" s="84">
        <f t="shared" si="9"/>
        <v>708.08333333333337</v>
      </c>
      <c r="X126" s="50">
        <v>915</v>
      </c>
      <c r="Y126" s="50">
        <v>805</v>
      </c>
      <c r="Z126" s="50">
        <v>821</v>
      </c>
      <c r="AA126" s="50">
        <v>642</v>
      </c>
      <c r="AB126" s="50">
        <v>635</v>
      </c>
      <c r="AC126" s="50">
        <v>882</v>
      </c>
      <c r="AD126" s="50">
        <v>1193</v>
      </c>
      <c r="AE126" s="50">
        <v>1315</v>
      </c>
      <c r="AF126" s="50">
        <v>1229</v>
      </c>
      <c r="AG126" s="50">
        <v>1033</v>
      </c>
      <c r="AH126" s="50">
        <v>710</v>
      </c>
      <c r="AI126" s="50">
        <v>564</v>
      </c>
      <c r="AJ126" s="50">
        <f t="shared" si="6"/>
        <v>895.33333333333337</v>
      </c>
      <c r="AK126" s="50">
        <f t="shared" si="7"/>
        <v>895.33333333333337</v>
      </c>
    </row>
    <row r="127" spans="1:37" x14ac:dyDescent="0.3">
      <c r="A127" s="86" t="s">
        <v>300</v>
      </c>
      <c r="B127" s="6"/>
      <c r="C127" s="8">
        <v>3020598002</v>
      </c>
      <c r="D127" s="86" t="s">
        <v>431</v>
      </c>
      <c r="E127" s="6" t="s">
        <v>11</v>
      </c>
      <c r="F127" s="6" t="s">
        <v>9</v>
      </c>
      <c r="G127" s="6" t="s">
        <v>301</v>
      </c>
      <c r="H127" s="24">
        <v>44743</v>
      </c>
      <c r="I127" s="24" t="s">
        <v>329</v>
      </c>
      <c r="J127" s="44">
        <v>1636</v>
      </c>
      <c r="K127" s="60">
        <v>1886</v>
      </c>
      <c r="L127" s="50">
        <v>1651</v>
      </c>
      <c r="M127" s="50">
        <v>1335</v>
      </c>
      <c r="N127" s="50">
        <v>1226</v>
      </c>
      <c r="O127" s="50">
        <v>2813</v>
      </c>
      <c r="P127" s="50">
        <v>3261</v>
      </c>
      <c r="Q127" s="50">
        <v>4604</v>
      </c>
      <c r="R127" s="50">
        <v>3661</v>
      </c>
      <c r="S127" s="50">
        <v>2663</v>
      </c>
      <c r="T127" s="50">
        <v>2056</v>
      </c>
      <c r="U127" s="50">
        <v>1609</v>
      </c>
      <c r="V127" s="84">
        <f t="shared" si="8"/>
        <v>2366.75</v>
      </c>
      <c r="W127" s="84">
        <f t="shared" si="9"/>
        <v>2366.75</v>
      </c>
      <c r="X127" s="50">
        <v>1509</v>
      </c>
      <c r="Y127" s="50">
        <v>1861</v>
      </c>
      <c r="Z127" s="50">
        <v>1517</v>
      </c>
      <c r="AA127" s="50">
        <v>1180</v>
      </c>
      <c r="AB127" s="50">
        <v>1180</v>
      </c>
      <c r="AC127" s="50">
        <v>1976</v>
      </c>
      <c r="AD127" s="50">
        <v>2567</v>
      </c>
      <c r="AE127" s="50">
        <v>2797</v>
      </c>
      <c r="AF127" s="50">
        <v>2437</v>
      </c>
      <c r="AG127" s="50">
        <v>2015</v>
      </c>
      <c r="AH127" s="50">
        <v>1630</v>
      </c>
      <c r="AI127" s="50">
        <v>1409</v>
      </c>
      <c r="AJ127" s="50">
        <f t="shared" si="6"/>
        <v>1839.8333333333333</v>
      </c>
      <c r="AK127" s="50">
        <f t="shared" si="7"/>
        <v>1839.8333333333333</v>
      </c>
    </row>
    <row r="128" spans="1:37" x14ac:dyDescent="0.3">
      <c r="A128" s="90" t="s">
        <v>13</v>
      </c>
      <c r="B128" s="35"/>
      <c r="C128" s="37">
        <v>3160897000</v>
      </c>
      <c r="D128" s="90" t="s">
        <v>432</v>
      </c>
      <c r="E128" s="35" t="s">
        <v>14</v>
      </c>
      <c r="F128" s="35" t="s">
        <v>9</v>
      </c>
      <c r="G128" s="35" t="s">
        <v>161</v>
      </c>
      <c r="H128" s="24">
        <v>44743</v>
      </c>
      <c r="I128" s="24" t="s">
        <v>330</v>
      </c>
      <c r="J128" s="45">
        <v>1671</v>
      </c>
      <c r="K128" s="55">
        <v>1557</v>
      </c>
      <c r="L128" s="50">
        <v>1036</v>
      </c>
      <c r="M128" s="50">
        <v>682</v>
      </c>
      <c r="N128" s="50">
        <v>892</v>
      </c>
      <c r="O128" s="50">
        <v>962</v>
      </c>
      <c r="P128" s="50">
        <v>1326</v>
      </c>
      <c r="Q128" s="50">
        <v>886</v>
      </c>
      <c r="R128" s="50">
        <v>191</v>
      </c>
      <c r="S128" s="50">
        <v>667</v>
      </c>
      <c r="T128" s="50">
        <v>1109</v>
      </c>
      <c r="U128" s="50">
        <v>1093</v>
      </c>
      <c r="V128" s="84">
        <f t="shared" si="8"/>
        <v>1006</v>
      </c>
      <c r="W128" s="84">
        <f t="shared" si="9"/>
        <v>1006</v>
      </c>
      <c r="X128" s="50">
        <v>1394</v>
      </c>
      <c r="Y128" s="50">
        <v>1524</v>
      </c>
      <c r="Z128" s="50">
        <v>1020</v>
      </c>
      <c r="AA128" s="50">
        <v>600</v>
      </c>
      <c r="AB128" s="50">
        <v>779</v>
      </c>
      <c r="AC128" s="50">
        <v>883</v>
      </c>
      <c r="AD128" s="50">
        <v>851</v>
      </c>
      <c r="AE128" s="50">
        <v>940</v>
      </c>
      <c r="AF128" s="50">
        <v>694</v>
      </c>
      <c r="AG128" s="50">
        <v>649</v>
      </c>
      <c r="AH128" s="50">
        <v>735</v>
      </c>
      <c r="AI128" s="50">
        <v>779</v>
      </c>
      <c r="AJ128" s="50">
        <f t="shared" si="6"/>
        <v>904</v>
      </c>
      <c r="AK128" s="50">
        <f t="shared" si="7"/>
        <v>904</v>
      </c>
    </row>
    <row r="129" spans="1:37" x14ac:dyDescent="0.3">
      <c r="A129" s="86" t="s">
        <v>52</v>
      </c>
      <c r="B129" s="6"/>
      <c r="C129" s="8">
        <v>3111773002</v>
      </c>
      <c r="D129" s="86" t="s">
        <v>433</v>
      </c>
      <c r="E129" s="6" t="s">
        <v>8</v>
      </c>
      <c r="F129" s="6" t="s">
        <v>9</v>
      </c>
      <c r="G129" s="6" t="s">
        <v>128</v>
      </c>
      <c r="H129" s="24">
        <v>44747</v>
      </c>
      <c r="I129" s="24" t="s">
        <v>330</v>
      </c>
      <c r="J129" s="44">
        <v>1478</v>
      </c>
      <c r="K129" s="55">
        <v>1760</v>
      </c>
      <c r="L129" s="50">
        <v>1352</v>
      </c>
      <c r="M129" s="50">
        <v>968</v>
      </c>
      <c r="N129" s="50">
        <v>786</v>
      </c>
      <c r="O129" s="50">
        <v>1136</v>
      </c>
      <c r="P129" s="50">
        <v>1560</v>
      </c>
      <c r="Q129" s="50">
        <v>1606</v>
      </c>
      <c r="R129" s="50">
        <v>1438</v>
      </c>
      <c r="S129" s="50">
        <v>1150</v>
      </c>
      <c r="T129" s="50">
        <v>1078</v>
      </c>
      <c r="U129" s="50">
        <v>1140</v>
      </c>
      <c r="V129" s="84">
        <f t="shared" si="8"/>
        <v>1287.6666666666667</v>
      </c>
      <c r="W129" s="84">
        <f t="shared" si="9"/>
        <v>1287.6666666666667</v>
      </c>
      <c r="X129" s="50">
        <v>1620</v>
      </c>
      <c r="Y129" s="50">
        <v>1478</v>
      </c>
      <c r="Z129" s="50">
        <v>1600</v>
      </c>
      <c r="AA129" s="50">
        <v>1014</v>
      </c>
      <c r="AB129" s="50">
        <v>1176</v>
      </c>
      <c r="AC129" s="50">
        <v>1404</v>
      </c>
      <c r="AD129" s="50">
        <v>1642</v>
      </c>
      <c r="AE129" s="50">
        <v>1334</v>
      </c>
      <c r="AF129" s="50">
        <v>1504</v>
      </c>
      <c r="AG129" s="50">
        <v>1162</v>
      </c>
      <c r="AH129" s="50">
        <v>1062</v>
      </c>
      <c r="AI129" s="50">
        <v>1212</v>
      </c>
      <c r="AJ129" s="50">
        <f t="shared" si="6"/>
        <v>1350.6666666666667</v>
      </c>
      <c r="AK129" s="50">
        <f t="shared" si="7"/>
        <v>1350.6666666666667</v>
      </c>
    </row>
    <row r="130" spans="1:37" x14ac:dyDescent="0.3">
      <c r="A130" s="86" t="s">
        <v>90</v>
      </c>
      <c r="B130" s="6"/>
      <c r="C130" s="8">
        <v>3062581000</v>
      </c>
      <c r="D130" s="86" t="s">
        <v>434</v>
      </c>
      <c r="E130" s="6" t="s">
        <v>11</v>
      </c>
      <c r="F130" s="6" t="s">
        <v>9</v>
      </c>
      <c r="G130" s="6" t="s">
        <v>127</v>
      </c>
      <c r="H130" s="24">
        <v>44748</v>
      </c>
      <c r="I130" s="24" t="s">
        <v>330</v>
      </c>
      <c r="J130" s="44">
        <v>561</v>
      </c>
      <c r="K130" s="54">
        <v>551</v>
      </c>
      <c r="L130" s="50">
        <v>679</v>
      </c>
      <c r="M130" s="50">
        <v>644</v>
      </c>
      <c r="N130" s="50">
        <v>584</v>
      </c>
      <c r="O130" s="50">
        <v>933</v>
      </c>
      <c r="P130" s="50">
        <v>810</v>
      </c>
      <c r="Q130" s="50">
        <v>709</v>
      </c>
      <c r="R130" s="50">
        <v>709</v>
      </c>
      <c r="S130" s="50">
        <v>644</v>
      </c>
      <c r="T130" s="50">
        <v>631</v>
      </c>
      <c r="U130" s="50">
        <v>690</v>
      </c>
      <c r="V130" s="84">
        <f t="shared" si="8"/>
        <v>678.75</v>
      </c>
      <c r="W130" s="84">
        <f t="shared" si="9"/>
        <v>678.75</v>
      </c>
      <c r="X130" s="50">
        <v>727</v>
      </c>
      <c r="Y130" s="50">
        <v>903</v>
      </c>
      <c r="Z130" s="50">
        <v>747</v>
      </c>
      <c r="AA130" s="50">
        <v>1004</v>
      </c>
      <c r="AB130" s="50">
        <v>1174</v>
      </c>
      <c r="AC130" s="50">
        <v>2366</v>
      </c>
      <c r="AD130" s="50">
        <v>2960</v>
      </c>
      <c r="AE130" s="50">
        <v>2612</v>
      </c>
      <c r="AF130" s="50">
        <v>2102</v>
      </c>
      <c r="AG130" s="50">
        <v>1580</v>
      </c>
      <c r="AH130" s="50">
        <v>1138</v>
      </c>
      <c r="AI130" s="50">
        <v>706</v>
      </c>
      <c r="AJ130" s="50">
        <f t="shared" si="6"/>
        <v>1501.5833333333333</v>
      </c>
      <c r="AK130" s="50">
        <f t="shared" si="7"/>
        <v>1501.5833333333333</v>
      </c>
    </row>
    <row r="131" spans="1:37" x14ac:dyDescent="0.3">
      <c r="A131" s="86" t="s">
        <v>90</v>
      </c>
      <c r="B131" s="6"/>
      <c r="C131" s="8">
        <v>3132066000</v>
      </c>
      <c r="D131" s="86" t="s">
        <v>335</v>
      </c>
      <c r="E131" s="6" t="s">
        <v>16</v>
      </c>
      <c r="F131" s="6" t="s">
        <v>9</v>
      </c>
      <c r="G131" s="6" t="s">
        <v>135</v>
      </c>
      <c r="H131" s="24">
        <v>44748</v>
      </c>
      <c r="I131" s="24" t="s">
        <v>330</v>
      </c>
      <c r="J131" s="44">
        <v>1206</v>
      </c>
      <c r="K131" s="65">
        <v>840</v>
      </c>
      <c r="L131" s="50">
        <v>742</v>
      </c>
      <c r="M131" s="50">
        <v>1166</v>
      </c>
      <c r="N131" s="50">
        <v>910</v>
      </c>
      <c r="O131" s="50">
        <v>874</v>
      </c>
      <c r="P131" s="50">
        <v>1136</v>
      </c>
      <c r="Q131" s="50">
        <v>1024</v>
      </c>
      <c r="R131" s="50">
        <v>1132</v>
      </c>
      <c r="S131" s="50">
        <v>1244</v>
      </c>
      <c r="T131" s="50">
        <v>1052</v>
      </c>
      <c r="U131" s="50">
        <v>614</v>
      </c>
      <c r="V131" s="84">
        <f t="shared" si="8"/>
        <v>995</v>
      </c>
      <c r="W131" s="84">
        <f t="shared" si="9"/>
        <v>995</v>
      </c>
      <c r="X131" s="50">
        <v>690</v>
      </c>
      <c r="Y131" s="50">
        <v>900</v>
      </c>
      <c r="Z131" s="50">
        <v>770</v>
      </c>
      <c r="AA131" s="50">
        <v>946</v>
      </c>
      <c r="AB131" s="50">
        <v>1904</v>
      </c>
      <c r="AC131" s="50">
        <v>2808</v>
      </c>
      <c r="AD131" s="50">
        <v>3458</v>
      </c>
      <c r="AE131" s="50">
        <v>2892</v>
      </c>
      <c r="AF131" s="50">
        <v>2810</v>
      </c>
      <c r="AG131" s="50">
        <v>1448</v>
      </c>
      <c r="AH131" s="50">
        <v>986</v>
      </c>
      <c r="AI131" s="50">
        <v>1156</v>
      </c>
      <c r="AJ131" s="50">
        <f t="shared" ref="AJ131:AJ194" si="10">AVERAGE(X131:AI131)</f>
        <v>1730.6666666666667</v>
      </c>
      <c r="AK131" s="50">
        <f t="shared" ref="AK131:AK194" si="11">AVERAGEIF(X131:AI131,"&lt;&gt;0")</f>
        <v>1730.6666666666667</v>
      </c>
    </row>
    <row r="132" spans="1:37" x14ac:dyDescent="0.3">
      <c r="A132" s="86" t="s">
        <v>90</v>
      </c>
      <c r="B132" s="6"/>
      <c r="C132" s="8">
        <v>3130982001</v>
      </c>
      <c r="D132" s="86" t="s">
        <v>346</v>
      </c>
      <c r="E132" s="6" t="s">
        <v>16</v>
      </c>
      <c r="F132" s="6" t="s">
        <v>9</v>
      </c>
      <c r="G132" s="6" t="s">
        <v>147</v>
      </c>
      <c r="H132" s="24">
        <v>44751</v>
      </c>
      <c r="I132" s="24" t="s">
        <v>330</v>
      </c>
      <c r="J132" s="44">
        <v>0</v>
      </c>
      <c r="K132" s="54">
        <v>0</v>
      </c>
      <c r="L132" s="50">
        <v>0</v>
      </c>
      <c r="M132" s="50">
        <v>0</v>
      </c>
      <c r="N132" s="50">
        <v>0</v>
      </c>
      <c r="O132" s="50">
        <v>0</v>
      </c>
      <c r="P132" s="50">
        <v>0</v>
      </c>
      <c r="Q132" s="50">
        <v>175</v>
      </c>
      <c r="R132" s="50">
        <v>300</v>
      </c>
      <c r="S132" s="50">
        <v>333</v>
      </c>
      <c r="T132" s="50">
        <v>582</v>
      </c>
      <c r="U132" s="50">
        <v>602</v>
      </c>
      <c r="V132" s="84">
        <f t="shared" si="8"/>
        <v>166</v>
      </c>
      <c r="W132" s="84">
        <f t="shared" si="9"/>
        <v>398.4</v>
      </c>
      <c r="X132" s="50">
        <v>591</v>
      </c>
      <c r="Y132" s="50">
        <v>551</v>
      </c>
      <c r="Z132" s="50">
        <v>523</v>
      </c>
      <c r="AA132" s="50">
        <v>635</v>
      </c>
      <c r="AB132" s="50">
        <v>1357</v>
      </c>
      <c r="AC132" s="50">
        <v>1723</v>
      </c>
      <c r="AD132" s="50">
        <v>2090</v>
      </c>
      <c r="AE132" s="50">
        <v>2077</v>
      </c>
      <c r="AF132" s="50">
        <v>1686</v>
      </c>
      <c r="AG132" s="50">
        <v>1160</v>
      </c>
      <c r="AH132" s="50">
        <v>583</v>
      </c>
      <c r="AI132" s="50">
        <v>498</v>
      </c>
      <c r="AJ132" s="50">
        <f t="shared" si="10"/>
        <v>1122.8333333333333</v>
      </c>
      <c r="AK132" s="50">
        <f t="shared" si="11"/>
        <v>1122.8333333333333</v>
      </c>
    </row>
    <row r="133" spans="1:37" x14ac:dyDescent="0.3">
      <c r="A133" s="86" t="s">
        <v>90</v>
      </c>
      <c r="B133" s="6"/>
      <c r="C133" s="8">
        <v>3052964000</v>
      </c>
      <c r="D133" s="86" t="s">
        <v>435</v>
      </c>
      <c r="E133" s="6" t="s">
        <v>11</v>
      </c>
      <c r="F133" s="6" t="s">
        <v>9</v>
      </c>
      <c r="G133" s="6" t="s">
        <v>12</v>
      </c>
      <c r="H133" s="24">
        <v>44753</v>
      </c>
      <c r="I133" s="24" t="s">
        <v>330</v>
      </c>
      <c r="J133" s="44">
        <v>0</v>
      </c>
      <c r="K133" s="65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84">
        <f t="shared" si="8"/>
        <v>0</v>
      </c>
      <c r="W133" s="84" t="e">
        <f t="shared" si="9"/>
        <v>#DIV/0!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f t="shared" si="10"/>
        <v>0</v>
      </c>
      <c r="AK133" s="50" t="e">
        <f t="shared" si="11"/>
        <v>#DIV/0!</v>
      </c>
    </row>
    <row r="134" spans="1:37" x14ac:dyDescent="0.3">
      <c r="A134" s="86" t="s">
        <v>90</v>
      </c>
      <c r="B134" s="6"/>
      <c r="C134" s="8">
        <v>3080117001</v>
      </c>
      <c r="D134" s="86" t="s">
        <v>421</v>
      </c>
      <c r="E134" s="6" t="s">
        <v>11</v>
      </c>
      <c r="F134" s="6" t="s">
        <v>9</v>
      </c>
      <c r="G134" s="6" t="s">
        <v>100</v>
      </c>
      <c r="H134" s="24">
        <v>44753</v>
      </c>
      <c r="I134" s="24" t="s">
        <v>330</v>
      </c>
      <c r="J134" s="44">
        <v>1298</v>
      </c>
      <c r="K134" s="47">
        <v>1352</v>
      </c>
      <c r="L134" s="50">
        <v>1240</v>
      </c>
      <c r="M134" s="50">
        <v>1294</v>
      </c>
      <c r="N134" s="50">
        <v>1372</v>
      </c>
      <c r="O134" s="50">
        <v>2050</v>
      </c>
      <c r="P134" s="50">
        <v>2346</v>
      </c>
      <c r="Q134" s="50">
        <v>1906</v>
      </c>
      <c r="R134" s="50">
        <v>1608</v>
      </c>
      <c r="S134" s="50">
        <v>1176</v>
      </c>
      <c r="T134" s="50">
        <v>1118</v>
      </c>
      <c r="U134" s="50">
        <v>1030</v>
      </c>
      <c r="V134" s="84">
        <f t="shared" si="8"/>
        <v>1482.5</v>
      </c>
      <c r="W134" s="84">
        <f t="shared" si="9"/>
        <v>1482.5</v>
      </c>
      <c r="X134" s="50">
        <v>1102</v>
      </c>
      <c r="Y134" s="50">
        <v>1248</v>
      </c>
      <c r="Z134" s="50">
        <v>1492</v>
      </c>
      <c r="AA134" s="50">
        <v>1506</v>
      </c>
      <c r="AB134" s="50">
        <v>1652</v>
      </c>
      <c r="AC134" s="50">
        <v>3500</v>
      </c>
      <c r="AD134" s="50">
        <v>4744</v>
      </c>
      <c r="AE134" s="50">
        <v>3492</v>
      </c>
      <c r="AF134" s="50">
        <v>3010</v>
      </c>
      <c r="AG134" s="50">
        <v>1808</v>
      </c>
      <c r="AH134" s="50">
        <v>1264</v>
      </c>
      <c r="AI134" s="50">
        <v>974</v>
      </c>
      <c r="AJ134" s="50">
        <f t="shared" si="10"/>
        <v>2149.3333333333335</v>
      </c>
      <c r="AK134" s="50">
        <f t="shared" si="11"/>
        <v>2149.3333333333335</v>
      </c>
    </row>
    <row r="135" spans="1:37" x14ac:dyDescent="0.3">
      <c r="A135" s="86" t="s">
        <v>13</v>
      </c>
      <c r="B135" s="6"/>
      <c r="C135" s="4">
        <v>3140612001</v>
      </c>
      <c r="D135" s="86" t="s">
        <v>369</v>
      </c>
      <c r="E135" s="6" t="s">
        <v>8</v>
      </c>
      <c r="F135" s="6" t="s">
        <v>9</v>
      </c>
      <c r="G135" s="6" t="s">
        <v>101</v>
      </c>
      <c r="H135" s="24">
        <v>44754</v>
      </c>
      <c r="I135" s="24" t="s">
        <v>330</v>
      </c>
      <c r="J135" s="44">
        <v>49</v>
      </c>
      <c r="K135" s="55">
        <v>28</v>
      </c>
      <c r="L135" s="50">
        <v>76</v>
      </c>
      <c r="M135" s="50">
        <v>36</v>
      </c>
      <c r="N135" s="50">
        <v>67</v>
      </c>
      <c r="O135" s="50">
        <v>272</v>
      </c>
      <c r="P135" s="50">
        <v>689</v>
      </c>
      <c r="Q135" s="50">
        <v>624</v>
      </c>
      <c r="R135" s="50">
        <v>481</v>
      </c>
      <c r="S135" s="50">
        <v>495</v>
      </c>
      <c r="T135" s="50">
        <v>379</v>
      </c>
      <c r="U135" s="50">
        <v>368</v>
      </c>
      <c r="V135" s="84">
        <f t="shared" si="8"/>
        <v>297</v>
      </c>
      <c r="W135" s="84">
        <f t="shared" si="9"/>
        <v>297</v>
      </c>
      <c r="X135" s="50">
        <v>565</v>
      </c>
      <c r="Y135" s="50">
        <v>849</v>
      </c>
      <c r="Z135" s="50">
        <v>810</v>
      </c>
      <c r="AA135" s="50">
        <v>954</v>
      </c>
      <c r="AB135" s="50">
        <v>1158</v>
      </c>
      <c r="AC135" s="50">
        <v>2364</v>
      </c>
      <c r="AD135" s="50">
        <v>2536</v>
      </c>
      <c r="AE135" s="50">
        <v>1294</v>
      </c>
      <c r="AF135" s="50">
        <v>1166</v>
      </c>
      <c r="AG135" s="50">
        <v>780</v>
      </c>
      <c r="AH135" s="50">
        <v>592</v>
      </c>
      <c r="AI135" s="50">
        <v>694</v>
      </c>
      <c r="AJ135" s="50">
        <f t="shared" si="10"/>
        <v>1146.8333333333333</v>
      </c>
      <c r="AK135" s="50">
        <f t="shared" si="11"/>
        <v>1146.8333333333333</v>
      </c>
    </row>
    <row r="136" spans="1:37" x14ac:dyDescent="0.3">
      <c r="A136" s="86" t="s">
        <v>113</v>
      </c>
      <c r="B136" s="6"/>
      <c r="C136" s="8">
        <v>3111433001</v>
      </c>
      <c r="D136" s="86" t="s">
        <v>338</v>
      </c>
      <c r="E136" s="6" t="s">
        <v>16</v>
      </c>
      <c r="F136" s="6" t="s">
        <v>9</v>
      </c>
      <c r="G136" s="6" t="s">
        <v>84</v>
      </c>
      <c r="H136" s="24">
        <v>44756</v>
      </c>
      <c r="I136" s="24" t="s">
        <v>330</v>
      </c>
      <c r="J136" s="44">
        <v>0</v>
      </c>
      <c r="K136" s="54">
        <v>0</v>
      </c>
      <c r="L136" s="50">
        <v>0</v>
      </c>
      <c r="M136" s="50">
        <v>0</v>
      </c>
      <c r="N136" s="50">
        <v>0</v>
      </c>
      <c r="O136" s="50">
        <v>0</v>
      </c>
      <c r="P136" s="50">
        <v>120</v>
      </c>
      <c r="Q136" s="50">
        <v>1042</v>
      </c>
      <c r="R136" s="50">
        <v>792</v>
      </c>
      <c r="S136" s="50">
        <v>546</v>
      </c>
      <c r="T136" s="50">
        <v>690</v>
      </c>
      <c r="U136" s="50">
        <v>710</v>
      </c>
      <c r="V136" s="84">
        <f t="shared" si="8"/>
        <v>325</v>
      </c>
      <c r="W136" s="84">
        <f t="shared" si="9"/>
        <v>650</v>
      </c>
      <c r="X136" s="50">
        <v>2820</v>
      </c>
      <c r="Y136" s="50">
        <v>3396</v>
      </c>
      <c r="Z136" s="50">
        <v>2202</v>
      </c>
      <c r="AA136" s="50">
        <v>1124</v>
      </c>
      <c r="AB136" s="50">
        <v>1448</v>
      </c>
      <c r="AC136" s="50">
        <v>2642</v>
      </c>
      <c r="AD136" s="50">
        <v>2998</v>
      </c>
      <c r="AE136" s="50">
        <v>2386</v>
      </c>
      <c r="AF136" s="50">
        <v>1366</v>
      </c>
      <c r="AG136" s="50">
        <v>1332</v>
      </c>
      <c r="AH136" s="50">
        <v>1116</v>
      </c>
      <c r="AI136" s="50">
        <v>2516</v>
      </c>
      <c r="AJ136" s="50">
        <f t="shared" si="10"/>
        <v>2112.1666666666665</v>
      </c>
      <c r="AK136" s="50">
        <f t="shared" si="11"/>
        <v>2112.1666666666665</v>
      </c>
    </row>
    <row r="137" spans="1:37" x14ac:dyDescent="0.3">
      <c r="A137" s="86" t="s">
        <v>13</v>
      </c>
      <c r="B137" s="6"/>
      <c r="C137" s="8">
        <v>3080988001</v>
      </c>
      <c r="D137" s="86" t="s">
        <v>436</v>
      </c>
      <c r="E137" s="6" t="s">
        <v>14</v>
      </c>
      <c r="F137" s="6" t="s">
        <v>9</v>
      </c>
      <c r="G137" s="6" t="s">
        <v>245</v>
      </c>
      <c r="H137" s="24">
        <v>44764</v>
      </c>
      <c r="I137" s="24" t="s">
        <v>330</v>
      </c>
      <c r="J137" s="44">
        <v>0</v>
      </c>
      <c r="K137" s="53">
        <v>0</v>
      </c>
      <c r="L137" s="50">
        <v>0</v>
      </c>
      <c r="M137" s="50">
        <v>0</v>
      </c>
      <c r="N137" s="50">
        <v>0</v>
      </c>
      <c r="O137" s="50">
        <v>0</v>
      </c>
      <c r="P137" s="50">
        <v>1033</v>
      </c>
      <c r="Q137" s="50">
        <v>1058</v>
      </c>
      <c r="R137" s="50">
        <v>297</v>
      </c>
      <c r="S137" s="50">
        <v>207</v>
      </c>
      <c r="T137" s="50">
        <v>231</v>
      </c>
      <c r="U137" s="50">
        <v>464</v>
      </c>
      <c r="V137" s="84">
        <f t="shared" si="8"/>
        <v>274.16666666666669</v>
      </c>
      <c r="W137" s="84">
        <f t="shared" si="9"/>
        <v>548.33333333333337</v>
      </c>
      <c r="X137" s="50">
        <v>609</v>
      </c>
      <c r="Y137" s="50">
        <v>891</v>
      </c>
      <c r="Z137" s="50">
        <v>361</v>
      </c>
      <c r="AA137" s="50">
        <v>397</v>
      </c>
      <c r="AB137" s="50">
        <v>470</v>
      </c>
      <c r="AC137" s="50">
        <v>1087</v>
      </c>
      <c r="AD137" s="50">
        <v>1450</v>
      </c>
      <c r="AE137" s="50">
        <v>1419</v>
      </c>
      <c r="AF137" s="50">
        <v>1354</v>
      </c>
      <c r="AG137" s="50">
        <v>885</v>
      </c>
      <c r="AH137" s="50">
        <v>551</v>
      </c>
      <c r="AI137" s="50">
        <v>530</v>
      </c>
      <c r="AJ137" s="50">
        <f t="shared" si="10"/>
        <v>833.66666666666663</v>
      </c>
      <c r="AK137" s="50">
        <f t="shared" si="11"/>
        <v>833.66666666666663</v>
      </c>
    </row>
    <row r="138" spans="1:37" x14ac:dyDescent="0.3">
      <c r="A138" s="86" t="s">
        <v>146</v>
      </c>
      <c r="B138" s="6"/>
      <c r="C138" s="8">
        <v>3130129000</v>
      </c>
      <c r="D138" s="86" t="s">
        <v>437</v>
      </c>
      <c r="E138" s="6" t="s">
        <v>16</v>
      </c>
      <c r="F138" s="6" t="s">
        <v>9</v>
      </c>
      <c r="G138" s="6" t="s">
        <v>112</v>
      </c>
      <c r="H138" s="24">
        <v>44767</v>
      </c>
      <c r="I138" s="24" t="s">
        <v>330</v>
      </c>
      <c r="J138" s="44">
        <v>251</v>
      </c>
      <c r="K138" s="54">
        <v>186</v>
      </c>
      <c r="L138" s="50">
        <v>231</v>
      </c>
      <c r="M138" s="50">
        <v>43</v>
      </c>
      <c r="N138" s="50">
        <v>7</v>
      </c>
      <c r="O138" s="50">
        <v>22</v>
      </c>
      <c r="P138" s="50">
        <v>25</v>
      </c>
      <c r="Q138" s="50">
        <v>16</v>
      </c>
      <c r="R138" s="50">
        <v>0</v>
      </c>
      <c r="S138" s="50">
        <v>17</v>
      </c>
      <c r="T138" s="50">
        <v>18</v>
      </c>
      <c r="U138" s="50">
        <v>52</v>
      </c>
      <c r="V138" s="84">
        <f t="shared" si="8"/>
        <v>72.333333333333329</v>
      </c>
      <c r="W138" s="84">
        <f t="shared" si="9"/>
        <v>78.909090909090907</v>
      </c>
      <c r="X138" s="50">
        <v>425</v>
      </c>
      <c r="Y138" s="50">
        <v>200</v>
      </c>
      <c r="Z138" s="50">
        <v>173</v>
      </c>
      <c r="AA138" s="50">
        <v>44</v>
      </c>
      <c r="AB138" s="50">
        <v>-14</v>
      </c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f t="shared" si="10"/>
        <v>69</v>
      </c>
      <c r="AK138" s="50">
        <f t="shared" si="11"/>
        <v>165.6</v>
      </c>
    </row>
    <row r="139" spans="1:37" x14ac:dyDescent="0.3">
      <c r="A139" s="86" t="s">
        <v>13</v>
      </c>
      <c r="B139" s="6"/>
      <c r="C139" s="8">
        <v>3110299002</v>
      </c>
      <c r="D139" s="86" t="s">
        <v>438</v>
      </c>
      <c r="E139" s="6" t="s">
        <v>16</v>
      </c>
      <c r="F139" s="6" t="s">
        <v>9</v>
      </c>
      <c r="G139" s="6" t="s">
        <v>141</v>
      </c>
      <c r="H139" s="24">
        <v>44769</v>
      </c>
      <c r="I139" s="24" t="s">
        <v>330</v>
      </c>
      <c r="J139" s="44">
        <v>0</v>
      </c>
      <c r="K139" s="52">
        <v>0</v>
      </c>
      <c r="L139" s="50">
        <v>0</v>
      </c>
      <c r="M139" s="50">
        <v>0</v>
      </c>
      <c r="N139" s="50">
        <v>0</v>
      </c>
      <c r="O139" s="50">
        <v>1046</v>
      </c>
      <c r="P139" s="50">
        <v>1356</v>
      </c>
      <c r="Q139" s="50">
        <v>990</v>
      </c>
      <c r="R139" s="50">
        <v>820</v>
      </c>
      <c r="S139" s="50">
        <v>776</v>
      </c>
      <c r="T139" s="50">
        <v>756</v>
      </c>
      <c r="U139" s="50">
        <v>930</v>
      </c>
      <c r="V139" s="84">
        <f t="shared" si="8"/>
        <v>556.16666666666663</v>
      </c>
      <c r="W139" s="84">
        <f t="shared" si="9"/>
        <v>953.42857142857144</v>
      </c>
      <c r="X139" s="50">
        <v>908</v>
      </c>
      <c r="Y139" s="50">
        <v>1732</v>
      </c>
      <c r="Z139" s="50">
        <v>1374</v>
      </c>
      <c r="AA139" s="50">
        <v>1068</v>
      </c>
      <c r="AB139" s="50">
        <v>2084</v>
      </c>
      <c r="AC139" s="50">
        <v>2060</v>
      </c>
      <c r="AD139" s="50">
        <v>1162</v>
      </c>
      <c r="AE139" s="50">
        <v>1044</v>
      </c>
      <c r="AF139" s="50">
        <v>894</v>
      </c>
      <c r="AG139" s="50">
        <v>772</v>
      </c>
      <c r="AH139" s="50">
        <v>1324</v>
      </c>
      <c r="AI139" s="50">
        <v>1260</v>
      </c>
      <c r="AJ139" s="50">
        <f t="shared" si="10"/>
        <v>1306.8333333333333</v>
      </c>
      <c r="AK139" s="50">
        <f t="shared" si="11"/>
        <v>1306.8333333333333</v>
      </c>
    </row>
    <row r="140" spans="1:37" x14ac:dyDescent="0.3">
      <c r="A140" s="86" t="s">
        <v>90</v>
      </c>
      <c r="B140" s="6"/>
      <c r="C140" s="8">
        <v>3132074002</v>
      </c>
      <c r="D140" s="86" t="s">
        <v>335</v>
      </c>
      <c r="E140" s="6" t="s">
        <v>16</v>
      </c>
      <c r="F140" s="6" t="s">
        <v>9</v>
      </c>
      <c r="G140" s="6" t="s">
        <v>123</v>
      </c>
      <c r="H140" s="24">
        <v>44769</v>
      </c>
      <c r="I140" s="24" t="s">
        <v>330</v>
      </c>
      <c r="J140" s="44">
        <v>763</v>
      </c>
      <c r="K140" s="54">
        <v>676</v>
      </c>
      <c r="L140" s="50">
        <v>666</v>
      </c>
      <c r="M140" s="50">
        <v>519</v>
      </c>
      <c r="N140" s="50">
        <v>491</v>
      </c>
      <c r="O140" s="50">
        <v>523</v>
      </c>
      <c r="P140" s="50">
        <v>610</v>
      </c>
      <c r="Q140" s="50">
        <v>508</v>
      </c>
      <c r="R140" s="50">
        <v>476</v>
      </c>
      <c r="S140" s="50">
        <v>388</v>
      </c>
      <c r="T140" s="50">
        <v>497</v>
      </c>
      <c r="U140" s="50">
        <v>454</v>
      </c>
      <c r="V140" s="84">
        <f t="shared" si="8"/>
        <v>547.58333333333337</v>
      </c>
      <c r="W140" s="84">
        <f t="shared" si="9"/>
        <v>547.58333333333337</v>
      </c>
      <c r="X140" s="50">
        <v>629</v>
      </c>
      <c r="Y140" s="50">
        <v>589</v>
      </c>
      <c r="Z140" s="50">
        <v>485</v>
      </c>
      <c r="AA140" s="50">
        <v>544</v>
      </c>
      <c r="AB140" s="50">
        <v>649</v>
      </c>
      <c r="AC140" s="50">
        <v>1171</v>
      </c>
      <c r="AD140" s="50">
        <v>1685</v>
      </c>
      <c r="AE140" s="50">
        <v>1396</v>
      </c>
      <c r="AF140" s="50">
        <v>804</v>
      </c>
      <c r="AG140" s="50">
        <v>454</v>
      </c>
      <c r="AH140" s="50">
        <v>409</v>
      </c>
      <c r="AI140" s="50">
        <v>402</v>
      </c>
      <c r="AJ140" s="50">
        <f t="shared" si="10"/>
        <v>768.08333333333337</v>
      </c>
      <c r="AK140" s="50">
        <f t="shared" si="11"/>
        <v>768.08333333333337</v>
      </c>
    </row>
    <row r="141" spans="1:37" x14ac:dyDescent="0.3">
      <c r="A141" s="86" t="s">
        <v>90</v>
      </c>
      <c r="B141" s="6"/>
      <c r="C141" s="8">
        <v>3120841002</v>
      </c>
      <c r="D141" s="86" t="s">
        <v>439</v>
      </c>
      <c r="E141" s="6" t="s">
        <v>16</v>
      </c>
      <c r="F141" s="6" t="s">
        <v>9</v>
      </c>
      <c r="G141" s="6" t="s">
        <v>126</v>
      </c>
      <c r="H141" s="24">
        <v>44771</v>
      </c>
      <c r="I141" s="24" t="s">
        <v>330</v>
      </c>
      <c r="J141" s="44">
        <v>824</v>
      </c>
      <c r="K141" s="65">
        <v>790</v>
      </c>
      <c r="L141" s="50">
        <v>749</v>
      </c>
      <c r="M141" s="50">
        <v>657</v>
      </c>
      <c r="N141" s="50">
        <v>620</v>
      </c>
      <c r="O141" s="50">
        <v>608</v>
      </c>
      <c r="P141" s="50">
        <v>576</v>
      </c>
      <c r="Q141" s="50">
        <v>622</v>
      </c>
      <c r="R141" s="50">
        <v>782</v>
      </c>
      <c r="S141" s="50">
        <v>785</v>
      </c>
      <c r="T141" s="50">
        <v>792</v>
      </c>
      <c r="U141" s="50">
        <v>778</v>
      </c>
      <c r="V141" s="84">
        <f t="shared" si="8"/>
        <v>715.25</v>
      </c>
      <c r="W141" s="84">
        <f t="shared" si="9"/>
        <v>715.25</v>
      </c>
      <c r="X141" s="50">
        <v>812</v>
      </c>
      <c r="Y141" s="50">
        <v>1018</v>
      </c>
      <c r="Z141" s="50">
        <v>887</v>
      </c>
      <c r="AA141" s="50">
        <v>880</v>
      </c>
      <c r="AB141" s="50">
        <v>1025</v>
      </c>
      <c r="AC141" s="50">
        <v>1181</v>
      </c>
      <c r="AD141" s="50">
        <v>1465</v>
      </c>
      <c r="AE141" s="50">
        <v>1502</v>
      </c>
      <c r="AF141" s="50">
        <v>1308</v>
      </c>
      <c r="AG141" s="50">
        <v>930</v>
      </c>
      <c r="AH141" s="50">
        <v>1034</v>
      </c>
      <c r="AI141" s="50">
        <v>959</v>
      </c>
      <c r="AJ141" s="50">
        <f t="shared" si="10"/>
        <v>1083.4166666666667</v>
      </c>
      <c r="AK141" s="50">
        <f t="shared" si="11"/>
        <v>1083.4166666666667</v>
      </c>
    </row>
    <row r="142" spans="1:37" x14ac:dyDescent="0.3">
      <c r="A142" s="86" t="s">
        <v>13</v>
      </c>
      <c r="B142" s="6"/>
      <c r="C142" s="8">
        <v>3100221002</v>
      </c>
      <c r="D142" s="86" t="s">
        <v>440</v>
      </c>
      <c r="E142" s="6" t="s">
        <v>11</v>
      </c>
      <c r="F142" s="6" t="s">
        <v>9</v>
      </c>
      <c r="G142" s="6" t="s">
        <v>154</v>
      </c>
      <c r="H142" s="24">
        <v>44774</v>
      </c>
      <c r="I142" s="24" t="s">
        <v>330</v>
      </c>
      <c r="J142" s="44">
        <v>672</v>
      </c>
      <c r="K142" s="55">
        <v>690</v>
      </c>
      <c r="L142" s="50">
        <v>511</v>
      </c>
      <c r="M142" s="50">
        <v>359</v>
      </c>
      <c r="N142" s="50">
        <v>546</v>
      </c>
      <c r="O142" s="50">
        <v>594</v>
      </c>
      <c r="P142" s="50">
        <v>532</v>
      </c>
      <c r="Q142" s="50">
        <v>582</v>
      </c>
      <c r="R142" s="50">
        <v>461</v>
      </c>
      <c r="S142" s="50">
        <v>452</v>
      </c>
      <c r="T142" s="50">
        <v>457</v>
      </c>
      <c r="U142" s="50">
        <v>363</v>
      </c>
      <c r="V142" s="84">
        <f t="shared" si="8"/>
        <v>518.25</v>
      </c>
      <c r="W142" s="84">
        <f t="shared" si="9"/>
        <v>518.25</v>
      </c>
      <c r="X142" s="50">
        <v>433</v>
      </c>
      <c r="Y142" s="50">
        <v>471</v>
      </c>
      <c r="Z142" s="50">
        <v>442</v>
      </c>
      <c r="AA142" s="50">
        <v>418</v>
      </c>
      <c r="AB142" s="50">
        <v>480</v>
      </c>
      <c r="AC142" s="50">
        <v>785</v>
      </c>
      <c r="AD142" s="50">
        <v>551</v>
      </c>
      <c r="AE142" s="50">
        <v>581</v>
      </c>
      <c r="AF142" s="50">
        <v>538</v>
      </c>
      <c r="AG142" s="50">
        <v>569</v>
      </c>
      <c r="AH142" s="50">
        <v>547</v>
      </c>
      <c r="AI142" s="50">
        <v>539</v>
      </c>
      <c r="AJ142" s="50">
        <f t="shared" si="10"/>
        <v>529.5</v>
      </c>
      <c r="AK142" s="50">
        <f t="shared" si="11"/>
        <v>529.5</v>
      </c>
    </row>
    <row r="143" spans="1:37" x14ac:dyDescent="0.3">
      <c r="A143" s="86" t="s">
        <v>13</v>
      </c>
      <c r="B143" s="6"/>
      <c r="C143" s="8">
        <v>3041327000</v>
      </c>
      <c r="D143" s="86" t="s">
        <v>441</v>
      </c>
      <c r="E143" s="6" t="s">
        <v>11</v>
      </c>
      <c r="F143" s="6" t="s">
        <v>9</v>
      </c>
      <c r="G143" s="6" t="s">
        <v>12</v>
      </c>
      <c r="H143" s="24">
        <v>44775</v>
      </c>
      <c r="I143" s="24" t="s">
        <v>330</v>
      </c>
      <c r="J143" s="44">
        <v>930</v>
      </c>
      <c r="K143" s="72">
        <v>1132</v>
      </c>
      <c r="L143" s="50">
        <v>704</v>
      </c>
      <c r="M143" s="50">
        <v>639</v>
      </c>
      <c r="N143" s="50">
        <v>661</v>
      </c>
      <c r="O143" s="50">
        <v>636</v>
      </c>
      <c r="P143" s="50">
        <v>610</v>
      </c>
      <c r="Q143" s="50">
        <v>526</v>
      </c>
      <c r="R143" s="50">
        <v>553</v>
      </c>
      <c r="S143" s="50">
        <v>460</v>
      </c>
      <c r="T143" s="50">
        <v>614</v>
      </c>
      <c r="U143" s="50">
        <v>858</v>
      </c>
      <c r="V143" s="84">
        <f t="shared" si="8"/>
        <v>693.58333333333337</v>
      </c>
      <c r="W143" s="84">
        <f t="shared" si="9"/>
        <v>693.58333333333337</v>
      </c>
      <c r="X143" s="50">
        <v>1387</v>
      </c>
      <c r="Y143" s="50">
        <v>771</v>
      </c>
      <c r="Z143" s="50">
        <v>551</v>
      </c>
      <c r="AA143" s="50">
        <v>624</v>
      </c>
      <c r="AB143" s="50">
        <v>1063</v>
      </c>
      <c r="AC143" s="50">
        <v>1218</v>
      </c>
      <c r="AD143" s="50">
        <v>1037</v>
      </c>
      <c r="AE143" s="50">
        <v>1013</v>
      </c>
      <c r="AF143" s="50">
        <v>785</v>
      </c>
      <c r="AG143" s="50">
        <v>547</v>
      </c>
      <c r="AH143" s="50">
        <v>588</v>
      </c>
      <c r="AI143" s="50">
        <v>805</v>
      </c>
      <c r="AJ143" s="50">
        <f t="shared" si="10"/>
        <v>865.75</v>
      </c>
      <c r="AK143" s="50">
        <f t="shared" si="11"/>
        <v>865.75</v>
      </c>
    </row>
    <row r="144" spans="1:37" x14ac:dyDescent="0.3">
      <c r="A144" s="86" t="s">
        <v>13</v>
      </c>
      <c r="B144" s="6"/>
      <c r="C144" s="8">
        <v>3060575000</v>
      </c>
      <c r="D144" s="86" t="s">
        <v>442</v>
      </c>
      <c r="E144" s="6" t="s">
        <v>11</v>
      </c>
      <c r="F144" s="6" t="s">
        <v>9</v>
      </c>
      <c r="G144" s="6" t="s">
        <v>149</v>
      </c>
      <c r="H144" s="24">
        <v>44776</v>
      </c>
      <c r="I144" s="24" t="s">
        <v>330</v>
      </c>
      <c r="J144" s="44">
        <v>889</v>
      </c>
      <c r="K144" s="55">
        <v>1229</v>
      </c>
      <c r="L144" s="50">
        <v>656</v>
      </c>
      <c r="M144" s="50">
        <v>480</v>
      </c>
      <c r="N144" s="50">
        <v>600</v>
      </c>
      <c r="O144" s="50">
        <v>634</v>
      </c>
      <c r="P144" s="50">
        <v>417</v>
      </c>
      <c r="Q144" s="50">
        <v>484</v>
      </c>
      <c r="R144" s="50">
        <v>326</v>
      </c>
      <c r="S144" s="50">
        <v>331</v>
      </c>
      <c r="T144" s="50">
        <v>563</v>
      </c>
      <c r="U144" s="50">
        <v>665</v>
      </c>
      <c r="V144" s="84">
        <f t="shared" si="8"/>
        <v>606.16666666666663</v>
      </c>
      <c r="W144" s="84">
        <f t="shared" si="9"/>
        <v>606.16666666666663</v>
      </c>
      <c r="X144" s="50">
        <v>763</v>
      </c>
      <c r="Y144" s="50">
        <v>548</v>
      </c>
      <c r="Z144" s="50">
        <v>398</v>
      </c>
      <c r="AA144" s="50">
        <v>345</v>
      </c>
      <c r="AB144" s="50">
        <v>417</v>
      </c>
      <c r="AC144" s="50">
        <v>518</v>
      </c>
      <c r="AD144" s="50">
        <v>428</v>
      </c>
      <c r="AE144" s="50">
        <v>371</v>
      </c>
      <c r="AF144" s="50">
        <v>480</v>
      </c>
      <c r="AG144" s="50">
        <v>539</v>
      </c>
      <c r="AH144" s="50">
        <v>505</v>
      </c>
      <c r="AI144" s="50">
        <v>858</v>
      </c>
      <c r="AJ144" s="50">
        <f t="shared" si="10"/>
        <v>514.16666666666663</v>
      </c>
      <c r="AK144" s="50">
        <f t="shared" si="11"/>
        <v>514.16666666666663</v>
      </c>
    </row>
    <row r="145" spans="1:37" x14ac:dyDescent="0.3">
      <c r="A145" s="86" t="s">
        <v>13</v>
      </c>
      <c r="B145" s="6"/>
      <c r="C145" s="8">
        <v>3060511001</v>
      </c>
      <c r="D145" s="86" t="s">
        <v>405</v>
      </c>
      <c r="E145" s="6" t="s">
        <v>11</v>
      </c>
      <c r="F145" s="6" t="s">
        <v>9</v>
      </c>
      <c r="G145" s="6" t="s">
        <v>129</v>
      </c>
      <c r="H145" s="24">
        <v>44777</v>
      </c>
      <c r="I145" s="24" t="s">
        <v>330</v>
      </c>
      <c r="J145" s="44">
        <v>768</v>
      </c>
      <c r="K145" s="55">
        <v>903</v>
      </c>
      <c r="L145" s="50">
        <v>525</v>
      </c>
      <c r="M145" s="50">
        <v>467</v>
      </c>
      <c r="N145" s="50">
        <v>273</v>
      </c>
      <c r="O145" s="50">
        <v>149</v>
      </c>
      <c r="P145" s="50">
        <v>148</v>
      </c>
      <c r="Q145" s="50">
        <v>278</v>
      </c>
      <c r="R145" s="50">
        <v>524</v>
      </c>
      <c r="S145" s="50">
        <v>434</v>
      </c>
      <c r="T145" s="50">
        <v>500</v>
      </c>
      <c r="U145" s="50">
        <v>505</v>
      </c>
      <c r="V145" s="84">
        <f t="shared" si="8"/>
        <v>456.16666666666669</v>
      </c>
      <c r="W145" s="84">
        <f t="shared" si="9"/>
        <v>456.16666666666669</v>
      </c>
      <c r="X145" s="50">
        <v>708</v>
      </c>
      <c r="Y145" s="50">
        <v>592</v>
      </c>
      <c r="Z145" s="50">
        <v>780</v>
      </c>
      <c r="AA145" s="50">
        <v>873</v>
      </c>
      <c r="AB145" s="50">
        <v>1080</v>
      </c>
      <c r="AC145" s="50">
        <v>947</v>
      </c>
      <c r="AD145" s="50">
        <v>282</v>
      </c>
      <c r="AE145" s="50">
        <v>225</v>
      </c>
      <c r="AF145" s="50">
        <v>364</v>
      </c>
      <c r="AG145" s="50">
        <v>514</v>
      </c>
      <c r="AH145" s="50">
        <v>428</v>
      </c>
      <c r="AI145" s="50">
        <v>540</v>
      </c>
      <c r="AJ145" s="50">
        <f t="shared" si="10"/>
        <v>611.08333333333337</v>
      </c>
      <c r="AK145" s="50">
        <f t="shared" si="11"/>
        <v>611.08333333333337</v>
      </c>
    </row>
    <row r="146" spans="1:37" x14ac:dyDescent="0.3">
      <c r="A146" s="86" t="s">
        <v>90</v>
      </c>
      <c r="B146" s="6"/>
      <c r="C146" s="8">
        <v>3130539000</v>
      </c>
      <c r="D146" s="86" t="s">
        <v>342</v>
      </c>
      <c r="E146" s="6" t="s">
        <v>16</v>
      </c>
      <c r="F146" s="6" t="s">
        <v>9</v>
      </c>
      <c r="G146" s="6" t="s">
        <v>125</v>
      </c>
      <c r="H146" s="24">
        <v>44778</v>
      </c>
      <c r="I146" s="24" t="s">
        <v>330</v>
      </c>
      <c r="J146" s="44">
        <v>1595</v>
      </c>
      <c r="K146" s="65">
        <v>1116</v>
      </c>
      <c r="L146" s="50">
        <v>723</v>
      </c>
      <c r="M146" s="50">
        <v>762</v>
      </c>
      <c r="N146" s="50">
        <v>806</v>
      </c>
      <c r="O146" s="50">
        <v>935</v>
      </c>
      <c r="P146" s="50">
        <v>672</v>
      </c>
      <c r="Q146" s="50">
        <v>670</v>
      </c>
      <c r="R146" s="50">
        <v>630</v>
      </c>
      <c r="S146" s="50">
        <v>838</v>
      </c>
      <c r="T146" s="50">
        <v>1306</v>
      </c>
      <c r="U146" s="50">
        <v>1509</v>
      </c>
      <c r="V146" s="84">
        <f t="shared" si="8"/>
        <v>963.5</v>
      </c>
      <c r="W146" s="84">
        <f t="shared" si="9"/>
        <v>963.5</v>
      </c>
      <c r="X146" s="50">
        <v>1519</v>
      </c>
      <c r="Y146" s="50">
        <v>1248</v>
      </c>
      <c r="Z146" s="50">
        <v>853</v>
      </c>
      <c r="AA146" s="50">
        <v>916</v>
      </c>
      <c r="AB146" s="50">
        <v>1255</v>
      </c>
      <c r="AC146" s="50">
        <v>1697</v>
      </c>
      <c r="AD146" s="50">
        <v>1289</v>
      </c>
      <c r="AE146" s="50">
        <v>1106</v>
      </c>
      <c r="AF146" s="50">
        <v>960</v>
      </c>
      <c r="AG146" s="50">
        <v>835</v>
      </c>
      <c r="AH146" s="50">
        <v>1405</v>
      </c>
      <c r="AI146" s="50">
        <v>1702</v>
      </c>
      <c r="AJ146" s="50">
        <f t="shared" si="10"/>
        <v>1232.0833333333333</v>
      </c>
      <c r="AK146" s="50">
        <f t="shared" si="11"/>
        <v>1232.0833333333333</v>
      </c>
    </row>
    <row r="147" spans="1:37" x14ac:dyDescent="0.3">
      <c r="A147" s="86" t="s">
        <v>13</v>
      </c>
      <c r="B147" s="6"/>
      <c r="C147" s="8">
        <v>3080022000</v>
      </c>
      <c r="D147" s="86" t="s">
        <v>443</v>
      </c>
      <c r="E147" s="6" t="s">
        <v>11</v>
      </c>
      <c r="F147" s="6" t="s">
        <v>9</v>
      </c>
      <c r="G147" s="6" t="s">
        <v>142</v>
      </c>
      <c r="H147" s="24">
        <v>44781</v>
      </c>
      <c r="I147" s="24" t="s">
        <v>330</v>
      </c>
      <c r="J147" s="44">
        <v>1039</v>
      </c>
      <c r="K147" s="52">
        <v>924</v>
      </c>
      <c r="L147" s="50">
        <v>442</v>
      </c>
      <c r="M147" s="50">
        <v>418</v>
      </c>
      <c r="N147" s="50">
        <v>442</v>
      </c>
      <c r="O147" s="50">
        <v>430</v>
      </c>
      <c r="P147" s="50">
        <v>455</v>
      </c>
      <c r="Q147" s="50">
        <v>440</v>
      </c>
      <c r="R147" s="50">
        <v>383</v>
      </c>
      <c r="S147" s="50">
        <v>412</v>
      </c>
      <c r="T147" s="50">
        <v>474</v>
      </c>
      <c r="U147" s="50">
        <v>957</v>
      </c>
      <c r="V147" s="84">
        <f t="shared" si="8"/>
        <v>568</v>
      </c>
      <c r="W147" s="84">
        <f t="shared" si="9"/>
        <v>568</v>
      </c>
      <c r="X147" s="50">
        <v>1284</v>
      </c>
      <c r="Y147" s="50">
        <v>861</v>
      </c>
      <c r="Z147" s="50">
        <v>421</v>
      </c>
      <c r="AA147" s="50">
        <v>372</v>
      </c>
      <c r="AB147" s="50">
        <v>413</v>
      </c>
      <c r="AC147" s="50">
        <v>487</v>
      </c>
      <c r="AD147" s="50">
        <v>507</v>
      </c>
      <c r="AE147" s="50">
        <v>550</v>
      </c>
      <c r="AF147" s="50">
        <v>465</v>
      </c>
      <c r="AG147" s="50">
        <v>369</v>
      </c>
      <c r="AH147" s="50">
        <v>382</v>
      </c>
      <c r="AI147" s="50">
        <v>720</v>
      </c>
      <c r="AJ147" s="50">
        <f t="shared" si="10"/>
        <v>569.25</v>
      </c>
      <c r="AK147" s="50">
        <f t="shared" si="11"/>
        <v>569.25</v>
      </c>
    </row>
    <row r="148" spans="1:37" x14ac:dyDescent="0.3">
      <c r="A148" s="91" t="s">
        <v>13</v>
      </c>
      <c r="B148" s="12"/>
      <c r="C148" s="38">
        <v>3140579003</v>
      </c>
      <c r="D148" s="93" t="s">
        <v>444</v>
      </c>
      <c r="E148" s="12" t="s">
        <v>11</v>
      </c>
      <c r="F148" s="12" t="s">
        <v>9</v>
      </c>
      <c r="G148" s="12" t="s">
        <v>12</v>
      </c>
      <c r="H148" s="24">
        <v>44781</v>
      </c>
      <c r="I148" s="24" t="s">
        <v>330</v>
      </c>
      <c r="J148" s="46">
        <v>0</v>
      </c>
      <c r="K148" s="50">
        <v>0</v>
      </c>
      <c r="L148" s="50">
        <v>0</v>
      </c>
      <c r="M148" s="50">
        <v>0</v>
      </c>
      <c r="N148" s="50">
        <v>0</v>
      </c>
      <c r="O148" s="50">
        <v>0</v>
      </c>
      <c r="P148" s="50">
        <v>750</v>
      </c>
      <c r="Q148" s="50">
        <v>986</v>
      </c>
      <c r="R148" s="50">
        <v>642</v>
      </c>
      <c r="S148" s="50">
        <v>458</v>
      </c>
      <c r="T148" s="50">
        <v>492</v>
      </c>
      <c r="U148" s="50">
        <v>667</v>
      </c>
      <c r="V148" s="84">
        <f t="shared" si="8"/>
        <v>332.91666666666669</v>
      </c>
      <c r="W148" s="84">
        <f t="shared" si="9"/>
        <v>665.83333333333337</v>
      </c>
      <c r="X148" s="50">
        <v>755</v>
      </c>
      <c r="Y148" s="50">
        <v>930</v>
      </c>
      <c r="Z148" s="50">
        <v>1196</v>
      </c>
      <c r="AA148" s="50">
        <v>1601</v>
      </c>
      <c r="AB148" s="50">
        <v>3257</v>
      </c>
      <c r="AC148" s="50">
        <v>3917</v>
      </c>
      <c r="AD148" s="50">
        <v>3320</v>
      </c>
      <c r="AE148" s="50">
        <v>2919</v>
      </c>
      <c r="AF148" s="50">
        <v>1993</v>
      </c>
      <c r="AG148" s="50">
        <v>1264</v>
      </c>
      <c r="AH148" s="50">
        <v>1270</v>
      </c>
      <c r="AI148" s="50">
        <v>1556</v>
      </c>
      <c r="AJ148" s="50">
        <f t="shared" si="10"/>
        <v>1998.1666666666667</v>
      </c>
      <c r="AK148" s="50">
        <f t="shared" si="11"/>
        <v>1998.1666666666667</v>
      </c>
    </row>
    <row r="149" spans="1:37" x14ac:dyDescent="0.3">
      <c r="A149" s="92" t="s">
        <v>90</v>
      </c>
      <c r="B149" s="40"/>
      <c r="C149" s="41">
        <v>3130904000</v>
      </c>
      <c r="D149" s="92" t="s">
        <v>346</v>
      </c>
      <c r="E149" s="40" t="s">
        <v>16</v>
      </c>
      <c r="F149" s="40" t="s">
        <v>9</v>
      </c>
      <c r="G149" s="40" t="s">
        <v>166</v>
      </c>
      <c r="H149" s="24">
        <v>44782</v>
      </c>
      <c r="I149" s="24" t="s">
        <v>330</v>
      </c>
      <c r="J149" s="47">
        <v>1677</v>
      </c>
      <c r="K149" s="53">
        <v>1411</v>
      </c>
      <c r="L149" s="50">
        <v>1140</v>
      </c>
      <c r="M149" s="50">
        <v>1189</v>
      </c>
      <c r="N149" s="50">
        <v>994</v>
      </c>
      <c r="O149" s="50">
        <v>1084</v>
      </c>
      <c r="P149" s="50">
        <v>897</v>
      </c>
      <c r="Q149" s="50">
        <v>961</v>
      </c>
      <c r="R149" s="50">
        <v>927</v>
      </c>
      <c r="S149" s="50">
        <v>1251</v>
      </c>
      <c r="T149" s="50">
        <v>1318</v>
      </c>
      <c r="U149" s="50">
        <v>1656</v>
      </c>
      <c r="V149" s="84">
        <f t="shared" si="8"/>
        <v>1208.75</v>
      </c>
      <c r="W149" s="84">
        <f t="shared" si="9"/>
        <v>1208.75</v>
      </c>
      <c r="X149" s="50">
        <v>1735</v>
      </c>
      <c r="Y149" s="50">
        <v>1588</v>
      </c>
      <c r="Z149" s="50">
        <v>1187</v>
      </c>
      <c r="AA149" s="50">
        <v>1461</v>
      </c>
      <c r="AB149" s="50">
        <v>1734</v>
      </c>
      <c r="AC149" s="50">
        <v>2385</v>
      </c>
      <c r="AD149" s="50">
        <v>2145</v>
      </c>
      <c r="AE149" s="50">
        <v>1652</v>
      </c>
      <c r="AF149" s="50">
        <v>1332</v>
      </c>
      <c r="AG149" s="50">
        <v>1016</v>
      </c>
      <c r="AH149" s="50">
        <v>919</v>
      </c>
      <c r="AI149" s="50">
        <v>1386</v>
      </c>
      <c r="AJ149" s="50">
        <f t="shared" si="10"/>
        <v>1545</v>
      </c>
      <c r="AK149" s="50">
        <f t="shared" si="11"/>
        <v>1545</v>
      </c>
    </row>
    <row r="150" spans="1:37" x14ac:dyDescent="0.3">
      <c r="A150" s="86" t="s">
        <v>13</v>
      </c>
      <c r="B150" s="12"/>
      <c r="C150" s="38">
        <v>3140386000</v>
      </c>
      <c r="D150" s="93" t="s">
        <v>444</v>
      </c>
      <c r="E150" s="12" t="s">
        <v>8</v>
      </c>
      <c r="F150" s="12" t="s">
        <v>9</v>
      </c>
      <c r="G150" s="12" t="s">
        <v>130</v>
      </c>
      <c r="H150" s="24">
        <v>44785</v>
      </c>
      <c r="I150" s="24" t="s">
        <v>330</v>
      </c>
      <c r="J150" s="46">
        <v>632</v>
      </c>
      <c r="K150" s="55">
        <v>358</v>
      </c>
      <c r="L150" s="50">
        <v>481</v>
      </c>
      <c r="M150" s="50">
        <v>456</v>
      </c>
      <c r="N150" s="50">
        <v>726</v>
      </c>
      <c r="O150" s="50">
        <v>563</v>
      </c>
      <c r="P150" s="50">
        <v>381</v>
      </c>
      <c r="Q150" s="50">
        <v>390</v>
      </c>
      <c r="R150" s="50">
        <v>433</v>
      </c>
      <c r="S150" s="50">
        <v>537</v>
      </c>
      <c r="T150" s="50">
        <v>261</v>
      </c>
      <c r="U150" s="50">
        <v>536</v>
      </c>
      <c r="V150" s="84">
        <f t="shared" si="8"/>
        <v>479.5</v>
      </c>
      <c r="W150" s="84">
        <f t="shared" si="9"/>
        <v>479.5</v>
      </c>
      <c r="X150" s="50">
        <v>641</v>
      </c>
      <c r="Y150" s="50">
        <v>710</v>
      </c>
      <c r="Z150" s="50">
        <v>600</v>
      </c>
      <c r="AA150" s="50">
        <v>515</v>
      </c>
      <c r="AB150" s="50">
        <v>785</v>
      </c>
      <c r="AC150" s="50">
        <v>1110</v>
      </c>
      <c r="AD150" s="50">
        <v>848</v>
      </c>
      <c r="AE150" s="50">
        <v>811</v>
      </c>
      <c r="AF150" s="50">
        <v>500</v>
      </c>
      <c r="AG150" s="50">
        <v>452</v>
      </c>
      <c r="AH150" s="50">
        <v>357</v>
      </c>
      <c r="AI150" s="50">
        <v>613</v>
      </c>
      <c r="AJ150" s="50">
        <f t="shared" si="10"/>
        <v>661.83333333333337</v>
      </c>
      <c r="AK150" s="50">
        <f t="shared" si="11"/>
        <v>661.83333333333337</v>
      </c>
    </row>
    <row r="151" spans="1:37" x14ac:dyDescent="0.3">
      <c r="A151" s="93" t="s">
        <v>137</v>
      </c>
      <c r="B151" s="12"/>
      <c r="C151" s="38">
        <v>3081133000</v>
      </c>
      <c r="D151" s="93" t="s">
        <v>445</v>
      </c>
      <c r="E151" s="12" t="s">
        <v>16</v>
      </c>
      <c r="F151" s="12" t="s">
        <v>9</v>
      </c>
      <c r="G151" s="12" t="s">
        <v>195</v>
      </c>
      <c r="H151" s="24">
        <v>44786</v>
      </c>
      <c r="I151" s="24" t="s">
        <v>330</v>
      </c>
      <c r="J151" s="46">
        <v>459</v>
      </c>
      <c r="K151" s="53">
        <v>444</v>
      </c>
      <c r="L151" s="50">
        <v>360</v>
      </c>
      <c r="M151" s="50">
        <v>392</v>
      </c>
      <c r="N151" s="50">
        <v>466</v>
      </c>
      <c r="O151" s="50">
        <v>495</v>
      </c>
      <c r="P151" s="50">
        <v>583</v>
      </c>
      <c r="Q151" s="50">
        <v>548</v>
      </c>
      <c r="R151" s="50">
        <v>444</v>
      </c>
      <c r="S151" s="50">
        <v>454</v>
      </c>
      <c r="T151" s="50">
        <v>327</v>
      </c>
      <c r="U151" s="50">
        <v>350</v>
      </c>
      <c r="V151" s="84">
        <f t="shared" ref="V151:V214" si="12">AVERAGE(J151:U151)</f>
        <v>443.5</v>
      </c>
      <c r="W151" s="84">
        <f t="shared" ref="W151:W214" si="13">AVERAGEIF(J151:U151,"&lt;&gt;0")</f>
        <v>443.5</v>
      </c>
      <c r="X151" s="50">
        <v>345</v>
      </c>
      <c r="Y151" s="50">
        <v>402</v>
      </c>
      <c r="Z151" s="50">
        <v>375</v>
      </c>
      <c r="AA151" s="50">
        <v>389</v>
      </c>
      <c r="AB151" s="50">
        <v>419</v>
      </c>
      <c r="AC151" s="50">
        <v>437</v>
      </c>
      <c r="AD151" s="50">
        <v>360</v>
      </c>
      <c r="AE151" s="50">
        <v>355</v>
      </c>
      <c r="AF151" s="50">
        <v>368</v>
      </c>
      <c r="AG151" s="50">
        <v>327</v>
      </c>
      <c r="AH151" s="50">
        <v>314</v>
      </c>
      <c r="AI151" s="50">
        <v>386</v>
      </c>
      <c r="AJ151" s="50">
        <f t="shared" si="10"/>
        <v>373.08333333333331</v>
      </c>
      <c r="AK151" s="50">
        <f t="shared" si="11"/>
        <v>373.08333333333331</v>
      </c>
    </row>
    <row r="152" spans="1:37" x14ac:dyDescent="0.3">
      <c r="A152" s="93" t="s">
        <v>90</v>
      </c>
      <c r="B152" s="12"/>
      <c r="C152" s="38">
        <v>3150033000</v>
      </c>
      <c r="D152" s="93" t="s">
        <v>446</v>
      </c>
      <c r="E152" s="12" t="s">
        <v>11</v>
      </c>
      <c r="F152" s="12" t="s">
        <v>9</v>
      </c>
      <c r="G152" s="12" t="s">
        <v>124</v>
      </c>
      <c r="H152" s="24">
        <v>44788</v>
      </c>
      <c r="I152" s="24" t="s">
        <v>330</v>
      </c>
      <c r="J152" s="46">
        <v>988</v>
      </c>
      <c r="K152" s="65">
        <v>868</v>
      </c>
      <c r="L152" s="50">
        <v>766</v>
      </c>
      <c r="M152" s="50">
        <v>848</v>
      </c>
      <c r="N152" s="50">
        <v>966</v>
      </c>
      <c r="O152" s="50">
        <v>1206</v>
      </c>
      <c r="P152" s="50">
        <v>974</v>
      </c>
      <c r="Q152" s="50">
        <v>876</v>
      </c>
      <c r="R152" s="50">
        <v>706</v>
      </c>
      <c r="S152" s="50">
        <v>618</v>
      </c>
      <c r="T152" s="50">
        <v>652</v>
      </c>
      <c r="U152" s="50">
        <v>648</v>
      </c>
      <c r="V152" s="84">
        <f t="shared" si="12"/>
        <v>843</v>
      </c>
      <c r="W152" s="84">
        <f t="shared" si="13"/>
        <v>843</v>
      </c>
      <c r="X152" s="50">
        <v>642</v>
      </c>
      <c r="Y152" s="50">
        <v>922</v>
      </c>
      <c r="Z152" s="50">
        <v>1050</v>
      </c>
      <c r="AA152" s="50">
        <v>1300</v>
      </c>
      <c r="AB152" s="50">
        <v>3048</v>
      </c>
      <c r="AC152" s="50">
        <v>4190</v>
      </c>
      <c r="AD152" s="50">
        <v>3322</v>
      </c>
      <c r="AE152" s="50">
        <v>3326</v>
      </c>
      <c r="AF152" s="50">
        <v>1986</v>
      </c>
      <c r="AG152" s="50">
        <v>800</v>
      </c>
      <c r="AH152" s="50">
        <v>634</v>
      </c>
      <c r="AI152" s="50">
        <v>1242</v>
      </c>
      <c r="AJ152" s="50">
        <f t="shared" si="10"/>
        <v>1871.8333333333333</v>
      </c>
      <c r="AK152" s="50">
        <f t="shared" si="11"/>
        <v>1871.8333333333333</v>
      </c>
    </row>
    <row r="153" spans="1:37" x14ac:dyDescent="0.3">
      <c r="A153" s="93" t="s">
        <v>137</v>
      </c>
      <c r="B153" s="12"/>
      <c r="C153" s="38">
        <v>3140492000</v>
      </c>
      <c r="D153" s="93" t="s">
        <v>447</v>
      </c>
      <c r="E153" s="12" t="s">
        <v>8</v>
      </c>
      <c r="F153" s="12" t="s">
        <v>9</v>
      </c>
      <c r="G153" s="12" t="s">
        <v>138</v>
      </c>
      <c r="H153" s="24">
        <v>44789</v>
      </c>
      <c r="I153" s="24" t="s">
        <v>330</v>
      </c>
      <c r="J153" s="46">
        <v>828</v>
      </c>
      <c r="K153" s="55">
        <v>631</v>
      </c>
      <c r="L153" s="50">
        <v>499</v>
      </c>
      <c r="M153" s="50">
        <v>421</v>
      </c>
      <c r="N153" s="50">
        <v>502</v>
      </c>
      <c r="O153" s="50">
        <v>542</v>
      </c>
      <c r="P153" s="50">
        <v>318</v>
      </c>
      <c r="Q153" s="50">
        <v>347</v>
      </c>
      <c r="R153" s="50">
        <v>364</v>
      </c>
      <c r="S153" s="50">
        <v>406</v>
      </c>
      <c r="T153" s="50">
        <v>408</v>
      </c>
      <c r="U153" s="50">
        <v>873</v>
      </c>
      <c r="V153" s="84">
        <f t="shared" si="12"/>
        <v>511.58333333333331</v>
      </c>
      <c r="W153" s="84">
        <f t="shared" si="13"/>
        <v>511.58333333333331</v>
      </c>
      <c r="X153" s="50">
        <v>949</v>
      </c>
      <c r="Y153" s="50">
        <v>644</v>
      </c>
      <c r="Z153" s="50">
        <v>473</v>
      </c>
      <c r="AA153" s="50">
        <v>474</v>
      </c>
      <c r="AB153" s="50">
        <v>632</v>
      </c>
      <c r="AC153" s="50">
        <v>576</v>
      </c>
      <c r="AD153" s="50">
        <v>449</v>
      </c>
      <c r="AE153" s="50">
        <v>402</v>
      </c>
      <c r="AF153" s="50">
        <v>444</v>
      </c>
      <c r="AG153" s="50">
        <v>303</v>
      </c>
      <c r="AH153" s="50">
        <v>514</v>
      </c>
      <c r="AI153" s="50">
        <v>913</v>
      </c>
      <c r="AJ153" s="50">
        <f t="shared" si="10"/>
        <v>564.41666666666663</v>
      </c>
      <c r="AK153" s="50">
        <f t="shared" si="11"/>
        <v>564.41666666666663</v>
      </c>
    </row>
    <row r="154" spans="1:37" x14ac:dyDescent="0.3">
      <c r="A154" s="92" t="s">
        <v>52</v>
      </c>
      <c r="B154" s="40"/>
      <c r="C154" s="41">
        <v>3151075000</v>
      </c>
      <c r="D154" s="92" t="s">
        <v>448</v>
      </c>
      <c r="E154" s="40" t="s">
        <v>8</v>
      </c>
      <c r="F154" s="40" t="s">
        <v>9</v>
      </c>
      <c r="G154" s="40" t="s">
        <v>163</v>
      </c>
      <c r="H154" s="24">
        <v>44789</v>
      </c>
      <c r="I154" s="24" t="s">
        <v>330</v>
      </c>
      <c r="J154" s="47">
        <v>1396</v>
      </c>
      <c r="K154" s="55">
        <v>1006</v>
      </c>
      <c r="L154" s="50">
        <v>1000</v>
      </c>
      <c r="M154" s="50">
        <v>1230</v>
      </c>
      <c r="N154" s="50">
        <v>2044</v>
      </c>
      <c r="O154" s="50">
        <v>1702</v>
      </c>
      <c r="P154" s="50">
        <v>1886</v>
      </c>
      <c r="Q154" s="50">
        <v>1552</v>
      </c>
      <c r="R154" s="50">
        <v>1034</v>
      </c>
      <c r="S154" s="50">
        <v>1224</v>
      </c>
      <c r="T154" s="50">
        <v>964</v>
      </c>
      <c r="U154" s="50">
        <v>1264</v>
      </c>
      <c r="V154" s="84">
        <f t="shared" si="12"/>
        <v>1358.5</v>
      </c>
      <c r="W154" s="84">
        <f t="shared" si="13"/>
        <v>1358.5</v>
      </c>
      <c r="X154" s="50">
        <v>1314</v>
      </c>
      <c r="Y154" s="50">
        <v>1390</v>
      </c>
      <c r="Z154" s="50">
        <v>1450</v>
      </c>
      <c r="AA154" s="50">
        <v>1816</v>
      </c>
      <c r="AB154" s="50">
        <v>2178</v>
      </c>
      <c r="AC154" s="50">
        <v>2036</v>
      </c>
      <c r="AD154" s="50">
        <v>1746</v>
      </c>
      <c r="AE154" s="50">
        <v>2004</v>
      </c>
      <c r="AF154" s="50">
        <v>1176</v>
      </c>
      <c r="AG154" s="50">
        <v>994</v>
      </c>
      <c r="AH154" s="50">
        <v>1226</v>
      </c>
      <c r="AI154" s="50">
        <v>1782</v>
      </c>
      <c r="AJ154" s="50">
        <f t="shared" si="10"/>
        <v>1592.6666666666667</v>
      </c>
      <c r="AK154" s="50">
        <f t="shared" si="11"/>
        <v>1592.6666666666667</v>
      </c>
    </row>
    <row r="155" spans="1:37" x14ac:dyDescent="0.3">
      <c r="A155" s="86" t="s">
        <v>13</v>
      </c>
      <c r="B155" s="6"/>
      <c r="C155" s="8">
        <v>3151171005</v>
      </c>
      <c r="D155" s="86" t="s">
        <v>449</v>
      </c>
      <c r="E155" s="6" t="s">
        <v>8</v>
      </c>
      <c r="F155" s="6" t="s">
        <v>9</v>
      </c>
      <c r="G155" s="6" t="s">
        <v>139</v>
      </c>
      <c r="H155" s="24">
        <v>44799</v>
      </c>
      <c r="I155" s="24" t="s">
        <v>330</v>
      </c>
      <c r="J155" s="44">
        <v>326</v>
      </c>
      <c r="K155" s="62">
        <v>308</v>
      </c>
      <c r="L155" s="50">
        <v>268</v>
      </c>
      <c r="M155" s="50">
        <v>288</v>
      </c>
      <c r="N155" s="50">
        <v>414</v>
      </c>
      <c r="O155" s="50">
        <v>676</v>
      </c>
      <c r="P155" s="50">
        <v>553</v>
      </c>
      <c r="Q155" s="50">
        <v>358</v>
      </c>
      <c r="R155" s="50">
        <v>372</v>
      </c>
      <c r="S155" s="50">
        <v>326</v>
      </c>
      <c r="T155" s="50">
        <v>320</v>
      </c>
      <c r="U155" s="50">
        <v>344</v>
      </c>
      <c r="V155" s="84">
        <f t="shared" si="12"/>
        <v>379.41666666666669</v>
      </c>
      <c r="W155" s="84">
        <f t="shared" si="13"/>
        <v>379.41666666666669</v>
      </c>
      <c r="X155" s="50">
        <v>536</v>
      </c>
      <c r="Y155" s="50">
        <v>441</v>
      </c>
      <c r="Z155" s="50">
        <v>341</v>
      </c>
      <c r="AA155" s="50">
        <v>429</v>
      </c>
      <c r="AB155" s="50">
        <v>624</v>
      </c>
      <c r="AC155" s="50">
        <v>572</v>
      </c>
      <c r="AD155" s="50">
        <v>573</v>
      </c>
      <c r="AE155" s="50">
        <v>533</v>
      </c>
      <c r="AF155" s="50">
        <v>367</v>
      </c>
      <c r="AG155" s="50">
        <v>246</v>
      </c>
      <c r="AH155" s="50">
        <v>287</v>
      </c>
      <c r="AI155" s="50">
        <v>448</v>
      </c>
      <c r="AJ155" s="50">
        <f t="shared" si="10"/>
        <v>449.75</v>
      </c>
      <c r="AK155" s="50">
        <f t="shared" si="11"/>
        <v>449.75</v>
      </c>
    </row>
    <row r="156" spans="1:37" x14ac:dyDescent="0.3">
      <c r="A156" s="86" t="s">
        <v>13</v>
      </c>
      <c r="B156" s="6"/>
      <c r="C156" s="8">
        <v>3120150001</v>
      </c>
      <c r="D156" s="86" t="s">
        <v>372</v>
      </c>
      <c r="E156" s="6" t="s">
        <v>16</v>
      </c>
      <c r="F156" s="6" t="s">
        <v>9</v>
      </c>
      <c r="G156" s="6" t="s">
        <v>145</v>
      </c>
      <c r="H156" s="24">
        <v>44805</v>
      </c>
      <c r="I156" s="24" t="s">
        <v>330</v>
      </c>
      <c r="J156" s="44">
        <v>462</v>
      </c>
      <c r="K156" s="62">
        <v>403</v>
      </c>
      <c r="L156" s="50">
        <v>560</v>
      </c>
      <c r="M156" s="50">
        <v>732</v>
      </c>
      <c r="N156" s="50">
        <v>861</v>
      </c>
      <c r="O156" s="50">
        <v>946</v>
      </c>
      <c r="P156" s="50">
        <v>736</v>
      </c>
      <c r="Q156" s="50">
        <v>627</v>
      </c>
      <c r="R156" s="50">
        <v>587</v>
      </c>
      <c r="S156" s="50">
        <v>443</v>
      </c>
      <c r="T156" s="50">
        <v>573</v>
      </c>
      <c r="U156" s="50">
        <v>751</v>
      </c>
      <c r="V156" s="84">
        <f t="shared" si="12"/>
        <v>640.08333333333337</v>
      </c>
      <c r="W156" s="84">
        <f t="shared" si="13"/>
        <v>640.08333333333337</v>
      </c>
      <c r="X156" s="50">
        <v>438</v>
      </c>
      <c r="Y156" s="50">
        <v>451</v>
      </c>
      <c r="Z156" s="50">
        <v>1219</v>
      </c>
      <c r="AA156" s="50">
        <v>1287</v>
      </c>
      <c r="AB156" s="50">
        <v>1428</v>
      </c>
      <c r="AC156" s="50">
        <v>1143</v>
      </c>
      <c r="AD156" s="50">
        <v>890</v>
      </c>
      <c r="AE156" s="50">
        <v>640</v>
      </c>
      <c r="AF156" s="50">
        <v>451</v>
      </c>
      <c r="AG156" s="50">
        <v>370</v>
      </c>
      <c r="AH156" s="50">
        <v>519</v>
      </c>
      <c r="AI156" s="50">
        <v>435</v>
      </c>
      <c r="AJ156" s="50">
        <f t="shared" si="10"/>
        <v>772.58333333333337</v>
      </c>
      <c r="AK156" s="50">
        <f t="shared" si="11"/>
        <v>772.58333333333337</v>
      </c>
    </row>
    <row r="157" spans="1:37" x14ac:dyDescent="0.3">
      <c r="A157" s="86" t="s">
        <v>13</v>
      </c>
      <c r="B157" s="6"/>
      <c r="C157" s="8">
        <v>3130140000</v>
      </c>
      <c r="D157" s="86" t="s">
        <v>412</v>
      </c>
      <c r="E157" s="6" t="s">
        <v>16</v>
      </c>
      <c r="F157" s="6" t="s">
        <v>9</v>
      </c>
      <c r="G157" s="6" t="s">
        <v>121</v>
      </c>
      <c r="H157" s="24">
        <v>44810</v>
      </c>
      <c r="I157" s="24" t="s">
        <v>330</v>
      </c>
      <c r="J157" s="44">
        <v>1505</v>
      </c>
      <c r="K157" s="55">
        <v>971</v>
      </c>
      <c r="L157" s="50">
        <v>785</v>
      </c>
      <c r="M157" s="50">
        <v>863</v>
      </c>
      <c r="N157" s="50">
        <v>976</v>
      </c>
      <c r="O157" s="50">
        <v>844</v>
      </c>
      <c r="P157" s="50">
        <v>735</v>
      </c>
      <c r="Q157" s="50">
        <v>727</v>
      </c>
      <c r="R157" s="50">
        <v>1027</v>
      </c>
      <c r="S157" s="50">
        <v>1237</v>
      </c>
      <c r="T157" s="50">
        <v>2006</v>
      </c>
      <c r="U157" s="50">
        <v>1788</v>
      </c>
      <c r="V157" s="84">
        <f t="shared" si="12"/>
        <v>1122</v>
      </c>
      <c r="W157" s="84">
        <f t="shared" si="13"/>
        <v>1122</v>
      </c>
      <c r="X157" s="50">
        <v>919</v>
      </c>
      <c r="Y157" s="50">
        <v>1082</v>
      </c>
      <c r="Z157" s="50">
        <v>951</v>
      </c>
      <c r="AA157" s="50">
        <v>1873</v>
      </c>
      <c r="AB157" s="50">
        <v>2392</v>
      </c>
      <c r="AC157" s="50">
        <v>1937</v>
      </c>
      <c r="AD157" s="50">
        <v>1739</v>
      </c>
      <c r="AE157" s="50">
        <v>1414</v>
      </c>
      <c r="AF157" s="50">
        <v>1089</v>
      </c>
      <c r="AG157" s="50">
        <v>1240</v>
      </c>
      <c r="AH157" s="50">
        <v>1466</v>
      </c>
      <c r="AI157" s="50">
        <v>1199</v>
      </c>
      <c r="AJ157" s="50">
        <f t="shared" si="10"/>
        <v>1441.75</v>
      </c>
      <c r="AK157" s="50">
        <f t="shared" si="11"/>
        <v>1441.75</v>
      </c>
    </row>
    <row r="158" spans="1:37" x14ac:dyDescent="0.3">
      <c r="A158" s="86" t="s">
        <v>13</v>
      </c>
      <c r="B158" s="6"/>
      <c r="C158" s="10">
        <v>3131616001</v>
      </c>
      <c r="D158" s="86" t="s">
        <v>427</v>
      </c>
      <c r="E158" s="6" t="s">
        <v>16</v>
      </c>
      <c r="F158" s="6" t="s">
        <v>9</v>
      </c>
      <c r="G158" s="6" t="s">
        <v>155</v>
      </c>
      <c r="H158" s="24">
        <v>44810</v>
      </c>
      <c r="I158" s="24" t="s">
        <v>330</v>
      </c>
      <c r="J158" s="44">
        <v>689</v>
      </c>
      <c r="K158" s="55">
        <v>680</v>
      </c>
      <c r="L158" s="50">
        <v>1273</v>
      </c>
      <c r="M158" s="50">
        <v>1666</v>
      </c>
      <c r="N158" s="50">
        <v>1827</v>
      </c>
      <c r="O158" s="50">
        <v>1431</v>
      </c>
      <c r="P158" s="50">
        <v>1286</v>
      </c>
      <c r="Q158" s="50">
        <v>1136</v>
      </c>
      <c r="R158" s="50">
        <v>1008</v>
      </c>
      <c r="S158" s="50">
        <v>574</v>
      </c>
      <c r="T158" s="50">
        <v>417</v>
      </c>
      <c r="U158" s="50">
        <v>667</v>
      </c>
      <c r="V158" s="84">
        <f t="shared" si="12"/>
        <v>1054.5</v>
      </c>
      <c r="W158" s="84">
        <f t="shared" si="13"/>
        <v>1054.5</v>
      </c>
      <c r="X158" s="50">
        <v>609</v>
      </c>
      <c r="Y158" s="50">
        <v>814</v>
      </c>
      <c r="Z158" s="50">
        <v>808</v>
      </c>
      <c r="AA158" s="50">
        <v>768</v>
      </c>
      <c r="AB158" s="50">
        <v>1283</v>
      </c>
      <c r="AC158" s="50">
        <v>1015</v>
      </c>
      <c r="AD158" s="50">
        <v>820</v>
      </c>
      <c r="AE158" s="50">
        <v>1055</v>
      </c>
      <c r="AF158" s="50">
        <v>890</v>
      </c>
      <c r="AG158" s="50">
        <v>578</v>
      </c>
      <c r="AH158" s="50">
        <v>404</v>
      </c>
      <c r="AI158" s="50">
        <v>408</v>
      </c>
      <c r="AJ158" s="50">
        <f t="shared" si="10"/>
        <v>787.66666666666663</v>
      </c>
      <c r="AK158" s="50">
        <f t="shared" si="11"/>
        <v>787.66666666666663</v>
      </c>
    </row>
    <row r="159" spans="1:37" x14ac:dyDescent="0.3">
      <c r="A159" s="86" t="s">
        <v>131</v>
      </c>
      <c r="B159" s="6"/>
      <c r="C159" s="8">
        <v>3140123000</v>
      </c>
      <c r="D159" s="86" t="s">
        <v>433</v>
      </c>
      <c r="E159" s="6" t="s">
        <v>8</v>
      </c>
      <c r="F159" s="6" t="s">
        <v>9</v>
      </c>
      <c r="G159" s="6" t="s">
        <v>132</v>
      </c>
      <c r="H159" s="24">
        <v>44811</v>
      </c>
      <c r="I159" s="24" t="s">
        <v>330</v>
      </c>
      <c r="J159" s="44">
        <v>515</v>
      </c>
      <c r="K159" s="63">
        <v>336</v>
      </c>
      <c r="L159" s="50">
        <v>355</v>
      </c>
      <c r="M159" s="50">
        <v>421</v>
      </c>
      <c r="N159" s="50">
        <v>560</v>
      </c>
      <c r="O159" s="50">
        <v>465</v>
      </c>
      <c r="P159" s="50">
        <v>389</v>
      </c>
      <c r="Q159" s="50">
        <v>336</v>
      </c>
      <c r="R159" s="50">
        <v>396</v>
      </c>
      <c r="S159" s="50">
        <v>332</v>
      </c>
      <c r="T159" s="50">
        <v>615</v>
      </c>
      <c r="U159" s="50">
        <v>515</v>
      </c>
      <c r="V159" s="84">
        <f t="shared" si="12"/>
        <v>436.25</v>
      </c>
      <c r="W159" s="84">
        <f t="shared" si="13"/>
        <v>436.25</v>
      </c>
      <c r="X159" s="50">
        <v>414</v>
      </c>
      <c r="Y159" s="50">
        <v>461</v>
      </c>
      <c r="Z159" s="50">
        <v>497</v>
      </c>
      <c r="AA159" s="50">
        <v>1045</v>
      </c>
      <c r="AB159" s="50">
        <v>1192</v>
      </c>
      <c r="AC159" s="50">
        <v>948</v>
      </c>
      <c r="AD159" s="50">
        <v>1045</v>
      </c>
      <c r="AE159" s="50">
        <v>570</v>
      </c>
      <c r="AF159" s="50">
        <v>408</v>
      </c>
      <c r="AG159" s="50">
        <v>461</v>
      </c>
      <c r="AH159" s="50">
        <v>442</v>
      </c>
      <c r="AI159" s="50">
        <v>398</v>
      </c>
      <c r="AJ159" s="50">
        <f t="shared" si="10"/>
        <v>656.75</v>
      </c>
      <c r="AK159" s="50">
        <f t="shared" si="11"/>
        <v>656.75</v>
      </c>
    </row>
    <row r="160" spans="1:37" x14ac:dyDescent="0.3">
      <c r="A160" s="86" t="s">
        <v>24</v>
      </c>
      <c r="B160" s="6"/>
      <c r="C160" s="8">
        <v>3132807000</v>
      </c>
      <c r="D160" s="86" t="s">
        <v>406</v>
      </c>
      <c r="E160" s="6" t="s">
        <v>16</v>
      </c>
      <c r="F160" s="6" t="s">
        <v>9</v>
      </c>
      <c r="G160" s="6" t="s">
        <v>136</v>
      </c>
      <c r="H160" s="24">
        <v>44812</v>
      </c>
      <c r="I160" s="24" t="s">
        <v>330</v>
      </c>
      <c r="J160" s="44">
        <v>926</v>
      </c>
      <c r="K160" s="62">
        <v>741</v>
      </c>
      <c r="L160" s="50">
        <v>932</v>
      </c>
      <c r="M160" s="50">
        <v>1364</v>
      </c>
      <c r="N160" s="50">
        <v>1374</v>
      </c>
      <c r="O160" s="50">
        <v>1480</v>
      </c>
      <c r="P160" s="50">
        <v>1282</v>
      </c>
      <c r="Q160" s="50">
        <v>1144</v>
      </c>
      <c r="R160" s="50">
        <v>1102</v>
      </c>
      <c r="S160" s="50">
        <v>982</v>
      </c>
      <c r="T160" s="50">
        <v>1103</v>
      </c>
      <c r="U160" s="50">
        <v>1219</v>
      </c>
      <c r="V160" s="84">
        <f t="shared" si="12"/>
        <v>1137.4166666666667</v>
      </c>
      <c r="W160" s="84">
        <f t="shared" si="13"/>
        <v>1137.4166666666667</v>
      </c>
      <c r="X160" s="50">
        <v>748</v>
      </c>
      <c r="Y160" s="50">
        <v>874</v>
      </c>
      <c r="Z160" s="50">
        <v>1515</v>
      </c>
      <c r="AA160" s="50">
        <v>1914</v>
      </c>
      <c r="AB160" s="50">
        <v>2051</v>
      </c>
      <c r="AC160" s="50">
        <v>2242</v>
      </c>
      <c r="AD160" s="50">
        <v>1888</v>
      </c>
      <c r="AE160" s="50">
        <v>1405</v>
      </c>
      <c r="AF160" s="50">
        <v>958</v>
      </c>
      <c r="AG160" s="50">
        <v>840</v>
      </c>
      <c r="AH160" s="50">
        <v>1105</v>
      </c>
      <c r="AI160" s="50">
        <v>1089</v>
      </c>
      <c r="AJ160" s="50">
        <f t="shared" si="10"/>
        <v>1385.75</v>
      </c>
      <c r="AK160" s="50">
        <f t="shared" si="11"/>
        <v>1385.75</v>
      </c>
    </row>
    <row r="161" spans="1:37" x14ac:dyDescent="0.3">
      <c r="A161" s="86" t="s">
        <v>13</v>
      </c>
      <c r="B161" s="6"/>
      <c r="C161" s="8">
        <v>3110075000</v>
      </c>
      <c r="D161" s="86" t="s">
        <v>450</v>
      </c>
      <c r="E161" s="6" t="s">
        <v>11</v>
      </c>
      <c r="F161" s="6" t="s">
        <v>9</v>
      </c>
      <c r="G161" s="6" t="s">
        <v>150</v>
      </c>
      <c r="H161" s="24">
        <v>44816</v>
      </c>
      <c r="I161" s="24" t="s">
        <v>330</v>
      </c>
      <c r="J161" s="44">
        <v>1042</v>
      </c>
      <c r="K161" s="55">
        <v>782</v>
      </c>
      <c r="L161" s="50">
        <v>894</v>
      </c>
      <c r="M161" s="50">
        <v>1688</v>
      </c>
      <c r="N161" s="50">
        <v>1664</v>
      </c>
      <c r="O161" s="50">
        <v>2920</v>
      </c>
      <c r="P161" s="50">
        <v>2048</v>
      </c>
      <c r="Q161" s="50">
        <v>1410</v>
      </c>
      <c r="R161" s="50">
        <v>1356</v>
      </c>
      <c r="S161" s="50">
        <v>594</v>
      </c>
      <c r="T161" s="50">
        <v>656</v>
      </c>
      <c r="U161" s="50">
        <v>1390</v>
      </c>
      <c r="V161" s="84">
        <f t="shared" si="12"/>
        <v>1370.3333333333333</v>
      </c>
      <c r="W161" s="84">
        <f t="shared" si="13"/>
        <v>1370.3333333333333</v>
      </c>
      <c r="X161" s="50">
        <v>1110</v>
      </c>
      <c r="Y161" s="50">
        <v>708</v>
      </c>
      <c r="Z161" s="50">
        <v>1006</v>
      </c>
      <c r="AA161" s="50">
        <v>1484</v>
      </c>
      <c r="AB161" s="50">
        <v>1188</v>
      </c>
      <c r="AC161" s="50">
        <v>1286</v>
      </c>
      <c r="AD161" s="50">
        <v>1078</v>
      </c>
      <c r="AE161" s="50">
        <v>690</v>
      </c>
      <c r="AF161" s="50">
        <v>630</v>
      </c>
      <c r="AG161" s="50">
        <v>418</v>
      </c>
      <c r="AH161" s="50">
        <v>616</v>
      </c>
      <c r="AI161" s="50">
        <v>994</v>
      </c>
      <c r="AJ161" s="50">
        <f t="shared" si="10"/>
        <v>934</v>
      </c>
      <c r="AK161" s="50">
        <f t="shared" si="11"/>
        <v>934</v>
      </c>
    </row>
    <row r="162" spans="1:37" x14ac:dyDescent="0.3">
      <c r="A162" s="86" t="s">
        <v>90</v>
      </c>
      <c r="B162" s="6"/>
      <c r="C162" s="8">
        <v>3131463000</v>
      </c>
      <c r="D162" s="86" t="s">
        <v>451</v>
      </c>
      <c r="E162" s="6" t="s">
        <v>11</v>
      </c>
      <c r="F162" s="6" t="s">
        <v>9</v>
      </c>
      <c r="G162" s="6" t="s">
        <v>200</v>
      </c>
      <c r="H162" s="24">
        <v>44820</v>
      </c>
      <c r="I162" s="24" t="s">
        <v>330</v>
      </c>
      <c r="J162" s="44">
        <v>537</v>
      </c>
      <c r="K162" s="50">
        <v>544</v>
      </c>
      <c r="L162" s="50">
        <v>662</v>
      </c>
      <c r="M162" s="50">
        <v>772</v>
      </c>
      <c r="N162" s="50">
        <v>960</v>
      </c>
      <c r="O162" s="50">
        <v>827</v>
      </c>
      <c r="P162" s="50">
        <v>749</v>
      </c>
      <c r="Q162" s="50">
        <v>620</v>
      </c>
      <c r="R162" s="50">
        <v>605</v>
      </c>
      <c r="S162" s="50">
        <v>463</v>
      </c>
      <c r="T162" s="50">
        <v>618</v>
      </c>
      <c r="U162" s="50">
        <v>656</v>
      </c>
      <c r="V162" s="84">
        <f t="shared" si="12"/>
        <v>667.75</v>
      </c>
      <c r="W162" s="84">
        <f t="shared" si="13"/>
        <v>667.75</v>
      </c>
      <c r="X162" s="50">
        <v>525</v>
      </c>
      <c r="Y162" s="50">
        <v>566</v>
      </c>
      <c r="Z162" s="50">
        <v>692</v>
      </c>
      <c r="AA162" s="50">
        <v>786</v>
      </c>
      <c r="AB162" s="50">
        <v>896</v>
      </c>
      <c r="AC162" s="50">
        <v>785</v>
      </c>
      <c r="AD162" s="50">
        <v>730</v>
      </c>
      <c r="AE162" s="50">
        <v>652</v>
      </c>
      <c r="AF162" s="50">
        <v>534</v>
      </c>
      <c r="AG162" s="50">
        <v>479</v>
      </c>
      <c r="AH162" s="50">
        <v>690</v>
      </c>
      <c r="AI162" s="50">
        <v>522</v>
      </c>
      <c r="AJ162" s="50">
        <f t="shared" si="10"/>
        <v>654.75</v>
      </c>
      <c r="AK162" s="50">
        <f t="shared" si="11"/>
        <v>654.75</v>
      </c>
    </row>
    <row r="163" spans="1:37" x14ac:dyDescent="0.3">
      <c r="A163" s="86" t="s">
        <v>90</v>
      </c>
      <c r="B163" s="6"/>
      <c r="C163" s="8">
        <v>3160858006</v>
      </c>
      <c r="D163" s="86" t="s">
        <v>452</v>
      </c>
      <c r="E163" s="6" t="s">
        <v>14</v>
      </c>
      <c r="F163" s="6" t="s">
        <v>9</v>
      </c>
      <c r="G163" s="6" t="s">
        <v>152</v>
      </c>
      <c r="H163" s="24">
        <v>44825</v>
      </c>
      <c r="I163" s="24" t="s">
        <v>330</v>
      </c>
      <c r="J163" s="44">
        <v>701</v>
      </c>
      <c r="K163" s="63">
        <v>498</v>
      </c>
      <c r="L163" s="50">
        <v>840</v>
      </c>
      <c r="M163" s="50">
        <v>729</v>
      </c>
      <c r="N163" s="50">
        <v>972</v>
      </c>
      <c r="O163" s="50">
        <v>917</v>
      </c>
      <c r="P163" s="50">
        <v>976</v>
      </c>
      <c r="Q163" s="50">
        <v>732</v>
      </c>
      <c r="R163" s="50">
        <v>602</v>
      </c>
      <c r="S163" s="50">
        <v>712</v>
      </c>
      <c r="T163" s="50">
        <v>1087</v>
      </c>
      <c r="U163" s="50">
        <v>1149</v>
      </c>
      <c r="V163" s="84">
        <f t="shared" si="12"/>
        <v>826.25</v>
      </c>
      <c r="W163" s="84">
        <f t="shared" si="13"/>
        <v>826.25</v>
      </c>
      <c r="X163" s="50">
        <v>705</v>
      </c>
      <c r="Y163" s="50">
        <v>1079</v>
      </c>
      <c r="Z163" s="50">
        <v>2012</v>
      </c>
      <c r="AA163" s="50">
        <v>2924</v>
      </c>
      <c r="AB163" s="50">
        <v>2590</v>
      </c>
      <c r="AC163" s="50">
        <v>3035</v>
      </c>
      <c r="AD163" s="50">
        <v>2405</v>
      </c>
      <c r="AE163" s="50">
        <v>1448</v>
      </c>
      <c r="AF163" s="50">
        <v>858</v>
      </c>
      <c r="AG163" s="50">
        <v>856</v>
      </c>
      <c r="AH163" s="50">
        <v>1364</v>
      </c>
      <c r="AI163" s="50">
        <v>1220</v>
      </c>
      <c r="AJ163" s="50">
        <f t="shared" si="10"/>
        <v>1708</v>
      </c>
      <c r="AK163" s="50">
        <f t="shared" si="11"/>
        <v>1708</v>
      </c>
    </row>
    <row r="164" spans="1:37" x14ac:dyDescent="0.3">
      <c r="A164" s="90" t="s">
        <v>90</v>
      </c>
      <c r="B164" s="35"/>
      <c r="C164" s="37">
        <v>3120824005</v>
      </c>
      <c r="D164" s="90" t="s">
        <v>453</v>
      </c>
      <c r="E164" s="35" t="s">
        <v>16</v>
      </c>
      <c r="F164" s="35" t="s">
        <v>9</v>
      </c>
      <c r="G164" s="35" t="s">
        <v>164</v>
      </c>
      <c r="H164" s="24">
        <v>44830</v>
      </c>
      <c r="I164" s="24" t="s">
        <v>330</v>
      </c>
      <c r="J164" s="45">
        <v>367</v>
      </c>
      <c r="K164" s="50">
        <v>311</v>
      </c>
      <c r="L164" s="50">
        <v>331</v>
      </c>
      <c r="M164" s="50">
        <v>398</v>
      </c>
      <c r="N164" s="50">
        <v>430</v>
      </c>
      <c r="O164" s="50">
        <v>444</v>
      </c>
      <c r="P164" s="50">
        <v>341</v>
      </c>
      <c r="Q164" s="50">
        <v>276</v>
      </c>
      <c r="R164" s="50">
        <v>337</v>
      </c>
      <c r="S164" s="50">
        <v>281</v>
      </c>
      <c r="T164" s="50">
        <v>299</v>
      </c>
      <c r="U164" s="50">
        <v>349</v>
      </c>
      <c r="V164" s="84">
        <f t="shared" si="12"/>
        <v>347</v>
      </c>
      <c r="W164" s="84">
        <f t="shared" si="13"/>
        <v>347</v>
      </c>
      <c r="X164" s="50">
        <v>3008</v>
      </c>
      <c r="Y164" s="50">
        <v>302</v>
      </c>
      <c r="Z164" s="50">
        <v>444</v>
      </c>
      <c r="AA164" s="50">
        <v>701</v>
      </c>
      <c r="AB164" s="50">
        <v>1099</v>
      </c>
      <c r="AC164" s="50">
        <v>892</v>
      </c>
      <c r="AD164" s="50">
        <v>897</v>
      </c>
      <c r="AE164" s="50">
        <v>442</v>
      </c>
      <c r="AF164" s="50">
        <v>303</v>
      </c>
      <c r="AG164" s="50">
        <v>176</v>
      </c>
      <c r="AH164" s="50">
        <v>267</v>
      </c>
      <c r="AI164" s="50">
        <v>176</v>
      </c>
      <c r="AJ164" s="50">
        <f t="shared" si="10"/>
        <v>725.58333333333337</v>
      </c>
      <c r="AK164" s="50">
        <f t="shared" si="11"/>
        <v>725.58333333333337</v>
      </c>
    </row>
    <row r="165" spans="1:37" x14ac:dyDescent="0.3">
      <c r="A165" s="90" t="s">
        <v>13</v>
      </c>
      <c r="B165" s="35"/>
      <c r="C165" s="37">
        <v>3121884001</v>
      </c>
      <c r="D165" s="90" t="s">
        <v>403</v>
      </c>
      <c r="E165" s="35" t="s">
        <v>16</v>
      </c>
      <c r="F165" s="35" t="s">
        <v>9</v>
      </c>
      <c r="G165" s="35" t="s">
        <v>160</v>
      </c>
      <c r="H165" s="24">
        <v>44833</v>
      </c>
      <c r="I165" s="24" t="s">
        <v>330</v>
      </c>
      <c r="J165" s="45">
        <v>531</v>
      </c>
      <c r="K165" s="64">
        <v>478</v>
      </c>
      <c r="L165" s="50">
        <v>535</v>
      </c>
      <c r="M165" s="50">
        <v>585</v>
      </c>
      <c r="N165" s="50">
        <v>926</v>
      </c>
      <c r="O165" s="50">
        <v>776</v>
      </c>
      <c r="P165" s="50">
        <v>651</v>
      </c>
      <c r="Q165" s="50">
        <v>627</v>
      </c>
      <c r="R165" s="50">
        <v>626</v>
      </c>
      <c r="S165" s="50">
        <v>607</v>
      </c>
      <c r="T165" s="50">
        <v>594</v>
      </c>
      <c r="U165" s="50">
        <v>738</v>
      </c>
      <c r="V165" s="84">
        <f t="shared" si="12"/>
        <v>639.5</v>
      </c>
      <c r="W165" s="84">
        <f t="shared" si="13"/>
        <v>639.5</v>
      </c>
      <c r="X165" s="50">
        <v>621</v>
      </c>
      <c r="Y165" s="50">
        <v>480</v>
      </c>
      <c r="Z165" s="50">
        <v>787</v>
      </c>
      <c r="AA165" s="50">
        <v>633</v>
      </c>
      <c r="AB165" s="50">
        <v>682</v>
      </c>
      <c r="AC165" s="50">
        <v>614</v>
      </c>
      <c r="AD165" s="50">
        <v>584</v>
      </c>
      <c r="AE165" s="50">
        <v>559</v>
      </c>
      <c r="AF165" s="50">
        <v>653</v>
      </c>
      <c r="AG165" s="50">
        <v>698</v>
      </c>
      <c r="AH165" s="50">
        <v>658</v>
      </c>
      <c r="AI165" s="50">
        <v>664</v>
      </c>
      <c r="AJ165" s="50">
        <f t="shared" si="10"/>
        <v>636.08333333333337</v>
      </c>
      <c r="AK165" s="50">
        <f t="shared" si="11"/>
        <v>636.08333333333337</v>
      </c>
    </row>
    <row r="166" spans="1:37" x14ac:dyDescent="0.3">
      <c r="A166" s="94" t="s">
        <v>13</v>
      </c>
      <c r="B166" s="6"/>
      <c r="C166" s="8">
        <v>3011309006</v>
      </c>
      <c r="D166" s="86" t="s">
        <v>444</v>
      </c>
      <c r="E166" s="6" t="s">
        <v>11</v>
      </c>
      <c r="F166" s="6" t="s">
        <v>9</v>
      </c>
      <c r="G166" s="6" t="s">
        <v>12</v>
      </c>
      <c r="H166" s="24">
        <v>44852</v>
      </c>
      <c r="I166" s="24" t="s">
        <v>330</v>
      </c>
      <c r="J166" s="44">
        <v>0</v>
      </c>
      <c r="K166" s="47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62</v>
      </c>
      <c r="U166" s="50">
        <v>184</v>
      </c>
      <c r="V166" s="84">
        <f t="shared" si="12"/>
        <v>22.363636363636363</v>
      </c>
      <c r="W166" s="84">
        <f t="shared" si="13"/>
        <v>123</v>
      </c>
      <c r="X166" s="50">
        <v>143</v>
      </c>
      <c r="Y166" s="50">
        <v>155</v>
      </c>
      <c r="Z166" s="50">
        <v>186</v>
      </c>
      <c r="AA166" s="50">
        <v>207</v>
      </c>
      <c r="AB166" s="50">
        <v>215</v>
      </c>
      <c r="AC166" s="50">
        <v>194</v>
      </c>
      <c r="AD166" s="50">
        <v>168</v>
      </c>
      <c r="AE166" s="50">
        <v>204</v>
      </c>
      <c r="AF166" s="50">
        <v>174</v>
      </c>
      <c r="AG166" s="50">
        <v>214</v>
      </c>
      <c r="AH166" s="50">
        <v>227</v>
      </c>
      <c r="AI166" s="50">
        <v>181</v>
      </c>
      <c r="AJ166" s="50">
        <f t="shared" si="10"/>
        <v>189</v>
      </c>
      <c r="AK166" s="50">
        <f t="shared" si="11"/>
        <v>189</v>
      </c>
    </row>
    <row r="167" spans="1:37" x14ac:dyDescent="0.3">
      <c r="A167" s="86" t="s">
        <v>90</v>
      </c>
      <c r="B167" s="6"/>
      <c r="C167" s="8">
        <v>3011310000</v>
      </c>
      <c r="D167" s="86" t="s">
        <v>454</v>
      </c>
      <c r="E167" s="6" t="s">
        <v>11</v>
      </c>
      <c r="F167" s="6" t="s">
        <v>9</v>
      </c>
      <c r="G167" s="6" t="s">
        <v>159</v>
      </c>
      <c r="H167" s="24">
        <v>44852</v>
      </c>
      <c r="I167" s="24" t="s">
        <v>330</v>
      </c>
      <c r="J167">
        <v>256</v>
      </c>
      <c r="K167">
        <v>251</v>
      </c>
      <c r="L167">
        <v>369</v>
      </c>
      <c r="M167">
        <v>289</v>
      </c>
      <c r="N167">
        <v>294</v>
      </c>
      <c r="O167">
        <v>281</v>
      </c>
      <c r="P167">
        <v>267</v>
      </c>
      <c r="Q167">
        <v>250</v>
      </c>
      <c r="R167">
        <v>252</v>
      </c>
      <c r="S167">
        <v>327</v>
      </c>
      <c r="T167">
        <v>560</v>
      </c>
      <c r="U167">
        <v>336</v>
      </c>
      <c r="V167" s="84">
        <f t="shared" si="12"/>
        <v>311</v>
      </c>
      <c r="W167" s="84">
        <f t="shared" si="13"/>
        <v>311</v>
      </c>
      <c r="X167">
        <v>235</v>
      </c>
      <c r="Y167">
        <v>273</v>
      </c>
      <c r="Z167">
        <v>318</v>
      </c>
      <c r="AA167">
        <v>405</v>
      </c>
      <c r="AB167">
        <v>443</v>
      </c>
      <c r="AC167">
        <v>389</v>
      </c>
      <c r="AD167">
        <v>318</v>
      </c>
      <c r="AE167">
        <v>302</v>
      </c>
      <c r="AF167">
        <v>263</v>
      </c>
      <c r="AG167">
        <v>369</v>
      </c>
      <c r="AH167">
        <v>347</v>
      </c>
      <c r="AI167">
        <v>296</v>
      </c>
      <c r="AJ167" s="50">
        <f t="shared" si="10"/>
        <v>329.83333333333331</v>
      </c>
      <c r="AK167" s="50">
        <f t="shared" si="11"/>
        <v>329.83333333333331</v>
      </c>
    </row>
    <row r="168" spans="1:37" x14ac:dyDescent="0.3">
      <c r="A168" s="86" t="s">
        <v>90</v>
      </c>
      <c r="B168" s="6"/>
      <c r="C168" s="8">
        <v>3080076001</v>
      </c>
      <c r="D168" s="86" t="s">
        <v>421</v>
      </c>
      <c r="E168" s="6" t="s">
        <v>11</v>
      </c>
      <c r="F168" s="6" t="s">
        <v>9</v>
      </c>
      <c r="G168" s="6" t="s">
        <v>157</v>
      </c>
      <c r="H168" s="24">
        <v>44858</v>
      </c>
      <c r="I168" s="24" t="s">
        <v>330</v>
      </c>
      <c r="J168" s="44">
        <v>0</v>
      </c>
      <c r="K168" s="64">
        <v>0</v>
      </c>
      <c r="L168" s="50">
        <v>0</v>
      </c>
      <c r="M168" s="50">
        <v>0</v>
      </c>
      <c r="N168" s="50">
        <v>0</v>
      </c>
      <c r="O168" s="50">
        <v>0</v>
      </c>
      <c r="P168" s="50">
        <v>0</v>
      </c>
      <c r="Q168">
        <v>175</v>
      </c>
      <c r="R168">
        <v>700</v>
      </c>
      <c r="S168">
        <v>761</v>
      </c>
      <c r="T168">
        <v>922</v>
      </c>
      <c r="U168">
        <v>720</v>
      </c>
      <c r="V168" s="84">
        <f t="shared" si="12"/>
        <v>273.16666666666669</v>
      </c>
      <c r="W168" s="84">
        <f t="shared" si="13"/>
        <v>655.6</v>
      </c>
      <c r="X168">
        <v>569</v>
      </c>
      <c r="Y168">
        <v>1237</v>
      </c>
      <c r="Z168">
        <v>3200</v>
      </c>
      <c r="AA168">
        <v>3494</v>
      </c>
      <c r="AB168">
        <v>2800</v>
      </c>
      <c r="AC168">
        <v>2510</v>
      </c>
      <c r="AD168">
        <v>1302</v>
      </c>
      <c r="AE168">
        <v>574</v>
      </c>
      <c r="AF168">
        <v>510</v>
      </c>
      <c r="AG168">
        <v>1144</v>
      </c>
      <c r="AH168">
        <v>950</v>
      </c>
      <c r="AI168">
        <v>782</v>
      </c>
      <c r="AJ168" s="50">
        <f t="shared" si="10"/>
        <v>1589.3333333333333</v>
      </c>
      <c r="AK168" s="50">
        <f t="shared" si="11"/>
        <v>1589.3333333333333</v>
      </c>
    </row>
    <row r="169" spans="1:37" x14ac:dyDescent="0.3">
      <c r="A169" s="86" t="s">
        <v>113</v>
      </c>
      <c r="B169" s="6"/>
      <c r="C169" s="8">
        <v>3111796000</v>
      </c>
      <c r="D169" s="86" t="s">
        <v>455</v>
      </c>
      <c r="E169" s="6" t="s">
        <v>11</v>
      </c>
      <c r="F169" s="6" t="s">
        <v>9</v>
      </c>
      <c r="G169" s="6" t="s">
        <v>198</v>
      </c>
      <c r="H169" s="24">
        <v>44858</v>
      </c>
      <c r="I169" s="24" t="s">
        <v>330</v>
      </c>
      <c r="J169">
        <v>614</v>
      </c>
      <c r="K169">
        <v>712</v>
      </c>
      <c r="L169">
        <v>862</v>
      </c>
      <c r="M169">
        <v>942</v>
      </c>
      <c r="N169">
        <v>680</v>
      </c>
      <c r="O169">
        <v>550</v>
      </c>
      <c r="P169">
        <v>532</v>
      </c>
      <c r="Q169">
        <v>564</v>
      </c>
      <c r="R169">
        <v>408</v>
      </c>
      <c r="S169">
        <v>642</v>
      </c>
      <c r="T169">
        <v>568</v>
      </c>
      <c r="U169">
        <v>648</v>
      </c>
      <c r="V169" s="84">
        <f t="shared" si="12"/>
        <v>643.5</v>
      </c>
      <c r="W169" s="84">
        <f t="shared" si="13"/>
        <v>643.5</v>
      </c>
      <c r="X169">
        <v>634</v>
      </c>
      <c r="Y169">
        <v>616</v>
      </c>
      <c r="Z169">
        <v>790</v>
      </c>
      <c r="AA169">
        <v>834</v>
      </c>
      <c r="AB169">
        <v>630</v>
      </c>
      <c r="AC169">
        <v>554</v>
      </c>
      <c r="AD169">
        <v>446</v>
      </c>
      <c r="AE169">
        <v>382</v>
      </c>
      <c r="AF169">
        <v>516</v>
      </c>
      <c r="AG169">
        <v>672</v>
      </c>
      <c r="AH169">
        <v>564</v>
      </c>
      <c r="AI169">
        <v>668</v>
      </c>
      <c r="AJ169" s="50">
        <f t="shared" si="10"/>
        <v>608.83333333333337</v>
      </c>
      <c r="AK169" s="50">
        <f t="shared" si="11"/>
        <v>608.83333333333337</v>
      </c>
    </row>
    <row r="170" spans="1:37" x14ac:dyDescent="0.3">
      <c r="A170" s="86" t="s">
        <v>204</v>
      </c>
      <c r="B170" s="6"/>
      <c r="C170" s="8">
        <v>3080583000</v>
      </c>
      <c r="D170" s="86" t="s">
        <v>456</v>
      </c>
      <c r="E170" s="6" t="s">
        <v>16</v>
      </c>
      <c r="F170" s="6" t="s">
        <v>9</v>
      </c>
      <c r="G170" s="6" t="s">
        <v>205</v>
      </c>
      <c r="H170" s="24">
        <v>44872</v>
      </c>
      <c r="I170" s="24" t="s">
        <v>330</v>
      </c>
      <c r="J170" s="44">
        <v>0</v>
      </c>
      <c r="K170" s="47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84">
        <f t="shared" si="12"/>
        <v>0</v>
      </c>
      <c r="W170" s="84" t="e">
        <f t="shared" si="13"/>
        <v>#DIV/0!</v>
      </c>
      <c r="X170" s="50">
        <v>0</v>
      </c>
      <c r="Y170" s="50">
        <v>0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f t="shared" si="10"/>
        <v>0</v>
      </c>
      <c r="AK170" s="50" t="e">
        <f t="shared" si="11"/>
        <v>#DIV/0!</v>
      </c>
    </row>
    <row r="171" spans="1:37" x14ac:dyDescent="0.3">
      <c r="A171" s="86" t="s">
        <v>13</v>
      </c>
      <c r="B171" s="6"/>
      <c r="C171" s="8">
        <v>3151981002</v>
      </c>
      <c r="D171" s="86" t="s">
        <v>405</v>
      </c>
      <c r="E171" s="6" t="s">
        <v>11</v>
      </c>
      <c r="F171" s="6" t="s">
        <v>9</v>
      </c>
      <c r="G171" s="6" t="s">
        <v>206</v>
      </c>
      <c r="H171" s="24">
        <v>44879</v>
      </c>
      <c r="I171" s="24" t="s">
        <v>330</v>
      </c>
      <c r="J171">
        <v>536</v>
      </c>
      <c r="K171">
        <v>868</v>
      </c>
      <c r="L171">
        <v>1264</v>
      </c>
      <c r="M171">
        <v>1212</v>
      </c>
      <c r="N171">
        <v>1118</v>
      </c>
      <c r="O171">
        <v>736</v>
      </c>
      <c r="P171">
        <v>574</v>
      </c>
      <c r="Q171">
        <v>720</v>
      </c>
      <c r="R171">
        <v>760</v>
      </c>
      <c r="S171">
        <v>1084</v>
      </c>
      <c r="T171">
        <v>960</v>
      </c>
      <c r="U171">
        <v>686</v>
      </c>
      <c r="V171" s="84">
        <f t="shared" si="12"/>
        <v>876.5</v>
      </c>
      <c r="W171" s="84">
        <f t="shared" si="13"/>
        <v>876.5</v>
      </c>
      <c r="X171">
        <v>580</v>
      </c>
      <c r="Y171">
        <v>998</v>
      </c>
      <c r="Z171">
        <v>1614</v>
      </c>
      <c r="AA171">
        <v>1270</v>
      </c>
      <c r="AB171">
        <v>1110</v>
      </c>
      <c r="AC171">
        <v>778</v>
      </c>
      <c r="AD171">
        <v>610</v>
      </c>
      <c r="AE171">
        <v>456</v>
      </c>
      <c r="AF171">
        <v>534</v>
      </c>
      <c r="AG171">
        <v>894</v>
      </c>
      <c r="AH171">
        <v>844</v>
      </c>
      <c r="AI171">
        <v>756</v>
      </c>
      <c r="AJ171" s="50">
        <f t="shared" si="10"/>
        <v>870.33333333333337</v>
      </c>
      <c r="AK171" s="50">
        <f t="shared" si="11"/>
        <v>870.33333333333337</v>
      </c>
    </row>
    <row r="172" spans="1:37" x14ac:dyDescent="0.3">
      <c r="A172" s="86" t="s">
        <v>13</v>
      </c>
      <c r="B172" s="6"/>
      <c r="C172" s="8">
        <v>3131469000</v>
      </c>
      <c r="D172" s="86" t="s">
        <v>457</v>
      </c>
      <c r="E172" s="6" t="s">
        <v>8</v>
      </c>
      <c r="F172" s="6" t="s">
        <v>9</v>
      </c>
      <c r="G172" s="6" t="s">
        <v>208</v>
      </c>
      <c r="H172" s="24">
        <v>44888</v>
      </c>
      <c r="I172" s="24" t="s">
        <v>330</v>
      </c>
      <c r="J172">
        <v>408</v>
      </c>
      <c r="K172">
        <v>559</v>
      </c>
      <c r="L172">
        <v>780</v>
      </c>
      <c r="M172">
        <v>460</v>
      </c>
      <c r="N172">
        <v>462</v>
      </c>
      <c r="O172">
        <v>356</v>
      </c>
      <c r="P172">
        <v>376</v>
      </c>
      <c r="Q172">
        <v>446</v>
      </c>
      <c r="R172">
        <v>734</v>
      </c>
      <c r="S172">
        <v>759</v>
      </c>
      <c r="T172">
        <v>686</v>
      </c>
      <c r="U172">
        <v>420</v>
      </c>
      <c r="V172" s="84">
        <f t="shared" si="12"/>
        <v>537.16666666666663</v>
      </c>
      <c r="W172" s="84">
        <f t="shared" si="13"/>
        <v>537.16666666666663</v>
      </c>
      <c r="X172">
        <v>649</v>
      </c>
      <c r="Y172">
        <v>680</v>
      </c>
      <c r="Z172">
        <v>854</v>
      </c>
      <c r="AA172">
        <v>519</v>
      </c>
      <c r="AB172">
        <v>415</v>
      </c>
      <c r="AC172">
        <v>428</v>
      </c>
      <c r="AD172">
        <v>407</v>
      </c>
      <c r="AE172">
        <v>540</v>
      </c>
      <c r="AF172">
        <v>865</v>
      </c>
      <c r="AG172">
        <v>700</v>
      </c>
      <c r="AH172">
        <v>641</v>
      </c>
      <c r="AI172">
        <v>544</v>
      </c>
      <c r="AJ172" s="50">
        <f t="shared" si="10"/>
        <v>603.5</v>
      </c>
      <c r="AK172" s="50">
        <f t="shared" si="11"/>
        <v>603.5</v>
      </c>
    </row>
    <row r="173" spans="1:37" x14ac:dyDescent="0.3">
      <c r="A173" s="86" t="s">
        <v>90</v>
      </c>
      <c r="B173" s="6"/>
      <c r="C173" s="8">
        <v>3151474001</v>
      </c>
      <c r="D173" s="86" t="s">
        <v>458</v>
      </c>
      <c r="E173" s="6" t="s">
        <v>11</v>
      </c>
      <c r="F173" s="6" t="s">
        <v>9</v>
      </c>
      <c r="G173" s="6" t="s">
        <v>201</v>
      </c>
      <c r="H173" s="24">
        <v>44891</v>
      </c>
      <c r="I173" s="24" t="s">
        <v>330</v>
      </c>
      <c r="J173" s="44">
        <v>0</v>
      </c>
      <c r="K173" s="50">
        <v>0</v>
      </c>
      <c r="L173" s="50">
        <v>0</v>
      </c>
      <c r="M173" s="50">
        <v>0</v>
      </c>
      <c r="N173">
        <v>656</v>
      </c>
      <c r="O173">
        <v>968</v>
      </c>
      <c r="P173">
        <v>846</v>
      </c>
      <c r="Q173">
        <v>849</v>
      </c>
      <c r="R173">
        <v>987</v>
      </c>
      <c r="S173">
        <v>966</v>
      </c>
      <c r="T173">
        <v>846</v>
      </c>
      <c r="U173">
        <v>857</v>
      </c>
      <c r="V173" s="84">
        <f t="shared" si="12"/>
        <v>581.25</v>
      </c>
      <c r="W173" s="84">
        <f t="shared" si="13"/>
        <v>871.875</v>
      </c>
      <c r="X173">
        <v>1816</v>
      </c>
      <c r="Y173">
        <v>1093</v>
      </c>
      <c r="Z173">
        <v>1329</v>
      </c>
      <c r="AA173">
        <v>1245</v>
      </c>
      <c r="AB173">
        <v>960</v>
      </c>
      <c r="AC173">
        <v>616</v>
      </c>
      <c r="AD173">
        <v>634</v>
      </c>
      <c r="AE173">
        <v>705</v>
      </c>
      <c r="AF173">
        <v>937</v>
      </c>
      <c r="AG173">
        <v>822</v>
      </c>
      <c r="AH173">
        <v>830</v>
      </c>
      <c r="AI173">
        <v>998</v>
      </c>
      <c r="AJ173" s="50">
        <f t="shared" si="10"/>
        <v>998.75</v>
      </c>
      <c r="AK173" s="50">
        <f t="shared" si="11"/>
        <v>998.75</v>
      </c>
    </row>
    <row r="174" spans="1:37" x14ac:dyDescent="0.3">
      <c r="A174" s="94" t="s">
        <v>13</v>
      </c>
      <c r="B174" s="6"/>
      <c r="C174" s="8">
        <v>3141343006</v>
      </c>
      <c r="D174" s="86" t="s">
        <v>444</v>
      </c>
      <c r="E174" s="6" t="s">
        <v>11</v>
      </c>
      <c r="F174" s="6" t="s">
        <v>9</v>
      </c>
      <c r="G174" s="6" t="s">
        <v>12</v>
      </c>
      <c r="H174" s="24">
        <v>44895</v>
      </c>
      <c r="I174" s="24" t="s">
        <v>330</v>
      </c>
      <c r="J174">
        <v>560</v>
      </c>
      <c r="K174">
        <v>606</v>
      </c>
      <c r="L174">
        <v>717</v>
      </c>
      <c r="M174">
        <v>526</v>
      </c>
      <c r="N174">
        <v>561</v>
      </c>
      <c r="O174">
        <v>545</v>
      </c>
      <c r="P174">
        <v>625</v>
      </c>
      <c r="Q174">
        <v>728</v>
      </c>
      <c r="R174">
        <v>929</v>
      </c>
      <c r="S174">
        <v>1075</v>
      </c>
      <c r="T174">
        <v>785</v>
      </c>
      <c r="U174">
        <v>643</v>
      </c>
      <c r="V174" s="84">
        <f t="shared" si="12"/>
        <v>691.66666666666663</v>
      </c>
      <c r="W174" s="84">
        <f t="shared" si="13"/>
        <v>691.66666666666663</v>
      </c>
      <c r="X174">
        <v>621</v>
      </c>
      <c r="Y174">
        <v>1242</v>
      </c>
      <c r="Z174">
        <v>2071</v>
      </c>
      <c r="AA174">
        <v>2244</v>
      </c>
      <c r="AB174">
        <v>2090</v>
      </c>
      <c r="AC174">
        <v>1344</v>
      </c>
      <c r="AD174">
        <v>1026</v>
      </c>
      <c r="AE174">
        <v>976</v>
      </c>
      <c r="AF174">
        <v>1061</v>
      </c>
      <c r="AG174">
        <v>930</v>
      </c>
      <c r="AH174">
        <v>1049</v>
      </c>
      <c r="AI174">
        <v>1096</v>
      </c>
      <c r="AJ174" s="50">
        <f t="shared" si="10"/>
        <v>1312.5</v>
      </c>
      <c r="AK174" s="50">
        <f t="shared" si="11"/>
        <v>1312.5</v>
      </c>
    </row>
    <row r="175" spans="1:37" x14ac:dyDescent="0.3">
      <c r="A175" s="86" t="s">
        <v>90</v>
      </c>
      <c r="B175" s="6"/>
      <c r="C175" s="8">
        <v>3020014000</v>
      </c>
      <c r="D175" s="86" t="s">
        <v>379</v>
      </c>
      <c r="E175" s="6" t="s">
        <v>8</v>
      </c>
      <c r="F175" s="6" t="s">
        <v>9</v>
      </c>
      <c r="G175" s="6" t="s">
        <v>194</v>
      </c>
      <c r="H175" s="24">
        <v>44900</v>
      </c>
      <c r="I175" s="24" t="s">
        <v>330</v>
      </c>
      <c r="J175">
        <v>1376</v>
      </c>
      <c r="K175">
        <v>1268</v>
      </c>
      <c r="L175">
        <v>1060</v>
      </c>
      <c r="M175">
        <v>1798</v>
      </c>
      <c r="N175">
        <v>886</v>
      </c>
      <c r="O175">
        <v>916</v>
      </c>
      <c r="P175">
        <v>678</v>
      </c>
      <c r="Q175">
        <v>540</v>
      </c>
      <c r="R175">
        <v>1084</v>
      </c>
      <c r="S175">
        <v>964</v>
      </c>
      <c r="T175">
        <v>872</v>
      </c>
      <c r="U175">
        <v>914</v>
      </c>
      <c r="V175" s="84">
        <f t="shared" si="12"/>
        <v>1029.6666666666667</v>
      </c>
      <c r="W175" s="84">
        <f t="shared" si="13"/>
        <v>1029.6666666666667</v>
      </c>
      <c r="X175">
        <v>1256</v>
      </c>
      <c r="Y175">
        <v>1082</v>
      </c>
      <c r="Z175">
        <v>1362</v>
      </c>
      <c r="AA175">
        <v>1270</v>
      </c>
      <c r="AB175">
        <v>882</v>
      </c>
      <c r="AC175">
        <v>768</v>
      </c>
      <c r="AD175">
        <v>478</v>
      </c>
      <c r="AE175">
        <v>824</v>
      </c>
      <c r="AF175">
        <v>966</v>
      </c>
      <c r="AG175">
        <v>812</v>
      </c>
      <c r="AH175">
        <v>992</v>
      </c>
      <c r="AI175">
        <v>936</v>
      </c>
      <c r="AJ175" s="50">
        <f t="shared" si="10"/>
        <v>969</v>
      </c>
      <c r="AK175" s="50">
        <f t="shared" si="11"/>
        <v>969</v>
      </c>
    </row>
    <row r="176" spans="1:37" x14ac:dyDescent="0.3">
      <c r="A176" s="86" t="s">
        <v>7</v>
      </c>
      <c r="B176" s="6"/>
      <c r="C176" s="8">
        <v>3100237006</v>
      </c>
      <c r="D176" s="86" t="s">
        <v>459</v>
      </c>
      <c r="E176" s="6" t="s">
        <v>11</v>
      </c>
      <c r="F176" s="6" t="s">
        <v>9</v>
      </c>
      <c r="G176" s="6" t="s">
        <v>196</v>
      </c>
      <c r="H176" s="24">
        <v>44900</v>
      </c>
      <c r="I176" s="24" t="s">
        <v>330</v>
      </c>
      <c r="J176" s="44">
        <v>0</v>
      </c>
      <c r="K176" s="50">
        <v>0</v>
      </c>
      <c r="L176" s="50">
        <v>0</v>
      </c>
      <c r="M176" s="50">
        <v>0</v>
      </c>
      <c r="N176" s="50">
        <v>0</v>
      </c>
      <c r="O176" s="50">
        <v>0</v>
      </c>
      <c r="P176" s="50">
        <v>0</v>
      </c>
      <c r="Q176">
        <v>531</v>
      </c>
      <c r="R176">
        <v>560</v>
      </c>
      <c r="S176">
        <v>565</v>
      </c>
      <c r="T176">
        <v>452</v>
      </c>
      <c r="U176">
        <v>437</v>
      </c>
      <c r="V176" s="84">
        <f t="shared" si="12"/>
        <v>212.08333333333334</v>
      </c>
      <c r="W176" s="84">
        <f t="shared" si="13"/>
        <v>509</v>
      </c>
      <c r="X176">
        <v>480</v>
      </c>
      <c r="Y176">
        <v>515</v>
      </c>
      <c r="Z176">
        <v>541</v>
      </c>
      <c r="AA176">
        <v>569</v>
      </c>
      <c r="AB176">
        <v>448</v>
      </c>
      <c r="AC176">
        <v>424</v>
      </c>
      <c r="AD176">
        <v>525</v>
      </c>
      <c r="AE176">
        <v>599</v>
      </c>
      <c r="AF176">
        <v>632</v>
      </c>
      <c r="AG176">
        <v>680</v>
      </c>
      <c r="AH176">
        <v>561</v>
      </c>
      <c r="AI176">
        <v>421</v>
      </c>
      <c r="AJ176" s="50">
        <f t="shared" si="10"/>
        <v>532.91666666666663</v>
      </c>
      <c r="AK176" s="50">
        <f t="shared" si="11"/>
        <v>532.91666666666663</v>
      </c>
    </row>
    <row r="177" spans="1:37" x14ac:dyDescent="0.3">
      <c r="A177" s="86" t="s">
        <v>90</v>
      </c>
      <c r="B177" s="6"/>
      <c r="C177" s="8">
        <v>3132771002</v>
      </c>
      <c r="D177" s="86" t="s">
        <v>454</v>
      </c>
      <c r="E177" s="6" t="s">
        <v>11</v>
      </c>
      <c r="F177" s="6" t="s">
        <v>9</v>
      </c>
      <c r="G177" s="6" t="s">
        <v>159</v>
      </c>
      <c r="H177" s="24">
        <v>44904</v>
      </c>
      <c r="I177" s="24" t="s">
        <v>330</v>
      </c>
      <c r="J177" s="44">
        <v>0</v>
      </c>
      <c r="K177" s="50">
        <v>0</v>
      </c>
      <c r="L177" s="50">
        <v>0</v>
      </c>
      <c r="M177" s="50">
        <v>0</v>
      </c>
      <c r="N177" s="50">
        <v>0</v>
      </c>
      <c r="O177" s="50">
        <v>0</v>
      </c>
      <c r="P177" s="50">
        <v>0</v>
      </c>
      <c r="Q177">
        <v>934</v>
      </c>
      <c r="R177">
        <v>1543</v>
      </c>
      <c r="S177">
        <v>948</v>
      </c>
      <c r="T177">
        <v>844</v>
      </c>
      <c r="U177">
        <v>600</v>
      </c>
      <c r="V177" s="84">
        <f t="shared" si="12"/>
        <v>405.75</v>
      </c>
      <c r="W177" s="84">
        <f t="shared" si="13"/>
        <v>973.8</v>
      </c>
      <c r="X177">
        <v>1225</v>
      </c>
      <c r="Y177">
        <v>1482</v>
      </c>
      <c r="Z177">
        <v>1519</v>
      </c>
      <c r="AA177">
        <v>1527</v>
      </c>
      <c r="AB177">
        <v>1380</v>
      </c>
      <c r="AC177">
        <v>780</v>
      </c>
      <c r="AD177">
        <v>720</v>
      </c>
      <c r="AE177">
        <v>1017</v>
      </c>
      <c r="AF177">
        <v>648</v>
      </c>
      <c r="AG177">
        <v>755</v>
      </c>
      <c r="AH177">
        <v>903</v>
      </c>
      <c r="AI177">
        <v>1228</v>
      </c>
      <c r="AJ177" s="50">
        <f t="shared" si="10"/>
        <v>1098.6666666666667</v>
      </c>
      <c r="AK177" s="50">
        <f t="shared" si="11"/>
        <v>1098.6666666666667</v>
      </c>
    </row>
    <row r="178" spans="1:37" x14ac:dyDescent="0.3">
      <c r="A178" s="86" t="s">
        <v>7</v>
      </c>
      <c r="B178" s="6"/>
      <c r="C178" s="8">
        <v>3101476003</v>
      </c>
      <c r="D178" s="86" t="s">
        <v>460</v>
      </c>
      <c r="E178" s="6" t="s">
        <v>16</v>
      </c>
      <c r="F178" s="6" t="s">
        <v>9</v>
      </c>
      <c r="G178" s="6" t="s">
        <v>214</v>
      </c>
      <c r="H178" s="24">
        <v>44910</v>
      </c>
      <c r="I178" s="24" t="s">
        <v>330</v>
      </c>
      <c r="J178">
        <v>1338</v>
      </c>
      <c r="K178">
        <v>1670</v>
      </c>
      <c r="L178">
        <v>1342</v>
      </c>
      <c r="M178">
        <v>1314</v>
      </c>
      <c r="N178">
        <v>944</v>
      </c>
      <c r="O178">
        <v>582</v>
      </c>
      <c r="P178">
        <v>1002</v>
      </c>
      <c r="Q178">
        <v>1136</v>
      </c>
      <c r="R178">
        <v>1334</v>
      </c>
      <c r="S178">
        <v>1110</v>
      </c>
      <c r="T178">
        <v>932</v>
      </c>
      <c r="U178">
        <v>998</v>
      </c>
      <c r="V178" s="84">
        <f t="shared" si="12"/>
        <v>1141.8333333333333</v>
      </c>
      <c r="W178" s="84">
        <f t="shared" si="13"/>
        <v>1141.8333333333333</v>
      </c>
      <c r="X178">
        <v>1794</v>
      </c>
      <c r="Y178">
        <v>3290</v>
      </c>
      <c r="Z178">
        <v>2432</v>
      </c>
      <c r="AA178">
        <v>2794</v>
      </c>
      <c r="AB178">
        <v>1466</v>
      </c>
      <c r="AC178">
        <v>1004</v>
      </c>
      <c r="AD178">
        <v>584</v>
      </c>
      <c r="AE178">
        <v>910</v>
      </c>
      <c r="AF178">
        <v>756</v>
      </c>
      <c r="AG178">
        <v>722</v>
      </c>
      <c r="AH178">
        <v>910</v>
      </c>
      <c r="AI178">
        <v>1512</v>
      </c>
      <c r="AJ178" s="50">
        <f t="shared" si="10"/>
        <v>1514.5</v>
      </c>
      <c r="AK178" s="50">
        <f t="shared" si="11"/>
        <v>1514.5</v>
      </c>
    </row>
    <row r="179" spans="1:37" x14ac:dyDescent="0.3">
      <c r="A179" s="86" t="s">
        <v>90</v>
      </c>
      <c r="B179" s="6"/>
      <c r="C179" s="8">
        <v>3132061002</v>
      </c>
      <c r="D179" s="86" t="s">
        <v>461</v>
      </c>
      <c r="E179" s="6" t="s">
        <v>11</v>
      </c>
      <c r="F179" s="6" t="s">
        <v>9</v>
      </c>
      <c r="G179" s="6" t="s">
        <v>202</v>
      </c>
      <c r="H179" s="24">
        <v>44913</v>
      </c>
      <c r="I179" s="24" t="s">
        <v>330</v>
      </c>
      <c r="J179">
        <v>461</v>
      </c>
      <c r="K179">
        <v>398</v>
      </c>
      <c r="L179">
        <v>337</v>
      </c>
      <c r="M179">
        <v>559</v>
      </c>
      <c r="N179">
        <v>622</v>
      </c>
      <c r="O179">
        <v>521</v>
      </c>
      <c r="P179">
        <v>387</v>
      </c>
      <c r="Q179">
        <v>416</v>
      </c>
      <c r="R179">
        <v>381</v>
      </c>
      <c r="S179">
        <v>376</v>
      </c>
      <c r="T179">
        <v>356</v>
      </c>
      <c r="U179">
        <v>776</v>
      </c>
      <c r="V179" s="84">
        <f t="shared" si="12"/>
        <v>465.83333333333331</v>
      </c>
      <c r="W179" s="84">
        <f t="shared" si="13"/>
        <v>465.83333333333331</v>
      </c>
      <c r="X179">
        <v>723</v>
      </c>
      <c r="Y179">
        <v>777</v>
      </c>
      <c r="Z179">
        <v>685</v>
      </c>
      <c r="AA179">
        <v>687</v>
      </c>
      <c r="AB179">
        <v>571</v>
      </c>
      <c r="AC179">
        <v>462</v>
      </c>
      <c r="AD179">
        <v>397</v>
      </c>
      <c r="AE179">
        <v>537</v>
      </c>
      <c r="AF179">
        <v>428</v>
      </c>
      <c r="AG179">
        <v>513</v>
      </c>
      <c r="AH179">
        <v>516</v>
      </c>
      <c r="AI179">
        <v>549</v>
      </c>
      <c r="AJ179" s="50">
        <f t="shared" si="10"/>
        <v>570.41666666666663</v>
      </c>
      <c r="AK179" s="50">
        <f t="shared" si="11"/>
        <v>570.41666666666663</v>
      </c>
    </row>
    <row r="180" spans="1:37" x14ac:dyDescent="0.3">
      <c r="A180" s="86" t="s">
        <v>113</v>
      </c>
      <c r="B180" s="6"/>
      <c r="C180" s="8">
        <v>3062482000</v>
      </c>
      <c r="D180" s="86" t="s">
        <v>372</v>
      </c>
      <c r="E180" s="6" t="s">
        <v>16</v>
      </c>
      <c r="F180" s="6" t="s">
        <v>9</v>
      </c>
      <c r="G180" s="6" t="s">
        <v>209</v>
      </c>
      <c r="H180" s="24">
        <v>44924</v>
      </c>
      <c r="I180" s="24" t="s">
        <v>330</v>
      </c>
      <c r="J180">
        <v>637</v>
      </c>
      <c r="K180">
        <v>638</v>
      </c>
      <c r="L180">
        <v>547</v>
      </c>
      <c r="M180">
        <v>536</v>
      </c>
      <c r="N180">
        <v>489</v>
      </c>
      <c r="O180">
        <v>476</v>
      </c>
      <c r="P180">
        <v>499</v>
      </c>
      <c r="Q180">
        <v>803</v>
      </c>
      <c r="R180">
        <v>1159</v>
      </c>
      <c r="S180">
        <v>808</v>
      </c>
      <c r="T180">
        <v>587</v>
      </c>
      <c r="U180">
        <v>650</v>
      </c>
      <c r="V180" s="84">
        <f t="shared" si="12"/>
        <v>652.41666666666663</v>
      </c>
      <c r="W180" s="84">
        <f t="shared" si="13"/>
        <v>652.41666666666663</v>
      </c>
      <c r="X180">
        <v>693</v>
      </c>
      <c r="Y180">
        <v>591</v>
      </c>
      <c r="Z180">
        <v>544</v>
      </c>
      <c r="AA180">
        <v>498</v>
      </c>
      <c r="AB180">
        <v>464</v>
      </c>
      <c r="AC180">
        <v>561</v>
      </c>
      <c r="AD180">
        <v>523</v>
      </c>
      <c r="AE180">
        <v>1078</v>
      </c>
      <c r="AF180">
        <v>1155</v>
      </c>
      <c r="AG180">
        <v>953</v>
      </c>
      <c r="AH180">
        <v>641</v>
      </c>
      <c r="AI180">
        <v>610</v>
      </c>
      <c r="AJ180" s="50">
        <f t="shared" si="10"/>
        <v>692.58333333333337</v>
      </c>
      <c r="AK180" s="50">
        <f t="shared" si="11"/>
        <v>692.58333333333337</v>
      </c>
    </row>
    <row r="181" spans="1:37" x14ac:dyDescent="0.3">
      <c r="A181" s="86" t="s">
        <v>90</v>
      </c>
      <c r="B181" s="6"/>
      <c r="C181" s="8">
        <v>3160837000</v>
      </c>
      <c r="D181" s="86" t="s">
        <v>462</v>
      </c>
      <c r="E181" s="6" t="s">
        <v>8</v>
      </c>
      <c r="F181" s="6" t="s">
        <v>9</v>
      </c>
      <c r="G181" s="6" t="s">
        <v>193</v>
      </c>
      <c r="H181" s="24">
        <v>44924</v>
      </c>
      <c r="I181" s="24" t="s">
        <v>330</v>
      </c>
      <c r="J181">
        <v>1095</v>
      </c>
      <c r="K181">
        <v>1404</v>
      </c>
      <c r="L181">
        <v>1280</v>
      </c>
      <c r="M181">
        <v>1273</v>
      </c>
      <c r="N181">
        <v>1023</v>
      </c>
      <c r="O181">
        <v>910</v>
      </c>
      <c r="P181">
        <v>878</v>
      </c>
      <c r="Q181">
        <v>852</v>
      </c>
      <c r="R181">
        <v>990</v>
      </c>
      <c r="S181">
        <v>795</v>
      </c>
      <c r="T181">
        <v>818</v>
      </c>
      <c r="U181">
        <v>1000</v>
      </c>
      <c r="V181" s="84">
        <f t="shared" si="12"/>
        <v>1026.5</v>
      </c>
      <c r="W181" s="84">
        <f t="shared" si="13"/>
        <v>1026.5</v>
      </c>
      <c r="X181">
        <v>1157</v>
      </c>
      <c r="Y181">
        <v>1328</v>
      </c>
      <c r="Z181">
        <v>1355</v>
      </c>
      <c r="AA181">
        <v>1423</v>
      </c>
      <c r="AB181">
        <v>990</v>
      </c>
      <c r="AC181">
        <v>894</v>
      </c>
      <c r="AD181">
        <v>802</v>
      </c>
      <c r="AE181">
        <v>1008</v>
      </c>
      <c r="AF181">
        <v>1068</v>
      </c>
      <c r="AG181">
        <v>925</v>
      </c>
      <c r="AH181">
        <v>1264</v>
      </c>
      <c r="AI181">
        <v>1265</v>
      </c>
      <c r="AJ181" s="50">
        <f t="shared" si="10"/>
        <v>1123.25</v>
      </c>
      <c r="AK181" s="50">
        <f t="shared" si="11"/>
        <v>1123.25</v>
      </c>
    </row>
    <row r="182" spans="1:37" x14ac:dyDescent="0.3">
      <c r="A182" s="86" t="s">
        <v>90</v>
      </c>
      <c r="B182" s="6"/>
      <c r="C182" s="8">
        <v>3010134001</v>
      </c>
      <c r="D182" s="86" t="s">
        <v>364</v>
      </c>
      <c r="E182" s="6" t="s">
        <v>11</v>
      </c>
      <c r="F182" s="6" t="s">
        <v>9</v>
      </c>
      <c r="G182" s="6" t="s">
        <v>210</v>
      </c>
      <c r="H182" s="24">
        <v>44925</v>
      </c>
      <c r="I182" s="24" t="s">
        <v>330</v>
      </c>
      <c r="J182">
        <v>178</v>
      </c>
      <c r="K182">
        <v>235</v>
      </c>
      <c r="L182">
        <v>183</v>
      </c>
      <c r="M182">
        <v>167</v>
      </c>
      <c r="N182">
        <v>168</v>
      </c>
      <c r="O182">
        <v>153</v>
      </c>
      <c r="P182">
        <v>193</v>
      </c>
      <c r="Q182">
        <v>197</v>
      </c>
      <c r="R182">
        <v>426</v>
      </c>
      <c r="S182">
        <v>219</v>
      </c>
      <c r="T182">
        <v>190</v>
      </c>
      <c r="U182">
        <v>216</v>
      </c>
      <c r="V182" s="84">
        <f t="shared" si="12"/>
        <v>210.41666666666666</v>
      </c>
      <c r="W182" s="84">
        <f t="shared" si="13"/>
        <v>210.41666666666666</v>
      </c>
      <c r="X182">
        <v>337</v>
      </c>
      <c r="Y182">
        <v>273</v>
      </c>
      <c r="Z182">
        <v>1658</v>
      </c>
      <c r="AA182">
        <v>1561</v>
      </c>
      <c r="AB182">
        <v>1122</v>
      </c>
      <c r="AC182">
        <v>867</v>
      </c>
      <c r="AD182">
        <v>440</v>
      </c>
      <c r="AE182">
        <v>464</v>
      </c>
      <c r="AF182">
        <v>568</v>
      </c>
      <c r="AG182">
        <v>388</v>
      </c>
      <c r="AH182">
        <v>421</v>
      </c>
      <c r="AI182">
        <v>606</v>
      </c>
      <c r="AJ182" s="50">
        <f t="shared" si="10"/>
        <v>725.41666666666663</v>
      </c>
      <c r="AK182" s="50">
        <f t="shared" si="11"/>
        <v>725.41666666666663</v>
      </c>
    </row>
    <row r="183" spans="1:37" x14ac:dyDescent="0.3">
      <c r="A183" s="86" t="s">
        <v>204</v>
      </c>
      <c r="B183" s="6"/>
      <c r="C183" s="8">
        <v>3061188000</v>
      </c>
      <c r="D183" s="86" t="s">
        <v>441</v>
      </c>
      <c r="E183" s="6" t="s">
        <v>11</v>
      </c>
      <c r="F183" s="6" t="s">
        <v>9</v>
      </c>
      <c r="G183" s="6" t="s">
        <v>212</v>
      </c>
      <c r="H183" s="24">
        <v>44925</v>
      </c>
      <c r="I183" s="24" t="s">
        <v>330</v>
      </c>
      <c r="J183">
        <v>467</v>
      </c>
      <c r="K183">
        <v>471</v>
      </c>
      <c r="L183">
        <v>461</v>
      </c>
      <c r="M183">
        <v>471</v>
      </c>
      <c r="N183">
        <v>382</v>
      </c>
      <c r="O183">
        <v>367</v>
      </c>
      <c r="P183">
        <v>401</v>
      </c>
      <c r="Q183">
        <v>449</v>
      </c>
      <c r="R183">
        <v>652</v>
      </c>
      <c r="S183">
        <v>492</v>
      </c>
      <c r="T183">
        <v>376</v>
      </c>
      <c r="U183">
        <v>356</v>
      </c>
      <c r="V183" s="84">
        <f t="shared" si="12"/>
        <v>445.41666666666669</v>
      </c>
      <c r="W183" s="84">
        <f t="shared" si="13"/>
        <v>445.41666666666669</v>
      </c>
      <c r="X183">
        <v>470</v>
      </c>
      <c r="Y183">
        <v>470</v>
      </c>
      <c r="Z183">
        <v>457</v>
      </c>
      <c r="AA183">
        <v>383</v>
      </c>
      <c r="AB183">
        <v>380</v>
      </c>
      <c r="AC183">
        <v>402</v>
      </c>
      <c r="AD183">
        <v>345</v>
      </c>
      <c r="AE183">
        <v>426</v>
      </c>
      <c r="AF183">
        <v>425</v>
      </c>
      <c r="AG183">
        <v>377</v>
      </c>
      <c r="AH183">
        <v>417</v>
      </c>
      <c r="AI183">
        <v>417</v>
      </c>
      <c r="AJ183" s="50">
        <f t="shared" si="10"/>
        <v>414.08333333333331</v>
      </c>
      <c r="AK183" s="50">
        <f t="shared" si="11"/>
        <v>414.08333333333331</v>
      </c>
    </row>
    <row r="184" spans="1:37" x14ac:dyDescent="0.3">
      <c r="A184" s="86" t="s">
        <v>204</v>
      </c>
      <c r="B184" s="6"/>
      <c r="C184" s="8">
        <v>3160609001</v>
      </c>
      <c r="D184" s="86" t="s">
        <v>463</v>
      </c>
      <c r="E184" s="6" t="s">
        <v>14</v>
      </c>
      <c r="F184" s="6" t="s">
        <v>9</v>
      </c>
      <c r="G184" s="6" t="s">
        <v>211</v>
      </c>
      <c r="H184" s="24">
        <v>44925</v>
      </c>
      <c r="I184" s="24" t="s">
        <v>330</v>
      </c>
      <c r="J184">
        <v>2640</v>
      </c>
      <c r="K184">
        <v>4210</v>
      </c>
      <c r="L184">
        <v>3132</v>
      </c>
      <c r="M184">
        <v>2892</v>
      </c>
      <c r="N184">
        <v>2038</v>
      </c>
      <c r="O184">
        <v>2182</v>
      </c>
      <c r="P184">
        <v>2952</v>
      </c>
      <c r="Q184">
        <v>3132</v>
      </c>
      <c r="R184">
        <v>3700</v>
      </c>
      <c r="S184">
        <v>3462</v>
      </c>
      <c r="T184">
        <v>2854</v>
      </c>
      <c r="U184">
        <v>3282</v>
      </c>
      <c r="V184" s="84">
        <f t="shared" si="12"/>
        <v>3039.6666666666665</v>
      </c>
      <c r="W184" s="84">
        <f t="shared" si="13"/>
        <v>3039.6666666666665</v>
      </c>
      <c r="X184">
        <v>3718</v>
      </c>
      <c r="Y184">
        <v>3466</v>
      </c>
      <c r="Z184">
        <v>4226</v>
      </c>
      <c r="AA184">
        <v>2976</v>
      </c>
      <c r="AB184">
        <v>2832</v>
      </c>
      <c r="AC184">
        <v>2862</v>
      </c>
      <c r="AD184">
        <v>2862</v>
      </c>
      <c r="AE184">
        <v>3826</v>
      </c>
      <c r="AF184">
        <v>3826</v>
      </c>
      <c r="AG184">
        <v>3378</v>
      </c>
      <c r="AH184">
        <v>3030</v>
      </c>
      <c r="AI184">
        <v>3962</v>
      </c>
      <c r="AJ184" s="50">
        <f t="shared" si="10"/>
        <v>3413.6666666666665</v>
      </c>
      <c r="AK184" s="50">
        <f t="shared" si="11"/>
        <v>3413.6666666666665</v>
      </c>
    </row>
    <row r="185" spans="1:37" x14ac:dyDescent="0.3">
      <c r="A185" s="86" t="s">
        <v>90</v>
      </c>
      <c r="B185" s="6"/>
      <c r="C185" s="8">
        <v>3111829001</v>
      </c>
      <c r="D185" s="86" t="s">
        <v>401</v>
      </c>
      <c r="E185" s="6" t="s">
        <v>16</v>
      </c>
      <c r="F185" s="6" t="s">
        <v>9</v>
      </c>
      <c r="G185" s="6" t="s">
        <v>77</v>
      </c>
      <c r="H185" s="24">
        <v>44930</v>
      </c>
      <c r="I185" s="24" t="s">
        <v>330</v>
      </c>
      <c r="J185" s="44">
        <v>0</v>
      </c>
      <c r="K185">
        <v>4262</v>
      </c>
      <c r="L185">
        <v>3574</v>
      </c>
      <c r="M185">
        <v>2590</v>
      </c>
      <c r="N185">
        <v>1474</v>
      </c>
      <c r="O185">
        <v>1212</v>
      </c>
      <c r="P185">
        <v>1202</v>
      </c>
      <c r="Q185">
        <v>1908</v>
      </c>
      <c r="R185">
        <v>2512</v>
      </c>
      <c r="S185">
        <v>1054</v>
      </c>
      <c r="T185">
        <v>1370</v>
      </c>
      <c r="U185">
        <v>1850</v>
      </c>
      <c r="V185" s="84">
        <f t="shared" si="12"/>
        <v>1917.3333333333333</v>
      </c>
      <c r="W185" s="84">
        <f t="shared" si="13"/>
        <v>2091.6363636363635</v>
      </c>
      <c r="X185">
        <v>2362</v>
      </c>
      <c r="Y185">
        <v>2808</v>
      </c>
      <c r="Z185">
        <v>2948</v>
      </c>
      <c r="AA185">
        <v>2544</v>
      </c>
      <c r="AB185">
        <v>1658</v>
      </c>
      <c r="AC185">
        <v>1520</v>
      </c>
      <c r="AD185">
        <v>1042</v>
      </c>
      <c r="AE185">
        <v>1814</v>
      </c>
      <c r="AF185">
        <v>1090</v>
      </c>
      <c r="AG185">
        <v>1294</v>
      </c>
      <c r="AH185">
        <v>1628</v>
      </c>
      <c r="AI185">
        <v>1960</v>
      </c>
      <c r="AJ185" s="50">
        <f t="shared" si="10"/>
        <v>1889</v>
      </c>
      <c r="AK185" s="50">
        <f t="shared" si="11"/>
        <v>1889</v>
      </c>
    </row>
    <row r="186" spans="1:37" x14ac:dyDescent="0.3">
      <c r="A186" s="86" t="s">
        <v>13</v>
      </c>
      <c r="B186" s="6"/>
      <c r="C186" s="8">
        <v>3120381003</v>
      </c>
      <c r="D186" s="86" t="s">
        <v>464</v>
      </c>
      <c r="E186" s="6" t="s">
        <v>16</v>
      </c>
      <c r="F186" s="6" t="s">
        <v>9</v>
      </c>
      <c r="G186" s="6" t="s">
        <v>213</v>
      </c>
      <c r="H186" s="24">
        <v>44935</v>
      </c>
      <c r="I186" s="24" t="s">
        <v>330</v>
      </c>
      <c r="J186" s="44">
        <v>0</v>
      </c>
      <c r="K186" s="47">
        <v>0</v>
      </c>
      <c r="L186" s="50">
        <v>0</v>
      </c>
      <c r="M186" s="50">
        <v>0</v>
      </c>
      <c r="N186" s="50">
        <v>0</v>
      </c>
      <c r="O186" s="50">
        <v>0</v>
      </c>
      <c r="P186" s="50">
        <v>0</v>
      </c>
      <c r="Q186" s="50">
        <v>0</v>
      </c>
      <c r="R186" s="50">
        <v>0</v>
      </c>
      <c r="S186" s="50">
        <v>0</v>
      </c>
      <c r="T186" s="50">
        <v>0</v>
      </c>
      <c r="U186">
        <v>172</v>
      </c>
      <c r="V186" s="84">
        <f t="shared" si="12"/>
        <v>14.333333333333334</v>
      </c>
      <c r="W186" s="84">
        <f t="shared" si="13"/>
        <v>172</v>
      </c>
      <c r="X186">
        <v>266</v>
      </c>
      <c r="Y186">
        <v>911</v>
      </c>
      <c r="Z186">
        <v>1100</v>
      </c>
      <c r="AA186">
        <v>980</v>
      </c>
      <c r="AB186">
        <v>850</v>
      </c>
      <c r="AC186">
        <v>1231</v>
      </c>
      <c r="AD186">
        <v>928</v>
      </c>
      <c r="AE186">
        <v>1046</v>
      </c>
      <c r="AF186">
        <v>936</v>
      </c>
      <c r="AG186">
        <v>1102</v>
      </c>
      <c r="AH186">
        <v>951</v>
      </c>
      <c r="AI186">
        <v>866</v>
      </c>
      <c r="AJ186" s="50">
        <f t="shared" si="10"/>
        <v>930.58333333333337</v>
      </c>
      <c r="AK186" s="50">
        <f t="shared" si="11"/>
        <v>930.58333333333337</v>
      </c>
    </row>
    <row r="187" spans="1:37" x14ac:dyDescent="0.3">
      <c r="A187" s="86" t="s">
        <v>90</v>
      </c>
      <c r="B187" s="6"/>
      <c r="C187" s="8">
        <v>3020274000</v>
      </c>
      <c r="D187" s="86" t="s">
        <v>335</v>
      </c>
      <c r="E187" s="6" t="s">
        <v>16</v>
      </c>
      <c r="F187" s="6" t="s">
        <v>9</v>
      </c>
      <c r="G187" s="6" t="s">
        <v>250</v>
      </c>
      <c r="H187" s="24">
        <v>44938</v>
      </c>
      <c r="I187" s="24" t="s">
        <v>330</v>
      </c>
      <c r="J187">
        <v>735</v>
      </c>
      <c r="K187">
        <v>887</v>
      </c>
      <c r="L187">
        <v>907</v>
      </c>
      <c r="M187">
        <v>826</v>
      </c>
      <c r="N187">
        <v>743</v>
      </c>
      <c r="O187">
        <v>991</v>
      </c>
      <c r="P187">
        <v>1385</v>
      </c>
      <c r="Q187">
        <v>2464</v>
      </c>
      <c r="R187">
        <v>1291</v>
      </c>
      <c r="S187">
        <v>650</v>
      </c>
      <c r="T187">
        <v>628</v>
      </c>
      <c r="U187">
        <v>1024</v>
      </c>
      <c r="V187" s="84">
        <f t="shared" si="12"/>
        <v>1044.25</v>
      </c>
      <c r="W187" s="84">
        <f t="shared" si="13"/>
        <v>1044.25</v>
      </c>
      <c r="X187">
        <v>1390</v>
      </c>
      <c r="Y187">
        <v>2088</v>
      </c>
      <c r="Z187">
        <v>1842</v>
      </c>
      <c r="AA187">
        <v>1549</v>
      </c>
      <c r="AB187">
        <v>968</v>
      </c>
      <c r="AC187">
        <v>708</v>
      </c>
      <c r="AD187">
        <v>1129</v>
      </c>
      <c r="AE187">
        <v>1719</v>
      </c>
      <c r="AF187">
        <v>1514</v>
      </c>
      <c r="AG187">
        <v>1196</v>
      </c>
      <c r="AH187">
        <v>826</v>
      </c>
      <c r="AI187">
        <v>1788</v>
      </c>
      <c r="AJ187" s="50">
        <f t="shared" si="10"/>
        <v>1393.0833333333333</v>
      </c>
      <c r="AK187" s="50">
        <f t="shared" si="11"/>
        <v>1393.0833333333333</v>
      </c>
    </row>
    <row r="188" spans="1:37" x14ac:dyDescent="0.3">
      <c r="A188" s="86" t="s">
        <v>90</v>
      </c>
      <c r="B188" s="6"/>
      <c r="C188" s="8">
        <v>3041201000</v>
      </c>
      <c r="D188" s="86" t="s">
        <v>352</v>
      </c>
      <c r="E188" s="6" t="s">
        <v>16</v>
      </c>
      <c r="F188" s="6" t="s">
        <v>9</v>
      </c>
      <c r="G188" s="6" t="s">
        <v>111</v>
      </c>
      <c r="H188" s="24">
        <v>44940</v>
      </c>
      <c r="I188" s="24" t="s">
        <v>330</v>
      </c>
      <c r="J188" s="44">
        <v>0</v>
      </c>
      <c r="K188">
        <v>1270</v>
      </c>
      <c r="L188">
        <v>1260</v>
      </c>
      <c r="M188">
        <v>1116</v>
      </c>
      <c r="N188">
        <v>804</v>
      </c>
      <c r="O188">
        <v>812</v>
      </c>
      <c r="P188">
        <v>842</v>
      </c>
      <c r="Q188">
        <v>884</v>
      </c>
      <c r="R188">
        <v>1046</v>
      </c>
      <c r="S188">
        <v>978</v>
      </c>
      <c r="T188">
        <v>1104</v>
      </c>
      <c r="U188">
        <v>1384</v>
      </c>
      <c r="V188" s="84">
        <f t="shared" si="12"/>
        <v>958.33333333333337</v>
      </c>
      <c r="W188" s="84">
        <f t="shared" si="13"/>
        <v>1045.4545454545455</v>
      </c>
      <c r="X188">
        <v>1276</v>
      </c>
      <c r="Y188">
        <v>1186</v>
      </c>
      <c r="Z188">
        <v>982</v>
      </c>
      <c r="AA188">
        <v>864</v>
      </c>
      <c r="AB188">
        <v>652</v>
      </c>
      <c r="AC188">
        <v>652</v>
      </c>
      <c r="AD188">
        <v>670</v>
      </c>
      <c r="AE188">
        <v>1402</v>
      </c>
      <c r="AF188">
        <v>1548</v>
      </c>
      <c r="AG188">
        <v>1626</v>
      </c>
      <c r="AH188">
        <v>1084</v>
      </c>
      <c r="AI188">
        <v>1112</v>
      </c>
      <c r="AJ188" s="50">
        <f t="shared" si="10"/>
        <v>1087.8333333333333</v>
      </c>
      <c r="AK188" s="50">
        <f t="shared" si="11"/>
        <v>1087.8333333333333</v>
      </c>
    </row>
    <row r="189" spans="1:37" x14ac:dyDescent="0.3">
      <c r="A189" s="86" t="s">
        <v>90</v>
      </c>
      <c r="B189" s="6"/>
      <c r="C189" s="8">
        <v>3120130002</v>
      </c>
      <c r="D189" s="86" t="s">
        <v>465</v>
      </c>
      <c r="E189" s="6" t="s">
        <v>11</v>
      </c>
      <c r="F189" s="6" t="s">
        <v>9</v>
      </c>
      <c r="G189" s="6" t="s">
        <v>244</v>
      </c>
      <c r="H189" s="24">
        <v>44940</v>
      </c>
      <c r="I189" s="24" t="s">
        <v>330</v>
      </c>
      <c r="J189" s="44">
        <v>0</v>
      </c>
      <c r="K189" s="50">
        <v>0</v>
      </c>
      <c r="L189" s="50">
        <v>0</v>
      </c>
      <c r="M189" s="50">
        <v>0</v>
      </c>
      <c r="N189" s="50">
        <v>0</v>
      </c>
      <c r="O189" s="50">
        <v>0</v>
      </c>
      <c r="P189" s="50">
        <v>0</v>
      </c>
      <c r="Q189">
        <v>163</v>
      </c>
      <c r="R189">
        <v>611</v>
      </c>
      <c r="S189">
        <v>524</v>
      </c>
      <c r="T189">
        <v>555</v>
      </c>
      <c r="U189">
        <v>514</v>
      </c>
      <c r="V189" s="84">
        <f t="shared" si="12"/>
        <v>197.25</v>
      </c>
      <c r="W189" s="84">
        <f t="shared" si="13"/>
        <v>473.4</v>
      </c>
      <c r="X189">
        <v>646</v>
      </c>
      <c r="Y189">
        <v>555</v>
      </c>
      <c r="Z189">
        <v>409</v>
      </c>
      <c r="AA189">
        <v>470</v>
      </c>
      <c r="AB189">
        <v>586</v>
      </c>
      <c r="AC189">
        <v>563</v>
      </c>
      <c r="AD189">
        <v>699</v>
      </c>
      <c r="AE189">
        <v>720</v>
      </c>
      <c r="AF189">
        <v>797</v>
      </c>
      <c r="AG189">
        <v>709</v>
      </c>
      <c r="AH189">
        <v>577</v>
      </c>
      <c r="AI189" s="50">
        <v>0</v>
      </c>
      <c r="AJ189" s="50">
        <f t="shared" si="10"/>
        <v>560.91666666666663</v>
      </c>
      <c r="AK189" s="50">
        <f t="shared" si="11"/>
        <v>611.90909090909088</v>
      </c>
    </row>
    <row r="190" spans="1:37" x14ac:dyDescent="0.3">
      <c r="A190" s="86" t="s">
        <v>7</v>
      </c>
      <c r="B190" s="6"/>
      <c r="C190" s="8">
        <v>3011889000</v>
      </c>
      <c r="D190" s="86" t="s">
        <v>466</v>
      </c>
      <c r="E190" s="6" t="s">
        <v>11</v>
      </c>
      <c r="F190" s="6" t="s">
        <v>9</v>
      </c>
      <c r="G190" s="6" t="s">
        <v>12</v>
      </c>
      <c r="H190" s="24">
        <v>44942</v>
      </c>
      <c r="I190" s="24" t="s">
        <v>330</v>
      </c>
      <c r="J190">
        <v>639</v>
      </c>
      <c r="K190">
        <v>608</v>
      </c>
      <c r="L190">
        <v>638</v>
      </c>
      <c r="M190">
        <v>536</v>
      </c>
      <c r="N190">
        <v>560</v>
      </c>
      <c r="O190">
        <v>503</v>
      </c>
      <c r="P190">
        <v>446</v>
      </c>
      <c r="Q190">
        <v>501</v>
      </c>
      <c r="R190">
        <v>451</v>
      </c>
      <c r="S190">
        <v>438</v>
      </c>
      <c r="T190">
        <v>445</v>
      </c>
      <c r="U190">
        <v>584</v>
      </c>
      <c r="V190" s="84">
        <f t="shared" si="12"/>
        <v>529.08333333333337</v>
      </c>
      <c r="W190" s="84">
        <f t="shared" si="13"/>
        <v>529.08333333333337</v>
      </c>
      <c r="X190">
        <v>598</v>
      </c>
      <c r="Y190">
        <v>595</v>
      </c>
      <c r="Z190">
        <v>556</v>
      </c>
      <c r="AA190">
        <v>518</v>
      </c>
      <c r="AB190">
        <v>545</v>
      </c>
      <c r="AC190">
        <v>437</v>
      </c>
      <c r="AD190">
        <v>447</v>
      </c>
      <c r="AE190">
        <v>416</v>
      </c>
      <c r="AF190">
        <v>368</v>
      </c>
      <c r="AG190">
        <v>436</v>
      </c>
      <c r="AH190">
        <v>491</v>
      </c>
      <c r="AI190">
        <v>697</v>
      </c>
      <c r="AJ190" s="50">
        <f t="shared" si="10"/>
        <v>508.66666666666669</v>
      </c>
      <c r="AK190" s="50">
        <f t="shared" si="11"/>
        <v>508.66666666666669</v>
      </c>
    </row>
    <row r="191" spans="1:37" x14ac:dyDescent="0.3">
      <c r="A191" s="86" t="s">
        <v>13</v>
      </c>
      <c r="B191" s="6"/>
      <c r="C191" s="8">
        <v>3141195000</v>
      </c>
      <c r="D191" s="86" t="s">
        <v>385</v>
      </c>
      <c r="E191" s="6" t="s">
        <v>16</v>
      </c>
      <c r="F191" s="6" t="s">
        <v>9</v>
      </c>
      <c r="G191" s="6" t="s">
        <v>252</v>
      </c>
      <c r="H191" s="24">
        <v>44942</v>
      </c>
      <c r="I191" s="24" t="s">
        <v>330</v>
      </c>
      <c r="J191" s="44">
        <v>0</v>
      </c>
      <c r="K191">
        <v>1343</v>
      </c>
      <c r="L191">
        <v>993</v>
      </c>
      <c r="M191">
        <v>993</v>
      </c>
      <c r="N191">
        <v>852</v>
      </c>
      <c r="O191">
        <v>1050</v>
      </c>
      <c r="P191">
        <v>1083</v>
      </c>
      <c r="Q191">
        <v>1011</v>
      </c>
      <c r="R191">
        <v>1342</v>
      </c>
      <c r="S191">
        <v>1204</v>
      </c>
      <c r="T191">
        <v>754</v>
      </c>
      <c r="U191">
        <v>831</v>
      </c>
      <c r="V191" s="84">
        <f t="shared" si="12"/>
        <v>954.66666666666663</v>
      </c>
      <c r="W191" s="84">
        <f t="shared" si="13"/>
        <v>1041.4545454545455</v>
      </c>
      <c r="X191">
        <v>859</v>
      </c>
      <c r="Y191">
        <v>1079</v>
      </c>
      <c r="Z191">
        <v>888</v>
      </c>
      <c r="AA191">
        <v>895</v>
      </c>
      <c r="AB191">
        <v>799</v>
      </c>
      <c r="AC191">
        <v>861</v>
      </c>
      <c r="AD191">
        <v>1008</v>
      </c>
      <c r="AE191">
        <v>981</v>
      </c>
      <c r="AF191">
        <v>1006</v>
      </c>
      <c r="AG191">
        <v>1136</v>
      </c>
      <c r="AH191">
        <v>900</v>
      </c>
      <c r="AI191">
        <v>919</v>
      </c>
      <c r="AJ191" s="50">
        <f t="shared" si="10"/>
        <v>944.25</v>
      </c>
      <c r="AK191" s="50">
        <f t="shared" si="11"/>
        <v>944.25</v>
      </c>
    </row>
    <row r="192" spans="1:37" x14ac:dyDescent="0.3">
      <c r="A192" s="86" t="s">
        <v>90</v>
      </c>
      <c r="B192" s="6"/>
      <c r="C192" s="8">
        <v>3151685002</v>
      </c>
      <c r="D192" s="86" t="s">
        <v>348</v>
      </c>
      <c r="E192" s="6" t="s">
        <v>16</v>
      </c>
      <c r="F192" s="6" t="s">
        <v>9</v>
      </c>
      <c r="G192" s="6" t="s">
        <v>217</v>
      </c>
      <c r="H192" s="24">
        <v>44942</v>
      </c>
      <c r="I192" s="24" t="s">
        <v>330</v>
      </c>
      <c r="J192">
        <v>600</v>
      </c>
      <c r="K192">
        <v>647</v>
      </c>
      <c r="L192">
        <v>580</v>
      </c>
      <c r="M192">
        <v>714</v>
      </c>
      <c r="N192">
        <v>1230</v>
      </c>
      <c r="O192">
        <v>1973</v>
      </c>
      <c r="P192">
        <v>2245</v>
      </c>
      <c r="Q192">
        <v>2342</v>
      </c>
      <c r="R192">
        <v>1336</v>
      </c>
      <c r="S192">
        <v>1119</v>
      </c>
      <c r="T192">
        <v>718</v>
      </c>
      <c r="U192">
        <v>621</v>
      </c>
      <c r="V192" s="84">
        <f t="shared" si="12"/>
        <v>1177.0833333333333</v>
      </c>
      <c r="W192" s="84">
        <f t="shared" si="13"/>
        <v>1177.0833333333333</v>
      </c>
      <c r="X192">
        <v>576</v>
      </c>
      <c r="Y192">
        <v>579</v>
      </c>
      <c r="Z192">
        <v>549</v>
      </c>
      <c r="AA192">
        <v>587</v>
      </c>
      <c r="AB192">
        <v>821</v>
      </c>
      <c r="AC192">
        <v>1699</v>
      </c>
      <c r="AD192">
        <v>1891</v>
      </c>
      <c r="AE192">
        <v>2193</v>
      </c>
      <c r="AF192">
        <v>1594</v>
      </c>
      <c r="AG192">
        <v>1003</v>
      </c>
      <c r="AH192">
        <v>804</v>
      </c>
      <c r="AI192" s="50">
        <v>0</v>
      </c>
      <c r="AJ192" s="50">
        <f t="shared" si="10"/>
        <v>1024.6666666666667</v>
      </c>
      <c r="AK192" s="50">
        <f t="shared" si="11"/>
        <v>1117.8181818181818</v>
      </c>
    </row>
    <row r="193" spans="1:37" x14ac:dyDescent="0.3">
      <c r="A193" s="86" t="s">
        <v>90</v>
      </c>
      <c r="B193" s="6"/>
      <c r="C193" s="8">
        <v>3151685002</v>
      </c>
      <c r="D193" s="86" t="s">
        <v>356</v>
      </c>
      <c r="E193" s="6" t="s">
        <v>16</v>
      </c>
      <c r="F193" s="6" t="s">
        <v>9</v>
      </c>
      <c r="G193" s="6" t="s">
        <v>251</v>
      </c>
      <c r="H193" s="24">
        <v>44942</v>
      </c>
      <c r="I193" s="24" t="s">
        <v>330</v>
      </c>
      <c r="J193">
        <v>600</v>
      </c>
      <c r="K193">
        <v>647</v>
      </c>
      <c r="L193">
        <v>580</v>
      </c>
      <c r="M193">
        <v>714</v>
      </c>
      <c r="N193">
        <v>1230</v>
      </c>
      <c r="O193">
        <v>1973</v>
      </c>
      <c r="P193">
        <v>2245</v>
      </c>
      <c r="Q193">
        <v>2342</v>
      </c>
      <c r="R193">
        <v>1336</v>
      </c>
      <c r="S193">
        <v>1119</v>
      </c>
      <c r="T193">
        <v>718</v>
      </c>
      <c r="U193">
        <v>621</v>
      </c>
      <c r="V193" s="84">
        <f t="shared" si="12"/>
        <v>1177.0833333333333</v>
      </c>
      <c r="W193" s="84">
        <f t="shared" si="13"/>
        <v>1177.0833333333333</v>
      </c>
      <c r="X193">
        <v>576</v>
      </c>
      <c r="Y193">
        <v>579</v>
      </c>
      <c r="Z193">
        <v>549</v>
      </c>
      <c r="AA193">
        <v>587</v>
      </c>
      <c r="AB193">
        <v>821</v>
      </c>
      <c r="AC193">
        <v>1699</v>
      </c>
      <c r="AD193">
        <v>1891</v>
      </c>
      <c r="AE193">
        <v>2193</v>
      </c>
      <c r="AF193">
        <v>1594</v>
      </c>
      <c r="AG193">
        <v>1003</v>
      </c>
      <c r="AH193">
        <v>804</v>
      </c>
      <c r="AI193" s="50">
        <v>0</v>
      </c>
      <c r="AJ193" s="50">
        <f t="shared" si="10"/>
        <v>1024.6666666666667</v>
      </c>
      <c r="AK193" s="50">
        <f t="shared" si="11"/>
        <v>1117.8181818181818</v>
      </c>
    </row>
    <row r="194" spans="1:37" x14ac:dyDescent="0.3">
      <c r="A194" s="86" t="s">
        <v>13</v>
      </c>
      <c r="B194" s="6"/>
      <c r="C194" s="8">
        <v>3160638000</v>
      </c>
      <c r="D194" s="86" t="s">
        <v>385</v>
      </c>
      <c r="E194" s="6" t="s">
        <v>16</v>
      </c>
      <c r="F194" s="6" t="s">
        <v>9</v>
      </c>
      <c r="G194" s="6" t="s">
        <v>252</v>
      </c>
      <c r="H194" s="24">
        <v>44942</v>
      </c>
      <c r="I194" s="24" t="s">
        <v>330</v>
      </c>
      <c r="J194">
        <v>980</v>
      </c>
      <c r="K194">
        <v>848</v>
      </c>
      <c r="L194">
        <v>1117</v>
      </c>
      <c r="M194">
        <v>862</v>
      </c>
      <c r="N194">
        <v>837</v>
      </c>
      <c r="O194">
        <v>0</v>
      </c>
      <c r="P194">
        <v>903</v>
      </c>
      <c r="Q194">
        <v>859</v>
      </c>
      <c r="R194">
        <v>884</v>
      </c>
      <c r="S194">
        <v>648</v>
      </c>
      <c r="T194">
        <v>695</v>
      </c>
      <c r="U194">
        <v>450</v>
      </c>
      <c r="V194" s="84">
        <f t="shared" si="12"/>
        <v>756.91666666666663</v>
      </c>
      <c r="W194" s="84">
        <f t="shared" si="13"/>
        <v>825.72727272727275</v>
      </c>
      <c r="X194">
        <v>86</v>
      </c>
      <c r="Y194" s="50">
        <v>0</v>
      </c>
      <c r="Z194" s="50">
        <v>0</v>
      </c>
      <c r="AA194" s="50">
        <v>0</v>
      </c>
      <c r="AB194" s="50">
        <v>0</v>
      </c>
      <c r="AC194" s="50">
        <v>0</v>
      </c>
      <c r="AD194" s="50">
        <v>0</v>
      </c>
      <c r="AE194" s="50">
        <v>0</v>
      </c>
      <c r="AF194" s="50">
        <v>0</v>
      </c>
      <c r="AG194" s="50">
        <v>0</v>
      </c>
      <c r="AH194" s="50">
        <v>0</v>
      </c>
      <c r="AI194" s="50">
        <v>0</v>
      </c>
      <c r="AJ194" s="50">
        <f t="shared" si="10"/>
        <v>7.166666666666667</v>
      </c>
      <c r="AK194" s="50">
        <f t="shared" si="11"/>
        <v>86</v>
      </c>
    </row>
    <row r="195" spans="1:37" x14ac:dyDescent="0.3">
      <c r="A195" s="86" t="s">
        <v>52</v>
      </c>
      <c r="B195" s="6"/>
      <c r="C195" s="8">
        <v>3010805004</v>
      </c>
      <c r="D195" s="86" t="s">
        <v>467</v>
      </c>
      <c r="E195" s="6" t="s">
        <v>16</v>
      </c>
      <c r="F195" s="6" t="s">
        <v>9</v>
      </c>
      <c r="G195" s="6" t="s">
        <v>247</v>
      </c>
      <c r="H195" s="24">
        <v>44945</v>
      </c>
      <c r="I195" s="24" t="s">
        <v>330</v>
      </c>
      <c r="J195">
        <v>612</v>
      </c>
      <c r="K195">
        <v>441</v>
      </c>
      <c r="L195">
        <v>496</v>
      </c>
      <c r="M195">
        <v>345</v>
      </c>
      <c r="N195">
        <v>355</v>
      </c>
      <c r="O195">
        <v>420</v>
      </c>
      <c r="P195">
        <v>498</v>
      </c>
      <c r="Q195">
        <v>842</v>
      </c>
      <c r="R195">
        <v>955</v>
      </c>
      <c r="S195">
        <v>628</v>
      </c>
      <c r="T195">
        <v>506</v>
      </c>
      <c r="U195">
        <v>628</v>
      </c>
      <c r="V195" s="84">
        <f t="shared" si="12"/>
        <v>560.5</v>
      </c>
      <c r="W195" s="84">
        <f t="shared" si="13"/>
        <v>560.5</v>
      </c>
      <c r="X195">
        <v>520</v>
      </c>
      <c r="Y195">
        <v>578</v>
      </c>
      <c r="Z195">
        <v>451</v>
      </c>
      <c r="AA195">
        <v>404</v>
      </c>
      <c r="AB195">
        <v>494</v>
      </c>
      <c r="AC195">
        <v>458</v>
      </c>
      <c r="AD195">
        <v>839</v>
      </c>
      <c r="AE195">
        <v>982</v>
      </c>
      <c r="AF195">
        <v>860</v>
      </c>
      <c r="AG195">
        <v>742</v>
      </c>
      <c r="AH195">
        <v>563</v>
      </c>
      <c r="AI195">
        <v>562</v>
      </c>
      <c r="AJ195" s="50">
        <f t="shared" ref="AJ195:AJ258" si="14">AVERAGE(X195:AI195)</f>
        <v>621.08333333333337</v>
      </c>
      <c r="AK195" s="50">
        <f t="shared" ref="AK195:AK258" si="15">AVERAGEIF(X195:AI195,"&lt;&gt;0")</f>
        <v>621.08333333333337</v>
      </c>
    </row>
    <row r="196" spans="1:37" x14ac:dyDescent="0.3">
      <c r="A196" s="86" t="s">
        <v>113</v>
      </c>
      <c r="B196" s="6"/>
      <c r="C196" s="8">
        <v>3010721000</v>
      </c>
      <c r="D196" s="86" t="s">
        <v>391</v>
      </c>
      <c r="E196" s="6" t="s">
        <v>11</v>
      </c>
      <c r="F196" s="6" t="s">
        <v>9</v>
      </c>
      <c r="G196" s="6" t="s">
        <v>35</v>
      </c>
      <c r="H196" s="24">
        <v>44950</v>
      </c>
      <c r="I196" s="24" t="s">
        <v>330</v>
      </c>
      <c r="J196">
        <v>492</v>
      </c>
      <c r="K196">
        <v>451</v>
      </c>
      <c r="L196">
        <v>472</v>
      </c>
      <c r="M196">
        <v>383</v>
      </c>
      <c r="N196">
        <v>403</v>
      </c>
      <c r="O196">
        <v>442</v>
      </c>
      <c r="P196">
        <v>531</v>
      </c>
      <c r="Q196">
        <v>927</v>
      </c>
      <c r="R196">
        <v>724</v>
      </c>
      <c r="S196">
        <v>390</v>
      </c>
      <c r="T196">
        <v>403</v>
      </c>
      <c r="U196">
        <v>459</v>
      </c>
      <c r="V196" s="84">
        <f t="shared" si="12"/>
        <v>506.41666666666669</v>
      </c>
      <c r="W196" s="84">
        <f t="shared" si="13"/>
        <v>506.41666666666669</v>
      </c>
      <c r="X196">
        <v>477</v>
      </c>
      <c r="Y196">
        <v>452</v>
      </c>
      <c r="Z196">
        <v>433</v>
      </c>
      <c r="AA196">
        <v>380</v>
      </c>
      <c r="AB196">
        <v>409</v>
      </c>
      <c r="AC196">
        <v>360</v>
      </c>
      <c r="AD196">
        <v>472</v>
      </c>
      <c r="AE196">
        <v>850</v>
      </c>
      <c r="AF196">
        <v>655</v>
      </c>
      <c r="AG196">
        <v>563</v>
      </c>
      <c r="AH196">
        <v>394</v>
      </c>
      <c r="AI196">
        <v>419</v>
      </c>
      <c r="AJ196" s="50">
        <f t="shared" si="14"/>
        <v>488.66666666666669</v>
      </c>
      <c r="AK196" s="50">
        <f t="shared" si="15"/>
        <v>488.66666666666669</v>
      </c>
    </row>
    <row r="197" spans="1:37" x14ac:dyDescent="0.3">
      <c r="A197" s="86" t="s">
        <v>13</v>
      </c>
      <c r="B197" s="6"/>
      <c r="C197" s="8">
        <v>3031734008</v>
      </c>
      <c r="D197" s="86" t="s">
        <v>333</v>
      </c>
      <c r="E197" s="6" t="s">
        <v>16</v>
      </c>
      <c r="F197" s="6" t="s">
        <v>9</v>
      </c>
      <c r="G197" s="6" t="s">
        <v>222</v>
      </c>
      <c r="H197" s="24">
        <v>44950</v>
      </c>
      <c r="I197" s="24" t="s">
        <v>330</v>
      </c>
      <c r="J197">
        <v>829</v>
      </c>
      <c r="K197">
        <v>862</v>
      </c>
      <c r="L197">
        <v>855</v>
      </c>
      <c r="M197">
        <v>761</v>
      </c>
      <c r="N197">
        <v>612</v>
      </c>
      <c r="O197">
        <v>562</v>
      </c>
      <c r="P197">
        <v>648</v>
      </c>
      <c r="Q197">
        <v>676</v>
      </c>
      <c r="R197">
        <v>766</v>
      </c>
      <c r="S197">
        <v>574</v>
      </c>
      <c r="T197">
        <v>467</v>
      </c>
      <c r="U197">
        <v>647</v>
      </c>
      <c r="V197" s="84">
        <f t="shared" si="12"/>
        <v>688.25</v>
      </c>
      <c r="W197" s="84">
        <f t="shared" si="13"/>
        <v>688.25</v>
      </c>
      <c r="X197">
        <v>900</v>
      </c>
      <c r="Y197">
        <v>861</v>
      </c>
      <c r="Z197">
        <v>788</v>
      </c>
      <c r="AA197">
        <v>779</v>
      </c>
      <c r="AB197">
        <v>532</v>
      </c>
      <c r="AC197">
        <v>589</v>
      </c>
      <c r="AD197">
        <v>890</v>
      </c>
      <c r="AE197">
        <v>807</v>
      </c>
      <c r="AF197">
        <v>753</v>
      </c>
      <c r="AG197">
        <v>724</v>
      </c>
      <c r="AH197">
        <v>542</v>
      </c>
      <c r="AI197">
        <v>746</v>
      </c>
      <c r="AJ197" s="50">
        <f t="shared" si="14"/>
        <v>742.58333333333337</v>
      </c>
      <c r="AK197" s="50">
        <f t="shared" si="15"/>
        <v>742.58333333333337</v>
      </c>
    </row>
    <row r="198" spans="1:37" x14ac:dyDescent="0.3">
      <c r="A198" s="94" t="s">
        <v>13</v>
      </c>
      <c r="B198" s="6"/>
      <c r="C198" s="8">
        <v>3074120000</v>
      </c>
      <c r="D198" s="86" t="s">
        <v>444</v>
      </c>
      <c r="E198" s="6" t="s">
        <v>11</v>
      </c>
      <c r="F198" s="6" t="s">
        <v>9</v>
      </c>
      <c r="G198" s="6" t="s">
        <v>12</v>
      </c>
      <c r="H198" s="24">
        <v>44950</v>
      </c>
      <c r="I198" s="24" t="s">
        <v>330</v>
      </c>
      <c r="J198" s="44">
        <v>0</v>
      </c>
      <c r="K198" s="47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4</v>
      </c>
      <c r="U198" s="50">
        <v>126</v>
      </c>
      <c r="V198" s="84">
        <f t="shared" si="12"/>
        <v>10.833333333333334</v>
      </c>
      <c r="W198" s="84">
        <f t="shared" si="13"/>
        <v>65</v>
      </c>
      <c r="X198" s="50">
        <v>1184</v>
      </c>
      <c r="Y198" s="50">
        <v>1133</v>
      </c>
      <c r="Z198" s="50">
        <v>226</v>
      </c>
      <c r="AA198" s="50">
        <v>122</v>
      </c>
      <c r="AB198" s="50">
        <v>0</v>
      </c>
      <c r="AC198" s="50">
        <v>0</v>
      </c>
      <c r="AD198" s="50">
        <v>0</v>
      </c>
      <c r="AE198" s="50">
        <v>0</v>
      </c>
      <c r="AF198" s="50">
        <v>0</v>
      </c>
      <c r="AG198" s="50">
        <v>0</v>
      </c>
      <c r="AH198" s="50">
        <v>0</v>
      </c>
      <c r="AI198" s="50">
        <v>0</v>
      </c>
      <c r="AJ198" s="50">
        <f t="shared" si="14"/>
        <v>222.08333333333334</v>
      </c>
      <c r="AK198" s="50">
        <f t="shared" si="15"/>
        <v>666.25</v>
      </c>
    </row>
    <row r="199" spans="1:37" x14ac:dyDescent="0.3">
      <c r="A199" s="86" t="s">
        <v>13</v>
      </c>
      <c r="B199" s="6"/>
      <c r="C199" s="8">
        <v>3100483001</v>
      </c>
      <c r="D199" s="86" t="s">
        <v>391</v>
      </c>
      <c r="E199" s="6" t="s">
        <v>11</v>
      </c>
      <c r="F199" s="6" t="s">
        <v>9</v>
      </c>
      <c r="G199" s="6" t="s">
        <v>219</v>
      </c>
      <c r="H199" s="24">
        <v>44950</v>
      </c>
      <c r="I199" s="24" t="s">
        <v>330</v>
      </c>
      <c r="J199">
        <v>501</v>
      </c>
      <c r="K199">
        <v>451</v>
      </c>
      <c r="L199">
        <v>514</v>
      </c>
      <c r="M199">
        <v>461</v>
      </c>
      <c r="N199">
        <v>467</v>
      </c>
      <c r="O199">
        <v>808</v>
      </c>
      <c r="P199">
        <v>722</v>
      </c>
      <c r="Q199">
        <v>879</v>
      </c>
      <c r="R199">
        <v>963</v>
      </c>
      <c r="S199">
        <v>376</v>
      </c>
      <c r="T199">
        <v>418</v>
      </c>
      <c r="U199">
        <v>374</v>
      </c>
      <c r="V199" s="84">
        <f t="shared" si="12"/>
        <v>577.83333333333337</v>
      </c>
      <c r="W199" s="84">
        <f t="shared" si="13"/>
        <v>577.83333333333337</v>
      </c>
      <c r="X199">
        <v>442</v>
      </c>
      <c r="Y199">
        <v>356</v>
      </c>
      <c r="Z199">
        <v>336</v>
      </c>
      <c r="AA199">
        <v>344</v>
      </c>
      <c r="AB199">
        <v>411</v>
      </c>
      <c r="AC199">
        <v>549</v>
      </c>
      <c r="AD199">
        <v>1001</v>
      </c>
      <c r="AE199">
        <v>780</v>
      </c>
      <c r="AF199">
        <v>643</v>
      </c>
      <c r="AG199">
        <v>461</v>
      </c>
      <c r="AH199">
        <v>366</v>
      </c>
      <c r="AI199" s="50">
        <v>0</v>
      </c>
      <c r="AJ199" s="50">
        <f t="shared" si="14"/>
        <v>474.08333333333331</v>
      </c>
      <c r="AK199" s="50">
        <f t="shared" si="15"/>
        <v>517.18181818181813</v>
      </c>
    </row>
    <row r="200" spans="1:37" x14ac:dyDescent="0.3">
      <c r="A200" s="86" t="s">
        <v>204</v>
      </c>
      <c r="B200" s="6"/>
      <c r="C200" s="8">
        <v>3120137001</v>
      </c>
      <c r="D200" s="86" t="s">
        <v>468</v>
      </c>
      <c r="E200" s="6" t="s">
        <v>14</v>
      </c>
      <c r="F200" s="6" t="s">
        <v>9</v>
      </c>
      <c r="G200" s="6" t="s">
        <v>225</v>
      </c>
      <c r="H200" s="24">
        <v>44950</v>
      </c>
      <c r="I200" s="24" t="s">
        <v>330</v>
      </c>
      <c r="J200">
        <v>1668</v>
      </c>
      <c r="K200">
        <v>1623</v>
      </c>
      <c r="L200">
        <v>1384</v>
      </c>
      <c r="M200">
        <v>1217</v>
      </c>
      <c r="N200">
        <v>1532</v>
      </c>
      <c r="O200">
        <v>1986</v>
      </c>
      <c r="P200">
        <v>2024</v>
      </c>
      <c r="Q200">
        <v>2265</v>
      </c>
      <c r="R200">
        <v>1758</v>
      </c>
      <c r="S200">
        <v>1232</v>
      </c>
      <c r="T200">
        <v>1299</v>
      </c>
      <c r="U200">
        <v>1919</v>
      </c>
      <c r="V200" s="84">
        <f t="shared" si="12"/>
        <v>1658.9166666666667</v>
      </c>
      <c r="W200" s="84">
        <f t="shared" si="13"/>
        <v>1658.9166666666667</v>
      </c>
      <c r="X200">
        <v>2225</v>
      </c>
      <c r="Y200">
        <v>1703</v>
      </c>
      <c r="Z200">
        <v>1481</v>
      </c>
      <c r="AA200">
        <v>1474</v>
      </c>
      <c r="AB200">
        <v>2400</v>
      </c>
      <c r="AC200">
        <v>2140</v>
      </c>
      <c r="AD200">
        <v>2976</v>
      </c>
      <c r="AE200">
        <v>2852</v>
      </c>
      <c r="AF200">
        <v>2854</v>
      </c>
      <c r="AG200">
        <v>2682</v>
      </c>
      <c r="AH200">
        <v>2400</v>
      </c>
      <c r="AI200" s="50">
        <v>0</v>
      </c>
      <c r="AJ200" s="50">
        <f t="shared" si="14"/>
        <v>2098.9166666666665</v>
      </c>
      <c r="AK200" s="50">
        <f t="shared" si="15"/>
        <v>2289.7272727272725</v>
      </c>
    </row>
    <row r="201" spans="1:37" x14ac:dyDescent="0.3">
      <c r="A201" s="86" t="s">
        <v>90</v>
      </c>
      <c r="B201" s="6"/>
      <c r="C201" s="8">
        <v>3151686002</v>
      </c>
      <c r="D201" s="86" t="s">
        <v>431</v>
      </c>
      <c r="E201" s="6" t="s">
        <v>11</v>
      </c>
      <c r="F201" s="6" t="s">
        <v>9</v>
      </c>
      <c r="G201" s="6" t="s">
        <v>224</v>
      </c>
      <c r="H201" s="24">
        <v>44950</v>
      </c>
      <c r="I201" s="24" t="s">
        <v>330</v>
      </c>
      <c r="J201">
        <v>2084</v>
      </c>
      <c r="K201">
        <v>1510</v>
      </c>
      <c r="L201">
        <v>1234</v>
      </c>
      <c r="M201">
        <v>870</v>
      </c>
      <c r="N201">
        <v>1006</v>
      </c>
      <c r="O201">
        <v>810</v>
      </c>
      <c r="P201">
        <v>1670</v>
      </c>
      <c r="Q201">
        <v>1784</v>
      </c>
      <c r="R201">
        <v>1578</v>
      </c>
      <c r="S201">
        <v>1098</v>
      </c>
      <c r="T201">
        <v>1260</v>
      </c>
      <c r="U201">
        <v>1458</v>
      </c>
      <c r="V201" s="84">
        <f t="shared" si="12"/>
        <v>1363.5</v>
      </c>
      <c r="W201" s="84">
        <f t="shared" si="13"/>
        <v>1363.5</v>
      </c>
      <c r="X201">
        <v>1558</v>
      </c>
      <c r="Y201">
        <v>1226</v>
      </c>
      <c r="Z201">
        <v>1112</v>
      </c>
      <c r="AA201">
        <v>1300</v>
      </c>
      <c r="AB201">
        <v>1388</v>
      </c>
      <c r="AC201">
        <v>1422</v>
      </c>
      <c r="AD201">
        <v>2126</v>
      </c>
      <c r="AE201">
        <v>1980</v>
      </c>
      <c r="AF201">
        <v>1924</v>
      </c>
      <c r="AG201">
        <v>1400</v>
      </c>
      <c r="AH201">
        <v>2100</v>
      </c>
      <c r="AI201" s="50">
        <v>0</v>
      </c>
      <c r="AJ201" s="50">
        <f t="shared" si="14"/>
        <v>1461.3333333333333</v>
      </c>
      <c r="AK201" s="50">
        <f t="shared" si="15"/>
        <v>1594.1818181818182</v>
      </c>
    </row>
    <row r="202" spans="1:37" x14ac:dyDescent="0.3">
      <c r="A202" s="86" t="s">
        <v>228</v>
      </c>
      <c r="B202" s="6"/>
      <c r="C202" s="8">
        <v>3152019000</v>
      </c>
      <c r="D202" s="86" t="s">
        <v>352</v>
      </c>
      <c r="E202" s="6" t="s">
        <v>16</v>
      </c>
      <c r="F202" s="6" t="s">
        <v>9</v>
      </c>
      <c r="G202" s="6" t="s">
        <v>112</v>
      </c>
      <c r="H202" s="24">
        <v>44950</v>
      </c>
      <c r="I202" s="24" t="s">
        <v>330</v>
      </c>
      <c r="J202">
        <v>647</v>
      </c>
      <c r="K202">
        <v>603</v>
      </c>
      <c r="L202">
        <v>543</v>
      </c>
      <c r="M202">
        <v>397</v>
      </c>
      <c r="N202">
        <v>318</v>
      </c>
      <c r="O202">
        <v>331</v>
      </c>
      <c r="P202">
        <v>318</v>
      </c>
      <c r="Q202">
        <v>427</v>
      </c>
      <c r="R202">
        <v>403</v>
      </c>
      <c r="S202">
        <v>372</v>
      </c>
      <c r="T202">
        <v>463</v>
      </c>
      <c r="U202">
        <v>495</v>
      </c>
      <c r="V202" s="84">
        <f t="shared" si="12"/>
        <v>443.08333333333331</v>
      </c>
      <c r="W202" s="84">
        <f t="shared" si="13"/>
        <v>443.08333333333331</v>
      </c>
      <c r="X202">
        <v>491</v>
      </c>
      <c r="Y202">
        <v>525</v>
      </c>
      <c r="Z202">
        <v>507</v>
      </c>
      <c r="AA202">
        <v>374</v>
      </c>
      <c r="AB202">
        <v>319</v>
      </c>
      <c r="AC202">
        <v>316</v>
      </c>
      <c r="AD202">
        <v>378</v>
      </c>
      <c r="AE202">
        <v>408</v>
      </c>
      <c r="AF202">
        <v>376</v>
      </c>
      <c r="AG202">
        <v>350</v>
      </c>
      <c r="AH202">
        <v>538</v>
      </c>
      <c r="AI202" s="50">
        <v>0</v>
      </c>
      <c r="AJ202" s="50">
        <f t="shared" si="14"/>
        <v>381.83333333333331</v>
      </c>
      <c r="AK202" s="50">
        <f t="shared" si="15"/>
        <v>416.54545454545456</v>
      </c>
    </row>
    <row r="203" spans="1:37" x14ac:dyDescent="0.3">
      <c r="A203" s="86" t="s">
        <v>227</v>
      </c>
      <c r="B203" s="6"/>
      <c r="C203" s="8">
        <v>3010079003</v>
      </c>
      <c r="D203" s="86" t="s">
        <v>357</v>
      </c>
      <c r="E203" s="6" t="s">
        <v>11</v>
      </c>
      <c r="F203" s="6" t="s">
        <v>9</v>
      </c>
      <c r="G203" s="6" t="s">
        <v>67</v>
      </c>
      <c r="H203" s="24">
        <v>44959</v>
      </c>
      <c r="I203" s="24" t="s">
        <v>330</v>
      </c>
      <c r="J203" s="44">
        <v>0</v>
      </c>
      <c r="K203">
        <v>71</v>
      </c>
      <c r="L203">
        <v>111</v>
      </c>
      <c r="M203">
        <v>138</v>
      </c>
      <c r="N203">
        <v>173</v>
      </c>
      <c r="O203">
        <v>186</v>
      </c>
      <c r="P203">
        <v>260</v>
      </c>
      <c r="Q203">
        <v>211</v>
      </c>
      <c r="R203">
        <v>122</v>
      </c>
      <c r="S203">
        <v>115</v>
      </c>
      <c r="T203">
        <v>125</v>
      </c>
      <c r="U203">
        <v>141</v>
      </c>
      <c r="V203" s="84">
        <f t="shared" si="12"/>
        <v>137.75</v>
      </c>
      <c r="W203" s="84">
        <f t="shared" si="13"/>
        <v>150.27272727272728</v>
      </c>
      <c r="X203">
        <v>155</v>
      </c>
      <c r="Y203">
        <v>104</v>
      </c>
      <c r="Z203">
        <v>114</v>
      </c>
      <c r="AA203">
        <v>128</v>
      </c>
      <c r="AB203">
        <v>110</v>
      </c>
      <c r="AC203">
        <v>143</v>
      </c>
      <c r="AD203">
        <v>284</v>
      </c>
      <c r="AE203">
        <v>203</v>
      </c>
      <c r="AF203">
        <v>132</v>
      </c>
      <c r="AG203">
        <v>126</v>
      </c>
      <c r="AH203">
        <v>0</v>
      </c>
      <c r="AI203">
        <v>169</v>
      </c>
      <c r="AJ203" s="50">
        <f t="shared" si="14"/>
        <v>139</v>
      </c>
      <c r="AK203" s="50">
        <f t="shared" si="15"/>
        <v>151.63636363636363</v>
      </c>
    </row>
    <row r="204" spans="1:37" x14ac:dyDescent="0.3">
      <c r="A204" s="86" t="s">
        <v>90</v>
      </c>
      <c r="B204" s="6"/>
      <c r="C204" s="8">
        <v>3150607003</v>
      </c>
      <c r="D204" s="86" t="s">
        <v>348</v>
      </c>
      <c r="E204" s="6" t="s">
        <v>16</v>
      </c>
      <c r="F204" s="6" t="s">
        <v>9</v>
      </c>
      <c r="G204" s="6" t="s">
        <v>217</v>
      </c>
      <c r="H204" s="24">
        <v>44963</v>
      </c>
      <c r="I204" s="24" t="s">
        <v>330</v>
      </c>
      <c r="J204" s="44">
        <v>14</v>
      </c>
      <c r="K204" s="50">
        <v>0</v>
      </c>
      <c r="L204" s="50">
        <v>0</v>
      </c>
      <c r="M204" s="50">
        <v>0</v>
      </c>
      <c r="N204" s="50">
        <v>0</v>
      </c>
      <c r="O204" s="50">
        <v>0</v>
      </c>
      <c r="P204" s="50">
        <v>0</v>
      </c>
      <c r="Q204" s="50">
        <v>0</v>
      </c>
      <c r="R204" s="50">
        <v>0</v>
      </c>
      <c r="S204" s="50">
        <v>0</v>
      </c>
      <c r="T204" s="50">
        <v>0</v>
      </c>
      <c r="U204" s="50">
        <v>0</v>
      </c>
      <c r="V204" s="84">
        <f t="shared" si="12"/>
        <v>1.1666666666666667</v>
      </c>
      <c r="W204" s="84">
        <f t="shared" si="13"/>
        <v>14</v>
      </c>
      <c r="X204" s="50">
        <v>0</v>
      </c>
      <c r="Y204" s="50">
        <v>0</v>
      </c>
      <c r="Z204" s="50">
        <v>0</v>
      </c>
      <c r="AA204" s="50">
        <v>0</v>
      </c>
      <c r="AB204" s="50">
        <v>0</v>
      </c>
      <c r="AC204" s="50">
        <v>0</v>
      </c>
      <c r="AD204" s="50">
        <v>0</v>
      </c>
      <c r="AE204" s="50">
        <v>0</v>
      </c>
      <c r="AF204" s="50">
        <v>0</v>
      </c>
      <c r="AG204" s="50">
        <v>0</v>
      </c>
      <c r="AH204" s="50">
        <v>0</v>
      </c>
      <c r="AI204" s="50">
        <v>0</v>
      </c>
      <c r="AJ204" s="50">
        <f t="shared" si="14"/>
        <v>0</v>
      </c>
      <c r="AK204" s="50" t="e">
        <f t="shared" si="15"/>
        <v>#DIV/0!</v>
      </c>
    </row>
    <row r="205" spans="1:37" x14ac:dyDescent="0.3">
      <c r="A205" s="86" t="s">
        <v>90</v>
      </c>
      <c r="B205" s="6"/>
      <c r="C205" s="8">
        <v>3012419000</v>
      </c>
      <c r="D205" s="86" t="s">
        <v>469</v>
      </c>
      <c r="E205" s="6" t="s">
        <v>16</v>
      </c>
      <c r="F205" s="6" t="s">
        <v>9</v>
      </c>
      <c r="G205" s="6" t="s">
        <v>248</v>
      </c>
      <c r="H205" s="24">
        <v>44965</v>
      </c>
      <c r="I205" s="24" t="s">
        <v>330</v>
      </c>
      <c r="J205">
        <v>2099</v>
      </c>
      <c r="K205">
        <v>1876</v>
      </c>
      <c r="L205">
        <v>1955</v>
      </c>
      <c r="M205">
        <v>1694</v>
      </c>
      <c r="N205">
        <v>874</v>
      </c>
      <c r="O205">
        <v>920</v>
      </c>
      <c r="P205">
        <v>1110</v>
      </c>
      <c r="Q205">
        <v>1116</v>
      </c>
      <c r="R205">
        <v>918</v>
      </c>
      <c r="S205">
        <v>762</v>
      </c>
      <c r="T205">
        <v>1890</v>
      </c>
      <c r="U205">
        <v>2910</v>
      </c>
      <c r="V205" s="84">
        <f t="shared" si="12"/>
        <v>1510.3333333333333</v>
      </c>
      <c r="W205" s="84">
        <f t="shared" si="13"/>
        <v>1510.3333333333333</v>
      </c>
      <c r="X205">
        <v>3120</v>
      </c>
      <c r="Y205">
        <v>798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f t="shared" si="14"/>
        <v>326.5</v>
      </c>
      <c r="AK205" s="50">
        <f t="shared" si="15"/>
        <v>1959</v>
      </c>
    </row>
    <row r="206" spans="1:37" x14ac:dyDescent="0.3">
      <c r="A206" s="86" t="s">
        <v>90</v>
      </c>
      <c r="B206" s="6"/>
      <c r="C206" s="8">
        <v>3142095000</v>
      </c>
      <c r="D206" s="86" t="s">
        <v>458</v>
      </c>
      <c r="E206" s="6" t="s">
        <v>11</v>
      </c>
      <c r="F206" s="6" t="s">
        <v>9</v>
      </c>
      <c r="G206" s="6" t="s">
        <v>220</v>
      </c>
      <c r="H206" s="24">
        <v>44965</v>
      </c>
      <c r="I206" s="24" t="s">
        <v>330</v>
      </c>
      <c r="J206">
        <v>611</v>
      </c>
      <c r="K206">
        <v>686</v>
      </c>
      <c r="L206">
        <v>634</v>
      </c>
      <c r="M206">
        <v>641</v>
      </c>
      <c r="N206">
        <v>864</v>
      </c>
      <c r="O206">
        <v>1168</v>
      </c>
      <c r="P206">
        <v>1194</v>
      </c>
      <c r="Q206">
        <v>906</v>
      </c>
      <c r="R206">
        <v>559</v>
      </c>
      <c r="S206">
        <v>518</v>
      </c>
      <c r="T206">
        <v>600</v>
      </c>
      <c r="U206">
        <v>777</v>
      </c>
      <c r="V206" s="84">
        <f t="shared" si="12"/>
        <v>763.16666666666663</v>
      </c>
      <c r="W206" s="84">
        <f t="shared" si="13"/>
        <v>763.16666666666663</v>
      </c>
      <c r="X206">
        <v>708</v>
      </c>
      <c r="Y206">
        <v>713</v>
      </c>
      <c r="Z206">
        <v>670</v>
      </c>
      <c r="AA206">
        <v>709</v>
      </c>
      <c r="AB206">
        <v>997</v>
      </c>
      <c r="AC206">
        <v>1169</v>
      </c>
      <c r="AD206">
        <v>1043</v>
      </c>
      <c r="AE206">
        <v>998</v>
      </c>
      <c r="AF206">
        <v>625</v>
      </c>
      <c r="AG206">
        <v>826</v>
      </c>
      <c r="AH206" s="50">
        <v>0</v>
      </c>
      <c r="AI206" s="50">
        <v>0</v>
      </c>
      <c r="AJ206" s="50">
        <f t="shared" si="14"/>
        <v>704.83333333333337</v>
      </c>
      <c r="AK206" s="50">
        <f t="shared" si="15"/>
        <v>845.8</v>
      </c>
    </row>
    <row r="207" spans="1:37" x14ac:dyDescent="0.3">
      <c r="A207" s="86" t="s">
        <v>90</v>
      </c>
      <c r="B207" s="6"/>
      <c r="C207" s="8">
        <v>3142095000</v>
      </c>
      <c r="D207" s="86" t="s">
        <v>470</v>
      </c>
      <c r="E207" s="6" t="s">
        <v>11</v>
      </c>
      <c r="F207" s="6" t="s">
        <v>9</v>
      </c>
      <c r="G207" s="6" t="s">
        <v>249</v>
      </c>
      <c r="H207" s="24">
        <v>44965</v>
      </c>
      <c r="I207" s="24" t="s">
        <v>330</v>
      </c>
      <c r="J207">
        <v>611</v>
      </c>
      <c r="K207">
        <v>686</v>
      </c>
      <c r="L207">
        <v>634</v>
      </c>
      <c r="M207">
        <v>641</v>
      </c>
      <c r="N207">
        <v>864</v>
      </c>
      <c r="O207">
        <v>1168</v>
      </c>
      <c r="P207">
        <v>1194</v>
      </c>
      <c r="Q207">
        <v>906</v>
      </c>
      <c r="R207">
        <v>559</v>
      </c>
      <c r="S207">
        <v>518</v>
      </c>
      <c r="T207">
        <v>600</v>
      </c>
      <c r="U207">
        <v>777</v>
      </c>
      <c r="V207" s="84">
        <f t="shared" si="12"/>
        <v>763.16666666666663</v>
      </c>
      <c r="W207" s="84">
        <f t="shared" si="13"/>
        <v>763.16666666666663</v>
      </c>
      <c r="X207">
        <v>708</v>
      </c>
      <c r="Y207">
        <v>713</v>
      </c>
      <c r="Z207">
        <v>670</v>
      </c>
      <c r="AA207">
        <v>709</v>
      </c>
      <c r="AB207">
        <v>997</v>
      </c>
      <c r="AC207">
        <v>1169</v>
      </c>
      <c r="AD207">
        <v>1043</v>
      </c>
      <c r="AE207">
        <v>998</v>
      </c>
      <c r="AF207">
        <v>625</v>
      </c>
      <c r="AG207">
        <v>826</v>
      </c>
      <c r="AH207" s="50">
        <v>0</v>
      </c>
      <c r="AI207" s="50">
        <v>0</v>
      </c>
      <c r="AJ207" s="50">
        <f t="shared" si="14"/>
        <v>704.83333333333337</v>
      </c>
      <c r="AK207" s="50">
        <f t="shared" si="15"/>
        <v>845.8</v>
      </c>
    </row>
    <row r="208" spans="1:37" x14ac:dyDescent="0.3">
      <c r="A208" s="86" t="s">
        <v>52</v>
      </c>
      <c r="B208" s="6"/>
      <c r="C208" s="8">
        <v>3131204000</v>
      </c>
      <c r="D208" s="86" t="s">
        <v>471</v>
      </c>
      <c r="E208" s="6" t="s">
        <v>14</v>
      </c>
      <c r="F208" s="6" t="s">
        <v>9</v>
      </c>
      <c r="G208" s="6" t="s">
        <v>232</v>
      </c>
      <c r="H208" s="24">
        <v>44967</v>
      </c>
      <c r="I208" s="24" t="s">
        <v>330</v>
      </c>
      <c r="J208">
        <v>264</v>
      </c>
      <c r="K208">
        <v>253</v>
      </c>
      <c r="L208">
        <v>250</v>
      </c>
      <c r="M208">
        <v>257</v>
      </c>
      <c r="N208">
        <v>175</v>
      </c>
      <c r="O208">
        <v>202</v>
      </c>
      <c r="P208">
        <v>261</v>
      </c>
      <c r="Q208">
        <v>219</v>
      </c>
      <c r="R208">
        <v>308</v>
      </c>
      <c r="S208">
        <v>202</v>
      </c>
      <c r="T208">
        <v>254</v>
      </c>
      <c r="U208">
        <v>352</v>
      </c>
      <c r="V208" s="84">
        <f t="shared" si="12"/>
        <v>249.75</v>
      </c>
      <c r="W208" s="84">
        <f t="shared" si="13"/>
        <v>249.75</v>
      </c>
      <c r="X208">
        <v>321</v>
      </c>
      <c r="Y208">
        <v>293</v>
      </c>
      <c r="Z208">
        <v>279</v>
      </c>
      <c r="AA208">
        <v>240</v>
      </c>
      <c r="AB208">
        <v>204</v>
      </c>
      <c r="AC208">
        <v>446</v>
      </c>
      <c r="AD208">
        <v>378</v>
      </c>
      <c r="AE208">
        <v>281</v>
      </c>
      <c r="AF208">
        <v>269</v>
      </c>
      <c r="AG208">
        <v>242</v>
      </c>
      <c r="AH208" s="50">
        <v>0</v>
      </c>
      <c r="AI208" s="50">
        <v>0</v>
      </c>
      <c r="AJ208" s="50">
        <f t="shared" si="14"/>
        <v>246.08333333333334</v>
      </c>
      <c r="AK208" s="50">
        <f t="shared" si="15"/>
        <v>295.3</v>
      </c>
    </row>
    <row r="209" spans="1:37" x14ac:dyDescent="0.3">
      <c r="A209" s="86" t="s">
        <v>90</v>
      </c>
      <c r="B209" s="6"/>
      <c r="C209" s="8">
        <v>3090964008</v>
      </c>
      <c r="D209" s="86" t="s">
        <v>472</v>
      </c>
      <c r="E209" s="6" t="s">
        <v>11</v>
      </c>
      <c r="F209" s="6" t="s">
        <v>9</v>
      </c>
      <c r="G209" s="6" t="s">
        <v>230</v>
      </c>
      <c r="H209" s="24">
        <v>44971</v>
      </c>
      <c r="I209" s="24" t="s">
        <v>330</v>
      </c>
      <c r="J209">
        <v>824</v>
      </c>
      <c r="K209">
        <v>808</v>
      </c>
      <c r="L209">
        <v>998</v>
      </c>
      <c r="M209">
        <v>623</v>
      </c>
      <c r="N209">
        <v>377</v>
      </c>
      <c r="O209">
        <v>601</v>
      </c>
      <c r="P209">
        <v>950</v>
      </c>
      <c r="Q209">
        <v>650</v>
      </c>
      <c r="R209">
        <v>362</v>
      </c>
      <c r="S209">
        <v>736</v>
      </c>
      <c r="T209">
        <v>1458</v>
      </c>
      <c r="U209">
        <v>1618</v>
      </c>
      <c r="V209" s="84">
        <f t="shared" si="12"/>
        <v>833.75</v>
      </c>
      <c r="W209" s="84">
        <f t="shared" si="13"/>
        <v>833.75</v>
      </c>
      <c r="X209">
        <v>1595</v>
      </c>
      <c r="Y209">
        <v>0</v>
      </c>
      <c r="Z209">
        <v>495</v>
      </c>
      <c r="AA209">
        <v>359</v>
      </c>
      <c r="AB209">
        <v>331</v>
      </c>
      <c r="AC209">
        <v>313</v>
      </c>
      <c r="AD209">
        <v>563</v>
      </c>
      <c r="AE209">
        <v>624</v>
      </c>
      <c r="AF209">
        <v>714</v>
      </c>
      <c r="AG209">
        <v>393</v>
      </c>
      <c r="AH209">
        <v>475</v>
      </c>
      <c r="AI209" s="50">
        <v>0</v>
      </c>
      <c r="AJ209" s="50">
        <f t="shared" si="14"/>
        <v>488.5</v>
      </c>
      <c r="AK209" s="50">
        <f t="shared" si="15"/>
        <v>586.20000000000005</v>
      </c>
    </row>
    <row r="210" spans="1:37" x14ac:dyDescent="0.3">
      <c r="A210" s="86" t="s">
        <v>131</v>
      </c>
      <c r="B210" s="6"/>
      <c r="C210" s="8">
        <v>3010675000</v>
      </c>
      <c r="D210" s="86" t="s">
        <v>473</v>
      </c>
      <c r="E210" s="6" t="s">
        <v>11</v>
      </c>
      <c r="F210" s="6" t="s">
        <v>9</v>
      </c>
      <c r="G210" s="6" t="s">
        <v>12</v>
      </c>
      <c r="H210" s="24">
        <v>44981</v>
      </c>
      <c r="I210" s="24" t="s">
        <v>330</v>
      </c>
      <c r="J210">
        <v>290</v>
      </c>
      <c r="K210">
        <v>332</v>
      </c>
      <c r="L210">
        <v>280</v>
      </c>
      <c r="M210">
        <v>236</v>
      </c>
      <c r="N210">
        <v>239</v>
      </c>
      <c r="O210">
        <v>207</v>
      </c>
      <c r="P210">
        <v>251</v>
      </c>
      <c r="Q210">
        <v>213</v>
      </c>
      <c r="R210">
        <v>221</v>
      </c>
      <c r="S210">
        <v>247</v>
      </c>
      <c r="T210">
        <v>326</v>
      </c>
      <c r="U210">
        <v>299</v>
      </c>
      <c r="V210" s="84">
        <f t="shared" si="12"/>
        <v>261.75</v>
      </c>
      <c r="W210" s="84">
        <f t="shared" si="13"/>
        <v>261.75</v>
      </c>
      <c r="X210">
        <v>331</v>
      </c>
      <c r="Y210">
        <v>276</v>
      </c>
      <c r="Z210">
        <v>245</v>
      </c>
      <c r="AA210">
        <v>248</v>
      </c>
      <c r="AB210">
        <v>210</v>
      </c>
      <c r="AC210">
        <v>218</v>
      </c>
      <c r="AD210">
        <v>221</v>
      </c>
      <c r="AE210">
        <v>197</v>
      </c>
      <c r="AF210">
        <v>215</v>
      </c>
      <c r="AG210">
        <v>224</v>
      </c>
      <c r="AH210">
        <v>317</v>
      </c>
      <c r="AI210" s="50">
        <v>0</v>
      </c>
      <c r="AJ210" s="50">
        <f t="shared" si="14"/>
        <v>225.16666666666666</v>
      </c>
      <c r="AK210" s="50">
        <f t="shared" si="15"/>
        <v>245.63636363636363</v>
      </c>
    </row>
    <row r="211" spans="1:37" x14ac:dyDescent="0.3">
      <c r="A211" s="86" t="s">
        <v>227</v>
      </c>
      <c r="B211" s="6"/>
      <c r="C211" s="8">
        <v>3150810001</v>
      </c>
      <c r="D211" s="86" t="s">
        <v>357</v>
      </c>
      <c r="E211" s="6" t="s">
        <v>11</v>
      </c>
      <c r="F211" s="6" t="s">
        <v>9</v>
      </c>
      <c r="G211" s="6" t="s">
        <v>67</v>
      </c>
      <c r="H211" s="24">
        <v>44981</v>
      </c>
      <c r="I211" s="24" t="s">
        <v>330</v>
      </c>
      <c r="J211">
        <v>754</v>
      </c>
      <c r="K211">
        <v>610</v>
      </c>
      <c r="L211">
        <v>626</v>
      </c>
      <c r="M211">
        <v>622</v>
      </c>
      <c r="N211">
        <v>471</v>
      </c>
      <c r="O211">
        <v>524</v>
      </c>
      <c r="P211">
        <v>561</v>
      </c>
      <c r="Q211">
        <v>726</v>
      </c>
      <c r="R211">
        <v>628</v>
      </c>
      <c r="S211">
        <v>752</v>
      </c>
      <c r="T211">
        <v>507</v>
      </c>
      <c r="U211">
        <v>762</v>
      </c>
      <c r="V211" s="84">
        <f t="shared" si="12"/>
        <v>628.58333333333337</v>
      </c>
      <c r="W211" s="84">
        <f t="shared" si="13"/>
        <v>628.58333333333337</v>
      </c>
      <c r="X211">
        <v>1419</v>
      </c>
      <c r="Y211">
        <v>565</v>
      </c>
      <c r="Z211">
        <v>234</v>
      </c>
      <c r="AA211">
        <v>282</v>
      </c>
      <c r="AB211">
        <v>330</v>
      </c>
      <c r="AC211">
        <v>412</v>
      </c>
      <c r="AD211">
        <v>450</v>
      </c>
      <c r="AE211">
        <v>428</v>
      </c>
      <c r="AF211">
        <v>387</v>
      </c>
      <c r="AG211">
        <v>384</v>
      </c>
      <c r="AH211" s="50">
        <v>0</v>
      </c>
      <c r="AI211" s="50">
        <v>0</v>
      </c>
      <c r="AJ211" s="50">
        <f t="shared" si="14"/>
        <v>407.58333333333331</v>
      </c>
      <c r="AK211" s="50">
        <f t="shared" si="15"/>
        <v>489.1</v>
      </c>
    </row>
    <row r="212" spans="1:37" x14ac:dyDescent="0.3">
      <c r="A212" s="86" t="s">
        <v>7</v>
      </c>
      <c r="B212" s="6"/>
      <c r="C212" s="8">
        <v>3021754002</v>
      </c>
      <c r="D212" s="86" t="s">
        <v>461</v>
      </c>
      <c r="E212" s="6" t="s">
        <v>11</v>
      </c>
      <c r="F212" s="6" t="s">
        <v>9</v>
      </c>
      <c r="G212" s="6" t="s">
        <v>207</v>
      </c>
      <c r="H212" s="24">
        <v>44984</v>
      </c>
      <c r="I212" s="24" t="s">
        <v>330</v>
      </c>
      <c r="J212">
        <v>1066</v>
      </c>
      <c r="K212">
        <v>788</v>
      </c>
      <c r="L212">
        <v>580</v>
      </c>
      <c r="M212">
        <v>594</v>
      </c>
      <c r="N212">
        <v>474</v>
      </c>
      <c r="O212">
        <v>1178</v>
      </c>
      <c r="P212">
        <v>1156</v>
      </c>
      <c r="Q212">
        <v>886</v>
      </c>
      <c r="R212">
        <v>764</v>
      </c>
      <c r="S212">
        <v>802</v>
      </c>
      <c r="T212">
        <v>848</v>
      </c>
      <c r="U212">
        <v>874</v>
      </c>
      <c r="V212" s="84">
        <f t="shared" si="12"/>
        <v>834.16666666666663</v>
      </c>
      <c r="W212" s="84">
        <f t="shared" si="13"/>
        <v>834.16666666666663</v>
      </c>
      <c r="X212">
        <v>774</v>
      </c>
      <c r="Y212">
        <v>750</v>
      </c>
      <c r="Z212">
        <v>514</v>
      </c>
      <c r="AA212">
        <v>472</v>
      </c>
      <c r="AB212">
        <v>678</v>
      </c>
      <c r="AC212">
        <v>1112</v>
      </c>
      <c r="AD212">
        <v>844</v>
      </c>
      <c r="AE212">
        <v>918</v>
      </c>
      <c r="AF212">
        <v>804</v>
      </c>
      <c r="AG212">
        <v>818</v>
      </c>
      <c r="AH212" s="50">
        <v>0</v>
      </c>
      <c r="AI212" s="50">
        <v>0</v>
      </c>
      <c r="AJ212" s="50">
        <f t="shared" si="14"/>
        <v>640.33333333333337</v>
      </c>
      <c r="AK212" s="50">
        <f t="shared" si="15"/>
        <v>768.4</v>
      </c>
    </row>
    <row r="213" spans="1:37" x14ac:dyDescent="0.3">
      <c r="A213" s="86" t="s">
        <v>90</v>
      </c>
      <c r="B213" s="6"/>
      <c r="C213" s="8">
        <v>3062712005</v>
      </c>
      <c r="D213" s="86" t="s">
        <v>474</v>
      </c>
      <c r="E213" s="6" t="s">
        <v>11</v>
      </c>
      <c r="F213" s="6" t="s">
        <v>9</v>
      </c>
      <c r="G213" s="6" t="s">
        <v>218</v>
      </c>
      <c r="H213" s="24">
        <v>44984</v>
      </c>
      <c r="I213" s="24" t="s">
        <v>330</v>
      </c>
      <c r="J213">
        <v>963</v>
      </c>
      <c r="K213">
        <v>1008</v>
      </c>
      <c r="L213">
        <v>801</v>
      </c>
      <c r="M213">
        <v>693</v>
      </c>
      <c r="N213">
        <v>243</v>
      </c>
      <c r="O213">
        <v>291</v>
      </c>
      <c r="P213">
        <v>353</v>
      </c>
      <c r="Q213">
        <v>150</v>
      </c>
      <c r="R213">
        <v>178</v>
      </c>
      <c r="S213">
        <v>150</v>
      </c>
      <c r="T213">
        <v>403</v>
      </c>
      <c r="U213">
        <v>742</v>
      </c>
      <c r="V213" s="84">
        <f t="shared" si="12"/>
        <v>497.91666666666669</v>
      </c>
      <c r="W213" s="84">
        <f t="shared" si="13"/>
        <v>497.91666666666669</v>
      </c>
      <c r="X213" s="50">
        <v>0</v>
      </c>
      <c r="Y213" s="50">
        <v>0</v>
      </c>
      <c r="Z213" s="50">
        <v>0</v>
      </c>
      <c r="AA213" s="50">
        <v>0</v>
      </c>
      <c r="AB213" s="50">
        <v>0</v>
      </c>
      <c r="AC213" s="50">
        <v>0</v>
      </c>
      <c r="AD213" s="50">
        <v>0</v>
      </c>
      <c r="AE213" s="50">
        <v>0</v>
      </c>
      <c r="AF213" s="50">
        <v>0</v>
      </c>
      <c r="AG213" s="50">
        <v>0</v>
      </c>
      <c r="AH213" s="50">
        <v>0</v>
      </c>
      <c r="AI213" s="50">
        <v>0</v>
      </c>
      <c r="AJ213" s="50">
        <f t="shared" si="14"/>
        <v>0</v>
      </c>
      <c r="AK213" s="50" t="e">
        <f t="shared" si="15"/>
        <v>#DIV/0!</v>
      </c>
    </row>
    <row r="214" spans="1:37" x14ac:dyDescent="0.3">
      <c r="A214" s="86" t="s">
        <v>113</v>
      </c>
      <c r="B214" s="6"/>
      <c r="C214" s="8">
        <v>3100125000</v>
      </c>
      <c r="D214" s="86" t="s">
        <v>372</v>
      </c>
      <c r="E214" s="6" t="s">
        <v>16</v>
      </c>
      <c r="F214" s="6" t="s">
        <v>9</v>
      </c>
      <c r="G214" s="6" t="s">
        <v>223</v>
      </c>
      <c r="H214" s="24">
        <v>44984</v>
      </c>
      <c r="I214" s="24" t="s">
        <v>330</v>
      </c>
      <c r="J214">
        <v>577</v>
      </c>
      <c r="K214">
        <v>581</v>
      </c>
      <c r="L214">
        <v>430</v>
      </c>
      <c r="M214">
        <v>414</v>
      </c>
      <c r="N214">
        <v>595</v>
      </c>
      <c r="O214">
        <v>795</v>
      </c>
      <c r="P214">
        <v>975</v>
      </c>
      <c r="Q214">
        <v>806</v>
      </c>
      <c r="R214">
        <v>413</v>
      </c>
      <c r="S214">
        <v>413</v>
      </c>
      <c r="T214">
        <v>352</v>
      </c>
      <c r="U214">
        <v>369</v>
      </c>
      <c r="V214" s="84">
        <f t="shared" si="12"/>
        <v>560</v>
      </c>
      <c r="W214" s="84">
        <f t="shared" si="13"/>
        <v>560</v>
      </c>
      <c r="X214">
        <v>306</v>
      </c>
      <c r="Y214">
        <v>286</v>
      </c>
      <c r="Z214">
        <v>256</v>
      </c>
      <c r="AA214">
        <v>275</v>
      </c>
      <c r="AB214">
        <v>393</v>
      </c>
      <c r="AC214">
        <v>575</v>
      </c>
      <c r="AD214">
        <v>593</v>
      </c>
      <c r="AE214">
        <v>538</v>
      </c>
      <c r="AF214">
        <v>346</v>
      </c>
      <c r="AG214">
        <v>284</v>
      </c>
      <c r="AH214" s="50">
        <v>0</v>
      </c>
      <c r="AI214" s="50">
        <v>0</v>
      </c>
      <c r="AJ214" s="50">
        <f t="shared" si="14"/>
        <v>321</v>
      </c>
      <c r="AK214" s="50">
        <f t="shared" si="15"/>
        <v>385.2</v>
      </c>
    </row>
    <row r="215" spans="1:37" x14ac:dyDescent="0.3">
      <c r="A215" s="86" t="s">
        <v>90</v>
      </c>
      <c r="B215" s="6"/>
      <c r="C215" s="8">
        <v>3161302000</v>
      </c>
      <c r="D215" s="86" t="s">
        <v>399</v>
      </c>
      <c r="E215" s="6" t="s">
        <v>16</v>
      </c>
      <c r="F215" s="6" t="s">
        <v>9</v>
      </c>
      <c r="G215" s="6" t="s">
        <v>216</v>
      </c>
      <c r="H215" s="24">
        <v>44988</v>
      </c>
      <c r="I215" s="24" t="s">
        <v>330</v>
      </c>
      <c r="J215">
        <v>905</v>
      </c>
      <c r="K215">
        <v>837</v>
      </c>
      <c r="L215">
        <v>802</v>
      </c>
      <c r="M215">
        <v>1142</v>
      </c>
      <c r="N215">
        <v>1158</v>
      </c>
      <c r="O215">
        <v>868</v>
      </c>
      <c r="P215">
        <v>781</v>
      </c>
      <c r="Q215">
        <v>1027</v>
      </c>
      <c r="R215">
        <v>1068</v>
      </c>
      <c r="S215">
        <v>920</v>
      </c>
      <c r="T215">
        <v>862</v>
      </c>
      <c r="U215">
        <v>1031</v>
      </c>
      <c r="V215" s="84">
        <f t="shared" ref="V215:V265" si="16">AVERAGE(J215:U215)</f>
        <v>950.08333333333337</v>
      </c>
      <c r="W215" s="84">
        <f t="shared" ref="W215:W265" si="17">AVERAGEIF(J215:U215,"&lt;&gt;0")</f>
        <v>950.08333333333337</v>
      </c>
      <c r="X215">
        <v>967</v>
      </c>
      <c r="Y215">
        <v>814</v>
      </c>
      <c r="Z215">
        <v>787</v>
      </c>
      <c r="AA215">
        <v>903</v>
      </c>
      <c r="AB215">
        <v>1073</v>
      </c>
      <c r="AC215">
        <v>821</v>
      </c>
      <c r="AD215">
        <v>1077</v>
      </c>
      <c r="AE215">
        <v>913</v>
      </c>
      <c r="AF215">
        <v>1060</v>
      </c>
      <c r="AG215" s="50">
        <v>0</v>
      </c>
      <c r="AH215" s="50">
        <v>0</v>
      </c>
      <c r="AI215" s="50">
        <v>0</v>
      </c>
      <c r="AJ215" s="50">
        <f t="shared" si="14"/>
        <v>701.25</v>
      </c>
      <c r="AK215" s="50">
        <f t="shared" si="15"/>
        <v>935</v>
      </c>
    </row>
    <row r="216" spans="1:37" x14ac:dyDescent="0.3">
      <c r="A216" s="86" t="s">
        <v>227</v>
      </c>
      <c r="B216" s="6"/>
      <c r="C216" s="8">
        <v>3041470002</v>
      </c>
      <c r="D216" s="86" t="s">
        <v>475</v>
      </c>
      <c r="E216" s="6" t="s">
        <v>11</v>
      </c>
      <c r="F216" s="6" t="s">
        <v>9</v>
      </c>
      <c r="G216" s="6" t="s">
        <v>243</v>
      </c>
      <c r="H216" s="24">
        <v>44998</v>
      </c>
      <c r="I216" s="24" t="s">
        <v>330</v>
      </c>
      <c r="J216">
        <v>573</v>
      </c>
      <c r="K216">
        <v>860</v>
      </c>
      <c r="L216">
        <v>686</v>
      </c>
      <c r="M216">
        <v>538</v>
      </c>
      <c r="N216">
        <v>596</v>
      </c>
      <c r="O216">
        <v>942</v>
      </c>
      <c r="P216">
        <v>479</v>
      </c>
      <c r="Q216">
        <v>459</v>
      </c>
      <c r="R216">
        <v>486</v>
      </c>
      <c r="S216">
        <v>627</v>
      </c>
      <c r="T216">
        <v>896</v>
      </c>
      <c r="U216">
        <v>886</v>
      </c>
      <c r="V216" s="84">
        <f t="shared" si="16"/>
        <v>669</v>
      </c>
      <c r="W216" s="84">
        <f t="shared" si="17"/>
        <v>669</v>
      </c>
      <c r="X216">
        <v>691</v>
      </c>
      <c r="Y216">
        <v>655</v>
      </c>
      <c r="Z216">
        <v>402</v>
      </c>
      <c r="AA216">
        <v>431</v>
      </c>
      <c r="AB216">
        <v>437</v>
      </c>
      <c r="AC216">
        <v>586</v>
      </c>
      <c r="AD216">
        <v>580</v>
      </c>
      <c r="AE216">
        <v>493</v>
      </c>
      <c r="AF216">
        <v>498</v>
      </c>
      <c r="AG216">
        <v>796</v>
      </c>
      <c r="AH216" s="50">
        <v>0</v>
      </c>
      <c r="AI216" s="50">
        <v>0</v>
      </c>
      <c r="AJ216" s="50">
        <f t="shared" si="14"/>
        <v>464.08333333333331</v>
      </c>
      <c r="AK216" s="50">
        <f t="shared" si="15"/>
        <v>556.9</v>
      </c>
    </row>
    <row r="217" spans="1:37" x14ac:dyDescent="0.3">
      <c r="A217" s="86" t="s">
        <v>113</v>
      </c>
      <c r="B217" s="6"/>
      <c r="C217" s="8">
        <v>3152323000</v>
      </c>
      <c r="D217" s="86" t="s">
        <v>385</v>
      </c>
      <c r="E217" s="6" t="s">
        <v>16</v>
      </c>
      <c r="F217" s="6" t="s">
        <v>9</v>
      </c>
      <c r="G217" s="6" t="s">
        <v>43</v>
      </c>
      <c r="H217" s="24">
        <v>44998</v>
      </c>
      <c r="I217" s="24" t="s">
        <v>330</v>
      </c>
      <c r="J217">
        <v>1129</v>
      </c>
      <c r="K217">
        <v>940</v>
      </c>
      <c r="L217">
        <v>1005</v>
      </c>
      <c r="M217">
        <v>1115</v>
      </c>
      <c r="N217">
        <v>1615</v>
      </c>
      <c r="O217">
        <v>1859</v>
      </c>
      <c r="P217">
        <v>1410</v>
      </c>
      <c r="Q217">
        <v>940</v>
      </c>
      <c r="R217">
        <v>1174</v>
      </c>
      <c r="S217">
        <v>1105</v>
      </c>
      <c r="T217">
        <v>1031</v>
      </c>
      <c r="U217">
        <v>1005</v>
      </c>
      <c r="V217" s="84">
        <f t="shared" si="16"/>
        <v>1194</v>
      </c>
      <c r="W217" s="84">
        <f t="shared" si="17"/>
        <v>1194</v>
      </c>
      <c r="X217">
        <v>987</v>
      </c>
      <c r="Y217">
        <v>823</v>
      </c>
      <c r="Z217">
        <v>882</v>
      </c>
      <c r="AA217">
        <v>1223</v>
      </c>
      <c r="AB217">
        <v>1763</v>
      </c>
      <c r="AC217">
        <v>1315</v>
      </c>
      <c r="AD217">
        <v>1308</v>
      </c>
      <c r="AE217">
        <v>816</v>
      </c>
      <c r="AF217">
        <v>1270</v>
      </c>
      <c r="AG217" s="50">
        <v>0</v>
      </c>
      <c r="AH217" s="50">
        <v>0</v>
      </c>
      <c r="AI217" s="50">
        <v>0</v>
      </c>
      <c r="AJ217" s="50">
        <f t="shared" si="14"/>
        <v>865.58333333333337</v>
      </c>
      <c r="AK217" s="50">
        <f t="shared" si="15"/>
        <v>1154.1111111111111</v>
      </c>
    </row>
    <row r="218" spans="1:37" x14ac:dyDescent="0.3">
      <c r="A218" s="86" t="s">
        <v>90</v>
      </c>
      <c r="B218" s="6"/>
      <c r="C218" s="8">
        <v>3080538000</v>
      </c>
      <c r="D218" s="86" t="s">
        <v>476</v>
      </c>
      <c r="E218" s="6" t="s">
        <v>11</v>
      </c>
      <c r="F218" s="6" t="s">
        <v>9</v>
      </c>
      <c r="G218" s="6" t="s">
        <v>221</v>
      </c>
      <c r="H218" s="24">
        <v>45005</v>
      </c>
      <c r="I218" s="24" t="s">
        <v>330</v>
      </c>
      <c r="J218">
        <v>339</v>
      </c>
      <c r="K218">
        <v>318</v>
      </c>
      <c r="L218">
        <v>367</v>
      </c>
      <c r="M218">
        <v>482</v>
      </c>
      <c r="N218">
        <v>614</v>
      </c>
      <c r="O218">
        <v>864</v>
      </c>
      <c r="P218">
        <v>451</v>
      </c>
      <c r="Q218">
        <v>377</v>
      </c>
      <c r="R218">
        <v>382</v>
      </c>
      <c r="S218">
        <v>540</v>
      </c>
      <c r="T218">
        <v>550</v>
      </c>
      <c r="U218">
        <v>365</v>
      </c>
      <c r="V218" s="84">
        <f t="shared" si="16"/>
        <v>470.75</v>
      </c>
      <c r="W218" s="84">
        <f t="shared" si="17"/>
        <v>470.75</v>
      </c>
      <c r="X218">
        <v>383</v>
      </c>
      <c r="Y218">
        <v>334</v>
      </c>
      <c r="Z218">
        <v>354</v>
      </c>
      <c r="AA218">
        <v>369</v>
      </c>
      <c r="AB218">
        <v>578</v>
      </c>
      <c r="AC218">
        <v>683</v>
      </c>
      <c r="AD218">
        <v>723</v>
      </c>
      <c r="AE218">
        <v>516</v>
      </c>
      <c r="AF218">
        <v>318</v>
      </c>
      <c r="AG218">
        <v>333</v>
      </c>
      <c r="AH218" s="50">
        <v>0</v>
      </c>
      <c r="AI218" s="50">
        <v>0</v>
      </c>
      <c r="AJ218" s="50">
        <f t="shared" si="14"/>
        <v>382.58333333333331</v>
      </c>
      <c r="AK218" s="50">
        <f t="shared" si="15"/>
        <v>459.1</v>
      </c>
    </row>
    <row r="219" spans="1:37" x14ac:dyDescent="0.3">
      <c r="A219" s="86" t="s">
        <v>131</v>
      </c>
      <c r="B219" s="6"/>
      <c r="C219" s="8">
        <v>3121022000</v>
      </c>
      <c r="D219" s="86" t="s">
        <v>348</v>
      </c>
      <c r="E219" s="6" t="s">
        <v>16</v>
      </c>
      <c r="F219" s="6" t="s">
        <v>9</v>
      </c>
      <c r="G219" s="6" t="s">
        <v>116</v>
      </c>
      <c r="H219" s="24">
        <v>45007</v>
      </c>
      <c r="I219" s="24" t="s">
        <v>330</v>
      </c>
      <c r="J219">
        <v>1119</v>
      </c>
      <c r="K219">
        <v>558</v>
      </c>
      <c r="L219">
        <v>528</v>
      </c>
      <c r="M219">
        <v>646</v>
      </c>
      <c r="N219">
        <v>991</v>
      </c>
      <c r="O219">
        <v>2060</v>
      </c>
      <c r="P219">
        <v>1378</v>
      </c>
      <c r="Q219">
        <v>782</v>
      </c>
      <c r="R219">
        <v>982</v>
      </c>
      <c r="S219">
        <v>1044</v>
      </c>
      <c r="T219">
        <v>2136</v>
      </c>
      <c r="U219">
        <v>0</v>
      </c>
      <c r="V219" s="84">
        <f t="shared" si="16"/>
        <v>1018.6666666666666</v>
      </c>
      <c r="W219" s="84">
        <f t="shared" si="17"/>
        <v>1111.2727272727273</v>
      </c>
      <c r="X219">
        <v>1976</v>
      </c>
      <c r="Y219">
        <v>1708</v>
      </c>
      <c r="Z219">
        <v>966</v>
      </c>
      <c r="AA219">
        <v>754</v>
      </c>
      <c r="AB219">
        <v>788</v>
      </c>
      <c r="AC219">
        <v>1902</v>
      </c>
      <c r="AD219">
        <v>1730</v>
      </c>
      <c r="AE219">
        <v>1408</v>
      </c>
      <c r="AF219">
        <v>1158</v>
      </c>
      <c r="AG219">
        <v>1102</v>
      </c>
      <c r="AH219" s="50">
        <v>0</v>
      </c>
      <c r="AI219" s="50">
        <v>0</v>
      </c>
      <c r="AJ219" s="50">
        <f t="shared" si="14"/>
        <v>1124.3333333333333</v>
      </c>
      <c r="AK219" s="50">
        <f t="shared" si="15"/>
        <v>1349.2</v>
      </c>
    </row>
    <row r="220" spans="1:37" x14ac:dyDescent="0.3">
      <c r="A220" s="86" t="s">
        <v>13</v>
      </c>
      <c r="B220" s="6"/>
      <c r="C220" s="8">
        <v>3090922003</v>
      </c>
      <c r="D220" s="86" t="s">
        <v>354</v>
      </c>
      <c r="E220" s="6" t="s">
        <v>11</v>
      </c>
      <c r="F220" s="6" t="s">
        <v>9</v>
      </c>
      <c r="G220" s="6" t="s">
        <v>231</v>
      </c>
      <c r="H220" s="24">
        <v>45009</v>
      </c>
      <c r="I220" s="24" t="s">
        <v>330</v>
      </c>
      <c r="J220">
        <v>799</v>
      </c>
      <c r="K220">
        <v>751</v>
      </c>
      <c r="L220">
        <v>678</v>
      </c>
      <c r="M220">
        <v>0</v>
      </c>
      <c r="N220">
        <v>477</v>
      </c>
      <c r="O220">
        <v>418</v>
      </c>
      <c r="P220">
        <v>543</v>
      </c>
      <c r="Q220">
        <v>574</v>
      </c>
      <c r="R220">
        <v>329</v>
      </c>
      <c r="S220">
        <v>361</v>
      </c>
      <c r="T220">
        <v>431</v>
      </c>
      <c r="U220">
        <v>569</v>
      </c>
      <c r="V220" s="84">
        <f t="shared" si="16"/>
        <v>494.16666666666669</v>
      </c>
      <c r="W220" s="84">
        <f t="shared" si="17"/>
        <v>539.09090909090912</v>
      </c>
      <c r="X220">
        <v>463</v>
      </c>
      <c r="Y220">
        <v>483</v>
      </c>
      <c r="Z220">
        <v>437</v>
      </c>
      <c r="AA220">
        <v>356</v>
      </c>
      <c r="AB220">
        <v>372</v>
      </c>
      <c r="AC220">
        <v>565</v>
      </c>
      <c r="AD220">
        <v>520</v>
      </c>
      <c r="AE220">
        <v>571</v>
      </c>
      <c r="AF220">
        <v>390</v>
      </c>
      <c r="AG220">
        <v>392</v>
      </c>
      <c r="AH220" s="50">
        <v>0</v>
      </c>
      <c r="AI220" s="50">
        <v>0</v>
      </c>
      <c r="AJ220" s="50">
        <f t="shared" si="14"/>
        <v>379.08333333333331</v>
      </c>
      <c r="AK220" s="50">
        <f t="shared" si="15"/>
        <v>454.9</v>
      </c>
    </row>
    <row r="221" spans="1:37" x14ac:dyDescent="0.3">
      <c r="A221" s="86" t="s">
        <v>90</v>
      </c>
      <c r="B221" s="6"/>
      <c r="C221" s="8">
        <v>3160902000</v>
      </c>
      <c r="D221" s="86" t="s">
        <v>477</v>
      </c>
      <c r="E221" s="6" t="s">
        <v>8</v>
      </c>
      <c r="F221" s="6" t="s">
        <v>9</v>
      </c>
      <c r="G221" s="6" t="s">
        <v>229</v>
      </c>
      <c r="H221" s="24">
        <v>45012</v>
      </c>
      <c r="I221" s="24" t="s">
        <v>330</v>
      </c>
      <c r="J221">
        <v>550</v>
      </c>
      <c r="K221">
        <v>446</v>
      </c>
      <c r="L221">
        <v>434</v>
      </c>
      <c r="M221">
        <v>550</v>
      </c>
      <c r="N221">
        <v>522</v>
      </c>
      <c r="O221">
        <v>479</v>
      </c>
      <c r="P221">
        <v>479</v>
      </c>
      <c r="Q221">
        <v>466</v>
      </c>
      <c r="R221">
        <v>519</v>
      </c>
      <c r="S221">
        <v>546</v>
      </c>
      <c r="T221">
        <v>488</v>
      </c>
      <c r="U221">
        <v>584</v>
      </c>
      <c r="V221" s="84">
        <f t="shared" si="16"/>
        <v>505.25</v>
      </c>
      <c r="W221" s="84">
        <f t="shared" si="17"/>
        <v>505.25</v>
      </c>
      <c r="X221">
        <v>479</v>
      </c>
      <c r="Y221">
        <v>422</v>
      </c>
      <c r="Z221">
        <v>413</v>
      </c>
      <c r="AA221">
        <v>386</v>
      </c>
      <c r="AB221">
        <v>426</v>
      </c>
      <c r="AC221">
        <v>442</v>
      </c>
      <c r="AD221">
        <v>418</v>
      </c>
      <c r="AE221">
        <v>400</v>
      </c>
      <c r="AF221">
        <v>507</v>
      </c>
      <c r="AG221" s="50">
        <v>0</v>
      </c>
      <c r="AH221" s="50">
        <v>0</v>
      </c>
      <c r="AI221" s="50">
        <v>0</v>
      </c>
      <c r="AJ221" s="50">
        <f t="shared" si="14"/>
        <v>324.41666666666669</v>
      </c>
      <c r="AK221" s="50">
        <f t="shared" si="15"/>
        <v>432.55555555555554</v>
      </c>
    </row>
    <row r="222" spans="1:37" x14ac:dyDescent="0.3">
      <c r="A222" s="86" t="s">
        <v>7</v>
      </c>
      <c r="B222" s="6"/>
      <c r="C222" s="8">
        <v>3012519001</v>
      </c>
      <c r="D222" s="86" t="s">
        <v>472</v>
      </c>
      <c r="E222" s="6" t="s">
        <v>11</v>
      </c>
      <c r="F222" s="6" t="s">
        <v>9</v>
      </c>
      <c r="G222" s="6" t="s">
        <v>230</v>
      </c>
      <c r="H222" s="24">
        <v>45014</v>
      </c>
      <c r="I222" s="24" t="s">
        <v>330</v>
      </c>
      <c r="J222">
        <v>234</v>
      </c>
      <c r="K222">
        <v>362</v>
      </c>
      <c r="L222">
        <v>364</v>
      </c>
      <c r="M222">
        <v>346</v>
      </c>
      <c r="N222">
        <v>668</v>
      </c>
      <c r="O222">
        <v>443</v>
      </c>
      <c r="P222">
        <v>362</v>
      </c>
      <c r="Q222">
        <v>335</v>
      </c>
      <c r="R222">
        <v>421</v>
      </c>
      <c r="S222">
        <v>435</v>
      </c>
      <c r="T222">
        <v>422</v>
      </c>
      <c r="U222">
        <v>381</v>
      </c>
      <c r="V222" s="84">
        <f t="shared" si="16"/>
        <v>397.75</v>
      </c>
      <c r="W222" s="84">
        <f t="shared" si="17"/>
        <v>397.75</v>
      </c>
      <c r="X222">
        <v>352</v>
      </c>
      <c r="Y222">
        <v>401</v>
      </c>
      <c r="Z222">
        <v>403</v>
      </c>
      <c r="AA222">
        <v>497</v>
      </c>
      <c r="AB222">
        <v>562</v>
      </c>
      <c r="AC222">
        <v>481</v>
      </c>
      <c r="AD222">
        <v>430</v>
      </c>
      <c r="AE222">
        <v>363</v>
      </c>
      <c r="AF222">
        <v>482</v>
      </c>
      <c r="AG222" s="50">
        <v>0</v>
      </c>
      <c r="AH222" s="50">
        <v>0</v>
      </c>
      <c r="AI222" s="50">
        <v>0</v>
      </c>
      <c r="AJ222" s="50">
        <f t="shared" si="14"/>
        <v>330.91666666666669</v>
      </c>
      <c r="AK222" s="50">
        <f t="shared" si="15"/>
        <v>441.22222222222223</v>
      </c>
    </row>
    <row r="223" spans="1:37" x14ac:dyDescent="0.3">
      <c r="A223" s="86" t="s">
        <v>13</v>
      </c>
      <c r="B223" s="6"/>
      <c r="C223" s="20">
        <v>3132564000</v>
      </c>
      <c r="D223" s="86" t="s">
        <v>478</v>
      </c>
      <c r="E223" s="6" t="s">
        <v>16</v>
      </c>
      <c r="F223" s="6" t="s">
        <v>9</v>
      </c>
      <c r="G223" s="6" t="s">
        <v>235</v>
      </c>
      <c r="H223" s="24">
        <v>45025</v>
      </c>
      <c r="I223" s="24" t="s">
        <v>330</v>
      </c>
      <c r="J223">
        <v>1034</v>
      </c>
      <c r="K223">
        <v>1055</v>
      </c>
      <c r="L223">
        <v>1165</v>
      </c>
      <c r="M223">
        <v>1274</v>
      </c>
      <c r="N223">
        <v>1119</v>
      </c>
      <c r="O223">
        <v>1050</v>
      </c>
      <c r="P223">
        <v>1118</v>
      </c>
      <c r="Q223">
        <v>743</v>
      </c>
      <c r="R223">
        <v>1028</v>
      </c>
      <c r="S223">
        <v>1220</v>
      </c>
      <c r="T223">
        <v>1126</v>
      </c>
      <c r="U223">
        <v>1058</v>
      </c>
      <c r="V223" s="84">
        <f t="shared" si="16"/>
        <v>1082.5</v>
      </c>
      <c r="W223" s="84">
        <f t="shared" si="17"/>
        <v>1082.5</v>
      </c>
      <c r="X223">
        <v>1033</v>
      </c>
      <c r="Y223">
        <v>905</v>
      </c>
      <c r="Z223">
        <v>871</v>
      </c>
      <c r="AA223">
        <v>1308</v>
      </c>
      <c r="AB223">
        <v>1050</v>
      </c>
      <c r="AC223">
        <v>972</v>
      </c>
      <c r="AD223">
        <v>922</v>
      </c>
      <c r="AE223">
        <v>900</v>
      </c>
      <c r="AF223" s="50">
        <v>0</v>
      </c>
      <c r="AG223" s="50">
        <v>0</v>
      </c>
      <c r="AH223" s="50">
        <v>0</v>
      </c>
      <c r="AI223" s="50">
        <v>0</v>
      </c>
      <c r="AJ223" s="50">
        <f t="shared" si="14"/>
        <v>663.41666666666663</v>
      </c>
      <c r="AK223" s="50">
        <f t="shared" si="15"/>
        <v>995.125</v>
      </c>
    </row>
    <row r="224" spans="1:37" x14ac:dyDescent="0.3">
      <c r="A224" s="86" t="s">
        <v>13</v>
      </c>
      <c r="B224" s="6"/>
      <c r="C224" s="8">
        <v>3152397001</v>
      </c>
      <c r="D224" s="86" t="s">
        <v>354</v>
      </c>
      <c r="E224" s="6" t="s">
        <v>11</v>
      </c>
      <c r="F224" s="6" t="s">
        <v>9</v>
      </c>
      <c r="G224" s="6" t="s">
        <v>231</v>
      </c>
      <c r="H224" s="24">
        <v>45026</v>
      </c>
      <c r="I224" s="24" t="s">
        <v>330</v>
      </c>
      <c r="J224">
        <v>651</v>
      </c>
      <c r="K224">
        <v>712</v>
      </c>
      <c r="L224">
        <v>969</v>
      </c>
      <c r="M224">
        <v>1351</v>
      </c>
      <c r="N224">
        <v>1381</v>
      </c>
      <c r="O224">
        <v>1062</v>
      </c>
      <c r="P224">
        <v>674</v>
      </c>
      <c r="Q224">
        <v>697</v>
      </c>
      <c r="R224">
        <v>686</v>
      </c>
      <c r="S224">
        <v>794</v>
      </c>
      <c r="T224">
        <v>666</v>
      </c>
      <c r="U224">
        <v>727</v>
      </c>
      <c r="V224" s="84">
        <f t="shared" si="16"/>
        <v>864.16666666666663</v>
      </c>
      <c r="W224" s="84">
        <f t="shared" si="17"/>
        <v>864.16666666666663</v>
      </c>
      <c r="X224">
        <v>603</v>
      </c>
      <c r="Y224">
        <v>669</v>
      </c>
      <c r="Z224">
        <v>1002</v>
      </c>
      <c r="AA224">
        <v>1132</v>
      </c>
      <c r="AB224">
        <v>999</v>
      </c>
      <c r="AC224">
        <v>1012</v>
      </c>
      <c r="AD224">
        <v>686</v>
      </c>
      <c r="AE224">
        <v>755</v>
      </c>
      <c r="AF224" s="50">
        <v>0</v>
      </c>
      <c r="AG224" s="50">
        <v>0</v>
      </c>
      <c r="AH224" s="50">
        <v>0</v>
      </c>
      <c r="AI224" s="50">
        <v>0</v>
      </c>
      <c r="AJ224" s="50">
        <f t="shared" si="14"/>
        <v>571.5</v>
      </c>
      <c r="AK224" s="50">
        <f t="shared" si="15"/>
        <v>857.25</v>
      </c>
    </row>
    <row r="225" spans="1:37" x14ac:dyDescent="0.3">
      <c r="A225" s="95" t="s">
        <v>240</v>
      </c>
      <c r="B225" s="16"/>
      <c r="C225" s="8">
        <v>3062130000</v>
      </c>
      <c r="D225" s="95" t="s">
        <v>369</v>
      </c>
      <c r="E225" s="16" t="s">
        <v>8</v>
      </c>
      <c r="F225" s="16" t="s">
        <v>9</v>
      </c>
      <c r="G225" s="16" t="s">
        <v>87</v>
      </c>
      <c r="H225" s="24">
        <v>45041</v>
      </c>
      <c r="I225" s="24" t="s">
        <v>330</v>
      </c>
      <c r="J225" s="48">
        <v>114</v>
      </c>
      <c r="K225" s="47">
        <v>145</v>
      </c>
      <c r="L225" s="50">
        <v>161</v>
      </c>
      <c r="M225" s="50">
        <v>22</v>
      </c>
      <c r="N225" s="50">
        <v>9</v>
      </c>
      <c r="O225" s="50">
        <v>10</v>
      </c>
      <c r="P225" s="50">
        <v>4</v>
      </c>
      <c r="Q225" s="50">
        <v>0</v>
      </c>
      <c r="R225" s="50">
        <v>0</v>
      </c>
      <c r="S225" s="50">
        <v>0</v>
      </c>
      <c r="T225" s="50">
        <v>0</v>
      </c>
      <c r="U225" s="50">
        <v>0</v>
      </c>
      <c r="V225" s="84">
        <f t="shared" si="16"/>
        <v>38.75</v>
      </c>
      <c r="W225" s="84">
        <f t="shared" si="17"/>
        <v>66.428571428571431</v>
      </c>
      <c r="X225" s="50">
        <v>0</v>
      </c>
      <c r="Y225" s="50">
        <v>0</v>
      </c>
      <c r="Z225" s="50">
        <v>0</v>
      </c>
      <c r="AA225" s="50">
        <v>0</v>
      </c>
      <c r="AB225" s="50">
        <v>0</v>
      </c>
      <c r="AC225" s="50">
        <v>0</v>
      </c>
      <c r="AD225" s="50">
        <v>0</v>
      </c>
      <c r="AE225" s="50">
        <v>0</v>
      </c>
      <c r="AF225" s="50">
        <v>0</v>
      </c>
      <c r="AG225" s="50">
        <v>0</v>
      </c>
      <c r="AH225" s="50">
        <v>0</v>
      </c>
      <c r="AI225" s="50">
        <v>0</v>
      </c>
      <c r="AJ225" s="50">
        <f t="shared" si="14"/>
        <v>0</v>
      </c>
      <c r="AK225" s="50" t="e">
        <f t="shared" si="15"/>
        <v>#DIV/0!</v>
      </c>
    </row>
    <row r="226" spans="1:37" x14ac:dyDescent="0.3">
      <c r="A226" s="96" t="s">
        <v>90</v>
      </c>
      <c r="B226" s="17"/>
      <c r="C226" s="8">
        <v>3151125000</v>
      </c>
      <c r="D226" s="96" t="s">
        <v>383</v>
      </c>
      <c r="E226" s="17" t="s">
        <v>14</v>
      </c>
      <c r="F226" s="17" t="s">
        <v>9</v>
      </c>
      <c r="G226" s="17" t="s">
        <v>258</v>
      </c>
      <c r="H226" s="24">
        <v>45041</v>
      </c>
      <c r="I226" s="24" t="s">
        <v>330</v>
      </c>
      <c r="J226">
        <v>421</v>
      </c>
      <c r="K226">
        <v>498</v>
      </c>
      <c r="L226">
        <v>579</v>
      </c>
      <c r="M226">
        <v>652</v>
      </c>
      <c r="N226">
        <v>528</v>
      </c>
      <c r="O226">
        <v>496</v>
      </c>
      <c r="P226">
        <v>440</v>
      </c>
      <c r="Q226">
        <v>525</v>
      </c>
      <c r="R226">
        <v>488</v>
      </c>
      <c r="S226">
        <v>427</v>
      </c>
      <c r="T226">
        <v>476</v>
      </c>
      <c r="U226">
        <v>430</v>
      </c>
      <c r="V226" s="84">
        <f t="shared" si="16"/>
        <v>496.66666666666669</v>
      </c>
      <c r="W226" s="84">
        <f t="shared" si="17"/>
        <v>496.66666666666669</v>
      </c>
      <c r="X226">
        <v>394</v>
      </c>
      <c r="Y226">
        <v>390</v>
      </c>
      <c r="Z226">
        <v>483</v>
      </c>
      <c r="AA226">
        <v>645</v>
      </c>
      <c r="AB226">
        <v>508</v>
      </c>
      <c r="AC226">
        <v>438</v>
      </c>
      <c r="AD226">
        <v>349</v>
      </c>
      <c r="AE226">
        <v>392</v>
      </c>
      <c r="AF226" s="50">
        <v>0</v>
      </c>
      <c r="AG226" s="50">
        <v>0</v>
      </c>
      <c r="AH226" s="50">
        <v>0</v>
      </c>
      <c r="AI226" s="50">
        <v>0</v>
      </c>
      <c r="AJ226" s="50">
        <f t="shared" si="14"/>
        <v>299.91666666666669</v>
      </c>
      <c r="AK226" s="50">
        <f t="shared" si="15"/>
        <v>449.875</v>
      </c>
    </row>
    <row r="227" spans="1:37" x14ac:dyDescent="0.3">
      <c r="A227" s="86" t="s">
        <v>113</v>
      </c>
      <c r="B227" s="6"/>
      <c r="C227" s="20">
        <v>3120757000</v>
      </c>
      <c r="D227" s="86" t="s">
        <v>479</v>
      </c>
      <c r="E227" s="6" t="s">
        <v>11</v>
      </c>
      <c r="F227" s="6" t="s">
        <v>9</v>
      </c>
      <c r="G227" s="6" t="s">
        <v>234</v>
      </c>
      <c r="H227" s="24">
        <v>45048</v>
      </c>
      <c r="I227" s="24" t="s">
        <v>330</v>
      </c>
      <c r="J227">
        <v>234</v>
      </c>
      <c r="K227">
        <v>213</v>
      </c>
      <c r="L227">
        <v>365</v>
      </c>
      <c r="M227">
        <v>527</v>
      </c>
      <c r="N227">
        <v>290</v>
      </c>
      <c r="O227">
        <v>194</v>
      </c>
      <c r="P227">
        <v>221</v>
      </c>
      <c r="Q227">
        <v>210</v>
      </c>
      <c r="R227">
        <v>230</v>
      </c>
      <c r="S227">
        <v>235</v>
      </c>
      <c r="T227">
        <v>206</v>
      </c>
      <c r="U227">
        <v>204</v>
      </c>
      <c r="V227" s="84">
        <f t="shared" si="16"/>
        <v>260.75</v>
      </c>
      <c r="W227" s="84">
        <f t="shared" si="17"/>
        <v>260.75</v>
      </c>
      <c r="X227">
        <v>222</v>
      </c>
      <c r="Y227">
        <v>236</v>
      </c>
      <c r="Z227">
        <v>445</v>
      </c>
      <c r="AA227">
        <v>308</v>
      </c>
      <c r="AB227">
        <v>265</v>
      </c>
      <c r="AC227">
        <v>240</v>
      </c>
      <c r="AD227">
        <v>207</v>
      </c>
      <c r="AF227" s="50">
        <v>0</v>
      </c>
      <c r="AG227" s="50">
        <v>0</v>
      </c>
      <c r="AH227" s="50">
        <v>0</v>
      </c>
      <c r="AI227" s="50">
        <v>0</v>
      </c>
      <c r="AJ227" s="50">
        <f t="shared" si="14"/>
        <v>174.81818181818181</v>
      </c>
      <c r="AK227" s="50">
        <f t="shared" si="15"/>
        <v>274.71428571428572</v>
      </c>
    </row>
    <row r="228" spans="1:37" x14ac:dyDescent="0.3">
      <c r="A228" s="97" t="s">
        <v>13</v>
      </c>
      <c r="B228" s="19"/>
      <c r="C228" s="23">
        <v>3131020003</v>
      </c>
      <c r="D228" s="97" t="s">
        <v>480</v>
      </c>
      <c r="E228" s="19" t="s">
        <v>16</v>
      </c>
      <c r="F228" s="19" t="s">
        <v>9</v>
      </c>
      <c r="G228" s="19" t="s">
        <v>269</v>
      </c>
      <c r="H228" s="24">
        <v>45049</v>
      </c>
      <c r="I228" s="24" t="s">
        <v>330</v>
      </c>
      <c r="J228">
        <v>484</v>
      </c>
      <c r="K228">
        <v>456</v>
      </c>
      <c r="L228">
        <v>578</v>
      </c>
      <c r="M228">
        <v>548</v>
      </c>
      <c r="N228">
        <v>464</v>
      </c>
      <c r="O228">
        <v>517</v>
      </c>
      <c r="P228">
        <v>472</v>
      </c>
      <c r="Q228">
        <v>471</v>
      </c>
      <c r="R228">
        <v>506</v>
      </c>
      <c r="S228">
        <v>444</v>
      </c>
      <c r="T228">
        <v>441</v>
      </c>
      <c r="U228">
        <v>492</v>
      </c>
      <c r="V228" s="84">
        <f t="shared" si="16"/>
        <v>489.41666666666669</v>
      </c>
      <c r="W228" s="84">
        <f t="shared" si="17"/>
        <v>489.41666666666669</v>
      </c>
      <c r="X228">
        <v>544</v>
      </c>
      <c r="Y228">
        <v>466</v>
      </c>
      <c r="Z228">
        <v>914</v>
      </c>
      <c r="AA228">
        <v>611</v>
      </c>
      <c r="AB228">
        <v>481</v>
      </c>
      <c r="AC228">
        <v>590</v>
      </c>
      <c r="AD228">
        <v>720</v>
      </c>
      <c r="AF228" s="50">
        <v>0</v>
      </c>
      <c r="AG228" s="50">
        <v>0</v>
      </c>
      <c r="AH228" s="50">
        <v>0</v>
      </c>
      <c r="AI228" s="50">
        <v>0</v>
      </c>
      <c r="AJ228" s="50">
        <f t="shared" si="14"/>
        <v>393.27272727272725</v>
      </c>
      <c r="AK228" s="50">
        <f t="shared" si="15"/>
        <v>618</v>
      </c>
    </row>
    <row r="229" spans="1:37" x14ac:dyDescent="0.3">
      <c r="A229" s="98" t="s">
        <v>13</v>
      </c>
      <c r="B229" s="18"/>
      <c r="C229" s="22">
        <v>3060750001</v>
      </c>
      <c r="D229" s="98" t="s">
        <v>481</v>
      </c>
      <c r="E229" s="18" t="s">
        <v>11</v>
      </c>
      <c r="F229" s="18" t="s">
        <v>9</v>
      </c>
      <c r="G229" s="18" t="s">
        <v>264</v>
      </c>
      <c r="H229" s="24">
        <v>45050</v>
      </c>
      <c r="I229" s="24" t="s">
        <v>330</v>
      </c>
      <c r="J229">
        <v>367</v>
      </c>
      <c r="K229">
        <v>380</v>
      </c>
      <c r="L229">
        <v>428</v>
      </c>
      <c r="M229">
        <v>738</v>
      </c>
      <c r="N229">
        <v>538</v>
      </c>
      <c r="O229">
        <v>366</v>
      </c>
      <c r="P229">
        <v>345</v>
      </c>
      <c r="Q229">
        <v>451</v>
      </c>
      <c r="R229">
        <v>484</v>
      </c>
      <c r="S229">
        <v>442</v>
      </c>
      <c r="T229">
        <v>408</v>
      </c>
      <c r="U229">
        <v>374</v>
      </c>
      <c r="V229" s="84">
        <f t="shared" si="16"/>
        <v>443.41666666666669</v>
      </c>
      <c r="W229" s="84">
        <f t="shared" si="17"/>
        <v>443.41666666666669</v>
      </c>
      <c r="X229">
        <v>394</v>
      </c>
      <c r="Y229">
        <v>334</v>
      </c>
      <c r="Z229">
        <v>621</v>
      </c>
      <c r="AA229">
        <v>610</v>
      </c>
      <c r="AB229">
        <v>534</v>
      </c>
      <c r="AC229">
        <v>485</v>
      </c>
      <c r="AD229">
        <v>427</v>
      </c>
      <c r="AE229">
        <v>451</v>
      </c>
      <c r="AF229" s="50">
        <v>0</v>
      </c>
      <c r="AG229" s="50">
        <v>0</v>
      </c>
      <c r="AH229" s="50">
        <v>0</v>
      </c>
      <c r="AI229" s="50">
        <v>0</v>
      </c>
      <c r="AJ229" s="50">
        <f t="shared" si="14"/>
        <v>321.33333333333331</v>
      </c>
      <c r="AK229" s="50">
        <f t="shared" si="15"/>
        <v>482</v>
      </c>
    </row>
    <row r="230" spans="1:37" x14ac:dyDescent="0.3">
      <c r="A230" s="86" t="s">
        <v>90</v>
      </c>
      <c r="B230" s="6"/>
      <c r="C230" s="20">
        <v>3041035000</v>
      </c>
      <c r="D230" s="86" t="s">
        <v>482</v>
      </c>
      <c r="E230" s="6" t="s">
        <v>8</v>
      </c>
      <c r="F230" s="6" t="s">
        <v>9</v>
      </c>
      <c r="G230" s="6" t="s">
        <v>255</v>
      </c>
      <c r="H230" s="24">
        <v>45057</v>
      </c>
      <c r="I230" s="24" t="s">
        <v>330</v>
      </c>
      <c r="J230">
        <v>600</v>
      </c>
      <c r="K230">
        <v>667</v>
      </c>
      <c r="L230">
        <v>1061</v>
      </c>
      <c r="M230">
        <v>1289</v>
      </c>
      <c r="N230">
        <v>1001</v>
      </c>
      <c r="O230">
        <v>769</v>
      </c>
      <c r="P230">
        <v>1103</v>
      </c>
      <c r="Q230">
        <v>959</v>
      </c>
      <c r="R230">
        <v>1081</v>
      </c>
      <c r="S230">
        <v>701</v>
      </c>
      <c r="T230">
        <v>798</v>
      </c>
      <c r="U230">
        <v>633</v>
      </c>
      <c r="V230" s="84">
        <f t="shared" si="16"/>
        <v>888.5</v>
      </c>
      <c r="W230" s="84">
        <f t="shared" si="17"/>
        <v>888.5</v>
      </c>
      <c r="X230">
        <v>716</v>
      </c>
      <c r="Y230">
        <v>539</v>
      </c>
      <c r="Z230">
        <v>846</v>
      </c>
      <c r="AA230">
        <v>688</v>
      </c>
      <c r="AB230">
        <v>927</v>
      </c>
      <c r="AC230">
        <v>541</v>
      </c>
      <c r="AD230">
        <v>214</v>
      </c>
      <c r="AE230">
        <v>174</v>
      </c>
      <c r="AF230" s="50">
        <v>0</v>
      </c>
      <c r="AG230" s="50">
        <v>0</v>
      </c>
      <c r="AH230" s="50">
        <v>0</v>
      </c>
      <c r="AI230" s="50">
        <v>0</v>
      </c>
      <c r="AJ230" s="50">
        <f t="shared" si="14"/>
        <v>387.08333333333331</v>
      </c>
      <c r="AK230" s="50">
        <f t="shared" si="15"/>
        <v>580.625</v>
      </c>
    </row>
    <row r="231" spans="1:37" x14ac:dyDescent="0.3">
      <c r="A231" s="86" t="s">
        <v>13</v>
      </c>
      <c r="B231" s="6"/>
      <c r="C231" s="20">
        <v>3041488000</v>
      </c>
      <c r="D231" s="86" t="s">
        <v>478</v>
      </c>
      <c r="E231" s="6" t="s">
        <v>16</v>
      </c>
      <c r="F231" s="6" t="s">
        <v>9</v>
      </c>
      <c r="G231" s="6" t="s">
        <v>235</v>
      </c>
      <c r="H231" s="24">
        <v>45057</v>
      </c>
      <c r="I231" s="24" t="s">
        <v>330</v>
      </c>
      <c r="J231">
        <v>462</v>
      </c>
      <c r="K231">
        <v>647</v>
      </c>
      <c r="L231">
        <v>782</v>
      </c>
      <c r="M231">
        <v>1156</v>
      </c>
      <c r="N231">
        <v>652</v>
      </c>
      <c r="O231">
        <v>442</v>
      </c>
      <c r="P231">
        <v>423</v>
      </c>
      <c r="Q231">
        <v>501</v>
      </c>
      <c r="R231">
        <v>577</v>
      </c>
      <c r="S231">
        <v>528</v>
      </c>
      <c r="T231">
        <v>502</v>
      </c>
      <c r="U231">
        <v>428</v>
      </c>
      <c r="V231" s="84">
        <f t="shared" si="16"/>
        <v>591.66666666666663</v>
      </c>
      <c r="W231" s="84">
        <f t="shared" si="17"/>
        <v>591.66666666666663</v>
      </c>
      <c r="X231">
        <v>472</v>
      </c>
      <c r="Y231">
        <v>456</v>
      </c>
      <c r="Z231">
        <v>743</v>
      </c>
      <c r="AA231">
        <v>810</v>
      </c>
      <c r="AB231">
        <v>676</v>
      </c>
      <c r="AC231">
        <v>501</v>
      </c>
      <c r="AD231">
        <v>426</v>
      </c>
      <c r="AE231">
        <v>475</v>
      </c>
      <c r="AF231" s="50">
        <v>0</v>
      </c>
      <c r="AG231" s="50">
        <v>0</v>
      </c>
      <c r="AH231" s="50">
        <v>0</v>
      </c>
      <c r="AI231" s="50">
        <v>0</v>
      </c>
      <c r="AJ231" s="50">
        <f t="shared" si="14"/>
        <v>379.91666666666669</v>
      </c>
      <c r="AK231" s="50">
        <f t="shared" si="15"/>
        <v>569.875</v>
      </c>
    </row>
    <row r="232" spans="1:37" x14ac:dyDescent="0.3">
      <c r="A232" s="86" t="s">
        <v>13</v>
      </c>
      <c r="B232" s="6"/>
      <c r="C232" s="20">
        <v>3070115000</v>
      </c>
      <c r="D232" s="86" t="s">
        <v>339</v>
      </c>
      <c r="E232" s="6" t="s">
        <v>16</v>
      </c>
      <c r="F232" s="6" t="s">
        <v>9</v>
      </c>
      <c r="G232" s="6" t="s">
        <v>254</v>
      </c>
      <c r="H232" s="24">
        <v>45057</v>
      </c>
      <c r="I232" s="24" t="s">
        <v>330</v>
      </c>
      <c r="J232">
        <v>184</v>
      </c>
      <c r="K232">
        <v>218</v>
      </c>
      <c r="L232">
        <v>243</v>
      </c>
      <c r="M232">
        <v>466</v>
      </c>
      <c r="N232">
        <v>221</v>
      </c>
      <c r="O232">
        <v>139</v>
      </c>
      <c r="P232">
        <v>170</v>
      </c>
      <c r="Q232">
        <v>153</v>
      </c>
      <c r="R232">
        <v>181</v>
      </c>
      <c r="S232">
        <v>179</v>
      </c>
      <c r="T232">
        <v>154</v>
      </c>
      <c r="U232">
        <v>151</v>
      </c>
      <c r="V232" s="84">
        <f t="shared" si="16"/>
        <v>204.91666666666666</v>
      </c>
      <c r="W232" s="84">
        <f t="shared" si="17"/>
        <v>204.91666666666666</v>
      </c>
      <c r="X232">
        <v>167</v>
      </c>
      <c r="Y232">
        <v>157</v>
      </c>
      <c r="Z232">
        <v>368</v>
      </c>
      <c r="AA232">
        <v>266</v>
      </c>
      <c r="AB232">
        <v>223</v>
      </c>
      <c r="AC232">
        <v>141</v>
      </c>
      <c r="AD232">
        <v>143</v>
      </c>
      <c r="AE232">
        <v>137</v>
      </c>
      <c r="AF232" s="50">
        <v>0</v>
      </c>
      <c r="AG232" s="50">
        <v>0</v>
      </c>
      <c r="AH232" s="50">
        <v>0</v>
      </c>
      <c r="AI232" s="50">
        <v>0</v>
      </c>
      <c r="AJ232" s="50">
        <f t="shared" si="14"/>
        <v>133.5</v>
      </c>
      <c r="AK232" s="50">
        <f t="shared" si="15"/>
        <v>200.25</v>
      </c>
    </row>
    <row r="233" spans="1:37" x14ac:dyDescent="0.3">
      <c r="A233" s="95" t="s">
        <v>204</v>
      </c>
      <c r="B233" s="16"/>
      <c r="C233" s="8">
        <v>3120468003</v>
      </c>
      <c r="D233" s="95" t="s">
        <v>364</v>
      </c>
      <c r="E233" s="16" t="s">
        <v>11</v>
      </c>
      <c r="F233" s="16" t="s">
        <v>9</v>
      </c>
      <c r="G233" s="16" t="s">
        <v>12</v>
      </c>
      <c r="H233" s="24">
        <v>45057</v>
      </c>
      <c r="I233" s="24" t="s">
        <v>330</v>
      </c>
      <c r="J233">
        <v>1196</v>
      </c>
      <c r="K233">
        <v>2994</v>
      </c>
      <c r="L233">
        <v>3380</v>
      </c>
      <c r="M233">
        <v>3420</v>
      </c>
      <c r="N233">
        <v>2215</v>
      </c>
      <c r="O233">
        <v>879</v>
      </c>
      <c r="P233">
        <v>807</v>
      </c>
      <c r="Q233">
        <v>901</v>
      </c>
      <c r="R233">
        <v>893</v>
      </c>
      <c r="S233">
        <v>932</v>
      </c>
      <c r="T233">
        <v>935</v>
      </c>
      <c r="U233">
        <v>804</v>
      </c>
      <c r="V233" s="84">
        <f t="shared" si="16"/>
        <v>1613</v>
      </c>
      <c r="W233" s="84">
        <f t="shared" si="17"/>
        <v>1613</v>
      </c>
      <c r="X233">
        <v>1013</v>
      </c>
      <c r="Y233">
        <v>1336</v>
      </c>
      <c r="Z233">
        <v>3271</v>
      </c>
      <c r="AA233">
        <v>2979</v>
      </c>
      <c r="AB233">
        <v>2476</v>
      </c>
      <c r="AC233">
        <v>1053</v>
      </c>
      <c r="AD233">
        <v>722</v>
      </c>
      <c r="AF233" s="50">
        <v>0</v>
      </c>
      <c r="AG233" s="50">
        <v>0</v>
      </c>
      <c r="AH233" s="50">
        <v>0</v>
      </c>
      <c r="AI233" s="50">
        <v>0</v>
      </c>
      <c r="AJ233" s="50">
        <f t="shared" si="14"/>
        <v>1168.1818181818182</v>
      </c>
      <c r="AK233" s="50">
        <f t="shared" si="15"/>
        <v>1835.7142857142858</v>
      </c>
    </row>
    <row r="234" spans="1:37" x14ac:dyDescent="0.3">
      <c r="A234" s="95" t="s">
        <v>13</v>
      </c>
      <c r="B234" s="16"/>
      <c r="C234" s="8">
        <v>3021006001</v>
      </c>
      <c r="D234" s="95" t="s">
        <v>483</v>
      </c>
      <c r="E234" s="16" t="s">
        <v>8</v>
      </c>
      <c r="F234" s="16" t="s">
        <v>9</v>
      </c>
      <c r="G234" s="16" t="s">
        <v>241</v>
      </c>
      <c r="H234" s="24">
        <v>45058</v>
      </c>
      <c r="I234" s="24" t="s">
        <v>330</v>
      </c>
      <c r="J234">
        <v>531</v>
      </c>
      <c r="K234">
        <v>555</v>
      </c>
      <c r="L234">
        <v>607</v>
      </c>
      <c r="M234">
        <v>866</v>
      </c>
      <c r="N234">
        <v>667</v>
      </c>
      <c r="O234">
        <v>434</v>
      </c>
      <c r="P234">
        <v>400</v>
      </c>
      <c r="Q234">
        <v>470</v>
      </c>
      <c r="R234">
        <v>460</v>
      </c>
      <c r="S234">
        <v>483</v>
      </c>
      <c r="T234">
        <v>419</v>
      </c>
      <c r="U234">
        <v>419</v>
      </c>
      <c r="V234" s="84">
        <f t="shared" si="16"/>
        <v>525.91666666666663</v>
      </c>
      <c r="W234" s="84">
        <f t="shared" si="17"/>
        <v>525.91666666666663</v>
      </c>
      <c r="X234">
        <v>466</v>
      </c>
      <c r="Y234">
        <v>408</v>
      </c>
      <c r="Z234">
        <v>682</v>
      </c>
      <c r="AA234">
        <v>693</v>
      </c>
      <c r="AB234">
        <v>533</v>
      </c>
      <c r="AC234">
        <v>534</v>
      </c>
      <c r="AD234">
        <v>415</v>
      </c>
      <c r="AE234">
        <v>436</v>
      </c>
      <c r="AF234" s="50">
        <v>0</v>
      </c>
      <c r="AG234" s="50">
        <v>0</v>
      </c>
      <c r="AH234" s="50">
        <v>0</v>
      </c>
      <c r="AI234" s="50">
        <v>0</v>
      </c>
      <c r="AJ234" s="50">
        <f t="shared" si="14"/>
        <v>347.25</v>
      </c>
      <c r="AK234" s="50">
        <f t="shared" si="15"/>
        <v>520.875</v>
      </c>
    </row>
    <row r="235" spans="1:37" x14ac:dyDescent="0.3">
      <c r="A235" s="97" t="s">
        <v>90</v>
      </c>
      <c r="B235" s="19"/>
      <c r="C235" s="23">
        <v>3060501001</v>
      </c>
      <c r="D235" s="97" t="s">
        <v>405</v>
      </c>
      <c r="E235" s="19" t="s">
        <v>11</v>
      </c>
      <c r="F235" s="19" t="s">
        <v>9</v>
      </c>
      <c r="G235" s="19" t="s">
        <v>270</v>
      </c>
      <c r="H235" s="24">
        <v>45062</v>
      </c>
      <c r="I235" s="24" t="s">
        <v>330</v>
      </c>
      <c r="J235">
        <v>456</v>
      </c>
      <c r="K235">
        <v>351</v>
      </c>
      <c r="L235">
        <v>559</v>
      </c>
      <c r="M235">
        <v>1002</v>
      </c>
      <c r="N235">
        <v>618</v>
      </c>
      <c r="O235">
        <v>282</v>
      </c>
      <c r="P235">
        <v>269</v>
      </c>
      <c r="Q235">
        <v>465</v>
      </c>
      <c r="R235">
        <v>535</v>
      </c>
      <c r="S235">
        <v>515</v>
      </c>
      <c r="T235">
        <v>418</v>
      </c>
      <c r="U235">
        <v>310</v>
      </c>
      <c r="V235" s="84">
        <f t="shared" si="16"/>
        <v>481.66666666666669</v>
      </c>
      <c r="W235" s="84">
        <f t="shared" si="17"/>
        <v>481.66666666666669</v>
      </c>
      <c r="X235">
        <v>249</v>
      </c>
      <c r="Y235">
        <v>213</v>
      </c>
      <c r="Z235">
        <v>218</v>
      </c>
      <c r="AA235">
        <v>382</v>
      </c>
      <c r="AB235">
        <v>293</v>
      </c>
      <c r="AC235">
        <v>331</v>
      </c>
      <c r="AD235">
        <v>539</v>
      </c>
      <c r="AE235">
        <v>1144</v>
      </c>
      <c r="AF235" s="50">
        <v>0</v>
      </c>
      <c r="AG235" s="50">
        <v>0</v>
      </c>
      <c r="AH235" s="50">
        <v>0</v>
      </c>
      <c r="AI235" s="50">
        <v>0</v>
      </c>
      <c r="AJ235" s="50">
        <f t="shared" si="14"/>
        <v>280.75</v>
      </c>
      <c r="AK235" s="50">
        <f t="shared" si="15"/>
        <v>421.125</v>
      </c>
    </row>
    <row r="236" spans="1:37" x14ac:dyDescent="0.3">
      <c r="A236" s="95" t="s">
        <v>113</v>
      </c>
      <c r="B236" s="16"/>
      <c r="C236" s="8">
        <v>3140760000</v>
      </c>
      <c r="D236" s="95" t="s">
        <v>484</v>
      </c>
      <c r="E236" s="16" t="s">
        <v>11</v>
      </c>
      <c r="F236" s="16" t="s">
        <v>9</v>
      </c>
      <c r="G236" s="16" t="s">
        <v>236</v>
      </c>
      <c r="H236" s="24">
        <v>45068</v>
      </c>
      <c r="I236" s="24" t="s">
        <v>330</v>
      </c>
      <c r="J236">
        <v>686</v>
      </c>
      <c r="K236">
        <v>793</v>
      </c>
      <c r="L236">
        <v>1204</v>
      </c>
      <c r="M236">
        <v>1179</v>
      </c>
      <c r="N236">
        <v>794</v>
      </c>
      <c r="O236">
        <v>487</v>
      </c>
      <c r="P236">
        <v>473</v>
      </c>
      <c r="Q236">
        <v>598</v>
      </c>
      <c r="R236">
        <v>673</v>
      </c>
      <c r="S236">
        <v>660</v>
      </c>
      <c r="T236">
        <v>654</v>
      </c>
      <c r="U236">
        <v>549</v>
      </c>
      <c r="V236" s="84">
        <f t="shared" si="16"/>
        <v>729.16666666666663</v>
      </c>
      <c r="W236" s="84">
        <f t="shared" si="17"/>
        <v>729.16666666666663</v>
      </c>
      <c r="X236">
        <v>562</v>
      </c>
      <c r="Y236">
        <v>762</v>
      </c>
      <c r="Z236">
        <v>1027</v>
      </c>
      <c r="AA236">
        <v>846</v>
      </c>
      <c r="AB236">
        <v>791</v>
      </c>
      <c r="AC236">
        <v>421</v>
      </c>
      <c r="AD236">
        <v>600</v>
      </c>
      <c r="AE236" s="50">
        <v>0</v>
      </c>
      <c r="AF236" s="50">
        <v>0</v>
      </c>
      <c r="AG236" s="50">
        <v>0</v>
      </c>
      <c r="AH236" s="50">
        <v>0</v>
      </c>
      <c r="AI236" s="50">
        <v>0</v>
      </c>
      <c r="AJ236" s="50">
        <f t="shared" si="14"/>
        <v>417.41666666666669</v>
      </c>
      <c r="AK236" s="50">
        <f t="shared" si="15"/>
        <v>715.57142857142856</v>
      </c>
    </row>
    <row r="237" spans="1:37" x14ac:dyDescent="0.3">
      <c r="A237" s="95" t="s">
        <v>227</v>
      </c>
      <c r="B237" s="16"/>
      <c r="C237" s="8">
        <v>3132062000</v>
      </c>
      <c r="D237" s="95" t="s">
        <v>463</v>
      </c>
      <c r="E237" s="16" t="s">
        <v>14</v>
      </c>
      <c r="F237" s="16" t="s">
        <v>9</v>
      </c>
      <c r="G237" s="16" t="s">
        <v>237</v>
      </c>
      <c r="H237" s="24">
        <v>45070</v>
      </c>
      <c r="I237" s="24" t="s">
        <v>330</v>
      </c>
      <c r="J237">
        <v>333</v>
      </c>
      <c r="K237">
        <v>278</v>
      </c>
      <c r="L237">
        <v>401</v>
      </c>
      <c r="M237">
        <v>397</v>
      </c>
      <c r="N237">
        <v>297</v>
      </c>
      <c r="O237">
        <v>313</v>
      </c>
      <c r="P237">
        <v>278</v>
      </c>
      <c r="Q237">
        <v>350</v>
      </c>
      <c r="R237">
        <v>421</v>
      </c>
      <c r="S237">
        <v>328</v>
      </c>
      <c r="T237">
        <v>320</v>
      </c>
      <c r="U237">
        <v>319</v>
      </c>
      <c r="V237" s="84">
        <f t="shared" si="16"/>
        <v>336.25</v>
      </c>
      <c r="W237" s="84">
        <f t="shared" si="17"/>
        <v>336.25</v>
      </c>
      <c r="X237">
        <v>299</v>
      </c>
      <c r="Y237">
        <v>275</v>
      </c>
      <c r="Z237">
        <v>407</v>
      </c>
      <c r="AA237">
        <v>320</v>
      </c>
      <c r="AB237">
        <v>284</v>
      </c>
      <c r="AC237">
        <v>305</v>
      </c>
      <c r="AD237">
        <v>298</v>
      </c>
      <c r="AE237" s="50">
        <v>0</v>
      </c>
      <c r="AF237" s="50">
        <v>0</v>
      </c>
      <c r="AG237" s="50">
        <v>0</v>
      </c>
      <c r="AH237" s="50">
        <v>0</v>
      </c>
      <c r="AI237" s="50">
        <v>0</v>
      </c>
      <c r="AJ237" s="50">
        <f t="shared" si="14"/>
        <v>182.33333333333334</v>
      </c>
      <c r="AK237" s="50">
        <f t="shared" si="15"/>
        <v>312.57142857142856</v>
      </c>
    </row>
    <row r="238" spans="1:37" x14ac:dyDescent="0.3">
      <c r="A238" s="86" t="s">
        <v>90</v>
      </c>
      <c r="B238" s="6"/>
      <c r="C238" s="20">
        <v>3081447001</v>
      </c>
      <c r="D238" s="86" t="s">
        <v>339</v>
      </c>
      <c r="E238" s="6" t="s">
        <v>16</v>
      </c>
      <c r="F238" s="6" t="s">
        <v>9</v>
      </c>
      <c r="G238" s="6" t="s">
        <v>233</v>
      </c>
      <c r="H238" s="24">
        <v>45071</v>
      </c>
      <c r="I238" s="24" t="s">
        <v>330</v>
      </c>
      <c r="J238">
        <v>381</v>
      </c>
      <c r="K238">
        <v>467</v>
      </c>
      <c r="L238">
        <v>605</v>
      </c>
      <c r="M238">
        <v>761</v>
      </c>
      <c r="N238">
        <v>522</v>
      </c>
      <c r="O238">
        <v>330</v>
      </c>
      <c r="P238">
        <v>319</v>
      </c>
      <c r="Q238">
        <v>355</v>
      </c>
      <c r="R238">
        <v>435</v>
      </c>
      <c r="S238">
        <v>368</v>
      </c>
      <c r="T238">
        <v>376</v>
      </c>
      <c r="U238">
        <v>360</v>
      </c>
      <c r="V238" s="84">
        <f t="shared" si="16"/>
        <v>439.91666666666669</v>
      </c>
      <c r="W238" s="84">
        <f t="shared" si="17"/>
        <v>439.91666666666669</v>
      </c>
      <c r="X238">
        <v>313</v>
      </c>
      <c r="Y238">
        <v>334</v>
      </c>
      <c r="Z238">
        <v>556</v>
      </c>
      <c r="AA238">
        <v>514</v>
      </c>
      <c r="AB238">
        <v>481</v>
      </c>
      <c r="AC238">
        <v>340</v>
      </c>
      <c r="AD238">
        <v>338</v>
      </c>
      <c r="AE238">
        <v>378</v>
      </c>
      <c r="AF238" s="50">
        <v>0</v>
      </c>
      <c r="AG238" s="50">
        <v>0</v>
      </c>
      <c r="AH238" s="50">
        <v>0</v>
      </c>
      <c r="AI238" s="50">
        <v>0</v>
      </c>
      <c r="AJ238" s="50">
        <f t="shared" si="14"/>
        <v>271.16666666666669</v>
      </c>
      <c r="AK238" s="50">
        <f t="shared" si="15"/>
        <v>406.75</v>
      </c>
    </row>
    <row r="239" spans="1:37" x14ac:dyDescent="0.3">
      <c r="A239" s="95" t="s">
        <v>90</v>
      </c>
      <c r="B239" s="16"/>
      <c r="C239" s="8">
        <v>3130407000</v>
      </c>
      <c r="D239" s="95" t="s">
        <v>464</v>
      </c>
      <c r="E239" s="16" t="s">
        <v>16</v>
      </c>
      <c r="F239" s="16" t="s">
        <v>9</v>
      </c>
      <c r="G239" s="16" t="s">
        <v>238</v>
      </c>
      <c r="H239" s="24">
        <v>45076</v>
      </c>
      <c r="I239" s="24" t="s">
        <v>330</v>
      </c>
      <c r="J239">
        <v>306</v>
      </c>
      <c r="K239">
        <v>375</v>
      </c>
      <c r="L239">
        <v>563</v>
      </c>
      <c r="M239">
        <v>607</v>
      </c>
      <c r="N239">
        <v>389</v>
      </c>
      <c r="O239">
        <v>297</v>
      </c>
      <c r="P239">
        <v>297</v>
      </c>
      <c r="Q239">
        <v>389</v>
      </c>
      <c r="R239">
        <v>140</v>
      </c>
      <c r="S239">
        <v>104</v>
      </c>
      <c r="T239">
        <v>103</v>
      </c>
      <c r="U239">
        <v>167</v>
      </c>
      <c r="V239" s="84">
        <f t="shared" si="16"/>
        <v>311.41666666666669</v>
      </c>
      <c r="W239" s="84">
        <f t="shared" si="17"/>
        <v>311.41666666666669</v>
      </c>
      <c r="X239">
        <v>265</v>
      </c>
      <c r="Y239">
        <v>337</v>
      </c>
      <c r="Z239">
        <v>468</v>
      </c>
      <c r="AA239">
        <v>411</v>
      </c>
      <c r="AB239">
        <v>415</v>
      </c>
      <c r="AC239">
        <v>359</v>
      </c>
      <c r="AD239">
        <v>582</v>
      </c>
      <c r="AE239" s="50">
        <v>0</v>
      </c>
      <c r="AF239" s="50">
        <v>0</v>
      </c>
      <c r="AG239" s="50">
        <v>0</v>
      </c>
      <c r="AH239" s="50">
        <v>0</v>
      </c>
      <c r="AI239" s="50">
        <v>0</v>
      </c>
      <c r="AJ239" s="50">
        <f t="shared" si="14"/>
        <v>236.41666666666666</v>
      </c>
      <c r="AK239" s="50">
        <f t="shared" si="15"/>
        <v>405.28571428571428</v>
      </c>
    </row>
    <row r="240" spans="1:37" x14ac:dyDescent="0.3">
      <c r="A240" s="98" t="s">
        <v>90</v>
      </c>
      <c r="B240" s="18"/>
      <c r="C240" s="22">
        <v>3111771000</v>
      </c>
      <c r="D240" s="98" t="s">
        <v>379</v>
      </c>
      <c r="E240" s="18" t="s">
        <v>8</v>
      </c>
      <c r="F240" s="18" t="s">
        <v>9</v>
      </c>
      <c r="G240" s="18" t="s">
        <v>189</v>
      </c>
      <c r="H240" s="24">
        <v>45077</v>
      </c>
      <c r="I240" s="24" t="s">
        <v>330</v>
      </c>
      <c r="J240">
        <v>1016</v>
      </c>
      <c r="K240">
        <v>1308</v>
      </c>
      <c r="L240">
        <v>1728</v>
      </c>
      <c r="M240">
        <v>1934</v>
      </c>
      <c r="N240">
        <v>1322</v>
      </c>
      <c r="O240">
        <v>1182</v>
      </c>
      <c r="P240">
        <v>1124</v>
      </c>
      <c r="Q240">
        <v>1802</v>
      </c>
      <c r="R240">
        <v>1710</v>
      </c>
      <c r="S240">
        <v>1108</v>
      </c>
      <c r="T240">
        <v>1002</v>
      </c>
      <c r="U240">
        <v>638</v>
      </c>
      <c r="V240" s="84">
        <f t="shared" si="16"/>
        <v>1322.8333333333333</v>
      </c>
      <c r="W240" s="84">
        <f t="shared" si="17"/>
        <v>1322.8333333333333</v>
      </c>
      <c r="X240">
        <v>1150</v>
      </c>
      <c r="Y240">
        <v>2140</v>
      </c>
      <c r="Z240">
        <v>2346</v>
      </c>
      <c r="AA240">
        <v>2320</v>
      </c>
      <c r="AB240">
        <v>1556</v>
      </c>
      <c r="AC240">
        <v>1926</v>
      </c>
      <c r="AD240">
        <v>3686</v>
      </c>
      <c r="AE240" s="50">
        <v>0</v>
      </c>
      <c r="AF240" s="50">
        <v>0</v>
      </c>
      <c r="AG240" s="50">
        <v>0</v>
      </c>
      <c r="AH240" s="50">
        <v>0</v>
      </c>
      <c r="AI240" s="50">
        <v>0</v>
      </c>
      <c r="AJ240" s="50">
        <f t="shared" si="14"/>
        <v>1260.3333333333333</v>
      </c>
      <c r="AK240" s="50">
        <f t="shared" si="15"/>
        <v>2160.5714285714284</v>
      </c>
    </row>
    <row r="241" spans="1:37" x14ac:dyDescent="0.3">
      <c r="A241" s="95" t="s">
        <v>13</v>
      </c>
      <c r="B241" s="16"/>
      <c r="C241" s="8">
        <v>3010234001</v>
      </c>
      <c r="D241" s="95" t="s">
        <v>442</v>
      </c>
      <c r="E241" s="16" t="s">
        <v>11</v>
      </c>
      <c r="F241" s="16" t="s">
        <v>9</v>
      </c>
      <c r="G241" s="16" t="s">
        <v>239</v>
      </c>
      <c r="H241" s="24">
        <v>45078</v>
      </c>
      <c r="I241" s="24" t="s">
        <v>330</v>
      </c>
      <c r="J241">
        <v>327</v>
      </c>
      <c r="K241">
        <v>304</v>
      </c>
      <c r="L241">
        <v>457</v>
      </c>
      <c r="M241">
        <v>327</v>
      </c>
      <c r="N241">
        <v>342</v>
      </c>
      <c r="O241">
        <v>559</v>
      </c>
      <c r="P241">
        <v>1181</v>
      </c>
      <c r="Q241">
        <v>646</v>
      </c>
      <c r="R241">
        <v>650</v>
      </c>
      <c r="S241">
        <v>546</v>
      </c>
      <c r="T241">
        <v>442</v>
      </c>
      <c r="U241">
        <v>416</v>
      </c>
      <c r="V241" s="84">
        <f t="shared" si="16"/>
        <v>516.41666666666663</v>
      </c>
      <c r="W241" s="84">
        <f t="shared" si="17"/>
        <v>516.41666666666663</v>
      </c>
      <c r="X241">
        <v>334</v>
      </c>
      <c r="Y241">
        <v>468</v>
      </c>
      <c r="Z241">
        <v>656</v>
      </c>
      <c r="AA241">
        <v>400</v>
      </c>
      <c r="AB241">
        <v>696</v>
      </c>
      <c r="AC241">
        <v>556</v>
      </c>
      <c r="AD241">
        <v>906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f t="shared" si="14"/>
        <v>334.66666666666669</v>
      </c>
      <c r="AK241" s="50">
        <f t="shared" si="15"/>
        <v>573.71428571428567</v>
      </c>
    </row>
    <row r="242" spans="1:37" x14ac:dyDescent="0.3">
      <c r="A242" s="96" t="s">
        <v>204</v>
      </c>
      <c r="B242" s="17"/>
      <c r="C242" s="8">
        <v>3132727003</v>
      </c>
      <c r="D242" s="96" t="s">
        <v>485</v>
      </c>
      <c r="E242" s="17" t="s">
        <v>14</v>
      </c>
      <c r="F242" s="17" t="s">
        <v>9</v>
      </c>
      <c r="G242" s="17" t="s">
        <v>256</v>
      </c>
      <c r="H242" s="24">
        <v>45086</v>
      </c>
      <c r="I242" s="24" t="s">
        <v>330</v>
      </c>
      <c r="J242">
        <v>1425</v>
      </c>
      <c r="K242">
        <v>1375</v>
      </c>
      <c r="L242">
        <v>1804</v>
      </c>
      <c r="M242">
        <v>1435</v>
      </c>
      <c r="N242">
        <v>1112</v>
      </c>
      <c r="O242">
        <v>909</v>
      </c>
      <c r="P242">
        <v>1151</v>
      </c>
      <c r="Q242">
        <v>1286</v>
      </c>
      <c r="R242">
        <v>1023</v>
      </c>
      <c r="S242">
        <v>962</v>
      </c>
      <c r="T242">
        <v>822</v>
      </c>
      <c r="U242">
        <v>900</v>
      </c>
      <c r="V242" s="84">
        <f t="shared" si="16"/>
        <v>1183.6666666666667</v>
      </c>
      <c r="W242" s="84">
        <f t="shared" si="17"/>
        <v>1183.6666666666667</v>
      </c>
      <c r="X242">
        <v>896</v>
      </c>
      <c r="Y242">
        <v>854</v>
      </c>
      <c r="Z242">
        <v>887</v>
      </c>
      <c r="AA242">
        <v>1031</v>
      </c>
      <c r="AB242">
        <v>1049</v>
      </c>
      <c r="AC242">
        <v>1702</v>
      </c>
      <c r="AD242" s="50">
        <v>0</v>
      </c>
      <c r="AE242" s="50">
        <v>0</v>
      </c>
      <c r="AF242" s="50">
        <v>0</v>
      </c>
      <c r="AG242" s="50">
        <v>0</v>
      </c>
      <c r="AH242" s="50">
        <v>0</v>
      </c>
      <c r="AI242" s="50">
        <v>0</v>
      </c>
      <c r="AJ242" s="50">
        <f t="shared" si="14"/>
        <v>534.91666666666663</v>
      </c>
      <c r="AK242" s="50">
        <f t="shared" si="15"/>
        <v>1069.8333333333333</v>
      </c>
    </row>
    <row r="243" spans="1:37" x14ac:dyDescent="0.3">
      <c r="A243" s="96" t="s">
        <v>13</v>
      </c>
      <c r="B243" s="17"/>
      <c r="C243" s="21">
        <v>3010347005</v>
      </c>
      <c r="D243" s="96" t="s">
        <v>486</v>
      </c>
      <c r="E243" s="17" t="s">
        <v>16</v>
      </c>
      <c r="F243" s="17" t="s">
        <v>9</v>
      </c>
      <c r="G243" s="17" t="s">
        <v>259</v>
      </c>
      <c r="H243" s="24">
        <v>45089</v>
      </c>
      <c r="I243" s="24" t="s">
        <v>330</v>
      </c>
      <c r="J243">
        <v>407</v>
      </c>
      <c r="K243">
        <v>863</v>
      </c>
      <c r="L243">
        <v>717</v>
      </c>
      <c r="M243">
        <v>807</v>
      </c>
      <c r="N243">
        <v>1601</v>
      </c>
      <c r="O243">
        <v>1907</v>
      </c>
      <c r="P243">
        <v>1612</v>
      </c>
      <c r="Q243">
        <v>1445</v>
      </c>
      <c r="R243">
        <v>1534</v>
      </c>
      <c r="S243">
        <v>1514</v>
      </c>
      <c r="T243">
        <v>1004</v>
      </c>
      <c r="U243">
        <v>1016</v>
      </c>
      <c r="V243" s="84">
        <f t="shared" si="16"/>
        <v>1202.25</v>
      </c>
      <c r="W243" s="84">
        <f t="shared" si="17"/>
        <v>1202.25</v>
      </c>
      <c r="X243">
        <v>994</v>
      </c>
      <c r="Y243">
        <v>890</v>
      </c>
      <c r="Z243">
        <v>880</v>
      </c>
      <c r="AA243">
        <v>924</v>
      </c>
      <c r="AB243">
        <v>1628</v>
      </c>
      <c r="AC243" s="50">
        <v>0</v>
      </c>
      <c r="AD243" s="50">
        <v>0</v>
      </c>
      <c r="AE243" s="50">
        <v>0</v>
      </c>
      <c r="AF243" s="50">
        <v>0</v>
      </c>
      <c r="AG243" s="50">
        <v>0</v>
      </c>
      <c r="AH243" s="50">
        <v>0</v>
      </c>
      <c r="AI243" s="50">
        <v>0</v>
      </c>
      <c r="AJ243" s="50">
        <f t="shared" si="14"/>
        <v>443</v>
      </c>
      <c r="AK243" s="50">
        <f t="shared" si="15"/>
        <v>1063.2</v>
      </c>
    </row>
    <row r="244" spans="1:37" x14ac:dyDescent="0.3">
      <c r="A244" s="86" t="s">
        <v>13</v>
      </c>
      <c r="B244" s="6"/>
      <c r="C244" s="8">
        <v>3140807000</v>
      </c>
      <c r="D244" s="86" t="s">
        <v>487</v>
      </c>
      <c r="E244" s="6" t="s">
        <v>16</v>
      </c>
      <c r="F244" s="6" t="s">
        <v>9</v>
      </c>
      <c r="G244" s="6" t="s">
        <v>253</v>
      </c>
      <c r="H244" s="24">
        <v>45091</v>
      </c>
      <c r="I244" s="24" t="s">
        <v>330</v>
      </c>
      <c r="J244">
        <v>714</v>
      </c>
      <c r="K244">
        <v>876</v>
      </c>
      <c r="L244">
        <v>799</v>
      </c>
      <c r="M244">
        <v>460</v>
      </c>
      <c r="N244">
        <v>496</v>
      </c>
      <c r="O244">
        <v>610</v>
      </c>
      <c r="P244">
        <v>607</v>
      </c>
      <c r="Q244">
        <v>728</v>
      </c>
      <c r="R244">
        <v>494</v>
      </c>
      <c r="S244">
        <v>613</v>
      </c>
      <c r="T244">
        <v>564</v>
      </c>
      <c r="U244">
        <v>484</v>
      </c>
      <c r="V244" s="84">
        <f t="shared" si="16"/>
        <v>620.41666666666663</v>
      </c>
      <c r="W244" s="84">
        <f t="shared" si="17"/>
        <v>620.41666666666663</v>
      </c>
      <c r="X244">
        <v>569</v>
      </c>
      <c r="Y244">
        <v>681</v>
      </c>
      <c r="Z244">
        <v>543</v>
      </c>
      <c r="AA244">
        <v>503</v>
      </c>
      <c r="AB244">
        <v>476</v>
      </c>
      <c r="AC244">
        <v>700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f t="shared" si="14"/>
        <v>315.63636363636363</v>
      </c>
      <c r="AK244" s="50">
        <f t="shared" si="15"/>
        <v>578.66666666666663</v>
      </c>
    </row>
    <row r="245" spans="1:37" x14ac:dyDescent="0.3">
      <c r="A245" s="96" t="s">
        <v>113</v>
      </c>
      <c r="B245" s="17"/>
      <c r="C245" s="8">
        <v>3061528000</v>
      </c>
      <c r="D245" s="96" t="s">
        <v>348</v>
      </c>
      <c r="E245" s="17" t="s">
        <v>16</v>
      </c>
      <c r="F245" s="17" t="s">
        <v>9</v>
      </c>
      <c r="G245" s="17" t="s">
        <v>257</v>
      </c>
      <c r="H245" s="24">
        <v>45096</v>
      </c>
      <c r="I245" s="24" t="s">
        <v>330</v>
      </c>
      <c r="J245" s="49">
        <v>181</v>
      </c>
      <c r="K245" s="47">
        <v>242</v>
      </c>
      <c r="L245" s="50">
        <v>473</v>
      </c>
      <c r="M245" s="50">
        <v>204</v>
      </c>
      <c r="N245" s="50">
        <v>94</v>
      </c>
      <c r="O245" s="50">
        <v>0</v>
      </c>
      <c r="P245" s="50">
        <v>0</v>
      </c>
      <c r="Q245" s="50">
        <v>0</v>
      </c>
      <c r="R245" s="50">
        <v>0</v>
      </c>
      <c r="S245" s="50">
        <v>0</v>
      </c>
      <c r="U245" s="50">
        <v>0</v>
      </c>
      <c r="V245" s="84">
        <f t="shared" si="16"/>
        <v>108.54545454545455</v>
      </c>
      <c r="W245" s="84">
        <f t="shared" si="17"/>
        <v>238.8</v>
      </c>
      <c r="X245" s="50">
        <v>0</v>
      </c>
      <c r="Y245" s="50">
        <v>0</v>
      </c>
      <c r="Z245" s="50">
        <v>0</v>
      </c>
      <c r="AA245" s="50">
        <v>0</v>
      </c>
      <c r="AB245" s="50">
        <v>0</v>
      </c>
      <c r="AC245" s="50">
        <v>0</v>
      </c>
      <c r="AD245" s="50">
        <v>0</v>
      </c>
      <c r="AE245" s="50">
        <v>0</v>
      </c>
      <c r="AF245" s="50">
        <v>0</v>
      </c>
      <c r="AG245" s="50">
        <v>0</v>
      </c>
      <c r="AH245" s="50">
        <v>0</v>
      </c>
      <c r="AI245" s="50">
        <v>0</v>
      </c>
      <c r="AJ245" s="50">
        <f t="shared" si="14"/>
        <v>0</v>
      </c>
      <c r="AK245" s="50" t="e">
        <f t="shared" si="15"/>
        <v>#DIV/0!</v>
      </c>
    </row>
    <row r="246" spans="1:37" x14ac:dyDescent="0.3">
      <c r="A246" s="96" t="s">
        <v>7</v>
      </c>
      <c r="B246" s="17"/>
      <c r="C246" s="21">
        <v>3150078000</v>
      </c>
      <c r="D246" s="96" t="s">
        <v>488</v>
      </c>
      <c r="E246" s="17" t="s">
        <v>16</v>
      </c>
      <c r="F246" s="17" t="s">
        <v>9</v>
      </c>
      <c r="G246" s="17" t="s">
        <v>262</v>
      </c>
      <c r="H246" s="24">
        <v>45098</v>
      </c>
      <c r="I246" s="24" t="s">
        <v>330</v>
      </c>
      <c r="J246">
        <v>1570</v>
      </c>
      <c r="K246">
        <v>1830</v>
      </c>
      <c r="L246">
        <v>2098</v>
      </c>
      <c r="M246">
        <v>2256</v>
      </c>
      <c r="N246">
        <v>1578</v>
      </c>
      <c r="O246">
        <v>2640</v>
      </c>
      <c r="P246">
        <v>2368</v>
      </c>
      <c r="Q246">
        <v>2916</v>
      </c>
      <c r="R246">
        <v>2488</v>
      </c>
      <c r="S246">
        <v>2228</v>
      </c>
      <c r="T246">
        <v>1820</v>
      </c>
      <c r="U246">
        <v>914</v>
      </c>
      <c r="V246" s="84">
        <f t="shared" si="16"/>
        <v>2058.8333333333335</v>
      </c>
      <c r="W246" s="84">
        <f t="shared" si="17"/>
        <v>2058.8333333333335</v>
      </c>
      <c r="X246">
        <v>0</v>
      </c>
      <c r="Y246">
        <v>1184</v>
      </c>
      <c r="Z246">
        <v>1940</v>
      </c>
      <c r="AA246">
        <v>1836</v>
      </c>
      <c r="AB246">
        <v>2180</v>
      </c>
      <c r="AC246">
        <v>2078</v>
      </c>
      <c r="AD246">
        <v>2918</v>
      </c>
      <c r="AJ246" s="50">
        <f t="shared" si="14"/>
        <v>1733.7142857142858</v>
      </c>
      <c r="AK246" s="50">
        <f t="shared" si="15"/>
        <v>2022.6666666666667</v>
      </c>
    </row>
    <row r="247" spans="1:37" x14ac:dyDescent="0.3">
      <c r="A247" s="86" t="s">
        <v>13</v>
      </c>
      <c r="B247" s="6"/>
      <c r="C247" s="8">
        <v>3160296001</v>
      </c>
      <c r="D247" s="86" t="s">
        <v>442</v>
      </c>
      <c r="E247" s="6" t="s">
        <v>11</v>
      </c>
      <c r="F247" s="6" t="s">
        <v>9</v>
      </c>
      <c r="G247" s="6" t="s">
        <v>239</v>
      </c>
      <c r="H247" s="24">
        <v>45103</v>
      </c>
      <c r="I247" s="24" t="s">
        <v>330</v>
      </c>
      <c r="J247">
        <v>497</v>
      </c>
      <c r="K247">
        <v>923</v>
      </c>
      <c r="L247">
        <v>1088</v>
      </c>
      <c r="M247">
        <v>915</v>
      </c>
      <c r="N247">
        <v>690</v>
      </c>
      <c r="O247">
        <v>656</v>
      </c>
      <c r="P247">
        <v>545</v>
      </c>
      <c r="Q247">
        <v>748</v>
      </c>
      <c r="R247">
        <v>769</v>
      </c>
      <c r="S247">
        <v>542</v>
      </c>
      <c r="T247">
        <v>576</v>
      </c>
      <c r="U247">
        <v>563</v>
      </c>
      <c r="V247" s="84">
        <f t="shared" si="16"/>
        <v>709.33333333333337</v>
      </c>
      <c r="W247" s="84">
        <f t="shared" si="17"/>
        <v>709.33333333333337</v>
      </c>
      <c r="X247">
        <v>579</v>
      </c>
      <c r="Y247">
        <v>1151</v>
      </c>
      <c r="Z247">
        <v>1131</v>
      </c>
      <c r="AA247">
        <v>1032</v>
      </c>
      <c r="AB247">
        <v>984</v>
      </c>
      <c r="AC247">
        <v>593</v>
      </c>
      <c r="AJ247" s="50">
        <f t="shared" si="14"/>
        <v>911.66666666666663</v>
      </c>
      <c r="AK247" s="50">
        <f t="shared" si="15"/>
        <v>911.66666666666663</v>
      </c>
    </row>
    <row r="248" spans="1:37" x14ac:dyDescent="0.3">
      <c r="A248" s="98" t="s">
        <v>13</v>
      </c>
      <c r="B248" s="18"/>
      <c r="C248" s="22">
        <v>3062489001</v>
      </c>
      <c r="D248" s="98" t="s">
        <v>357</v>
      </c>
      <c r="E248" s="18" t="s">
        <v>11</v>
      </c>
      <c r="F248" s="18" t="s">
        <v>9</v>
      </c>
      <c r="G248" s="18" t="s">
        <v>91</v>
      </c>
      <c r="H248" s="24">
        <v>45110</v>
      </c>
      <c r="I248" s="24" t="s">
        <v>330</v>
      </c>
      <c r="J248">
        <v>923</v>
      </c>
      <c r="K248">
        <v>1088</v>
      </c>
      <c r="L248">
        <v>915</v>
      </c>
      <c r="M248">
        <v>690</v>
      </c>
      <c r="N248">
        <v>656</v>
      </c>
      <c r="O248">
        <v>545</v>
      </c>
      <c r="P248">
        <v>748</v>
      </c>
      <c r="Q248">
        <v>769</v>
      </c>
      <c r="R248">
        <v>542</v>
      </c>
      <c r="S248">
        <v>576</v>
      </c>
      <c r="T248">
        <v>563</v>
      </c>
      <c r="U248">
        <v>579</v>
      </c>
      <c r="V248" s="84">
        <f t="shared" si="16"/>
        <v>716.16666666666663</v>
      </c>
      <c r="W248" s="84">
        <f t="shared" si="17"/>
        <v>716.16666666666663</v>
      </c>
      <c r="X248">
        <v>1151</v>
      </c>
      <c r="Y248">
        <v>1131</v>
      </c>
      <c r="Z248">
        <v>1032</v>
      </c>
      <c r="AA248">
        <v>984</v>
      </c>
      <c r="AB248">
        <v>593</v>
      </c>
      <c r="AJ248" s="50">
        <f t="shared" si="14"/>
        <v>978.2</v>
      </c>
      <c r="AK248" s="50">
        <f t="shared" si="15"/>
        <v>978.2</v>
      </c>
    </row>
    <row r="249" spans="1:37" x14ac:dyDescent="0.3">
      <c r="A249" s="97" t="s">
        <v>113</v>
      </c>
      <c r="B249" s="19"/>
      <c r="C249" s="23">
        <v>3110633000</v>
      </c>
      <c r="D249" s="97" t="s">
        <v>489</v>
      </c>
      <c r="E249" s="19" t="s">
        <v>16</v>
      </c>
      <c r="F249" s="19" t="s">
        <v>9</v>
      </c>
      <c r="G249" s="19" t="s">
        <v>271</v>
      </c>
      <c r="H249" s="24">
        <v>45112</v>
      </c>
      <c r="I249" s="24" t="s">
        <v>330</v>
      </c>
      <c r="J249">
        <v>2316</v>
      </c>
      <c r="K249">
        <v>2480</v>
      </c>
      <c r="L249">
        <v>1884</v>
      </c>
      <c r="M249">
        <v>1392</v>
      </c>
      <c r="N249">
        <v>1198</v>
      </c>
      <c r="O249">
        <v>1772</v>
      </c>
      <c r="P249">
        <v>1924</v>
      </c>
      <c r="Q249">
        <v>1698</v>
      </c>
      <c r="R249">
        <v>1674</v>
      </c>
      <c r="S249">
        <v>1272</v>
      </c>
      <c r="T249">
        <v>1316</v>
      </c>
      <c r="U249">
        <v>1772</v>
      </c>
      <c r="V249" s="84">
        <f t="shared" si="16"/>
        <v>1724.8333333333333</v>
      </c>
      <c r="W249" s="84">
        <f t="shared" si="17"/>
        <v>1724.8333333333333</v>
      </c>
      <c r="X249">
        <v>3120</v>
      </c>
      <c r="Y249">
        <v>2476</v>
      </c>
      <c r="Z249">
        <v>1878</v>
      </c>
      <c r="AA249">
        <v>1540</v>
      </c>
      <c r="AB249">
        <v>1622</v>
      </c>
      <c r="AJ249" s="50">
        <f t="shared" si="14"/>
        <v>2127.1999999999998</v>
      </c>
      <c r="AK249" s="50">
        <f t="shared" si="15"/>
        <v>2127.1999999999998</v>
      </c>
    </row>
    <row r="250" spans="1:37" x14ac:dyDescent="0.3">
      <c r="A250" s="86" t="s">
        <v>13</v>
      </c>
      <c r="B250" s="6"/>
      <c r="C250" s="8">
        <v>3011923000</v>
      </c>
      <c r="D250" s="86" t="s">
        <v>490</v>
      </c>
      <c r="E250" s="6" t="s">
        <v>11</v>
      </c>
      <c r="F250" s="6" t="s">
        <v>9</v>
      </c>
      <c r="G250" s="6" t="s">
        <v>242</v>
      </c>
      <c r="H250" s="24">
        <v>45113</v>
      </c>
      <c r="I250" s="24" t="s">
        <v>330</v>
      </c>
      <c r="J250">
        <v>1082</v>
      </c>
      <c r="K250">
        <v>1246</v>
      </c>
      <c r="L250">
        <v>1076</v>
      </c>
      <c r="M250">
        <v>919</v>
      </c>
      <c r="N250">
        <v>737</v>
      </c>
      <c r="O250">
        <v>746</v>
      </c>
      <c r="P250">
        <v>945</v>
      </c>
      <c r="Q250">
        <v>887</v>
      </c>
      <c r="R250">
        <v>765</v>
      </c>
      <c r="S250">
        <v>780</v>
      </c>
      <c r="T250">
        <v>898</v>
      </c>
      <c r="U250">
        <v>1010</v>
      </c>
      <c r="V250" s="84">
        <f t="shared" si="16"/>
        <v>924.25</v>
      </c>
      <c r="W250" s="84">
        <f t="shared" si="17"/>
        <v>924.25</v>
      </c>
      <c r="X250">
        <v>1154</v>
      </c>
      <c r="Y250">
        <v>1452</v>
      </c>
      <c r="Z250">
        <v>1078</v>
      </c>
      <c r="AA250">
        <v>973</v>
      </c>
      <c r="AB250">
        <v>776</v>
      </c>
      <c r="AC250">
        <v>824</v>
      </c>
      <c r="AJ250" s="50">
        <f t="shared" si="14"/>
        <v>1042.8333333333333</v>
      </c>
      <c r="AK250" s="50">
        <f t="shared" si="15"/>
        <v>1042.8333333333333</v>
      </c>
    </row>
    <row r="251" spans="1:37" x14ac:dyDescent="0.3">
      <c r="A251" s="86" t="s">
        <v>113</v>
      </c>
      <c r="B251" s="6"/>
      <c r="C251" s="8">
        <v>3101530000</v>
      </c>
      <c r="D251" s="86" t="s">
        <v>491</v>
      </c>
      <c r="E251" s="6" t="s">
        <v>11</v>
      </c>
      <c r="F251" s="6" t="s">
        <v>9</v>
      </c>
      <c r="G251" s="6" t="s">
        <v>197</v>
      </c>
      <c r="H251" s="24">
        <v>45119</v>
      </c>
      <c r="I251" s="24" t="s">
        <v>330</v>
      </c>
      <c r="J251">
        <v>859</v>
      </c>
      <c r="K251">
        <v>974</v>
      </c>
      <c r="L251">
        <v>664</v>
      </c>
      <c r="M251">
        <v>342</v>
      </c>
      <c r="N251">
        <v>373</v>
      </c>
      <c r="O251">
        <v>500</v>
      </c>
      <c r="P251">
        <v>633</v>
      </c>
      <c r="Q251">
        <v>428</v>
      </c>
      <c r="R251">
        <v>409</v>
      </c>
      <c r="S251">
        <v>335</v>
      </c>
      <c r="T251">
        <v>352</v>
      </c>
      <c r="U251">
        <v>403</v>
      </c>
      <c r="V251" s="84">
        <f t="shared" si="16"/>
        <v>522.66666666666663</v>
      </c>
      <c r="W251" s="84">
        <f t="shared" si="17"/>
        <v>522.66666666666663</v>
      </c>
      <c r="X251">
        <v>833</v>
      </c>
      <c r="Y251">
        <v>930</v>
      </c>
      <c r="Z251">
        <v>776</v>
      </c>
      <c r="AA251">
        <v>405</v>
      </c>
      <c r="AB251">
        <v>371</v>
      </c>
      <c r="AJ251" s="50">
        <f t="shared" si="14"/>
        <v>663</v>
      </c>
      <c r="AK251" s="50">
        <f t="shared" si="15"/>
        <v>663</v>
      </c>
    </row>
    <row r="252" spans="1:37" x14ac:dyDescent="0.3">
      <c r="A252" s="98" t="s">
        <v>137</v>
      </c>
      <c r="B252" s="18"/>
      <c r="C252" s="22">
        <v>3132676002</v>
      </c>
      <c r="D252" s="98" t="s">
        <v>486</v>
      </c>
      <c r="E252" s="18" t="s">
        <v>16</v>
      </c>
      <c r="F252" s="18" t="s">
        <v>9</v>
      </c>
      <c r="G252" s="18" t="s">
        <v>259</v>
      </c>
      <c r="H252" s="24">
        <v>45119</v>
      </c>
      <c r="I252" s="24" t="s">
        <v>330</v>
      </c>
      <c r="J252">
        <v>3874</v>
      </c>
      <c r="K252">
        <v>3818</v>
      </c>
      <c r="L252">
        <v>2324</v>
      </c>
      <c r="M252">
        <v>988</v>
      </c>
      <c r="N252">
        <v>1316</v>
      </c>
      <c r="O252">
        <v>1942</v>
      </c>
      <c r="P252">
        <v>2016</v>
      </c>
      <c r="Q252">
        <v>1358</v>
      </c>
      <c r="R252">
        <v>1152</v>
      </c>
      <c r="S252">
        <v>1026</v>
      </c>
      <c r="T252">
        <v>918</v>
      </c>
      <c r="U252">
        <v>1268</v>
      </c>
      <c r="V252" s="84">
        <f t="shared" si="16"/>
        <v>1833.3333333333333</v>
      </c>
      <c r="W252" s="84">
        <f t="shared" si="17"/>
        <v>1833.3333333333333</v>
      </c>
      <c r="X252">
        <v>4300</v>
      </c>
      <c r="Y252">
        <v>2640</v>
      </c>
      <c r="Z252">
        <v>2120</v>
      </c>
      <c r="AA252">
        <v>1696</v>
      </c>
      <c r="AB252">
        <v>1580</v>
      </c>
      <c r="AJ252" s="50">
        <f t="shared" si="14"/>
        <v>2467.1999999999998</v>
      </c>
      <c r="AK252" s="50">
        <f t="shared" si="15"/>
        <v>2467.1999999999998</v>
      </c>
    </row>
    <row r="253" spans="1:37" x14ac:dyDescent="0.3">
      <c r="A253" s="96" t="s">
        <v>90</v>
      </c>
      <c r="B253" s="17"/>
      <c r="C253" s="21">
        <v>3040403002</v>
      </c>
      <c r="D253" s="96" t="s">
        <v>492</v>
      </c>
      <c r="E253" s="17" t="s">
        <v>11</v>
      </c>
      <c r="F253" s="17" t="s">
        <v>9</v>
      </c>
      <c r="G253" s="17" t="s">
        <v>261</v>
      </c>
      <c r="H253" s="24">
        <v>45121</v>
      </c>
      <c r="I253" s="24" t="s">
        <v>330</v>
      </c>
      <c r="J253">
        <v>775</v>
      </c>
      <c r="K253">
        <v>1193</v>
      </c>
      <c r="L253">
        <v>1209</v>
      </c>
      <c r="M253">
        <v>676</v>
      </c>
      <c r="N253">
        <v>800</v>
      </c>
      <c r="O253">
        <v>1058</v>
      </c>
      <c r="P253">
        <v>1182</v>
      </c>
      <c r="Q253">
        <v>944</v>
      </c>
      <c r="R253">
        <v>978</v>
      </c>
      <c r="S253">
        <v>772</v>
      </c>
      <c r="T253">
        <v>546</v>
      </c>
      <c r="U253">
        <v>412</v>
      </c>
      <c r="V253" s="84">
        <f t="shared" si="16"/>
        <v>878.75</v>
      </c>
      <c r="W253" s="84">
        <f t="shared" si="17"/>
        <v>878.75</v>
      </c>
      <c r="X253">
        <v>778</v>
      </c>
      <c r="Y253">
        <v>966</v>
      </c>
      <c r="Z253">
        <v>934</v>
      </c>
      <c r="AA253">
        <v>774</v>
      </c>
      <c r="AB253">
        <v>878</v>
      </c>
      <c r="AC253">
        <v>1794</v>
      </c>
      <c r="AJ253" s="50">
        <f t="shared" si="14"/>
        <v>1020.6666666666666</v>
      </c>
      <c r="AK253" s="50">
        <f t="shared" si="15"/>
        <v>1020.6666666666666</v>
      </c>
    </row>
    <row r="254" spans="1:37" x14ac:dyDescent="0.3">
      <c r="A254" s="97" t="s">
        <v>13</v>
      </c>
      <c r="B254" s="19"/>
      <c r="C254" s="23">
        <v>3121007004</v>
      </c>
      <c r="D254" s="97" t="s">
        <v>493</v>
      </c>
      <c r="E254" s="19" t="s">
        <v>16</v>
      </c>
      <c r="F254" s="19" t="s">
        <v>9</v>
      </c>
      <c r="G254" s="19" t="s">
        <v>272</v>
      </c>
      <c r="H254" s="24">
        <v>45130</v>
      </c>
      <c r="I254" s="24" t="s">
        <v>330</v>
      </c>
      <c r="J254">
        <v>877</v>
      </c>
      <c r="K254">
        <v>953</v>
      </c>
      <c r="L254">
        <v>716</v>
      </c>
      <c r="M254">
        <v>546</v>
      </c>
      <c r="N254">
        <v>775</v>
      </c>
      <c r="O254">
        <v>794</v>
      </c>
      <c r="P254">
        <v>770</v>
      </c>
      <c r="Q254">
        <v>821</v>
      </c>
      <c r="R254">
        <v>693</v>
      </c>
      <c r="S254">
        <v>563</v>
      </c>
      <c r="T254">
        <v>397</v>
      </c>
      <c r="U254">
        <v>638</v>
      </c>
      <c r="V254" s="84">
        <f t="shared" si="16"/>
        <v>711.91666666666663</v>
      </c>
      <c r="W254" s="84">
        <f t="shared" si="17"/>
        <v>711.91666666666663</v>
      </c>
      <c r="X254">
        <v>867</v>
      </c>
      <c r="Y254">
        <v>702</v>
      </c>
      <c r="Z254">
        <v>630</v>
      </c>
      <c r="AA254">
        <v>505</v>
      </c>
      <c r="AB254">
        <v>544</v>
      </c>
      <c r="AJ254" s="50">
        <f t="shared" si="14"/>
        <v>649.6</v>
      </c>
      <c r="AK254" s="50">
        <f t="shared" si="15"/>
        <v>649.6</v>
      </c>
    </row>
    <row r="255" spans="1:37" x14ac:dyDescent="0.3">
      <c r="A255" s="98" t="s">
        <v>204</v>
      </c>
      <c r="B255" s="18"/>
      <c r="C255" s="22">
        <v>3160385001</v>
      </c>
      <c r="D255" s="98" t="s">
        <v>494</v>
      </c>
      <c r="E255" s="18" t="s">
        <v>14</v>
      </c>
      <c r="F255" s="18" t="s">
        <v>9</v>
      </c>
      <c r="G255" s="18" t="s">
        <v>184</v>
      </c>
      <c r="H255" s="24">
        <v>45132</v>
      </c>
      <c r="I255" s="24" t="s">
        <v>330</v>
      </c>
      <c r="J255">
        <v>1192</v>
      </c>
      <c r="K255">
        <v>1172</v>
      </c>
      <c r="L255">
        <v>563</v>
      </c>
      <c r="M255">
        <v>381</v>
      </c>
      <c r="N255">
        <v>709</v>
      </c>
      <c r="O255">
        <v>1070</v>
      </c>
      <c r="P255">
        <v>760</v>
      </c>
      <c r="Q255">
        <v>941</v>
      </c>
      <c r="R255">
        <v>557</v>
      </c>
      <c r="S255">
        <v>782</v>
      </c>
      <c r="T255">
        <v>1128</v>
      </c>
      <c r="U255">
        <v>920</v>
      </c>
      <c r="V255" s="84">
        <f t="shared" si="16"/>
        <v>847.91666666666663</v>
      </c>
      <c r="W255" s="84">
        <f t="shared" si="17"/>
        <v>847.91666666666663</v>
      </c>
      <c r="X255">
        <v>1472</v>
      </c>
      <c r="Y255">
        <v>804</v>
      </c>
      <c r="Z255">
        <v>1150</v>
      </c>
      <c r="AA255">
        <v>1366</v>
      </c>
      <c r="AB255">
        <v>3194</v>
      </c>
      <c r="AJ255" s="50">
        <f t="shared" si="14"/>
        <v>1597.2</v>
      </c>
      <c r="AK255" s="50">
        <f t="shared" si="15"/>
        <v>1597.2</v>
      </c>
    </row>
    <row r="256" spans="1:37" x14ac:dyDescent="0.3">
      <c r="A256" s="86" t="s">
        <v>204</v>
      </c>
      <c r="B256" s="6"/>
      <c r="C256" s="8">
        <v>3062423000</v>
      </c>
      <c r="D256" s="86" t="s">
        <v>427</v>
      </c>
      <c r="E256" s="6" t="s">
        <v>16</v>
      </c>
      <c r="F256" s="6" t="s">
        <v>9</v>
      </c>
      <c r="G256" s="6" t="s">
        <v>226</v>
      </c>
      <c r="H256" s="24">
        <v>45142</v>
      </c>
      <c r="I256" s="24" t="s">
        <v>330</v>
      </c>
      <c r="J256">
        <v>980</v>
      </c>
      <c r="K256">
        <v>794</v>
      </c>
      <c r="L256">
        <v>525</v>
      </c>
      <c r="M256">
        <v>498</v>
      </c>
      <c r="N256">
        <v>790</v>
      </c>
      <c r="O256">
        <v>775</v>
      </c>
      <c r="P256">
        <v>427</v>
      </c>
      <c r="Q256">
        <v>305</v>
      </c>
      <c r="R256">
        <v>292</v>
      </c>
      <c r="S256">
        <v>346</v>
      </c>
      <c r="T256">
        <v>324</v>
      </c>
      <c r="U256">
        <v>593</v>
      </c>
      <c r="V256" s="84">
        <f t="shared" si="16"/>
        <v>554.08333333333337</v>
      </c>
      <c r="W256" s="84">
        <f t="shared" si="17"/>
        <v>554.08333333333337</v>
      </c>
      <c r="X256">
        <v>887</v>
      </c>
      <c r="Y256">
        <v>766</v>
      </c>
      <c r="Z256">
        <v>430</v>
      </c>
      <c r="AA256">
        <v>416</v>
      </c>
      <c r="AB256">
        <v>477</v>
      </c>
      <c r="AJ256" s="50">
        <f t="shared" si="14"/>
        <v>595.20000000000005</v>
      </c>
      <c r="AK256" s="50">
        <f t="shared" si="15"/>
        <v>595.20000000000005</v>
      </c>
    </row>
    <row r="257" spans="1:37" s="30" customFormat="1" x14ac:dyDescent="0.3">
      <c r="A257" s="99" t="s">
        <v>13</v>
      </c>
      <c r="B257" s="78"/>
      <c r="C257" s="79">
        <v>3062423000</v>
      </c>
      <c r="D257" s="99" t="s">
        <v>364</v>
      </c>
      <c r="E257" s="78" t="s">
        <v>11</v>
      </c>
      <c r="F257" s="78" t="s">
        <v>9</v>
      </c>
      <c r="G257" s="78" t="s">
        <v>260</v>
      </c>
      <c r="H257" s="24">
        <v>45142</v>
      </c>
      <c r="I257" s="24" t="s">
        <v>330</v>
      </c>
      <c r="J257" s="80"/>
      <c r="K257" s="72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84" t="e">
        <f t="shared" si="16"/>
        <v>#DIV/0!</v>
      </c>
      <c r="W257" s="84" t="e">
        <f t="shared" si="17"/>
        <v>#DIV/0!</v>
      </c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50" t="e">
        <f t="shared" si="14"/>
        <v>#DIV/0!</v>
      </c>
      <c r="AK257" s="50" t="e">
        <f t="shared" si="15"/>
        <v>#DIV/0!</v>
      </c>
    </row>
    <row r="258" spans="1:37" x14ac:dyDescent="0.3">
      <c r="A258" s="98" t="s">
        <v>90</v>
      </c>
      <c r="B258" s="18"/>
      <c r="C258" s="22">
        <v>3130326000</v>
      </c>
      <c r="D258" s="98" t="s">
        <v>401</v>
      </c>
      <c r="E258" s="18" t="s">
        <v>16</v>
      </c>
      <c r="F258" s="18" t="s">
        <v>9</v>
      </c>
      <c r="G258" s="18" t="s">
        <v>265</v>
      </c>
      <c r="H258" s="24">
        <v>45168</v>
      </c>
      <c r="I258" s="24" t="s">
        <v>330</v>
      </c>
      <c r="J258">
        <v>665</v>
      </c>
      <c r="K258">
        <v>455</v>
      </c>
      <c r="L258">
        <v>481</v>
      </c>
      <c r="M258">
        <v>340</v>
      </c>
      <c r="N258">
        <v>330</v>
      </c>
      <c r="O258">
        <v>376</v>
      </c>
      <c r="P258">
        <v>309</v>
      </c>
      <c r="Q258">
        <v>300</v>
      </c>
      <c r="R258">
        <v>292</v>
      </c>
      <c r="S258">
        <v>303</v>
      </c>
      <c r="T258">
        <v>334</v>
      </c>
      <c r="U258">
        <v>443</v>
      </c>
      <c r="V258" s="84">
        <f t="shared" si="16"/>
        <v>385.66666666666669</v>
      </c>
      <c r="W258" s="84">
        <f t="shared" si="17"/>
        <v>385.66666666666669</v>
      </c>
      <c r="X258">
        <v>313</v>
      </c>
      <c r="Y258">
        <v>392</v>
      </c>
      <c r="Z258">
        <v>532</v>
      </c>
      <c r="AA258">
        <v>577</v>
      </c>
      <c r="AJ258" s="50">
        <f t="shared" si="14"/>
        <v>453.5</v>
      </c>
      <c r="AK258" s="50">
        <f t="shared" si="15"/>
        <v>453.5</v>
      </c>
    </row>
    <row r="259" spans="1:37" x14ac:dyDescent="0.3">
      <c r="A259" s="98" t="s">
        <v>13</v>
      </c>
      <c r="B259" s="18"/>
      <c r="C259" s="22">
        <v>3131251001</v>
      </c>
      <c r="D259" s="98" t="s">
        <v>346</v>
      </c>
      <c r="E259" s="18" t="s">
        <v>16</v>
      </c>
      <c r="F259" s="18" t="s">
        <v>9</v>
      </c>
      <c r="G259" s="18" t="s">
        <v>267</v>
      </c>
      <c r="H259" s="24">
        <v>45168</v>
      </c>
      <c r="I259" s="24" t="s">
        <v>330</v>
      </c>
      <c r="J259">
        <v>1699</v>
      </c>
      <c r="K259">
        <v>1036</v>
      </c>
      <c r="L259">
        <v>796</v>
      </c>
      <c r="M259">
        <v>981</v>
      </c>
      <c r="N259">
        <v>963</v>
      </c>
      <c r="O259">
        <v>1178</v>
      </c>
      <c r="P259">
        <v>985</v>
      </c>
      <c r="Q259">
        <v>1214</v>
      </c>
      <c r="R259">
        <v>806</v>
      </c>
      <c r="S259">
        <v>577</v>
      </c>
      <c r="T259">
        <v>754</v>
      </c>
      <c r="U259">
        <v>2003</v>
      </c>
      <c r="V259" s="84">
        <f t="shared" si="16"/>
        <v>1082.6666666666667</v>
      </c>
      <c r="W259" s="84">
        <f t="shared" si="17"/>
        <v>1082.6666666666667</v>
      </c>
      <c r="X259">
        <v>1319</v>
      </c>
      <c r="Y259">
        <v>1178</v>
      </c>
      <c r="Z259">
        <v>1036</v>
      </c>
      <c r="AA259">
        <v>1282</v>
      </c>
      <c r="AJ259" s="50">
        <f t="shared" ref="AJ259:AJ265" si="18">AVERAGE(X259:AI259)</f>
        <v>1203.75</v>
      </c>
      <c r="AK259" s="50">
        <f t="shared" ref="AK259:AK265" si="19">AVERAGEIF(X259:AI259,"&lt;&gt;0")</f>
        <v>1203.75</v>
      </c>
    </row>
    <row r="260" spans="1:37" x14ac:dyDescent="0.3">
      <c r="A260" s="96" t="s">
        <v>204</v>
      </c>
      <c r="B260" s="17"/>
      <c r="C260" s="21">
        <v>3161076002</v>
      </c>
      <c r="D260" s="96" t="s">
        <v>495</v>
      </c>
      <c r="E260" s="17" t="s">
        <v>14</v>
      </c>
      <c r="F260" s="17" t="s">
        <v>9</v>
      </c>
      <c r="G260" s="17" t="s">
        <v>263</v>
      </c>
      <c r="H260" s="24">
        <v>45170</v>
      </c>
      <c r="I260" s="24" t="s">
        <v>330</v>
      </c>
      <c r="J260">
        <v>587</v>
      </c>
      <c r="K260">
        <v>654</v>
      </c>
      <c r="L260">
        <v>806</v>
      </c>
      <c r="M260">
        <v>706</v>
      </c>
      <c r="N260">
        <v>793</v>
      </c>
      <c r="O260">
        <v>886</v>
      </c>
      <c r="P260">
        <v>709</v>
      </c>
      <c r="Q260">
        <v>639</v>
      </c>
      <c r="R260">
        <v>649</v>
      </c>
      <c r="S260">
        <v>595</v>
      </c>
      <c r="T260">
        <v>1021</v>
      </c>
      <c r="U260">
        <v>791</v>
      </c>
      <c r="V260" s="84">
        <f t="shared" si="16"/>
        <v>736.33333333333337</v>
      </c>
      <c r="W260" s="84">
        <f t="shared" si="17"/>
        <v>736.33333333333337</v>
      </c>
      <c r="X260">
        <v>742</v>
      </c>
      <c r="Y260">
        <v>1004</v>
      </c>
      <c r="Z260">
        <v>2287</v>
      </c>
      <c r="AJ260" s="50">
        <f t="shared" si="18"/>
        <v>1344.3333333333333</v>
      </c>
      <c r="AK260" s="50">
        <f t="shared" si="19"/>
        <v>1344.3333333333333</v>
      </c>
    </row>
    <row r="261" spans="1:37" x14ac:dyDescent="0.3">
      <c r="A261" s="98" t="s">
        <v>113</v>
      </c>
      <c r="B261" s="18"/>
      <c r="C261" s="22">
        <v>3142082000</v>
      </c>
      <c r="D261" s="98" t="s">
        <v>496</v>
      </c>
      <c r="E261" s="18" t="s">
        <v>8</v>
      </c>
      <c r="F261" s="18" t="s">
        <v>9</v>
      </c>
      <c r="G261" s="18" t="s">
        <v>266</v>
      </c>
      <c r="H261" s="24">
        <v>45181</v>
      </c>
      <c r="I261" s="24" t="s">
        <v>330</v>
      </c>
      <c r="J261">
        <v>1140</v>
      </c>
      <c r="K261">
        <v>983</v>
      </c>
      <c r="L261">
        <v>1031</v>
      </c>
      <c r="M261">
        <v>1042</v>
      </c>
      <c r="N261">
        <v>1128</v>
      </c>
      <c r="O261">
        <v>851</v>
      </c>
      <c r="P261">
        <v>1027</v>
      </c>
      <c r="Q261">
        <v>797</v>
      </c>
      <c r="R261">
        <v>677</v>
      </c>
      <c r="S261">
        <v>635</v>
      </c>
      <c r="T261">
        <v>701</v>
      </c>
      <c r="U261">
        <v>791</v>
      </c>
      <c r="V261" s="84">
        <f t="shared" si="16"/>
        <v>900.25</v>
      </c>
      <c r="W261" s="84">
        <f t="shared" si="17"/>
        <v>900.25</v>
      </c>
      <c r="X261">
        <v>788</v>
      </c>
      <c r="Y261">
        <v>956</v>
      </c>
      <c r="Z261">
        <v>1840</v>
      </c>
      <c r="AJ261" s="50">
        <f t="shared" si="18"/>
        <v>1194.6666666666667</v>
      </c>
      <c r="AK261" s="50">
        <f t="shared" si="19"/>
        <v>1194.6666666666667</v>
      </c>
    </row>
    <row r="262" spans="1:37" x14ac:dyDescent="0.3">
      <c r="A262" s="98" t="s">
        <v>13</v>
      </c>
      <c r="B262" s="18"/>
      <c r="C262" s="22">
        <v>3130464000</v>
      </c>
      <c r="D262" s="98" t="s">
        <v>497</v>
      </c>
      <c r="E262" s="18" t="s">
        <v>16</v>
      </c>
      <c r="F262" s="18" t="s">
        <v>9</v>
      </c>
      <c r="G262" s="18" t="s">
        <v>268</v>
      </c>
      <c r="H262" s="24">
        <v>45187</v>
      </c>
      <c r="I262" s="24" t="s">
        <v>330</v>
      </c>
      <c r="J262">
        <v>1331</v>
      </c>
      <c r="K262">
        <v>1152</v>
      </c>
      <c r="L262">
        <v>490</v>
      </c>
      <c r="M262">
        <v>716</v>
      </c>
      <c r="N262">
        <v>844</v>
      </c>
      <c r="O262">
        <v>654</v>
      </c>
      <c r="P262">
        <v>404</v>
      </c>
      <c r="Q262">
        <v>641</v>
      </c>
      <c r="R262">
        <v>852</v>
      </c>
      <c r="S262">
        <v>1247</v>
      </c>
      <c r="T262">
        <v>1920</v>
      </c>
      <c r="U262">
        <v>1630</v>
      </c>
      <c r="V262" s="84">
        <f t="shared" si="16"/>
        <v>990.08333333333337</v>
      </c>
      <c r="W262" s="84">
        <f t="shared" si="17"/>
        <v>990.08333333333337</v>
      </c>
      <c r="X262">
        <v>1468</v>
      </c>
      <c r="Y262">
        <v>1405</v>
      </c>
      <c r="Z262">
        <v>1462</v>
      </c>
      <c r="AJ262" s="50">
        <f t="shared" si="18"/>
        <v>1445</v>
      </c>
      <c r="AK262" s="50">
        <f t="shared" si="19"/>
        <v>1445</v>
      </c>
    </row>
    <row r="263" spans="1:37" x14ac:dyDescent="0.3">
      <c r="A263" s="97" t="s">
        <v>52</v>
      </c>
      <c r="B263" s="19"/>
      <c r="C263" s="23">
        <v>3132492001</v>
      </c>
      <c r="D263" s="97" t="s">
        <v>498</v>
      </c>
      <c r="E263" s="19" t="s">
        <v>16</v>
      </c>
      <c r="F263" s="19" t="s">
        <v>9</v>
      </c>
      <c r="G263" s="19" t="s">
        <v>273</v>
      </c>
      <c r="H263" s="24">
        <v>45215</v>
      </c>
      <c r="I263" s="24" t="s">
        <v>330</v>
      </c>
      <c r="J263">
        <v>505</v>
      </c>
      <c r="K263">
        <v>391</v>
      </c>
      <c r="L263">
        <v>452</v>
      </c>
      <c r="M263">
        <v>518</v>
      </c>
      <c r="N263">
        <v>414</v>
      </c>
      <c r="O263">
        <v>359</v>
      </c>
      <c r="P263">
        <v>382</v>
      </c>
      <c r="Q263">
        <v>383</v>
      </c>
      <c r="R263">
        <v>493</v>
      </c>
      <c r="S263">
        <v>982</v>
      </c>
      <c r="T263">
        <v>756</v>
      </c>
      <c r="U263">
        <v>652</v>
      </c>
      <c r="V263" s="84">
        <f t="shared" si="16"/>
        <v>523.91666666666663</v>
      </c>
      <c r="W263" s="84">
        <f t="shared" si="17"/>
        <v>523.91666666666663</v>
      </c>
      <c r="X263">
        <v>655</v>
      </c>
      <c r="Y263">
        <v>1080</v>
      </c>
      <c r="AJ263" s="50">
        <f t="shared" si="18"/>
        <v>867.5</v>
      </c>
      <c r="AK263" s="50">
        <f t="shared" si="19"/>
        <v>867.5</v>
      </c>
    </row>
    <row r="264" spans="1:37" x14ac:dyDescent="0.3">
      <c r="A264" s="97" t="s">
        <v>298</v>
      </c>
      <c r="B264" s="19"/>
      <c r="C264" s="23">
        <v>3031252000</v>
      </c>
      <c r="D264" s="97" t="s">
        <v>499</v>
      </c>
      <c r="E264" s="19" t="s">
        <v>11</v>
      </c>
      <c r="F264" s="19" t="s">
        <v>9</v>
      </c>
      <c r="G264" s="19" t="s">
        <v>299</v>
      </c>
      <c r="H264" s="24">
        <v>45229</v>
      </c>
      <c r="I264" s="77" t="s">
        <v>329</v>
      </c>
      <c r="J264">
        <v>373</v>
      </c>
      <c r="K264">
        <v>321</v>
      </c>
      <c r="L264">
        <v>395</v>
      </c>
      <c r="M264">
        <v>466</v>
      </c>
      <c r="N264">
        <v>387</v>
      </c>
      <c r="O264">
        <v>369</v>
      </c>
      <c r="P264">
        <v>322</v>
      </c>
      <c r="Q264">
        <v>293</v>
      </c>
      <c r="R264">
        <v>365</v>
      </c>
      <c r="S264">
        <v>549</v>
      </c>
      <c r="T264">
        <v>561</v>
      </c>
      <c r="U264">
        <v>495</v>
      </c>
      <c r="V264" s="84">
        <f t="shared" si="16"/>
        <v>408</v>
      </c>
      <c r="W264" s="84">
        <f t="shared" si="17"/>
        <v>408</v>
      </c>
      <c r="X264">
        <v>427</v>
      </c>
      <c r="Y264">
        <v>293</v>
      </c>
      <c r="Z264">
        <v>350</v>
      </c>
      <c r="AJ264" s="50">
        <f t="shared" si="18"/>
        <v>356.66666666666669</v>
      </c>
      <c r="AK264" s="50">
        <f t="shared" si="19"/>
        <v>356.66666666666669</v>
      </c>
    </row>
    <row r="265" spans="1:37" x14ac:dyDescent="0.3">
      <c r="A265" s="86" t="s">
        <v>90</v>
      </c>
      <c r="B265" s="6"/>
      <c r="C265" s="8">
        <v>3102168000</v>
      </c>
      <c r="D265" s="86" t="s">
        <v>403</v>
      </c>
      <c r="E265" s="6" t="s">
        <v>16</v>
      </c>
      <c r="F265" s="6" t="s">
        <v>9</v>
      </c>
      <c r="G265" s="6" t="s">
        <v>215</v>
      </c>
      <c r="H265" s="24">
        <v>45247</v>
      </c>
      <c r="I265" s="24" t="s">
        <v>330</v>
      </c>
      <c r="J265">
        <v>342</v>
      </c>
      <c r="K265">
        <v>864</v>
      </c>
      <c r="L265">
        <v>1157</v>
      </c>
      <c r="M265">
        <v>1000</v>
      </c>
      <c r="N265">
        <v>986</v>
      </c>
      <c r="O265">
        <v>523</v>
      </c>
      <c r="P265">
        <v>398</v>
      </c>
      <c r="Q265">
        <v>329</v>
      </c>
      <c r="R265">
        <v>349</v>
      </c>
      <c r="S265">
        <v>386</v>
      </c>
      <c r="T265">
        <v>324</v>
      </c>
      <c r="U265">
        <v>356</v>
      </c>
      <c r="V265" s="84">
        <f t="shared" si="16"/>
        <v>584.5</v>
      </c>
      <c r="W265" s="84">
        <f t="shared" si="17"/>
        <v>584.5</v>
      </c>
      <c r="X265">
        <v>606</v>
      </c>
      <c r="AJ265" s="50">
        <f t="shared" si="18"/>
        <v>606</v>
      </c>
      <c r="AK265" s="50">
        <f t="shared" si="19"/>
        <v>606</v>
      </c>
    </row>
  </sheetData>
  <autoFilter ref="A1:AI265" xr:uid="{DA8BDD17-CC38-4D05-A4BD-544CCAA411B7}"/>
  <pageMargins left="0.7" right="0.7" top="0.75" bottom="0.75" header="0.3" footer="0.3"/>
  <pageSetup scale="43" fitToWidth="3" fitToHeight="0" orientation="landscape" r:id="rId1"/>
  <headerFooter>
    <oddHeader>&amp;RDPU 23-80
DOER 2-02 Attachment 2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5894-AC23-478D-BD3D-BC4FB13C3C72}">
  <sheetPr>
    <pageSetUpPr fitToPage="1"/>
  </sheetPr>
  <dimension ref="A1:AL52"/>
  <sheetViews>
    <sheetView tabSelected="1" workbookViewId="0"/>
  </sheetViews>
  <sheetFormatPr defaultColWidth="16.6640625" defaultRowHeight="14.4" x14ac:dyDescent="0.3"/>
  <cols>
    <col min="1" max="1" width="72.88671875" style="100" bestFit="1" customWidth="1"/>
    <col min="2" max="2" width="16.6640625" style="30"/>
    <col min="4" max="4" width="24.44140625" style="100" bestFit="1" customWidth="1"/>
    <col min="24" max="35" width="16.6640625" customWidth="1"/>
  </cols>
  <sheetData>
    <row r="1" spans="1:37" ht="26.4" x14ac:dyDescent="0.3">
      <c r="A1" s="102" t="s">
        <v>0</v>
      </c>
      <c r="B1" s="33" t="s">
        <v>1</v>
      </c>
      <c r="C1" s="13" t="s">
        <v>2</v>
      </c>
      <c r="D1" s="102" t="s">
        <v>3</v>
      </c>
      <c r="E1" s="13" t="s">
        <v>4</v>
      </c>
      <c r="F1" s="13" t="s">
        <v>5</v>
      </c>
      <c r="G1" s="13" t="s">
        <v>6</v>
      </c>
      <c r="H1" s="31" t="s">
        <v>303</v>
      </c>
      <c r="I1" s="31" t="s">
        <v>328</v>
      </c>
      <c r="J1" s="42" t="s">
        <v>304</v>
      </c>
      <c r="K1" s="42" t="s">
        <v>305</v>
      </c>
      <c r="L1" s="42" t="s">
        <v>306</v>
      </c>
      <c r="M1" s="42" t="s">
        <v>307</v>
      </c>
      <c r="N1" s="42" t="s">
        <v>308</v>
      </c>
      <c r="O1" s="42" t="s">
        <v>309</v>
      </c>
      <c r="P1" s="42" t="s">
        <v>310</v>
      </c>
      <c r="Q1" s="42" t="s">
        <v>311</v>
      </c>
      <c r="R1" s="42" t="s">
        <v>312</v>
      </c>
      <c r="S1" s="42" t="s">
        <v>313</v>
      </c>
      <c r="T1" s="42" t="s">
        <v>314</v>
      </c>
      <c r="U1" s="42" t="s">
        <v>315</v>
      </c>
      <c r="V1" s="83" t="s">
        <v>331</v>
      </c>
      <c r="W1" s="83" t="s">
        <v>332</v>
      </c>
      <c r="X1" s="51" t="s">
        <v>316</v>
      </c>
      <c r="Y1" s="51" t="s">
        <v>317</v>
      </c>
      <c r="Z1" s="51" t="s">
        <v>318</v>
      </c>
      <c r="AA1" s="51" t="s">
        <v>319</v>
      </c>
      <c r="AB1" s="51" t="s">
        <v>320</v>
      </c>
      <c r="AC1" s="51" t="s">
        <v>321</v>
      </c>
      <c r="AD1" s="51" t="s">
        <v>322</v>
      </c>
      <c r="AE1" s="51" t="s">
        <v>323</v>
      </c>
      <c r="AF1" s="51" t="s">
        <v>324</v>
      </c>
      <c r="AG1" s="51" t="s">
        <v>325</v>
      </c>
      <c r="AH1" s="51" t="s">
        <v>326</v>
      </c>
      <c r="AI1" s="51" t="s">
        <v>327</v>
      </c>
      <c r="AJ1" s="83" t="s">
        <v>331</v>
      </c>
      <c r="AK1" s="83" t="s">
        <v>332</v>
      </c>
    </row>
    <row r="2" spans="1:37" x14ac:dyDescent="0.3">
      <c r="A2" s="103" t="s">
        <v>167</v>
      </c>
      <c r="B2" s="27"/>
      <c r="C2" s="26">
        <v>3020954014</v>
      </c>
      <c r="D2" s="103" t="s">
        <v>500</v>
      </c>
      <c r="E2" s="14" t="s">
        <v>11</v>
      </c>
      <c r="F2" s="14" t="s">
        <v>9</v>
      </c>
      <c r="G2" s="14" t="s">
        <v>170</v>
      </c>
      <c r="H2" s="32">
        <v>44580</v>
      </c>
      <c r="I2" s="32" t="s">
        <v>330</v>
      </c>
      <c r="J2" s="73">
        <v>0</v>
      </c>
      <c r="K2">
        <v>87</v>
      </c>
      <c r="L2">
        <v>827</v>
      </c>
      <c r="M2">
        <v>837</v>
      </c>
      <c r="N2">
        <v>834</v>
      </c>
      <c r="O2">
        <v>788</v>
      </c>
      <c r="P2">
        <v>769</v>
      </c>
      <c r="Q2">
        <v>827</v>
      </c>
      <c r="R2">
        <v>511</v>
      </c>
      <c r="S2">
        <v>411</v>
      </c>
      <c r="T2">
        <v>751</v>
      </c>
      <c r="U2">
        <v>750</v>
      </c>
      <c r="V2" s="84">
        <f>AVERAGE(J2:U2)</f>
        <v>616</v>
      </c>
      <c r="W2" s="84">
        <f>AVERAGEIF(J2:U2,"&lt;&gt;0")</f>
        <v>672</v>
      </c>
      <c r="X2">
        <v>647</v>
      </c>
      <c r="Y2">
        <v>513</v>
      </c>
      <c r="Z2">
        <v>420</v>
      </c>
      <c r="AA2">
        <v>467</v>
      </c>
      <c r="AB2">
        <v>445</v>
      </c>
      <c r="AC2">
        <v>466</v>
      </c>
      <c r="AD2">
        <v>655</v>
      </c>
      <c r="AE2">
        <v>541</v>
      </c>
      <c r="AF2">
        <v>348</v>
      </c>
      <c r="AG2">
        <v>306</v>
      </c>
      <c r="AH2">
        <v>441</v>
      </c>
      <c r="AI2">
        <v>512</v>
      </c>
      <c r="AJ2" s="84">
        <f>AVERAGE(X2:AI2)</f>
        <v>480.08333333333331</v>
      </c>
      <c r="AK2" s="84">
        <f>AVERAGEIF(X2:AI2,"&lt;&gt;0")</f>
        <v>480.08333333333331</v>
      </c>
    </row>
    <row r="3" spans="1:37" x14ac:dyDescent="0.3">
      <c r="A3" s="103" t="s">
        <v>169</v>
      </c>
      <c r="B3" s="27"/>
      <c r="C3" s="26">
        <v>3141312501</v>
      </c>
      <c r="D3" s="103" t="s">
        <v>501</v>
      </c>
      <c r="E3" s="14" t="s">
        <v>8</v>
      </c>
      <c r="F3" s="14" t="s">
        <v>9</v>
      </c>
      <c r="G3" s="14" t="s">
        <v>69</v>
      </c>
      <c r="H3" s="32">
        <v>44632</v>
      </c>
      <c r="I3" s="32" t="s">
        <v>330</v>
      </c>
      <c r="J3">
        <v>1142</v>
      </c>
      <c r="K3">
        <v>692</v>
      </c>
      <c r="L3">
        <v>816</v>
      </c>
      <c r="M3">
        <v>1486</v>
      </c>
      <c r="N3">
        <v>1648</v>
      </c>
      <c r="O3">
        <v>2162</v>
      </c>
      <c r="P3">
        <v>726</v>
      </c>
      <c r="Q3">
        <v>722</v>
      </c>
      <c r="R3">
        <v>1356</v>
      </c>
      <c r="S3">
        <v>2600</v>
      </c>
      <c r="T3">
        <v>1918</v>
      </c>
      <c r="U3">
        <v>1694</v>
      </c>
      <c r="V3" s="84">
        <f t="shared" ref="V3:V52" si="0">AVERAGE(J3:U3)</f>
        <v>1413.5</v>
      </c>
      <c r="W3" s="84">
        <f t="shared" ref="W3:W52" si="1">AVERAGEIF(J3:U3,"&lt;&gt;0")</f>
        <v>1413.5</v>
      </c>
      <c r="X3">
        <v>2838</v>
      </c>
      <c r="Y3">
        <v>1620</v>
      </c>
      <c r="Z3">
        <v>1086</v>
      </c>
      <c r="AA3">
        <v>680</v>
      </c>
      <c r="AB3">
        <v>1250</v>
      </c>
      <c r="AC3">
        <v>1580</v>
      </c>
      <c r="AD3">
        <v>1178</v>
      </c>
      <c r="AE3">
        <v>1366</v>
      </c>
      <c r="AF3">
        <v>2512</v>
      </c>
      <c r="AG3">
        <v>3832</v>
      </c>
      <c r="AH3">
        <v>4188</v>
      </c>
      <c r="AI3">
        <v>3008</v>
      </c>
      <c r="AJ3" s="84">
        <f t="shared" ref="AJ3:AJ52" si="2">AVERAGE(X3:AI3)</f>
        <v>2094.8333333333335</v>
      </c>
      <c r="AK3" s="84">
        <f t="shared" ref="AK3:AK52" si="3">AVERAGEIF(X3:AI3,"&lt;&gt;0")</f>
        <v>2094.8333333333335</v>
      </c>
    </row>
    <row r="4" spans="1:37" x14ac:dyDescent="0.3">
      <c r="A4" s="103" t="s">
        <v>167</v>
      </c>
      <c r="B4" s="27"/>
      <c r="C4" s="26">
        <v>3041502001</v>
      </c>
      <c r="D4" s="103" t="s">
        <v>502</v>
      </c>
      <c r="E4" s="14" t="s">
        <v>11</v>
      </c>
      <c r="F4" s="14" t="s">
        <v>9</v>
      </c>
      <c r="G4" s="14" t="s">
        <v>12</v>
      </c>
      <c r="H4" s="32">
        <v>44632</v>
      </c>
      <c r="I4" s="32" t="s">
        <v>330</v>
      </c>
      <c r="J4">
        <v>416</v>
      </c>
      <c r="K4">
        <v>463</v>
      </c>
      <c r="L4">
        <v>594</v>
      </c>
      <c r="M4">
        <v>679</v>
      </c>
      <c r="N4">
        <v>529</v>
      </c>
      <c r="O4">
        <v>634</v>
      </c>
      <c r="P4">
        <v>576</v>
      </c>
      <c r="Q4">
        <v>583</v>
      </c>
      <c r="R4">
        <v>558</v>
      </c>
      <c r="S4">
        <v>667</v>
      </c>
      <c r="T4">
        <v>488</v>
      </c>
      <c r="U4">
        <v>419</v>
      </c>
      <c r="V4" s="84">
        <f t="shared" si="0"/>
        <v>550.5</v>
      </c>
      <c r="W4" s="84">
        <f t="shared" si="1"/>
        <v>550.5</v>
      </c>
      <c r="X4">
        <v>658</v>
      </c>
      <c r="Y4">
        <v>503</v>
      </c>
      <c r="Z4">
        <v>552</v>
      </c>
      <c r="AA4">
        <v>505</v>
      </c>
      <c r="AB4">
        <v>795</v>
      </c>
      <c r="AC4">
        <v>644</v>
      </c>
      <c r="AD4">
        <v>563</v>
      </c>
      <c r="AE4">
        <v>339</v>
      </c>
      <c r="AF4">
        <v>755</v>
      </c>
      <c r="AG4">
        <v>682</v>
      </c>
      <c r="AH4">
        <v>687</v>
      </c>
      <c r="AI4">
        <v>556</v>
      </c>
      <c r="AJ4" s="84">
        <f t="shared" si="2"/>
        <v>603.25</v>
      </c>
      <c r="AK4" s="84">
        <f t="shared" si="3"/>
        <v>603.25</v>
      </c>
    </row>
    <row r="5" spans="1:37" x14ac:dyDescent="0.3">
      <c r="A5" s="103" t="s">
        <v>169</v>
      </c>
      <c r="B5" s="27"/>
      <c r="C5" s="26">
        <v>3141034500</v>
      </c>
      <c r="D5" s="103" t="s">
        <v>503</v>
      </c>
      <c r="E5" s="14" t="s">
        <v>8</v>
      </c>
      <c r="F5" s="14" t="s">
        <v>9</v>
      </c>
      <c r="G5" s="14" t="s">
        <v>69</v>
      </c>
      <c r="H5" s="32">
        <v>44635</v>
      </c>
      <c r="I5" s="32" t="s">
        <v>330</v>
      </c>
      <c r="J5">
        <v>510</v>
      </c>
      <c r="K5">
        <v>893</v>
      </c>
      <c r="L5">
        <v>1427</v>
      </c>
      <c r="M5">
        <v>1736</v>
      </c>
      <c r="N5">
        <v>1686</v>
      </c>
      <c r="O5">
        <v>1215</v>
      </c>
      <c r="P5">
        <v>803</v>
      </c>
      <c r="Q5">
        <v>716</v>
      </c>
      <c r="R5">
        <v>938</v>
      </c>
      <c r="S5">
        <v>1080</v>
      </c>
      <c r="T5">
        <v>735</v>
      </c>
      <c r="U5">
        <v>753</v>
      </c>
      <c r="V5" s="84">
        <f t="shared" si="0"/>
        <v>1041</v>
      </c>
      <c r="W5" s="84">
        <f t="shared" si="1"/>
        <v>1041</v>
      </c>
      <c r="X5">
        <v>831</v>
      </c>
      <c r="Y5">
        <v>872</v>
      </c>
      <c r="Z5">
        <v>1192</v>
      </c>
      <c r="AA5">
        <v>1418</v>
      </c>
      <c r="AB5">
        <v>1492</v>
      </c>
      <c r="AC5">
        <v>1322</v>
      </c>
      <c r="AD5">
        <v>930</v>
      </c>
      <c r="AE5">
        <v>1320</v>
      </c>
      <c r="AF5">
        <v>2132</v>
      </c>
      <c r="AG5">
        <v>2794</v>
      </c>
      <c r="AH5">
        <v>2190</v>
      </c>
      <c r="AI5">
        <v>1932</v>
      </c>
      <c r="AJ5" s="84">
        <f t="shared" si="2"/>
        <v>1535.4166666666667</v>
      </c>
      <c r="AK5" s="84">
        <f t="shared" si="3"/>
        <v>1535.4166666666667</v>
      </c>
    </row>
    <row r="6" spans="1:37" x14ac:dyDescent="0.3">
      <c r="A6" s="103" t="s">
        <v>167</v>
      </c>
      <c r="B6" s="27"/>
      <c r="C6" s="26">
        <v>3061083500</v>
      </c>
      <c r="D6" s="103" t="s">
        <v>504</v>
      </c>
      <c r="E6" s="14" t="s">
        <v>11</v>
      </c>
      <c r="F6" s="14" t="s">
        <v>9</v>
      </c>
      <c r="G6" s="14" t="s">
        <v>168</v>
      </c>
      <c r="H6" s="32">
        <v>44687</v>
      </c>
      <c r="I6" s="32" t="s">
        <v>330</v>
      </c>
      <c r="J6">
        <v>676</v>
      </c>
      <c r="K6">
        <v>662</v>
      </c>
      <c r="L6">
        <v>801</v>
      </c>
      <c r="M6">
        <v>827</v>
      </c>
      <c r="N6">
        <v>718</v>
      </c>
      <c r="O6">
        <v>958</v>
      </c>
      <c r="P6">
        <v>816</v>
      </c>
      <c r="Q6">
        <v>748</v>
      </c>
      <c r="R6">
        <v>805</v>
      </c>
      <c r="S6">
        <v>787</v>
      </c>
      <c r="T6">
        <v>703</v>
      </c>
      <c r="U6">
        <v>1075</v>
      </c>
      <c r="V6" s="84">
        <f t="shared" si="0"/>
        <v>798</v>
      </c>
      <c r="W6" s="84">
        <f t="shared" si="1"/>
        <v>798</v>
      </c>
      <c r="X6">
        <v>800</v>
      </c>
      <c r="Y6">
        <v>768</v>
      </c>
      <c r="Z6">
        <v>1034</v>
      </c>
      <c r="AA6">
        <v>766</v>
      </c>
      <c r="AB6">
        <v>855</v>
      </c>
      <c r="AC6">
        <v>688</v>
      </c>
      <c r="AD6">
        <v>653</v>
      </c>
      <c r="AE6">
        <v>579</v>
      </c>
      <c r="AF6">
        <v>545</v>
      </c>
      <c r="AG6">
        <v>497</v>
      </c>
      <c r="AH6">
        <v>486</v>
      </c>
      <c r="AI6">
        <v>952</v>
      </c>
      <c r="AJ6" s="84">
        <f t="shared" si="2"/>
        <v>718.58333333333337</v>
      </c>
      <c r="AK6" s="84">
        <f t="shared" si="3"/>
        <v>718.58333333333337</v>
      </c>
    </row>
    <row r="7" spans="1:37" x14ac:dyDescent="0.3">
      <c r="A7" s="103" t="s">
        <v>167</v>
      </c>
      <c r="B7" s="27"/>
      <c r="C7" s="26">
        <v>3160191000</v>
      </c>
      <c r="D7" s="103" t="s">
        <v>505</v>
      </c>
      <c r="E7" s="14" t="s">
        <v>14</v>
      </c>
      <c r="F7" s="14" t="s">
        <v>9</v>
      </c>
      <c r="G7" s="14" t="s">
        <v>174</v>
      </c>
      <c r="H7" s="32">
        <v>44708</v>
      </c>
      <c r="I7" s="32" t="s">
        <v>330</v>
      </c>
      <c r="J7">
        <v>825</v>
      </c>
      <c r="K7">
        <v>989</v>
      </c>
      <c r="L7">
        <v>978</v>
      </c>
      <c r="M7">
        <v>524</v>
      </c>
      <c r="N7">
        <v>371</v>
      </c>
      <c r="O7">
        <v>487</v>
      </c>
      <c r="P7">
        <v>487</v>
      </c>
      <c r="Q7">
        <v>494</v>
      </c>
      <c r="R7">
        <v>441</v>
      </c>
      <c r="S7">
        <v>458</v>
      </c>
      <c r="T7">
        <v>384</v>
      </c>
      <c r="U7">
        <v>419</v>
      </c>
      <c r="V7" s="84">
        <f t="shared" si="0"/>
        <v>571.41666666666663</v>
      </c>
      <c r="W7" s="84">
        <f t="shared" si="1"/>
        <v>571.41666666666663</v>
      </c>
      <c r="X7">
        <v>462</v>
      </c>
      <c r="Y7">
        <v>552</v>
      </c>
      <c r="Z7">
        <v>593</v>
      </c>
      <c r="AA7">
        <v>389</v>
      </c>
      <c r="AB7">
        <v>334</v>
      </c>
      <c r="AC7">
        <v>436</v>
      </c>
      <c r="AD7">
        <v>428</v>
      </c>
      <c r="AE7">
        <v>429</v>
      </c>
      <c r="AF7">
        <v>472</v>
      </c>
      <c r="AG7">
        <v>427</v>
      </c>
      <c r="AH7">
        <v>361</v>
      </c>
      <c r="AI7">
        <v>355</v>
      </c>
      <c r="AJ7" s="84">
        <f t="shared" si="2"/>
        <v>436.5</v>
      </c>
      <c r="AK7" s="84">
        <f t="shared" si="3"/>
        <v>436.5</v>
      </c>
    </row>
    <row r="8" spans="1:37" x14ac:dyDescent="0.3">
      <c r="A8" s="103" t="s">
        <v>171</v>
      </c>
      <c r="B8" s="27"/>
      <c r="C8" s="26">
        <v>3040410001</v>
      </c>
      <c r="D8" s="103" t="s">
        <v>506</v>
      </c>
      <c r="E8" s="14" t="s">
        <v>11</v>
      </c>
      <c r="F8" s="14" t="s">
        <v>9</v>
      </c>
      <c r="G8" s="14" t="s">
        <v>172</v>
      </c>
      <c r="H8" s="32">
        <v>44712</v>
      </c>
      <c r="I8" s="32" t="s">
        <v>330</v>
      </c>
      <c r="J8">
        <v>112</v>
      </c>
      <c r="K8">
        <v>127</v>
      </c>
      <c r="L8">
        <v>118</v>
      </c>
      <c r="M8">
        <v>182</v>
      </c>
      <c r="N8">
        <v>164</v>
      </c>
      <c r="O8">
        <v>238</v>
      </c>
      <c r="P8">
        <v>310</v>
      </c>
      <c r="Q8">
        <v>686</v>
      </c>
      <c r="R8">
        <v>540</v>
      </c>
      <c r="S8">
        <v>514</v>
      </c>
      <c r="T8">
        <v>486</v>
      </c>
      <c r="U8">
        <v>426</v>
      </c>
      <c r="V8" s="84">
        <f t="shared" si="0"/>
        <v>325.25</v>
      </c>
      <c r="W8" s="84">
        <f t="shared" si="1"/>
        <v>325.25</v>
      </c>
      <c r="X8">
        <v>412</v>
      </c>
      <c r="Y8">
        <v>438</v>
      </c>
      <c r="Z8">
        <v>678</v>
      </c>
      <c r="AA8">
        <v>556</v>
      </c>
      <c r="AB8">
        <v>602</v>
      </c>
      <c r="AC8">
        <v>606</v>
      </c>
      <c r="AD8">
        <v>918</v>
      </c>
      <c r="AE8">
        <v>1406</v>
      </c>
      <c r="AF8">
        <v>1394</v>
      </c>
      <c r="AG8">
        <v>1392</v>
      </c>
      <c r="AH8">
        <v>916</v>
      </c>
      <c r="AI8">
        <v>676</v>
      </c>
      <c r="AJ8" s="84">
        <f t="shared" si="2"/>
        <v>832.83333333333337</v>
      </c>
      <c r="AK8" s="84">
        <f t="shared" si="3"/>
        <v>832.83333333333337</v>
      </c>
    </row>
    <row r="9" spans="1:37" x14ac:dyDescent="0.3">
      <c r="A9" s="103" t="s">
        <v>171</v>
      </c>
      <c r="B9" s="27"/>
      <c r="C9" s="26">
        <v>3010575506</v>
      </c>
      <c r="D9" s="103" t="s">
        <v>461</v>
      </c>
      <c r="E9" s="14" t="s">
        <v>11</v>
      </c>
      <c r="F9" s="14" t="s">
        <v>9</v>
      </c>
      <c r="G9" s="14" t="s">
        <v>173</v>
      </c>
      <c r="H9" s="32">
        <v>44722</v>
      </c>
      <c r="I9" s="32" t="s">
        <v>330</v>
      </c>
      <c r="J9">
        <v>730</v>
      </c>
      <c r="K9">
        <v>753</v>
      </c>
      <c r="L9">
        <v>926</v>
      </c>
      <c r="M9">
        <v>617</v>
      </c>
      <c r="N9">
        <v>471</v>
      </c>
      <c r="O9">
        <v>724</v>
      </c>
      <c r="P9">
        <v>797</v>
      </c>
      <c r="Q9">
        <v>958</v>
      </c>
      <c r="R9">
        <v>753</v>
      </c>
      <c r="S9">
        <v>453</v>
      </c>
      <c r="T9">
        <v>454</v>
      </c>
      <c r="U9">
        <v>580</v>
      </c>
      <c r="V9" s="84">
        <f t="shared" si="0"/>
        <v>684.66666666666663</v>
      </c>
      <c r="W9" s="84">
        <f t="shared" si="1"/>
        <v>684.66666666666663</v>
      </c>
      <c r="X9">
        <v>609</v>
      </c>
      <c r="Y9">
        <v>939</v>
      </c>
      <c r="Z9">
        <v>842</v>
      </c>
      <c r="AA9">
        <v>712</v>
      </c>
      <c r="AB9">
        <v>963</v>
      </c>
      <c r="AC9">
        <v>939</v>
      </c>
      <c r="AD9">
        <v>851</v>
      </c>
      <c r="AE9">
        <v>895</v>
      </c>
      <c r="AF9">
        <v>908</v>
      </c>
      <c r="AG9">
        <v>986</v>
      </c>
      <c r="AH9">
        <v>1096</v>
      </c>
      <c r="AI9">
        <v>941</v>
      </c>
      <c r="AJ9" s="84">
        <f t="shared" si="2"/>
        <v>890.08333333333337</v>
      </c>
      <c r="AK9" s="84">
        <f t="shared" si="3"/>
        <v>890.08333333333337</v>
      </c>
    </row>
    <row r="10" spans="1:37" x14ac:dyDescent="0.3">
      <c r="A10" s="103" t="s">
        <v>171</v>
      </c>
      <c r="B10" s="27"/>
      <c r="C10" s="26">
        <v>3010573500</v>
      </c>
      <c r="D10" s="103" t="s">
        <v>461</v>
      </c>
      <c r="E10" s="14" t="s">
        <v>11</v>
      </c>
      <c r="F10" s="14" t="s">
        <v>9</v>
      </c>
      <c r="G10" s="14" t="s">
        <v>173</v>
      </c>
      <c r="H10" s="32">
        <v>44722</v>
      </c>
      <c r="I10" s="32" t="s">
        <v>330</v>
      </c>
      <c r="J10">
        <v>348</v>
      </c>
      <c r="K10">
        <v>349</v>
      </c>
      <c r="L10">
        <v>384</v>
      </c>
      <c r="M10">
        <v>279</v>
      </c>
      <c r="N10">
        <v>205</v>
      </c>
      <c r="O10">
        <v>232</v>
      </c>
      <c r="P10">
        <v>227</v>
      </c>
      <c r="Q10">
        <v>163</v>
      </c>
      <c r="R10">
        <v>180</v>
      </c>
      <c r="S10">
        <v>167</v>
      </c>
      <c r="T10">
        <v>176</v>
      </c>
      <c r="U10">
        <v>311</v>
      </c>
      <c r="V10" s="84">
        <f t="shared" si="0"/>
        <v>251.75</v>
      </c>
      <c r="W10" s="84">
        <f t="shared" si="1"/>
        <v>251.75</v>
      </c>
      <c r="X10">
        <v>339</v>
      </c>
      <c r="Y10">
        <v>454</v>
      </c>
      <c r="Z10">
        <v>356</v>
      </c>
      <c r="AA10">
        <v>251</v>
      </c>
      <c r="AB10">
        <v>222</v>
      </c>
      <c r="AC10">
        <v>816</v>
      </c>
      <c r="AD10">
        <v>1187</v>
      </c>
      <c r="AE10">
        <v>1106</v>
      </c>
      <c r="AF10">
        <v>985</v>
      </c>
      <c r="AG10">
        <v>854</v>
      </c>
      <c r="AH10">
        <v>480</v>
      </c>
      <c r="AI10">
        <v>229</v>
      </c>
      <c r="AJ10" s="84">
        <f t="shared" si="2"/>
        <v>606.58333333333337</v>
      </c>
      <c r="AK10" s="84">
        <f t="shared" si="3"/>
        <v>606.58333333333337</v>
      </c>
    </row>
    <row r="11" spans="1:37" x14ac:dyDescent="0.3">
      <c r="A11" s="86" t="s">
        <v>171</v>
      </c>
      <c r="B11" s="2"/>
      <c r="C11" s="8">
        <v>3010572509</v>
      </c>
      <c r="D11" s="86" t="s">
        <v>461</v>
      </c>
      <c r="E11" s="6" t="s">
        <v>11</v>
      </c>
      <c r="F11" s="6" t="s">
        <v>9</v>
      </c>
      <c r="G11" s="6" t="s">
        <v>173</v>
      </c>
      <c r="H11" s="32">
        <v>44722</v>
      </c>
      <c r="I11" s="32" t="s">
        <v>330</v>
      </c>
      <c r="J11">
        <v>649</v>
      </c>
      <c r="K11">
        <v>644</v>
      </c>
      <c r="L11">
        <v>706</v>
      </c>
      <c r="M11">
        <v>674</v>
      </c>
      <c r="N11">
        <v>512</v>
      </c>
      <c r="O11">
        <v>1165</v>
      </c>
      <c r="P11">
        <v>1386</v>
      </c>
      <c r="Q11">
        <v>1831</v>
      </c>
      <c r="R11">
        <v>1620</v>
      </c>
      <c r="S11">
        <v>1017</v>
      </c>
      <c r="T11">
        <v>713</v>
      </c>
      <c r="U11">
        <v>604</v>
      </c>
      <c r="V11" s="84">
        <f t="shared" si="0"/>
        <v>960.08333333333337</v>
      </c>
      <c r="W11" s="84">
        <f t="shared" si="1"/>
        <v>960.08333333333337</v>
      </c>
      <c r="X11">
        <v>557</v>
      </c>
      <c r="Y11">
        <v>813</v>
      </c>
      <c r="Z11">
        <v>676</v>
      </c>
      <c r="AA11">
        <v>565</v>
      </c>
      <c r="AB11">
        <v>456</v>
      </c>
      <c r="AC11">
        <v>664</v>
      </c>
      <c r="AD11">
        <v>670</v>
      </c>
      <c r="AE11">
        <v>1219</v>
      </c>
      <c r="AF11">
        <v>1020</v>
      </c>
      <c r="AG11">
        <v>752</v>
      </c>
      <c r="AH11">
        <v>549</v>
      </c>
      <c r="AI11">
        <v>468</v>
      </c>
      <c r="AJ11" s="84">
        <f t="shared" si="2"/>
        <v>700.75</v>
      </c>
      <c r="AK11" s="84">
        <f t="shared" si="3"/>
        <v>700.75</v>
      </c>
    </row>
    <row r="12" spans="1:37" x14ac:dyDescent="0.3">
      <c r="A12" s="103" t="s">
        <v>176</v>
      </c>
      <c r="B12" s="27"/>
      <c r="C12" s="26">
        <v>3160385001</v>
      </c>
      <c r="D12" s="103" t="s">
        <v>494</v>
      </c>
      <c r="E12" s="14" t="s">
        <v>14</v>
      </c>
      <c r="F12" s="14" t="s">
        <v>9</v>
      </c>
      <c r="G12" s="14" t="s">
        <v>184</v>
      </c>
      <c r="H12" s="32">
        <v>44734</v>
      </c>
      <c r="I12" s="32" t="s">
        <v>330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>
        <v>652</v>
      </c>
      <c r="P12">
        <v>725</v>
      </c>
      <c r="Q12">
        <v>554</v>
      </c>
      <c r="R12">
        <v>538</v>
      </c>
      <c r="S12">
        <v>422</v>
      </c>
      <c r="T12">
        <v>495</v>
      </c>
      <c r="U12">
        <v>1192</v>
      </c>
      <c r="V12" s="84">
        <f t="shared" si="0"/>
        <v>381.5</v>
      </c>
      <c r="W12" s="84">
        <f t="shared" si="1"/>
        <v>654</v>
      </c>
      <c r="X12">
        <v>1172</v>
      </c>
      <c r="Y12">
        <v>563</v>
      </c>
      <c r="Z12">
        <v>381</v>
      </c>
      <c r="AA12">
        <v>709</v>
      </c>
      <c r="AB12">
        <v>1070</v>
      </c>
      <c r="AC12">
        <v>760</v>
      </c>
      <c r="AD12">
        <v>941</v>
      </c>
      <c r="AE12">
        <v>557</v>
      </c>
      <c r="AF12">
        <v>782</v>
      </c>
      <c r="AG12">
        <v>1128</v>
      </c>
      <c r="AH12">
        <v>920</v>
      </c>
      <c r="AI12">
        <v>1472</v>
      </c>
      <c r="AJ12" s="84">
        <f t="shared" si="2"/>
        <v>871.25</v>
      </c>
      <c r="AK12" s="84">
        <f t="shared" si="3"/>
        <v>871.25</v>
      </c>
    </row>
    <row r="13" spans="1:37" x14ac:dyDescent="0.3">
      <c r="A13" s="103" t="s">
        <v>178</v>
      </c>
      <c r="B13" s="27"/>
      <c r="C13" s="26">
        <v>3150712000</v>
      </c>
      <c r="D13" s="103" t="s">
        <v>444</v>
      </c>
      <c r="E13" s="14" t="s">
        <v>8</v>
      </c>
      <c r="F13" s="14" t="s">
        <v>9</v>
      </c>
      <c r="G13" s="14" t="s">
        <v>69</v>
      </c>
      <c r="H13" s="32">
        <v>44743</v>
      </c>
      <c r="I13" s="32" t="s">
        <v>330</v>
      </c>
      <c r="J13">
        <v>1253</v>
      </c>
      <c r="K13">
        <v>1085</v>
      </c>
      <c r="L13">
        <v>789</v>
      </c>
      <c r="M13">
        <v>820</v>
      </c>
      <c r="N13">
        <v>754</v>
      </c>
      <c r="O13">
        <v>1035</v>
      </c>
      <c r="P13">
        <v>807</v>
      </c>
      <c r="Q13">
        <v>777</v>
      </c>
      <c r="R13">
        <v>742</v>
      </c>
      <c r="S13">
        <v>631</v>
      </c>
      <c r="T13">
        <v>612</v>
      </c>
      <c r="U13">
        <v>449</v>
      </c>
      <c r="V13" s="84">
        <f t="shared" si="0"/>
        <v>812.83333333333337</v>
      </c>
      <c r="W13" s="84">
        <f t="shared" si="1"/>
        <v>812.83333333333337</v>
      </c>
      <c r="AJ13" s="84" t="e">
        <f t="shared" si="2"/>
        <v>#DIV/0!</v>
      </c>
      <c r="AK13" s="84" t="e">
        <f t="shared" si="3"/>
        <v>#DIV/0!</v>
      </c>
    </row>
    <row r="14" spans="1:37" x14ac:dyDescent="0.3">
      <c r="A14" s="103" t="s">
        <v>176</v>
      </c>
      <c r="B14" s="28"/>
      <c r="C14" s="26">
        <v>3041137501</v>
      </c>
      <c r="D14" s="103" t="s">
        <v>507</v>
      </c>
      <c r="E14" s="14" t="s">
        <v>177</v>
      </c>
      <c r="F14" s="15"/>
      <c r="G14" s="14" t="s">
        <v>69</v>
      </c>
      <c r="H14" s="32">
        <v>44749</v>
      </c>
      <c r="I14" s="32" t="s">
        <v>330</v>
      </c>
      <c r="J14">
        <v>704</v>
      </c>
      <c r="K14">
        <v>594</v>
      </c>
      <c r="L14">
        <v>432</v>
      </c>
      <c r="M14">
        <v>518</v>
      </c>
      <c r="N14">
        <v>544</v>
      </c>
      <c r="O14">
        <v>664</v>
      </c>
      <c r="P14">
        <v>514</v>
      </c>
      <c r="Q14">
        <v>426</v>
      </c>
      <c r="R14">
        <v>394</v>
      </c>
      <c r="S14">
        <v>304</v>
      </c>
      <c r="T14">
        <v>666</v>
      </c>
      <c r="U14">
        <v>578</v>
      </c>
      <c r="V14" s="84">
        <f t="shared" si="0"/>
        <v>528.16666666666663</v>
      </c>
      <c r="W14" s="84">
        <f t="shared" si="1"/>
        <v>528.16666666666663</v>
      </c>
      <c r="X14">
        <v>530</v>
      </c>
      <c r="Y14">
        <v>530</v>
      </c>
      <c r="Z14">
        <v>450</v>
      </c>
      <c r="AA14">
        <v>464</v>
      </c>
      <c r="AB14">
        <v>566</v>
      </c>
      <c r="AC14">
        <v>644</v>
      </c>
      <c r="AD14">
        <v>504</v>
      </c>
      <c r="AE14">
        <v>504</v>
      </c>
      <c r="AF14">
        <v>376</v>
      </c>
      <c r="AG14">
        <v>308</v>
      </c>
      <c r="AH14">
        <v>360</v>
      </c>
      <c r="AI14">
        <v>486</v>
      </c>
      <c r="AJ14" s="84">
        <f t="shared" si="2"/>
        <v>476.83333333333331</v>
      </c>
      <c r="AK14" s="84">
        <f t="shared" si="3"/>
        <v>476.83333333333331</v>
      </c>
    </row>
    <row r="15" spans="1:37" x14ac:dyDescent="0.3">
      <c r="A15" s="86" t="s">
        <v>176</v>
      </c>
      <c r="B15" s="2"/>
      <c r="C15" s="8">
        <v>3120753501</v>
      </c>
      <c r="D15" s="86" t="s">
        <v>508</v>
      </c>
      <c r="E15" s="6" t="s">
        <v>16</v>
      </c>
      <c r="F15" s="6" t="s">
        <v>9</v>
      </c>
      <c r="G15" s="6" t="s">
        <v>280</v>
      </c>
      <c r="H15" s="32">
        <v>44760</v>
      </c>
      <c r="I15" s="32" t="s">
        <v>330</v>
      </c>
      <c r="J15">
        <v>1156</v>
      </c>
      <c r="K15">
        <v>1011</v>
      </c>
      <c r="L15">
        <v>601</v>
      </c>
      <c r="M15">
        <v>536</v>
      </c>
      <c r="N15">
        <v>314</v>
      </c>
      <c r="O15">
        <v>326</v>
      </c>
      <c r="P15">
        <v>270</v>
      </c>
      <c r="Q15">
        <v>523</v>
      </c>
      <c r="R15">
        <v>486</v>
      </c>
      <c r="S15">
        <v>534</v>
      </c>
      <c r="T15">
        <v>827</v>
      </c>
      <c r="U15">
        <v>1020</v>
      </c>
      <c r="V15" s="84">
        <f t="shared" si="0"/>
        <v>633.66666666666663</v>
      </c>
      <c r="W15" s="84">
        <f t="shared" si="1"/>
        <v>633.66666666666663</v>
      </c>
      <c r="X15">
        <v>1216</v>
      </c>
      <c r="Y15">
        <v>846</v>
      </c>
      <c r="Z15">
        <v>572</v>
      </c>
      <c r="AA15">
        <v>672</v>
      </c>
      <c r="AB15">
        <v>403</v>
      </c>
      <c r="AC15">
        <v>567</v>
      </c>
      <c r="AD15">
        <v>592</v>
      </c>
      <c r="AE15">
        <v>513</v>
      </c>
      <c r="AF15">
        <v>482</v>
      </c>
      <c r="AG15">
        <v>572</v>
      </c>
      <c r="AH15">
        <v>900</v>
      </c>
      <c r="AI15">
        <v>1203</v>
      </c>
      <c r="AJ15" s="84">
        <f t="shared" si="2"/>
        <v>711.5</v>
      </c>
      <c r="AK15" s="84">
        <f t="shared" si="3"/>
        <v>711.5</v>
      </c>
    </row>
    <row r="16" spans="1:37" x14ac:dyDescent="0.3">
      <c r="A16" s="103" t="s">
        <v>175</v>
      </c>
      <c r="B16" s="27"/>
      <c r="C16" s="26">
        <v>3060184003</v>
      </c>
      <c r="D16" s="103" t="s">
        <v>509</v>
      </c>
      <c r="E16" s="14" t="s">
        <v>11</v>
      </c>
      <c r="F16" s="14" t="s">
        <v>9</v>
      </c>
      <c r="G16" s="14" t="s">
        <v>179</v>
      </c>
      <c r="H16" s="32">
        <v>44762</v>
      </c>
      <c r="I16" s="32" t="s">
        <v>330</v>
      </c>
      <c r="J16">
        <v>551</v>
      </c>
      <c r="K16">
        <v>618</v>
      </c>
      <c r="L16">
        <v>394</v>
      </c>
      <c r="M16">
        <v>312</v>
      </c>
      <c r="N16">
        <v>380</v>
      </c>
      <c r="O16">
        <v>356</v>
      </c>
      <c r="P16">
        <v>419</v>
      </c>
      <c r="Q16">
        <v>490</v>
      </c>
      <c r="R16">
        <v>393</v>
      </c>
      <c r="S16">
        <v>378</v>
      </c>
      <c r="T16">
        <v>363</v>
      </c>
      <c r="U16">
        <v>429</v>
      </c>
      <c r="V16" s="84">
        <f t="shared" si="0"/>
        <v>423.58333333333331</v>
      </c>
      <c r="W16" s="84">
        <f t="shared" si="1"/>
        <v>423.58333333333331</v>
      </c>
      <c r="X16">
        <v>712</v>
      </c>
      <c r="Y16">
        <v>552</v>
      </c>
      <c r="Z16">
        <v>351</v>
      </c>
      <c r="AA16">
        <v>383</v>
      </c>
      <c r="AB16">
        <v>751</v>
      </c>
      <c r="AC16">
        <v>894</v>
      </c>
      <c r="AD16">
        <v>535</v>
      </c>
      <c r="AE16">
        <v>484</v>
      </c>
      <c r="AF16">
        <v>467</v>
      </c>
      <c r="AG16">
        <v>453</v>
      </c>
      <c r="AH16">
        <v>388</v>
      </c>
      <c r="AI16">
        <v>556</v>
      </c>
      <c r="AJ16" s="84">
        <f t="shared" si="2"/>
        <v>543.83333333333337</v>
      </c>
      <c r="AK16" s="84">
        <f t="shared" si="3"/>
        <v>543.83333333333337</v>
      </c>
    </row>
    <row r="17" spans="1:38" x14ac:dyDescent="0.3">
      <c r="A17" s="86" t="s">
        <v>176</v>
      </c>
      <c r="B17" s="2"/>
      <c r="C17" s="8">
        <v>3142230001</v>
      </c>
      <c r="D17" s="86" t="s">
        <v>510</v>
      </c>
      <c r="E17" s="6" t="s">
        <v>8</v>
      </c>
      <c r="F17" s="6" t="s">
        <v>9</v>
      </c>
      <c r="G17" s="6" t="s">
        <v>69</v>
      </c>
      <c r="H17" s="32">
        <v>44762</v>
      </c>
      <c r="I17" s="32" t="s">
        <v>330</v>
      </c>
      <c r="J17">
        <v>1233</v>
      </c>
      <c r="K17">
        <v>1368</v>
      </c>
      <c r="L17">
        <v>1058</v>
      </c>
      <c r="M17">
        <v>643</v>
      </c>
      <c r="N17">
        <v>1055</v>
      </c>
      <c r="O17">
        <v>1412</v>
      </c>
      <c r="P17">
        <v>657</v>
      </c>
      <c r="Q17">
        <v>663</v>
      </c>
      <c r="R17">
        <v>765</v>
      </c>
      <c r="S17">
        <v>808</v>
      </c>
      <c r="T17">
        <v>1458</v>
      </c>
      <c r="U17">
        <v>1526</v>
      </c>
      <c r="V17" s="84">
        <f t="shared" si="0"/>
        <v>1053.8333333333333</v>
      </c>
      <c r="W17" s="84">
        <f t="shared" si="1"/>
        <v>1053.8333333333333</v>
      </c>
      <c r="X17">
        <v>1916</v>
      </c>
      <c r="Y17">
        <v>1636</v>
      </c>
      <c r="Z17">
        <v>1034</v>
      </c>
      <c r="AA17">
        <v>1232</v>
      </c>
      <c r="AB17">
        <v>1596</v>
      </c>
      <c r="AC17">
        <v>1966</v>
      </c>
      <c r="AD17">
        <v>1506</v>
      </c>
      <c r="AE17">
        <v>1304</v>
      </c>
      <c r="AF17">
        <v>814</v>
      </c>
      <c r="AG17">
        <v>1222</v>
      </c>
      <c r="AH17">
        <v>2312</v>
      </c>
      <c r="AI17">
        <v>2300</v>
      </c>
      <c r="AJ17" s="84">
        <f t="shared" si="2"/>
        <v>1569.8333333333333</v>
      </c>
      <c r="AK17" s="84">
        <f t="shared" si="3"/>
        <v>1569.8333333333333</v>
      </c>
    </row>
    <row r="18" spans="1:38" x14ac:dyDescent="0.3">
      <c r="A18" s="86" t="s">
        <v>176</v>
      </c>
      <c r="B18" s="2"/>
      <c r="C18" s="8">
        <v>3073267501</v>
      </c>
      <c r="D18" s="86" t="s">
        <v>511</v>
      </c>
      <c r="E18" s="6" t="s">
        <v>11</v>
      </c>
      <c r="F18" s="6" t="s">
        <v>9</v>
      </c>
      <c r="G18" s="6" t="s">
        <v>274</v>
      </c>
      <c r="H18" s="32">
        <v>44762</v>
      </c>
      <c r="I18" s="32" t="s">
        <v>330</v>
      </c>
      <c r="J18">
        <v>534</v>
      </c>
      <c r="K18">
        <v>296</v>
      </c>
      <c r="L18">
        <v>274</v>
      </c>
      <c r="M18">
        <v>293</v>
      </c>
      <c r="N18">
        <v>325</v>
      </c>
      <c r="O18">
        <v>295</v>
      </c>
      <c r="P18">
        <v>304</v>
      </c>
      <c r="Q18">
        <v>236</v>
      </c>
      <c r="R18">
        <v>270</v>
      </c>
      <c r="S18">
        <v>431</v>
      </c>
      <c r="T18">
        <v>518</v>
      </c>
      <c r="U18">
        <v>713</v>
      </c>
      <c r="V18" s="84">
        <f t="shared" si="0"/>
        <v>374.08333333333331</v>
      </c>
      <c r="W18" s="84">
        <f t="shared" si="1"/>
        <v>374.08333333333331</v>
      </c>
      <c r="X18">
        <v>418</v>
      </c>
      <c r="Y18">
        <v>310</v>
      </c>
      <c r="Z18">
        <v>346</v>
      </c>
      <c r="AA18">
        <v>397</v>
      </c>
      <c r="AB18">
        <v>411</v>
      </c>
      <c r="AC18">
        <v>355</v>
      </c>
      <c r="AD18">
        <v>332</v>
      </c>
      <c r="AE18">
        <v>340</v>
      </c>
      <c r="AF18">
        <v>362</v>
      </c>
      <c r="AG18">
        <v>259</v>
      </c>
      <c r="AH18">
        <v>377</v>
      </c>
      <c r="AI18">
        <v>464</v>
      </c>
      <c r="AJ18" s="84">
        <f t="shared" si="2"/>
        <v>364.25</v>
      </c>
      <c r="AK18" s="84">
        <f t="shared" si="3"/>
        <v>364.25</v>
      </c>
    </row>
    <row r="19" spans="1:38" x14ac:dyDescent="0.3">
      <c r="A19" s="103" t="s">
        <v>178</v>
      </c>
      <c r="B19" s="27"/>
      <c r="C19" s="26">
        <v>3141473001</v>
      </c>
      <c r="D19" s="103" t="s">
        <v>372</v>
      </c>
      <c r="E19" s="14" t="s">
        <v>8</v>
      </c>
      <c r="F19" s="14" t="s">
        <v>9</v>
      </c>
      <c r="G19" s="14" t="s">
        <v>180</v>
      </c>
      <c r="H19" s="32">
        <v>44763</v>
      </c>
      <c r="I19" s="32" t="s">
        <v>330</v>
      </c>
      <c r="J19">
        <v>848</v>
      </c>
      <c r="K19">
        <v>761</v>
      </c>
      <c r="L19">
        <v>615</v>
      </c>
      <c r="M19">
        <v>541</v>
      </c>
      <c r="N19">
        <v>569</v>
      </c>
      <c r="O19">
        <v>690</v>
      </c>
      <c r="P19">
        <v>498</v>
      </c>
      <c r="Q19">
        <v>472</v>
      </c>
      <c r="R19">
        <v>459</v>
      </c>
      <c r="S19">
        <v>531</v>
      </c>
      <c r="T19">
        <v>721</v>
      </c>
      <c r="U19">
        <v>972</v>
      </c>
      <c r="V19" s="84">
        <f t="shared" si="0"/>
        <v>639.75</v>
      </c>
      <c r="W19" s="84">
        <f t="shared" si="1"/>
        <v>639.75</v>
      </c>
      <c r="X19">
        <v>886</v>
      </c>
      <c r="Y19">
        <v>728</v>
      </c>
      <c r="Z19">
        <v>835</v>
      </c>
      <c r="AA19">
        <v>1022</v>
      </c>
      <c r="AB19">
        <v>1107</v>
      </c>
      <c r="AC19">
        <v>1469</v>
      </c>
      <c r="AD19">
        <v>1106</v>
      </c>
      <c r="AE19">
        <v>1096</v>
      </c>
      <c r="AF19">
        <v>991</v>
      </c>
      <c r="AG19">
        <v>710</v>
      </c>
      <c r="AH19">
        <v>641</v>
      </c>
      <c r="AI19">
        <v>772</v>
      </c>
      <c r="AJ19" s="84">
        <f t="shared" si="2"/>
        <v>946.91666666666663</v>
      </c>
      <c r="AK19" s="84">
        <f t="shared" si="3"/>
        <v>946.91666666666663</v>
      </c>
    </row>
    <row r="20" spans="1:38" x14ac:dyDescent="0.3">
      <c r="A20" s="86" t="s">
        <v>176</v>
      </c>
      <c r="B20" s="2"/>
      <c r="C20" s="8">
        <v>3040831500</v>
      </c>
      <c r="D20" s="86" t="s">
        <v>512</v>
      </c>
      <c r="E20" s="6" t="s">
        <v>11</v>
      </c>
      <c r="F20" s="6" t="s">
        <v>9</v>
      </c>
      <c r="G20" s="6" t="s">
        <v>279</v>
      </c>
      <c r="H20" s="32">
        <v>44765</v>
      </c>
      <c r="I20" s="32" t="s">
        <v>330</v>
      </c>
      <c r="J20">
        <v>893</v>
      </c>
      <c r="K20">
        <v>499</v>
      </c>
      <c r="L20">
        <v>380</v>
      </c>
      <c r="M20">
        <v>528</v>
      </c>
      <c r="N20">
        <v>566</v>
      </c>
      <c r="O20">
        <v>544</v>
      </c>
      <c r="P20">
        <v>951</v>
      </c>
      <c r="Q20">
        <v>524</v>
      </c>
      <c r="R20">
        <v>362</v>
      </c>
      <c r="S20">
        <v>438</v>
      </c>
      <c r="T20">
        <v>763</v>
      </c>
      <c r="U20">
        <v>1061</v>
      </c>
      <c r="V20" s="84">
        <f t="shared" si="0"/>
        <v>625.75</v>
      </c>
      <c r="W20" s="84">
        <f t="shared" si="1"/>
        <v>625.75</v>
      </c>
      <c r="X20">
        <v>776</v>
      </c>
      <c r="Y20">
        <v>328</v>
      </c>
      <c r="Z20">
        <v>520</v>
      </c>
      <c r="AA20">
        <v>447</v>
      </c>
      <c r="AB20">
        <v>508</v>
      </c>
      <c r="AC20">
        <v>434</v>
      </c>
      <c r="AD20">
        <v>456</v>
      </c>
      <c r="AE20">
        <v>336</v>
      </c>
      <c r="AF20">
        <v>346</v>
      </c>
      <c r="AG20">
        <v>432</v>
      </c>
      <c r="AH20">
        <v>759</v>
      </c>
      <c r="AI20">
        <v>860</v>
      </c>
      <c r="AJ20" s="84">
        <f t="shared" si="2"/>
        <v>516.83333333333337</v>
      </c>
      <c r="AK20" s="84">
        <f t="shared" si="3"/>
        <v>516.83333333333337</v>
      </c>
    </row>
    <row r="21" spans="1:38" x14ac:dyDescent="0.3">
      <c r="A21" s="86" t="s">
        <v>178</v>
      </c>
      <c r="B21" s="2"/>
      <c r="C21" s="8">
        <v>3160295501</v>
      </c>
      <c r="D21" s="86" t="s">
        <v>444</v>
      </c>
      <c r="E21" s="6" t="s">
        <v>14</v>
      </c>
      <c r="F21" s="6" t="s">
        <v>9</v>
      </c>
      <c r="G21" s="6" t="s">
        <v>276</v>
      </c>
      <c r="H21" s="32">
        <v>44775</v>
      </c>
      <c r="I21" s="32" t="s">
        <v>330</v>
      </c>
      <c r="J21">
        <v>1575</v>
      </c>
      <c r="K21">
        <v>1205</v>
      </c>
      <c r="L21">
        <v>1525</v>
      </c>
      <c r="M21">
        <v>687</v>
      </c>
      <c r="N21">
        <v>2138</v>
      </c>
      <c r="O21">
        <v>1340</v>
      </c>
      <c r="P21">
        <v>1267</v>
      </c>
      <c r="Q21">
        <v>1383</v>
      </c>
      <c r="R21">
        <v>1244</v>
      </c>
      <c r="S21">
        <v>1309</v>
      </c>
      <c r="T21">
        <v>1312</v>
      </c>
      <c r="U21">
        <v>1409</v>
      </c>
      <c r="V21" s="84">
        <f t="shared" si="0"/>
        <v>1366.1666666666667</v>
      </c>
      <c r="W21" s="84">
        <f t="shared" si="1"/>
        <v>1366.1666666666667</v>
      </c>
      <c r="X21">
        <v>1499</v>
      </c>
      <c r="Y21">
        <v>1741</v>
      </c>
      <c r="Z21">
        <v>1608</v>
      </c>
      <c r="AA21">
        <v>731</v>
      </c>
      <c r="AB21">
        <v>978</v>
      </c>
      <c r="AC21">
        <v>943</v>
      </c>
      <c r="AD21">
        <v>751</v>
      </c>
      <c r="AE21">
        <v>885</v>
      </c>
      <c r="AF21">
        <v>1458</v>
      </c>
      <c r="AG21">
        <v>1557</v>
      </c>
      <c r="AH21">
        <v>1835</v>
      </c>
      <c r="AI21">
        <v>1874</v>
      </c>
      <c r="AJ21" s="84">
        <f t="shared" si="2"/>
        <v>1321.6666666666667</v>
      </c>
      <c r="AK21" s="84">
        <f t="shared" si="3"/>
        <v>1321.6666666666667</v>
      </c>
    </row>
    <row r="22" spans="1:38" x14ac:dyDescent="0.3">
      <c r="A22" s="86" t="s">
        <v>176</v>
      </c>
      <c r="B22" s="2"/>
      <c r="C22" s="8">
        <v>3040355500</v>
      </c>
      <c r="D22" s="86" t="s">
        <v>513</v>
      </c>
      <c r="E22" s="6" t="s">
        <v>11</v>
      </c>
      <c r="F22" s="6" t="s">
        <v>9</v>
      </c>
      <c r="G22" s="6" t="s">
        <v>278</v>
      </c>
      <c r="H22" s="32">
        <v>44790</v>
      </c>
      <c r="I22" s="32" t="s">
        <v>330</v>
      </c>
      <c r="J22">
        <v>735</v>
      </c>
      <c r="K22">
        <v>776</v>
      </c>
      <c r="L22">
        <v>607</v>
      </c>
      <c r="M22">
        <v>567</v>
      </c>
      <c r="N22">
        <v>360</v>
      </c>
      <c r="O22">
        <v>281</v>
      </c>
      <c r="P22">
        <v>248</v>
      </c>
      <c r="Q22">
        <v>276</v>
      </c>
      <c r="R22">
        <v>399</v>
      </c>
      <c r="S22">
        <v>599</v>
      </c>
      <c r="T22">
        <v>625</v>
      </c>
      <c r="U22">
        <v>1025</v>
      </c>
      <c r="V22" s="84">
        <f t="shared" si="0"/>
        <v>541.5</v>
      </c>
      <c r="W22" s="84">
        <f t="shared" si="1"/>
        <v>541.5</v>
      </c>
      <c r="X22">
        <v>860</v>
      </c>
      <c r="Y22">
        <v>711</v>
      </c>
      <c r="Z22">
        <v>281</v>
      </c>
      <c r="AA22">
        <v>779</v>
      </c>
      <c r="AB22">
        <v>1233</v>
      </c>
      <c r="AC22">
        <v>797</v>
      </c>
      <c r="AD22">
        <v>702</v>
      </c>
      <c r="AE22">
        <v>570</v>
      </c>
      <c r="AF22">
        <v>541</v>
      </c>
      <c r="AG22">
        <v>415</v>
      </c>
      <c r="AH22">
        <v>695</v>
      </c>
      <c r="AI22">
        <v>796</v>
      </c>
      <c r="AJ22" s="84">
        <f t="shared" si="2"/>
        <v>698.33333333333337</v>
      </c>
      <c r="AK22" s="84">
        <f t="shared" si="3"/>
        <v>698.33333333333337</v>
      </c>
    </row>
    <row r="23" spans="1:38" x14ac:dyDescent="0.3">
      <c r="A23" s="103" t="s">
        <v>169</v>
      </c>
      <c r="B23" s="27"/>
      <c r="C23" s="26">
        <v>3010775007</v>
      </c>
      <c r="D23" s="103" t="s">
        <v>514</v>
      </c>
      <c r="E23" s="14" t="s">
        <v>11</v>
      </c>
      <c r="F23" s="14" t="s">
        <v>9</v>
      </c>
      <c r="G23" s="14" t="s">
        <v>181</v>
      </c>
      <c r="H23" s="32">
        <v>44791</v>
      </c>
      <c r="I23" s="32" t="s">
        <v>330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>
        <v>233</v>
      </c>
      <c r="Q23">
        <v>352</v>
      </c>
      <c r="R23">
        <v>310</v>
      </c>
      <c r="S23">
        <v>372</v>
      </c>
      <c r="T23">
        <v>379</v>
      </c>
      <c r="U23">
        <v>534</v>
      </c>
      <c r="V23" s="84">
        <f t="shared" si="0"/>
        <v>181.66666666666666</v>
      </c>
      <c r="W23" s="84">
        <f t="shared" si="1"/>
        <v>363.33333333333331</v>
      </c>
      <c r="X23">
        <v>516</v>
      </c>
      <c r="Y23">
        <v>401</v>
      </c>
      <c r="Z23">
        <v>516</v>
      </c>
      <c r="AA23">
        <v>971</v>
      </c>
      <c r="AB23">
        <v>1443</v>
      </c>
      <c r="AC23">
        <v>1575</v>
      </c>
      <c r="AD23">
        <v>1191</v>
      </c>
      <c r="AE23">
        <v>837</v>
      </c>
      <c r="AF23">
        <v>487</v>
      </c>
      <c r="AG23">
        <v>339</v>
      </c>
      <c r="AH23">
        <v>464</v>
      </c>
      <c r="AI23">
        <v>547</v>
      </c>
      <c r="AJ23" s="84">
        <f t="shared" si="2"/>
        <v>773.91666666666663</v>
      </c>
      <c r="AK23" s="84">
        <f t="shared" si="3"/>
        <v>773.91666666666663</v>
      </c>
    </row>
    <row r="24" spans="1:38" x14ac:dyDescent="0.3">
      <c r="A24" s="103" t="s">
        <v>171</v>
      </c>
      <c r="B24" s="27"/>
      <c r="C24" s="26">
        <v>3080988001</v>
      </c>
      <c r="D24" s="103" t="s">
        <v>515</v>
      </c>
      <c r="E24" s="14" t="s">
        <v>11</v>
      </c>
      <c r="F24" s="14" t="s">
        <v>9</v>
      </c>
      <c r="G24" s="14" t="s">
        <v>183</v>
      </c>
      <c r="H24" s="32">
        <v>44795</v>
      </c>
      <c r="I24" s="32" t="s">
        <v>330</v>
      </c>
      <c r="J24" s="73">
        <v>0</v>
      </c>
      <c r="K24" s="73">
        <v>0</v>
      </c>
      <c r="L24" s="73">
        <v>0</v>
      </c>
      <c r="M24">
        <v>1033</v>
      </c>
      <c r="N24">
        <v>1058</v>
      </c>
      <c r="O24">
        <v>408</v>
      </c>
      <c r="P24">
        <v>297</v>
      </c>
      <c r="Q24">
        <v>207</v>
      </c>
      <c r="R24">
        <v>231</v>
      </c>
      <c r="S24">
        <v>464</v>
      </c>
      <c r="T24">
        <v>609</v>
      </c>
      <c r="U24">
        <v>891</v>
      </c>
      <c r="V24" s="84">
        <f t="shared" si="0"/>
        <v>433.16666666666669</v>
      </c>
      <c r="W24" s="84">
        <f t="shared" si="1"/>
        <v>577.55555555555554</v>
      </c>
      <c r="X24">
        <v>361</v>
      </c>
      <c r="Y24">
        <v>397</v>
      </c>
      <c r="Z24">
        <v>470</v>
      </c>
      <c r="AA24">
        <v>1087</v>
      </c>
      <c r="AB24">
        <v>1450</v>
      </c>
      <c r="AC24">
        <v>1419</v>
      </c>
      <c r="AD24">
        <v>1354</v>
      </c>
      <c r="AE24">
        <v>885</v>
      </c>
      <c r="AF24">
        <v>551</v>
      </c>
      <c r="AG24">
        <v>530</v>
      </c>
      <c r="AH24">
        <v>792</v>
      </c>
      <c r="AI24">
        <v>747</v>
      </c>
      <c r="AJ24" s="84">
        <f t="shared" si="2"/>
        <v>836.91666666666663</v>
      </c>
      <c r="AK24" s="84">
        <f t="shared" si="3"/>
        <v>836.91666666666663</v>
      </c>
    </row>
    <row r="25" spans="1:38" x14ac:dyDescent="0.3">
      <c r="A25" s="103" t="s">
        <v>176</v>
      </c>
      <c r="B25" s="27"/>
      <c r="C25" s="26">
        <v>3150373501</v>
      </c>
      <c r="D25" s="103" t="s">
        <v>516</v>
      </c>
      <c r="E25" s="14" t="s">
        <v>8</v>
      </c>
      <c r="F25" s="14" t="s">
        <v>9</v>
      </c>
      <c r="G25" s="14" t="s">
        <v>187</v>
      </c>
      <c r="H25" s="32">
        <v>44799</v>
      </c>
      <c r="I25" s="32" t="s">
        <v>330</v>
      </c>
      <c r="J25">
        <v>763</v>
      </c>
      <c r="K25">
        <v>690</v>
      </c>
      <c r="L25">
        <v>400</v>
      </c>
      <c r="M25">
        <v>242</v>
      </c>
      <c r="N25">
        <v>294</v>
      </c>
      <c r="O25">
        <v>321</v>
      </c>
      <c r="P25">
        <v>317</v>
      </c>
      <c r="Q25">
        <v>303</v>
      </c>
      <c r="R25">
        <v>204</v>
      </c>
      <c r="S25">
        <v>314</v>
      </c>
      <c r="T25">
        <v>299</v>
      </c>
      <c r="U25">
        <v>356</v>
      </c>
      <c r="V25" s="84">
        <f t="shared" si="0"/>
        <v>375.25</v>
      </c>
      <c r="W25" s="84">
        <f t="shared" si="1"/>
        <v>375.25</v>
      </c>
      <c r="X25">
        <v>631</v>
      </c>
      <c r="Y25">
        <v>427</v>
      </c>
      <c r="Z25">
        <v>210</v>
      </c>
      <c r="AA25">
        <v>292</v>
      </c>
      <c r="AB25">
        <v>367</v>
      </c>
      <c r="AC25">
        <v>363</v>
      </c>
      <c r="AD25">
        <v>389</v>
      </c>
      <c r="AE25">
        <v>355</v>
      </c>
      <c r="AF25">
        <v>241</v>
      </c>
      <c r="AG25">
        <v>207</v>
      </c>
      <c r="AH25">
        <v>367</v>
      </c>
      <c r="AI25">
        <v>475</v>
      </c>
      <c r="AJ25" s="84">
        <f t="shared" si="2"/>
        <v>360.33333333333331</v>
      </c>
      <c r="AK25" s="84">
        <f t="shared" si="3"/>
        <v>360.33333333333331</v>
      </c>
    </row>
    <row r="26" spans="1:38" x14ac:dyDescent="0.3">
      <c r="A26" s="103" t="s">
        <v>175</v>
      </c>
      <c r="B26" s="27"/>
      <c r="C26" s="26">
        <v>3060910502</v>
      </c>
      <c r="D26" s="103" t="s">
        <v>517</v>
      </c>
      <c r="E26" s="14" t="s">
        <v>11</v>
      </c>
      <c r="F26" s="14" t="s">
        <v>9</v>
      </c>
      <c r="G26" s="14" t="s">
        <v>12</v>
      </c>
      <c r="H26" s="32">
        <v>44805</v>
      </c>
      <c r="I26" s="32" t="s">
        <v>330</v>
      </c>
      <c r="J26" s="73">
        <v>0</v>
      </c>
      <c r="K26" s="73">
        <v>0</v>
      </c>
      <c r="L26" s="73">
        <v>0</v>
      </c>
      <c r="M26">
        <v>224</v>
      </c>
      <c r="N26">
        <v>1200</v>
      </c>
      <c r="O26">
        <v>1148</v>
      </c>
      <c r="P26">
        <v>1228</v>
      </c>
      <c r="Q26">
        <v>826</v>
      </c>
      <c r="R26">
        <v>810</v>
      </c>
      <c r="S26">
        <v>904</v>
      </c>
      <c r="T26">
        <v>1128</v>
      </c>
      <c r="U26">
        <v>1178</v>
      </c>
      <c r="V26" s="84">
        <f t="shared" si="0"/>
        <v>720.5</v>
      </c>
      <c r="W26" s="84">
        <f t="shared" si="1"/>
        <v>960.66666666666663</v>
      </c>
      <c r="X26">
        <v>866</v>
      </c>
      <c r="Y26">
        <v>768</v>
      </c>
      <c r="Z26">
        <v>848</v>
      </c>
      <c r="AA26">
        <v>1748</v>
      </c>
      <c r="AB26">
        <v>2306</v>
      </c>
      <c r="AC26">
        <v>1612</v>
      </c>
      <c r="AD26">
        <v>1520</v>
      </c>
      <c r="AE26">
        <v>1210</v>
      </c>
      <c r="AF26">
        <v>856</v>
      </c>
      <c r="AG26">
        <v>750</v>
      </c>
      <c r="AH26">
        <v>1308</v>
      </c>
      <c r="AI26">
        <v>1500</v>
      </c>
      <c r="AJ26" s="84">
        <f t="shared" si="2"/>
        <v>1274.3333333333333</v>
      </c>
      <c r="AK26" s="84">
        <f t="shared" si="3"/>
        <v>1274.3333333333333</v>
      </c>
    </row>
    <row r="27" spans="1:38" x14ac:dyDescent="0.3">
      <c r="A27" s="103" t="s">
        <v>175</v>
      </c>
      <c r="B27" s="27"/>
      <c r="C27" s="26">
        <v>3060910502</v>
      </c>
      <c r="D27" s="103" t="s">
        <v>517</v>
      </c>
      <c r="E27" s="14" t="s">
        <v>11</v>
      </c>
      <c r="F27" s="14" t="s">
        <v>9</v>
      </c>
      <c r="G27" s="14" t="s">
        <v>12</v>
      </c>
      <c r="H27" s="32">
        <v>44805</v>
      </c>
      <c r="I27" s="32" t="s">
        <v>330</v>
      </c>
      <c r="J27" s="74">
        <v>0</v>
      </c>
      <c r="K27" s="74">
        <v>0</v>
      </c>
      <c r="L27" s="74">
        <v>0</v>
      </c>
      <c r="M27">
        <v>224</v>
      </c>
      <c r="N27">
        <v>1200</v>
      </c>
      <c r="O27">
        <v>1148</v>
      </c>
      <c r="P27">
        <v>1228</v>
      </c>
      <c r="Q27">
        <v>826</v>
      </c>
      <c r="R27">
        <v>810</v>
      </c>
      <c r="S27">
        <v>904</v>
      </c>
      <c r="T27">
        <v>1128</v>
      </c>
      <c r="U27">
        <v>1178</v>
      </c>
      <c r="V27" s="84">
        <f t="shared" si="0"/>
        <v>720.5</v>
      </c>
      <c r="W27" s="84">
        <f t="shared" si="1"/>
        <v>960.66666666666663</v>
      </c>
      <c r="X27">
        <v>866</v>
      </c>
      <c r="Y27">
        <v>768</v>
      </c>
      <c r="Z27">
        <v>848</v>
      </c>
      <c r="AA27">
        <v>1748</v>
      </c>
      <c r="AB27">
        <v>2306</v>
      </c>
      <c r="AC27">
        <v>1612</v>
      </c>
      <c r="AD27">
        <v>1520</v>
      </c>
      <c r="AE27">
        <v>1210</v>
      </c>
      <c r="AF27">
        <v>856</v>
      </c>
      <c r="AG27">
        <v>750</v>
      </c>
      <c r="AH27">
        <v>1308</v>
      </c>
      <c r="AI27">
        <v>1500</v>
      </c>
      <c r="AJ27" s="84">
        <f t="shared" si="2"/>
        <v>1274.3333333333333</v>
      </c>
      <c r="AK27" s="84">
        <f t="shared" si="3"/>
        <v>1274.3333333333333</v>
      </c>
    </row>
    <row r="28" spans="1:38" x14ac:dyDescent="0.3">
      <c r="A28" s="103" t="s">
        <v>175</v>
      </c>
      <c r="B28" s="27"/>
      <c r="C28" s="26">
        <v>3060910502</v>
      </c>
      <c r="D28" s="103" t="s">
        <v>517</v>
      </c>
      <c r="E28" s="14" t="s">
        <v>11</v>
      </c>
      <c r="F28" s="14" t="s">
        <v>9</v>
      </c>
      <c r="G28" s="14" t="s">
        <v>12</v>
      </c>
      <c r="H28" s="32">
        <v>44805</v>
      </c>
      <c r="I28" s="32" t="s">
        <v>330</v>
      </c>
      <c r="J28" s="74">
        <v>0</v>
      </c>
      <c r="K28" s="74">
        <v>0</v>
      </c>
      <c r="L28" s="74">
        <v>0</v>
      </c>
      <c r="M28">
        <v>224</v>
      </c>
      <c r="N28">
        <v>1200</v>
      </c>
      <c r="O28">
        <v>1148</v>
      </c>
      <c r="P28">
        <v>1228</v>
      </c>
      <c r="Q28">
        <v>826</v>
      </c>
      <c r="R28">
        <v>810</v>
      </c>
      <c r="S28">
        <v>904</v>
      </c>
      <c r="T28">
        <v>1128</v>
      </c>
      <c r="U28">
        <v>1178</v>
      </c>
      <c r="V28" s="84">
        <f t="shared" si="0"/>
        <v>720.5</v>
      </c>
      <c r="W28" s="84">
        <f t="shared" si="1"/>
        <v>960.66666666666663</v>
      </c>
      <c r="X28">
        <v>866</v>
      </c>
      <c r="Y28">
        <v>768</v>
      </c>
      <c r="Z28">
        <v>848</v>
      </c>
      <c r="AA28">
        <v>1748</v>
      </c>
      <c r="AB28">
        <v>2306</v>
      </c>
      <c r="AC28">
        <v>1612</v>
      </c>
      <c r="AD28">
        <v>1520</v>
      </c>
      <c r="AE28">
        <v>1210</v>
      </c>
      <c r="AF28">
        <v>856</v>
      </c>
      <c r="AG28">
        <v>750</v>
      </c>
      <c r="AH28">
        <v>1308</v>
      </c>
      <c r="AI28">
        <v>1500</v>
      </c>
      <c r="AJ28" s="84">
        <f t="shared" si="2"/>
        <v>1274.3333333333333</v>
      </c>
      <c r="AK28" s="84">
        <f t="shared" si="3"/>
        <v>1274.3333333333333</v>
      </c>
    </row>
    <row r="29" spans="1:38" x14ac:dyDescent="0.3">
      <c r="A29" s="103" t="s">
        <v>169</v>
      </c>
      <c r="B29" s="27"/>
      <c r="C29" s="26">
        <v>3140668001</v>
      </c>
      <c r="D29" s="103" t="s">
        <v>518</v>
      </c>
      <c r="E29" s="14" t="s">
        <v>8</v>
      </c>
      <c r="F29" s="14" t="s">
        <v>9</v>
      </c>
      <c r="G29" s="14" t="s">
        <v>182</v>
      </c>
      <c r="H29" s="32">
        <v>44805</v>
      </c>
      <c r="I29" s="32" t="s">
        <v>330</v>
      </c>
      <c r="J29">
        <v>866</v>
      </c>
      <c r="K29">
        <v>682</v>
      </c>
      <c r="L29">
        <v>433</v>
      </c>
      <c r="M29">
        <v>484</v>
      </c>
      <c r="N29">
        <v>749</v>
      </c>
      <c r="O29">
        <v>662</v>
      </c>
      <c r="P29">
        <v>509</v>
      </c>
      <c r="Q29">
        <v>433</v>
      </c>
      <c r="R29">
        <v>732</v>
      </c>
      <c r="S29">
        <v>946</v>
      </c>
      <c r="T29">
        <v>1395</v>
      </c>
      <c r="U29">
        <v>1271</v>
      </c>
      <c r="V29" s="84">
        <f t="shared" si="0"/>
        <v>763.5</v>
      </c>
      <c r="W29" s="84">
        <f t="shared" si="1"/>
        <v>763.5</v>
      </c>
      <c r="X29">
        <v>1008</v>
      </c>
      <c r="Y29">
        <v>707</v>
      </c>
      <c r="Z29">
        <v>768</v>
      </c>
      <c r="AA29">
        <v>922</v>
      </c>
      <c r="AB29">
        <v>1243</v>
      </c>
      <c r="AC29">
        <v>997</v>
      </c>
      <c r="AD29">
        <v>964</v>
      </c>
      <c r="AE29">
        <v>607</v>
      </c>
      <c r="AF29">
        <v>651</v>
      </c>
      <c r="AG29">
        <v>1079</v>
      </c>
      <c r="AH29">
        <v>1209</v>
      </c>
      <c r="AI29">
        <v>834</v>
      </c>
      <c r="AJ29" s="84">
        <f t="shared" si="2"/>
        <v>915.75</v>
      </c>
      <c r="AK29" s="84">
        <f t="shared" si="3"/>
        <v>915.75</v>
      </c>
    </row>
    <row r="30" spans="1:38" x14ac:dyDescent="0.3">
      <c r="A30" s="86" t="s">
        <v>171</v>
      </c>
      <c r="B30" s="2"/>
      <c r="C30" s="8">
        <v>3040554502</v>
      </c>
      <c r="D30" s="86" t="s">
        <v>513</v>
      </c>
      <c r="E30" s="6" t="s">
        <v>11</v>
      </c>
      <c r="F30" s="6" t="s">
        <v>9</v>
      </c>
      <c r="G30" s="6" t="s">
        <v>275</v>
      </c>
      <c r="H30" s="32">
        <v>44812</v>
      </c>
      <c r="I30" s="32" t="s">
        <v>330</v>
      </c>
      <c r="J30">
        <v>113</v>
      </c>
      <c r="K30">
        <v>365</v>
      </c>
      <c r="L30">
        <v>360</v>
      </c>
      <c r="M30">
        <v>300</v>
      </c>
      <c r="N30">
        <v>369</v>
      </c>
      <c r="O30">
        <v>340</v>
      </c>
      <c r="P30">
        <v>347</v>
      </c>
      <c r="Q30">
        <v>386</v>
      </c>
      <c r="R30">
        <v>349</v>
      </c>
      <c r="S30">
        <v>321</v>
      </c>
      <c r="T30">
        <v>375</v>
      </c>
      <c r="U30">
        <v>539</v>
      </c>
      <c r="V30" s="84">
        <f t="shared" si="0"/>
        <v>347</v>
      </c>
      <c r="W30" s="84">
        <f t="shared" si="1"/>
        <v>347</v>
      </c>
      <c r="X30">
        <v>425</v>
      </c>
      <c r="Y30">
        <v>364</v>
      </c>
      <c r="Z30">
        <v>480</v>
      </c>
      <c r="AA30">
        <v>440</v>
      </c>
      <c r="AB30">
        <v>1571</v>
      </c>
      <c r="AC30">
        <v>998</v>
      </c>
      <c r="AD30">
        <v>494</v>
      </c>
      <c r="AE30">
        <v>479</v>
      </c>
      <c r="AF30">
        <v>503</v>
      </c>
      <c r="AG30">
        <v>482</v>
      </c>
      <c r="AH30">
        <v>808</v>
      </c>
      <c r="AI30">
        <v>1704</v>
      </c>
      <c r="AJ30" s="84">
        <f t="shared" si="2"/>
        <v>729</v>
      </c>
      <c r="AK30" s="84">
        <f t="shared" si="3"/>
        <v>729</v>
      </c>
    </row>
    <row r="31" spans="1:38" x14ac:dyDescent="0.3">
      <c r="A31" s="103" t="s">
        <v>171</v>
      </c>
      <c r="B31" s="27"/>
      <c r="C31" s="26">
        <v>3092594505</v>
      </c>
      <c r="D31" s="103" t="s">
        <v>519</v>
      </c>
      <c r="E31" s="14" t="s">
        <v>11</v>
      </c>
      <c r="F31" s="14" t="s">
        <v>9</v>
      </c>
      <c r="G31" s="14" t="s">
        <v>186</v>
      </c>
      <c r="H31" s="32">
        <v>44819</v>
      </c>
      <c r="I31" s="32" t="s">
        <v>330</v>
      </c>
      <c r="J31">
        <v>41</v>
      </c>
      <c r="K31">
        <v>164</v>
      </c>
      <c r="L31">
        <v>205</v>
      </c>
      <c r="M31">
        <v>263</v>
      </c>
      <c r="N31">
        <v>242</v>
      </c>
      <c r="O31">
        <v>219</v>
      </c>
      <c r="P31">
        <v>207</v>
      </c>
      <c r="Q31">
        <v>189</v>
      </c>
      <c r="R31">
        <v>197</v>
      </c>
      <c r="S31">
        <v>255</v>
      </c>
      <c r="T31">
        <v>353</v>
      </c>
      <c r="U31">
        <v>228</v>
      </c>
      <c r="V31" s="84">
        <f t="shared" si="0"/>
        <v>213.58333333333334</v>
      </c>
      <c r="W31" s="84">
        <f t="shared" si="1"/>
        <v>213.58333333333334</v>
      </c>
      <c r="X31">
        <v>172</v>
      </c>
      <c r="Y31">
        <v>478</v>
      </c>
      <c r="Z31">
        <v>1096</v>
      </c>
      <c r="AA31">
        <v>1458</v>
      </c>
      <c r="AB31">
        <v>1493</v>
      </c>
      <c r="AC31">
        <v>1718</v>
      </c>
      <c r="AD31">
        <v>790</v>
      </c>
      <c r="AE31">
        <v>510</v>
      </c>
      <c r="AF31">
        <v>0</v>
      </c>
      <c r="AG31">
        <v>238</v>
      </c>
      <c r="AH31">
        <v>371</v>
      </c>
      <c r="AI31">
        <v>303</v>
      </c>
      <c r="AJ31" s="84">
        <f t="shared" si="2"/>
        <v>718.91666666666663</v>
      </c>
      <c r="AK31" s="84">
        <f t="shared" si="3"/>
        <v>784.27272727272725</v>
      </c>
    </row>
    <row r="32" spans="1:38" x14ac:dyDescent="0.3">
      <c r="A32" s="86" t="s">
        <v>167</v>
      </c>
      <c r="B32" s="3"/>
      <c r="C32" s="8">
        <v>3092125500</v>
      </c>
      <c r="D32" s="86" t="s">
        <v>520</v>
      </c>
      <c r="E32" s="6" t="s">
        <v>185</v>
      </c>
      <c r="F32" s="7"/>
      <c r="G32" s="6" t="s">
        <v>12</v>
      </c>
      <c r="H32" s="32">
        <v>44832</v>
      </c>
      <c r="I32" s="32" t="s">
        <v>330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R32" s="9">
        <v>0</v>
      </c>
      <c r="S32" s="9">
        <v>0</v>
      </c>
      <c r="T32" s="9">
        <v>0</v>
      </c>
      <c r="V32" s="84">
        <f t="shared" si="0"/>
        <v>0</v>
      </c>
      <c r="W32" s="84" t="e">
        <f t="shared" si="1"/>
        <v>#DIV/0!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84">
        <f t="shared" si="2"/>
        <v>0</v>
      </c>
      <c r="AK32" s="84" t="e">
        <f t="shared" si="3"/>
        <v>#DIV/0!</v>
      </c>
      <c r="AL32" s="9"/>
    </row>
    <row r="33" spans="1:37" s="30" customFormat="1" x14ac:dyDescent="0.3">
      <c r="A33" s="88" t="s">
        <v>176</v>
      </c>
      <c r="B33" s="2"/>
      <c r="C33" s="4">
        <v>3081629500</v>
      </c>
      <c r="D33" s="88" t="s">
        <v>521</v>
      </c>
      <c r="E33" s="2" t="s">
        <v>11</v>
      </c>
      <c r="F33" s="2" t="s">
        <v>9</v>
      </c>
      <c r="G33" s="2" t="s">
        <v>281</v>
      </c>
      <c r="H33" s="75">
        <v>44837</v>
      </c>
      <c r="I33" s="32" t="s">
        <v>330</v>
      </c>
      <c r="J33">
        <v>324</v>
      </c>
      <c r="K33">
        <v>529</v>
      </c>
      <c r="L33">
        <v>792</v>
      </c>
      <c r="M33">
        <v>628</v>
      </c>
      <c r="N33">
        <v>596</v>
      </c>
      <c r="O33">
        <v>556</v>
      </c>
      <c r="P33">
        <v>431</v>
      </c>
      <c r="Q33">
        <v>418</v>
      </c>
      <c r="R33">
        <v>313</v>
      </c>
      <c r="S33">
        <v>267</v>
      </c>
      <c r="T33">
        <v>391</v>
      </c>
      <c r="U33">
        <v>401</v>
      </c>
      <c r="V33" s="84">
        <f t="shared" si="0"/>
        <v>470.5</v>
      </c>
      <c r="W33" s="84">
        <f t="shared" si="1"/>
        <v>470.5</v>
      </c>
      <c r="X33">
        <v>544</v>
      </c>
      <c r="Y33">
        <v>506</v>
      </c>
      <c r="Z33">
        <v>499</v>
      </c>
      <c r="AA33">
        <v>674</v>
      </c>
      <c r="AB33">
        <v>748</v>
      </c>
      <c r="AC33">
        <v>846</v>
      </c>
      <c r="AD33">
        <v>748</v>
      </c>
      <c r="AE33">
        <v>653</v>
      </c>
      <c r="AF33">
        <v>382</v>
      </c>
      <c r="AG33">
        <v>359</v>
      </c>
      <c r="AH33">
        <v>302</v>
      </c>
      <c r="AI33">
        <v>348</v>
      </c>
      <c r="AJ33" s="84">
        <f t="shared" si="2"/>
        <v>550.75</v>
      </c>
      <c r="AK33" s="84">
        <f t="shared" si="3"/>
        <v>550.75</v>
      </c>
    </row>
    <row r="34" spans="1:37" x14ac:dyDescent="0.3">
      <c r="A34" s="86" t="s">
        <v>171</v>
      </c>
      <c r="B34" s="2"/>
      <c r="C34" s="8">
        <v>3091243507</v>
      </c>
      <c r="D34" s="86" t="s">
        <v>522</v>
      </c>
      <c r="E34" s="6" t="s">
        <v>11</v>
      </c>
      <c r="F34" s="6" t="s">
        <v>9</v>
      </c>
      <c r="G34" s="6" t="s">
        <v>12</v>
      </c>
      <c r="H34" s="32">
        <v>44881</v>
      </c>
      <c r="I34" s="32" t="s">
        <v>330</v>
      </c>
      <c r="J34">
        <v>388</v>
      </c>
      <c r="K34">
        <v>511</v>
      </c>
      <c r="L34">
        <v>581</v>
      </c>
      <c r="M34">
        <v>487</v>
      </c>
      <c r="N34">
        <v>387</v>
      </c>
      <c r="O34">
        <v>350</v>
      </c>
      <c r="P34">
        <v>288</v>
      </c>
      <c r="Q34">
        <v>17</v>
      </c>
      <c r="R34">
        <v>944</v>
      </c>
      <c r="S34">
        <v>976</v>
      </c>
      <c r="T34">
        <v>664</v>
      </c>
      <c r="U34">
        <v>160</v>
      </c>
      <c r="V34" s="84">
        <f t="shared" si="0"/>
        <v>479.41666666666669</v>
      </c>
      <c r="W34" s="84">
        <f t="shared" si="1"/>
        <v>479.41666666666669</v>
      </c>
      <c r="X34">
        <v>204</v>
      </c>
      <c r="Y34">
        <v>1998</v>
      </c>
      <c r="Z34">
        <v>3146</v>
      </c>
      <c r="AA34">
        <v>2742</v>
      </c>
      <c r="AB34">
        <v>2160</v>
      </c>
      <c r="AC34">
        <v>964</v>
      </c>
      <c r="AD34">
        <v>394</v>
      </c>
      <c r="AE34">
        <v>466</v>
      </c>
      <c r="AF34">
        <v>632</v>
      </c>
      <c r="AG34">
        <v>618</v>
      </c>
      <c r="AH34">
        <v>556</v>
      </c>
      <c r="AI34">
        <v>700</v>
      </c>
      <c r="AJ34" s="84">
        <f t="shared" si="2"/>
        <v>1215</v>
      </c>
      <c r="AK34" s="84">
        <f t="shared" si="3"/>
        <v>1215</v>
      </c>
    </row>
    <row r="35" spans="1:37" x14ac:dyDescent="0.3">
      <c r="A35" s="86" t="s">
        <v>169</v>
      </c>
      <c r="B35" s="2"/>
      <c r="C35" s="8">
        <v>3151222503</v>
      </c>
      <c r="D35" s="86" t="s">
        <v>523</v>
      </c>
      <c r="E35" s="6" t="s">
        <v>8</v>
      </c>
      <c r="F35" s="6" t="s">
        <v>9</v>
      </c>
      <c r="G35" s="6" t="s">
        <v>277</v>
      </c>
      <c r="H35" s="32">
        <v>44883</v>
      </c>
      <c r="I35" s="32" t="s">
        <v>330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>
        <v>303</v>
      </c>
      <c r="U35">
        <v>318</v>
      </c>
      <c r="V35" s="84">
        <f t="shared" si="0"/>
        <v>51.75</v>
      </c>
      <c r="W35" s="84">
        <f t="shared" si="1"/>
        <v>310.5</v>
      </c>
      <c r="X35">
        <v>772</v>
      </c>
      <c r="Y35">
        <v>869</v>
      </c>
      <c r="Z35">
        <v>1256</v>
      </c>
      <c r="AA35">
        <v>1161</v>
      </c>
      <c r="AB35">
        <v>1297</v>
      </c>
      <c r="AC35">
        <v>909</v>
      </c>
      <c r="AD35">
        <v>727</v>
      </c>
      <c r="AE35">
        <v>679</v>
      </c>
      <c r="AF35">
        <v>862</v>
      </c>
      <c r="AG35">
        <v>869</v>
      </c>
      <c r="AH35">
        <v>715</v>
      </c>
      <c r="AI35">
        <v>589</v>
      </c>
      <c r="AJ35" s="84">
        <f t="shared" si="2"/>
        <v>892.08333333333337</v>
      </c>
      <c r="AK35" s="84">
        <f t="shared" si="3"/>
        <v>892.08333333333337</v>
      </c>
    </row>
    <row r="36" spans="1:37" x14ac:dyDescent="0.3">
      <c r="A36" s="86" t="s">
        <v>176</v>
      </c>
      <c r="B36" s="2"/>
      <c r="C36" s="8">
        <v>3151280500</v>
      </c>
      <c r="D36" s="86" t="s">
        <v>501</v>
      </c>
      <c r="E36" s="6" t="s">
        <v>8</v>
      </c>
      <c r="F36" s="6" t="s">
        <v>9</v>
      </c>
      <c r="G36" s="6" t="s">
        <v>282</v>
      </c>
      <c r="H36" s="32">
        <v>44927</v>
      </c>
      <c r="I36" s="32" t="s">
        <v>330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84">
        <f t="shared" si="0"/>
        <v>0</v>
      </c>
      <c r="W36" s="84" t="e">
        <f t="shared" si="1"/>
        <v>#DIV/0!</v>
      </c>
      <c r="X36">
        <v>301</v>
      </c>
      <c r="Y36">
        <v>308</v>
      </c>
      <c r="Z36">
        <v>310</v>
      </c>
      <c r="AA36">
        <v>574</v>
      </c>
      <c r="AB36">
        <v>445</v>
      </c>
      <c r="AC36">
        <v>332</v>
      </c>
      <c r="AD36">
        <v>380</v>
      </c>
      <c r="AE36">
        <v>450</v>
      </c>
      <c r="AF36">
        <v>344</v>
      </c>
      <c r="AG36">
        <v>369</v>
      </c>
      <c r="AH36">
        <v>545</v>
      </c>
      <c r="AI36">
        <v>569</v>
      </c>
      <c r="AJ36" s="84">
        <f t="shared" si="2"/>
        <v>410.58333333333331</v>
      </c>
      <c r="AK36" s="84">
        <f t="shared" si="3"/>
        <v>410.58333333333331</v>
      </c>
    </row>
    <row r="37" spans="1:37" x14ac:dyDescent="0.3">
      <c r="A37" s="86" t="s">
        <v>283</v>
      </c>
      <c r="B37" s="2"/>
      <c r="C37" s="8">
        <v>3120741500</v>
      </c>
      <c r="D37" s="86" t="s">
        <v>366</v>
      </c>
      <c r="E37" s="6" t="s">
        <v>16</v>
      </c>
      <c r="F37" s="6" t="s">
        <v>9</v>
      </c>
      <c r="G37" s="6" t="s">
        <v>284</v>
      </c>
      <c r="H37" s="32">
        <v>44928</v>
      </c>
      <c r="I37" s="32" t="s">
        <v>330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84">
        <f t="shared" si="0"/>
        <v>0</v>
      </c>
      <c r="W37" s="84" t="e">
        <f t="shared" si="1"/>
        <v>#DIV/0!</v>
      </c>
      <c r="X37">
        <v>803</v>
      </c>
      <c r="Y37">
        <v>775</v>
      </c>
      <c r="Z37">
        <v>590</v>
      </c>
      <c r="AA37">
        <v>734</v>
      </c>
      <c r="AB37">
        <v>651</v>
      </c>
      <c r="AC37">
        <v>926</v>
      </c>
      <c r="AD37">
        <v>694</v>
      </c>
      <c r="AE37">
        <v>789</v>
      </c>
      <c r="AF37">
        <v>639</v>
      </c>
      <c r="AG37">
        <v>744</v>
      </c>
      <c r="AH37">
        <v>512</v>
      </c>
      <c r="AI37">
        <v>630</v>
      </c>
      <c r="AJ37" s="84">
        <f t="shared" si="2"/>
        <v>707.25</v>
      </c>
      <c r="AK37" s="84">
        <f t="shared" si="3"/>
        <v>707.25</v>
      </c>
    </row>
    <row r="38" spans="1:37" x14ac:dyDescent="0.3">
      <c r="A38" s="86" t="s">
        <v>283</v>
      </c>
      <c r="B38" s="2"/>
      <c r="C38" s="8">
        <v>3031650505</v>
      </c>
      <c r="D38" s="86" t="s">
        <v>524</v>
      </c>
      <c r="E38" s="6" t="s">
        <v>11</v>
      </c>
      <c r="F38" s="6" t="s">
        <v>9</v>
      </c>
      <c r="G38" s="6" t="s">
        <v>289</v>
      </c>
      <c r="H38" s="32">
        <v>44929</v>
      </c>
      <c r="I38" s="32" t="s">
        <v>330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84">
        <f t="shared" si="0"/>
        <v>0</v>
      </c>
      <c r="W38" s="84" t="e">
        <f t="shared" si="1"/>
        <v>#DIV/0!</v>
      </c>
      <c r="X38">
        <v>145</v>
      </c>
      <c r="Y38">
        <v>132</v>
      </c>
      <c r="Z38">
        <v>138</v>
      </c>
      <c r="AA38">
        <v>119</v>
      </c>
      <c r="AB38">
        <v>145</v>
      </c>
      <c r="AC38">
        <v>169</v>
      </c>
      <c r="AD38">
        <v>178</v>
      </c>
      <c r="AE38">
        <v>388</v>
      </c>
      <c r="AF38">
        <v>339</v>
      </c>
      <c r="AG38">
        <v>367</v>
      </c>
      <c r="AH38">
        <v>385</v>
      </c>
      <c r="AI38">
        <v>706</v>
      </c>
      <c r="AJ38" s="84">
        <f t="shared" si="2"/>
        <v>267.58333333333331</v>
      </c>
      <c r="AK38" s="84">
        <f t="shared" si="3"/>
        <v>267.58333333333331</v>
      </c>
    </row>
    <row r="39" spans="1:37" x14ac:dyDescent="0.3">
      <c r="A39" s="86" t="s">
        <v>176</v>
      </c>
      <c r="B39" s="2"/>
      <c r="C39" s="8">
        <v>3080816500</v>
      </c>
      <c r="D39" s="86" t="s">
        <v>465</v>
      </c>
      <c r="E39" s="6" t="s">
        <v>11</v>
      </c>
      <c r="F39" s="6" t="s">
        <v>9</v>
      </c>
      <c r="G39" s="6" t="s">
        <v>290</v>
      </c>
      <c r="H39" s="32">
        <v>44929</v>
      </c>
      <c r="I39" s="32" t="s">
        <v>330</v>
      </c>
      <c r="J39" s="11">
        <v>0</v>
      </c>
      <c r="K39" s="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84">
        <f t="shared" si="0"/>
        <v>0</v>
      </c>
      <c r="W39" s="84" t="e">
        <f t="shared" si="1"/>
        <v>#DIV/0!</v>
      </c>
      <c r="X39">
        <v>392</v>
      </c>
      <c r="Y39">
        <v>331</v>
      </c>
      <c r="Z39">
        <v>328</v>
      </c>
      <c r="AA39">
        <v>303</v>
      </c>
      <c r="AB39">
        <v>351</v>
      </c>
      <c r="AC39">
        <v>513</v>
      </c>
      <c r="AD39">
        <v>737</v>
      </c>
      <c r="AE39">
        <v>807</v>
      </c>
      <c r="AF39">
        <v>690</v>
      </c>
      <c r="AG39">
        <v>461</v>
      </c>
      <c r="AH39">
        <v>488</v>
      </c>
      <c r="AI39">
        <v>864</v>
      </c>
      <c r="AJ39" s="84">
        <f t="shared" si="2"/>
        <v>522.08333333333337</v>
      </c>
      <c r="AK39" s="84">
        <f t="shared" si="3"/>
        <v>522.08333333333337</v>
      </c>
    </row>
    <row r="40" spans="1:37" x14ac:dyDescent="0.3">
      <c r="A40" s="86" t="s">
        <v>176</v>
      </c>
      <c r="B40" s="2"/>
      <c r="C40" s="8">
        <v>3091672502</v>
      </c>
      <c r="D40" s="86" t="s">
        <v>525</v>
      </c>
      <c r="E40" s="6" t="s">
        <v>11</v>
      </c>
      <c r="F40" s="6" t="s">
        <v>9</v>
      </c>
      <c r="G40" s="6" t="s">
        <v>291</v>
      </c>
      <c r="H40" s="32">
        <v>44929</v>
      </c>
      <c r="I40" s="32" t="s">
        <v>330</v>
      </c>
      <c r="J40" s="11">
        <v>0</v>
      </c>
      <c r="K40" s="11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84">
        <f t="shared" si="0"/>
        <v>0</v>
      </c>
      <c r="W40" s="84" t="e">
        <f t="shared" si="1"/>
        <v>#DIV/0!</v>
      </c>
      <c r="X40">
        <v>327</v>
      </c>
      <c r="Y40">
        <v>256</v>
      </c>
      <c r="Z40">
        <v>253</v>
      </c>
      <c r="AA40">
        <v>260</v>
      </c>
      <c r="AB40">
        <v>222</v>
      </c>
      <c r="AC40">
        <v>245</v>
      </c>
      <c r="AD40">
        <v>385</v>
      </c>
      <c r="AE40">
        <v>605</v>
      </c>
      <c r="AF40">
        <v>338</v>
      </c>
      <c r="AG40">
        <v>202</v>
      </c>
      <c r="AH40">
        <v>199</v>
      </c>
      <c r="AI40">
        <v>257</v>
      </c>
      <c r="AJ40" s="84">
        <f t="shared" si="2"/>
        <v>295.75</v>
      </c>
      <c r="AK40" s="84">
        <f t="shared" si="3"/>
        <v>295.75</v>
      </c>
    </row>
    <row r="41" spans="1:37" x14ac:dyDescent="0.3">
      <c r="A41" s="86" t="s">
        <v>178</v>
      </c>
      <c r="B41" s="2"/>
      <c r="C41" s="8">
        <v>3150396501</v>
      </c>
      <c r="D41" s="86" t="s">
        <v>444</v>
      </c>
      <c r="E41" s="6" t="s">
        <v>8</v>
      </c>
      <c r="F41" s="6" t="s">
        <v>9</v>
      </c>
      <c r="G41" s="6" t="s">
        <v>285</v>
      </c>
      <c r="H41" s="32">
        <v>44936</v>
      </c>
      <c r="I41" s="32" t="s">
        <v>330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84">
        <f t="shared" si="0"/>
        <v>0</v>
      </c>
      <c r="W41" s="84" t="e">
        <f t="shared" si="1"/>
        <v>#DIV/0!</v>
      </c>
      <c r="X41">
        <v>363</v>
      </c>
      <c r="Y41">
        <v>420</v>
      </c>
      <c r="Z41">
        <v>326</v>
      </c>
      <c r="AA41">
        <v>248</v>
      </c>
      <c r="AB41">
        <v>268</v>
      </c>
      <c r="AC41">
        <v>389</v>
      </c>
      <c r="AD41">
        <v>561</v>
      </c>
      <c r="AE41">
        <v>556</v>
      </c>
      <c r="AF41">
        <v>277</v>
      </c>
      <c r="AG41">
        <v>207</v>
      </c>
      <c r="AH41">
        <v>411</v>
      </c>
      <c r="AI41">
        <v>652</v>
      </c>
      <c r="AJ41" s="84">
        <f t="shared" si="2"/>
        <v>389.83333333333331</v>
      </c>
      <c r="AK41" s="84">
        <f t="shared" si="3"/>
        <v>389.83333333333331</v>
      </c>
    </row>
    <row r="42" spans="1:37" x14ac:dyDescent="0.3">
      <c r="A42" s="86" t="s">
        <v>294</v>
      </c>
      <c r="B42" s="2"/>
      <c r="C42" s="8">
        <v>3050238502</v>
      </c>
      <c r="D42" s="86" t="s">
        <v>479</v>
      </c>
      <c r="E42" s="6" t="s">
        <v>11</v>
      </c>
      <c r="F42" s="6" t="s">
        <v>9</v>
      </c>
      <c r="G42" s="6" t="s">
        <v>12</v>
      </c>
      <c r="H42" s="32">
        <v>44971</v>
      </c>
      <c r="I42" s="32" t="s">
        <v>329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84">
        <f t="shared" si="0"/>
        <v>0</v>
      </c>
      <c r="W42" s="84" t="e">
        <f t="shared" si="1"/>
        <v>#DIV/0!</v>
      </c>
      <c r="X42">
        <v>671</v>
      </c>
      <c r="Y42">
        <v>815</v>
      </c>
      <c r="Z42">
        <v>1226</v>
      </c>
      <c r="AA42">
        <v>810</v>
      </c>
      <c r="AB42">
        <v>1212</v>
      </c>
      <c r="AC42">
        <v>1260</v>
      </c>
      <c r="AD42">
        <v>2768</v>
      </c>
      <c r="AE42">
        <v>1792</v>
      </c>
      <c r="AF42">
        <v>1100</v>
      </c>
      <c r="AG42">
        <v>1012</v>
      </c>
      <c r="AH42">
        <v>1092</v>
      </c>
      <c r="AI42">
        <v>1320</v>
      </c>
      <c r="AJ42" s="84">
        <f t="shared" si="2"/>
        <v>1256.5</v>
      </c>
      <c r="AK42" s="84">
        <f t="shared" si="3"/>
        <v>1256.5</v>
      </c>
    </row>
    <row r="43" spans="1:37" x14ac:dyDescent="0.3">
      <c r="A43" s="98" t="s">
        <v>176</v>
      </c>
      <c r="B43" s="29"/>
      <c r="C43" s="22">
        <v>3011838503</v>
      </c>
      <c r="D43" s="98" t="s">
        <v>526</v>
      </c>
      <c r="E43" s="18" t="s">
        <v>11</v>
      </c>
      <c r="F43" s="18" t="s">
        <v>9</v>
      </c>
      <c r="G43" s="18" t="s">
        <v>293</v>
      </c>
      <c r="H43" s="32">
        <v>44974</v>
      </c>
      <c r="I43" s="32" t="s">
        <v>330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84">
        <f t="shared" si="0"/>
        <v>0</v>
      </c>
      <c r="W43" s="84" t="e">
        <f t="shared" si="1"/>
        <v>#DIV/0!</v>
      </c>
      <c r="X43">
        <v>2243</v>
      </c>
      <c r="Y43">
        <v>1449</v>
      </c>
      <c r="Z43">
        <v>808</v>
      </c>
      <c r="AA43">
        <v>650</v>
      </c>
      <c r="AB43">
        <v>439</v>
      </c>
      <c r="AC43">
        <v>409</v>
      </c>
      <c r="AD43">
        <v>621</v>
      </c>
      <c r="AE43">
        <v>386</v>
      </c>
      <c r="AF43">
        <v>293</v>
      </c>
      <c r="AG43">
        <v>379</v>
      </c>
      <c r="AH43">
        <v>488</v>
      </c>
      <c r="AI43">
        <v>566</v>
      </c>
      <c r="AJ43" s="84">
        <f t="shared" si="2"/>
        <v>727.58333333333337</v>
      </c>
      <c r="AK43" s="84">
        <f t="shared" si="3"/>
        <v>727.58333333333337</v>
      </c>
    </row>
    <row r="44" spans="1:37" x14ac:dyDescent="0.3">
      <c r="A44" s="86" t="s">
        <v>286</v>
      </c>
      <c r="B44" s="2"/>
      <c r="C44" s="8">
        <v>3050372503</v>
      </c>
      <c r="D44" s="86" t="s">
        <v>527</v>
      </c>
      <c r="E44" s="6" t="s">
        <v>11</v>
      </c>
      <c r="F44" s="6" t="s">
        <v>9</v>
      </c>
      <c r="G44" s="6" t="s">
        <v>287</v>
      </c>
      <c r="H44" s="32">
        <v>44990</v>
      </c>
      <c r="I44" s="32" t="s">
        <v>330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84">
        <f t="shared" si="0"/>
        <v>0</v>
      </c>
      <c r="W44" s="84" t="e">
        <f t="shared" si="1"/>
        <v>#DIV/0!</v>
      </c>
      <c r="X44">
        <v>457</v>
      </c>
      <c r="Y44">
        <v>355</v>
      </c>
      <c r="Z44">
        <v>310</v>
      </c>
      <c r="AA44">
        <v>355</v>
      </c>
      <c r="AB44">
        <v>424</v>
      </c>
      <c r="AC44">
        <v>736</v>
      </c>
      <c r="AD44">
        <v>521</v>
      </c>
      <c r="AE44">
        <v>537</v>
      </c>
      <c r="AF44">
        <v>518</v>
      </c>
      <c r="AG44">
        <v>468</v>
      </c>
      <c r="AH44">
        <v>537</v>
      </c>
      <c r="AI44">
        <v>510</v>
      </c>
      <c r="AJ44" s="84">
        <f t="shared" si="2"/>
        <v>477.33333333333331</v>
      </c>
      <c r="AK44" s="84">
        <f t="shared" si="3"/>
        <v>477.33333333333331</v>
      </c>
    </row>
    <row r="45" spans="1:37" x14ac:dyDescent="0.3">
      <c r="A45" s="86" t="s">
        <v>176</v>
      </c>
      <c r="B45" s="2"/>
      <c r="C45" s="8">
        <v>3160198500</v>
      </c>
      <c r="D45" s="86" t="s">
        <v>505</v>
      </c>
      <c r="E45" s="6" t="s">
        <v>14</v>
      </c>
      <c r="F45" s="6" t="s">
        <v>9</v>
      </c>
      <c r="G45" s="6" t="s">
        <v>288</v>
      </c>
      <c r="H45" s="32">
        <v>45026</v>
      </c>
      <c r="I45" s="32" t="s">
        <v>330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84">
        <f t="shared" si="0"/>
        <v>0</v>
      </c>
      <c r="W45" s="84" t="e">
        <f t="shared" si="1"/>
        <v>#DIV/0!</v>
      </c>
      <c r="X45">
        <v>1677</v>
      </c>
      <c r="Y45">
        <v>1421</v>
      </c>
      <c r="Z45">
        <v>1144</v>
      </c>
      <c r="AA45">
        <v>1154</v>
      </c>
      <c r="AB45">
        <v>1251</v>
      </c>
      <c r="AC45">
        <v>1042</v>
      </c>
      <c r="AD45">
        <v>1385</v>
      </c>
      <c r="AE45">
        <v>1700</v>
      </c>
      <c r="AF45">
        <v>1678</v>
      </c>
      <c r="AG45">
        <v>1000</v>
      </c>
      <c r="AH45">
        <v>1011</v>
      </c>
      <c r="AI45">
        <v>881</v>
      </c>
      <c r="AJ45" s="84">
        <f t="shared" si="2"/>
        <v>1278.6666666666667</v>
      </c>
      <c r="AK45" s="84">
        <f t="shared" si="3"/>
        <v>1278.6666666666667</v>
      </c>
    </row>
    <row r="46" spans="1:37" x14ac:dyDescent="0.3">
      <c r="A46" s="86" t="s">
        <v>283</v>
      </c>
      <c r="B46" s="2"/>
      <c r="C46" s="8">
        <v>3021572500</v>
      </c>
      <c r="D46" s="86" t="s">
        <v>528</v>
      </c>
      <c r="E46" s="6" t="s">
        <v>11</v>
      </c>
      <c r="F46" s="6" t="s">
        <v>9</v>
      </c>
      <c r="G46" s="6" t="s">
        <v>12</v>
      </c>
      <c r="H46" s="32">
        <v>45030</v>
      </c>
      <c r="I46" s="32" t="s">
        <v>330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84">
        <f t="shared" si="0"/>
        <v>0</v>
      </c>
      <c r="W46" s="84" t="e">
        <f t="shared" si="1"/>
        <v>#DIV/0!</v>
      </c>
      <c r="X46">
        <v>574</v>
      </c>
      <c r="Y46">
        <v>390</v>
      </c>
      <c r="Z46">
        <v>482</v>
      </c>
      <c r="AA46">
        <v>848</v>
      </c>
      <c r="AB46">
        <v>1050</v>
      </c>
      <c r="AC46">
        <v>1010</v>
      </c>
      <c r="AD46">
        <v>770</v>
      </c>
      <c r="AE46">
        <v>670</v>
      </c>
      <c r="AF46">
        <v>688</v>
      </c>
      <c r="AG46">
        <v>810</v>
      </c>
      <c r="AH46">
        <v>820</v>
      </c>
      <c r="AI46">
        <v>678</v>
      </c>
      <c r="AJ46" s="84">
        <f t="shared" si="2"/>
        <v>732.5</v>
      </c>
      <c r="AK46" s="84">
        <f t="shared" si="3"/>
        <v>732.5</v>
      </c>
    </row>
    <row r="47" spans="1:37" x14ac:dyDescent="0.3">
      <c r="A47" s="86" t="s">
        <v>295</v>
      </c>
      <c r="B47" s="2"/>
      <c r="C47" s="8">
        <v>3020201500</v>
      </c>
      <c r="D47" s="86" t="s">
        <v>529</v>
      </c>
      <c r="E47" s="6" t="s">
        <v>11</v>
      </c>
      <c r="F47" s="6" t="s">
        <v>9</v>
      </c>
      <c r="G47" s="6" t="s">
        <v>296</v>
      </c>
      <c r="H47" s="32">
        <v>45047</v>
      </c>
      <c r="I47" s="32" t="s">
        <v>329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84">
        <f t="shared" si="0"/>
        <v>0</v>
      </c>
      <c r="W47" s="84" t="e">
        <f t="shared" si="1"/>
        <v>#DIV/0!</v>
      </c>
      <c r="X47">
        <v>283</v>
      </c>
      <c r="Y47">
        <v>273</v>
      </c>
      <c r="Z47">
        <v>308</v>
      </c>
      <c r="AA47">
        <v>475</v>
      </c>
      <c r="AB47">
        <v>294</v>
      </c>
      <c r="AC47">
        <v>169</v>
      </c>
      <c r="AD47">
        <v>166</v>
      </c>
      <c r="AE47">
        <v>290</v>
      </c>
      <c r="AF47">
        <v>297</v>
      </c>
      <c r="AG47">
        <v>286</v>
      </c>
      <c r="AH47">
        <v>273</v>
      </c>
      <c r="AI47">
        <v>255</v>
      </c>
      <c r="AJ47" s="84">
        <f t="shared" si="2"/>
        <v>280.75</v>
      </c>
      <c r="AK47" s="84">
        <f t="shared" si="3"/>
        <v>280.75</v>
      </c>
    </row>
    <row r="48" spans="1:37" x14ac:dyDescent="0.3">
      <c r="A48" s="86" t="s">
        <v>283</v>
      </c>
      <c r="B48" s="2"/>
      <c r="C48" s="8">
        <v>3073269501</v>
      </c>
      <c r="D48" s="86" t="s">
        <v>511</v>
      </c>
      <c r="E48" s="6" t="s">
        <v>11</v>
      </c>
      <c r="F48" s="6" t="s">
        <v>9</v>
      </c>
      <c r="G48" s="6" t="s">
        <v>12</v>
      </c>
      <c r="H48" s="32">
        <v>45057</v>
      </c>
      <c r="I48" s="32" t="s">
        <v>330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84">
        <f t="shared" si="0"/>
        <v>0</v>
      </c>
      <c r="W48" s="84" t="e">
        <f t="shared" si="1"/>
        <v>#DIV/0!</v>
      </c>
      <c r="X48">
        <v>266</v>
      </c>
      <c r="Y48">
        <v>480</v>
      </c>
      <c r="Z48">
        <v>526</v>
      </c>
      <c r="AA48">
        <v>784</v>
      </c>
      <c r="AB48">
        <v>485</v>
      </c>
      <c r="AC48">
        <v>287</v>
      </c>
      <c r="AD48">
        <v>279</v>
      </c>
      <c r="AE48">
        <v>347</v>
      </c>
      <c r="AF48">
        <v>322</v>
      </c>
      <c r="AG48">
        <v>338</v>
      </c>
      <c r="AH48">
        <v>281</v>
      </c>
      <c r="AI48">
        <v>263</v>
      </c>
      <c r="AJ48" s="84">
        <f t="shared" si="2"/>
        <v>388.16666666666669</v>
      </c>
      <c r="AK48" s="84">
        <f t="shared" si="3"/>
        <v>388.16666666666669</v>
      </c>
    </row>
    <row r="49" spans="1:37" x14ac:dyDescent="0.3">
      <c r="A49" s="86" t="s">
        <v>178</v>
      </c>
      <c r="B49" s="2"/>
      <c r="C49" s="8">
        <v>3140482500</v>
      </c>
      <c r="D49" s="86" t="s">
        <v>447</v>
      </c>
      <c r="E49" s="6" t="s">
        <v>8</v>
      </c>
      <c r="F49" s="6" t="s">
        <v>9</v>
      </c>
      <c r="G49" s="6" t="s">
        <v>292</v>
      </c>
      <c r="H49" s="32">
        <v>45082</v>
      </c>
      <c r="I49" s="32" t="s">
        <v>330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84">
        <f t="shared" si="0"/>
        <v>0</v>
      </c>
      <c r="W49" s="84" t="e">
        <f t="shared" si="1"/>
        <v>#DIV/0!</v>
      </c>
      <c r="X49">
        <v>1434</v>
      </c>
      <c r="Y49">
        <v>2159</v>
      </c>
      <c r="Z49">
        <v>2123</v>
      </c>
      <c r="AA49">
        <v>1710</v>
      </c>
      <c r="AB49">
        <v>1186</v>
      </c>
      <c r="AC49">
        <v>1195</v>
      </c>
      <c r="AD49">
        <v>1456</v>
      </c>
      <c r="AE49">
        <v>1605</v>
      </c>
      <c r="AF49">
        <v>1352</v>
      </c>
      <c r="AG49">
        <v>1488</v>
      </c>
      <c r="AH49">
        <v>1483</v>
      </c>
      <c r="AI49">
        <v>1355</v>
      </c>
      <c r="AJ49" s="84">
        <f t="shared" si="2"/>
        <v>1545.5</v>
      </c>
      <c r="AK49" s="84">
        <f t="shared" si="3"/>
        <v>1545.5</v>
      </c>
    </row>
    <row r="50" spans="1:37" x14ac:dyDescent="0.3">
      <c r="A50" s="98" t="s">
        <v>294</v>
      </c>
      <c r="B50" s="29"/>
      <c r="C50" s="22">
        <v>3030830500</v>
      </c>
      <c r="D50" s="98" t="s">
        <v>530</v>
      </c>
      <c r="E50" s="18" t="s">
        <v>11</v>
      </c>
      <c r="F50" s="18" t="s">
        <v>9</v>
      </c>
      <c r="G50" s="18" t="s">
        <v>297</v>
      </c>
      <c r="H50" s="32">
        <v>45170</v>
      </c>
      <c r="I50" s="32" t="s">
        <v>329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84">
        <f t="shared" si="0"/>
        <v>0</v>
      </c>
      <c r="W50" s="84" t="e">
        <f t="shared" si="1"/>
        <v>#DIV/0!</v>
      </c>
      <c r="X50">
        <v>815</v>
      </c>
      <c r="Y50">
        <v>948</v>
      </c>
      <c r="Z50">
        <v>690</v>
      </c>
      <c r="AA50">
        <v>725</v>
      </c>
      <c r="AB50">
        <v>605</v>
      </c>
      <c r="AC50">
        <v>570</v>
      </c>
      <c r="AD50">
        <v>563</v>
      </c>
      <c r="AE50">
        <v>574</v>
      </c>
      <c r="AF50">
        <v>890</v>
      </c>
      <c r="AG50">
        <v>1036</v>
      </c>
      <c r="AH50">
        <v>1031</v>
      </c>
      <c r="AI50">
        <v>849</v>
      </c>
      <c r="AJ50" s="84">
        <f t="shared" si="2"/>
        <v>774.66666666666663</v>
      </c>
      <c r="AK50" s="84">
        <f t="shared" si="3"/>
        <v>774.66666666666663</v>
      </c>
    </row>
    <row r="51" spans="1:37" x14ac:dyDescent="0.3">
      <c r="A51" s="86" t="s">
        <v>175</v>
      </c>
      <c r="B51" s="2"/>
      <c r="C51" s="8">
        <v>3041699503</v>
      </c>
      <c r="D51" s="86" t="s">
        <v>531</v>
      </c>
      <c r="E51" s="6" t="s">
        <v>11</v>
      </c>
      <c r="F51" s="6" t="s">
        <v>9</v>
      </c>
      <c r="G51" s="6" t="s">
        <v>12</v>
      </c>
      <c r="H51" s="32">
        <v>45178</v>
      </c>
      <c r="I51" s="32" t="s">
        <v>330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84">
        <f t="shared" si="0"/>
        <v>0</v>
      </c>
      <c r="W51" s="84" t="e">
        <f t="shared" si="1"/>
        <v>#DIV/0!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78</v>
      </c>
      <c r="AI51" s="9">
        <v>220</v>
      </c>
      <c r="AJ51" s="84">
        <f t="shared" si="2"/>
        <v>24.833333333333332</v>
      </c>
      <c r="AK51" s="84">
        <f t="shared" si="3"/>
        <v>149</v>
      </c>
    </row>
    <row r="52" spans="1:37" x14ac:dyDescent="0.3">
      <c r="A52" s="98" t="s">
        <v>295</v>
      </c>
      <c r="B52" s="29"/>
      <c r="C52" s="22">
        <v>3062289506</v>
      </c>
      <c r="D52" s="98" t="s">
        <v>532</v>
      </c>
      <c r="E52" s="18" t="s">
        <v>185</v>
      </c>
      <c r="F52" s="18" t="s">
        <v>9</v>
      </c>
      <c r="G52" s="18" t="s">
        <v>12</v>
      </c>
      <c r="H52" s="32">
        <v>45185</v>
      </c>
      <c r="I52" s="32" t="s">
        <v>329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84">
        <f t="shared" si="0"/>
        <v>0</v>
      </c>
      <c r="W52" s="84" t="e">
        <f t="shared" si="1"/>
        <v>#DIV/0!</v>
      </c>
      <c r="X52">
        <v>1103</v>
      </c>
      <c r="Y52">
        <v>1420</v>
      </c>
      <c r="Z52">
        <v>1269</v>
      </c>
      <c r="AA52">
        <v>1802</v>
      </c>
      <c r="AB52">
        <v>1758</v>
      </c>
      <c r="AC52">
        <v>1893</v>
      </c>
      <c r="AD52">
        <v>1520</v>
      </c>
      <c r="AE52">
        <v>1570</v>
      </c>
      <c r="AF52">
        <v>1814</v>
      </c>
      <c r="AG52">
        <v>1419</v>
      </c>
      <c r="AH52">
        <v>1243</v>
      </c>
      <c r="AI52">
        <v>1293</v>
      </c>
      <c r="AJ52" s="84">
        <f t="shared" si="2"/>
        <v>1508.6666666666667</v>
      </c>
      <c r="AK52" s="84">
        <f t="shared" si="3"/>
        <v>1508.6666666666667</v>
      </c>
    </row>
  </sheetData>
  <autoFilter ref="A1:AL52" xr:uid="{621469B2-AC2D-4160-8B0A-15F26DEF8D0C}"/>
  <pageMargins left="0.7" right="0.7" top="0.75" bottom="0.75" header="0.3" footer="0.3"/>
  <pageSetup scale="52" fitToWidth="3" fitToHeight="0" orientation="landscape" r:id="rId1"/>
  <headerFooter>
    <oddHeader>&amp;RDPU 23-80
DOER 2-02 Attachment 2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Electric</vt:lpstr>
      <vt:lpstr>Gas</vt:lpstr>
      <vt:lpstr>Electric!Print_Area</vt:lpstr>
      <vt:lpstr>Gas!Print_Area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Genest, Jessica</dc:creator>
  <cp:lastModifiedBy>Main, Dan</cp:lastModifiedBy>
  <cp:lastPrinted>2023-12-27T19:55:12Z</cp:lastPrinted>
  <dcterms:created xsi:type="dcterms:W3CDTF">2023-12-06T16:34:03Z</dcterms:created>
  <dcterms:modified xsi:type="dcterms:W3CDTF">2023-12-27T19:55:17Z</dcterms:modified>
</cp:coreProperties>
</file>