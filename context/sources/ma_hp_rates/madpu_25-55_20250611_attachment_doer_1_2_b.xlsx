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66925"/>
  <xr:revisionPtr revIDLastSave="0" documentId="13_ncr:1_{8BB48FDC-5F1E-47F4-B94A-F25574D675B4}" xr6:coauthVersionLast="47" xr6:coauthVersionMax="47" xr10:uidLastSave="{00000000-0000-0000-0000-000000000000}"/>
  <bookViews>
    <workbookView xWindow="28680" yWindow="-120" windowWidth="29040" windowHeight="15720" xr2:uid="{208478BB-6C25-4286-9DF4-3CF60C52318B}"/>
  </bookViews>
  <sheets>
    <sheet name="Sch 1_Heat Pump Rate Design" sheetId="18" r:id="rId1"/>
    <sheet name="Sch 2_HP Sales Conversion" sheetId="25" r:id="rId2"/>
    <sheet name="Chart1" sheetId="29" state="hidden" r:id="rId3"/>
    <sheet name="Chart2" sheetId="30" state="hidden" r:id="rId4"/>
    <sheet name="Sch 3_Bill Impact_ASHP" sheetId="27" r:id="rId5"/>
    <sheet name="WP_Electric Test Year BQs" sheetId="19" r:id="rId6"/>
    <sheet name="WP_Gas Test Year BQs" sheetId="26" r:id="rId7"/>
    <sheet name="WP_Sales Forecast" sheetId="28" r:id="rId8"/>
    <sheet name="WP_Efficiency Factors" sheetId="11" r:id="rId9"/>
    <sheet name="WP_Rate Inputs" sheetId="4" r:id="rId10"/>
  </sheets>
  <definedNames>
    <definedName name="\A" localSheetId="0">#REF!</definedName>
    <definedName name="\A" localSheetId="6">#REF!</definedName>
    <definedName name="\A" localSheetId="7">#REF!</definedName>
    <definedName name="\A">#REF!</definedName>
    <definedName name="\B" localSheetId="0">#REF!</definedName>
    <definedName name="\B" localSheetId="7">#REF!</definedName>
    <definedName name="\B">#REF!</definedName>
    <definedName name="\C">#N/A</definedName>
    <definedName name="\D" localSheetId="6">#REF!</definedName>
    <definedName name="\D" localSheetId="7">#REF!</definedName>
    <definedName name="\D">#REF!</definedName>
    <definedName name="\E" localSheetId="6">#REF!</definedName>
    <definedName name="\E" localSheetId="7">#REF!</definedName>
    <definedName name="\E">#REF!</definedName>
    <definedName name="\F" localSheetId="6">#REF!</definedName>
    <definedName name="\F" localSheetId="7">#REF!</definedName>
    <definedName name="\F">#REF!</definedName>
    <definedName name="\H">#REF!</definedName>
    <definedName name="\I">#N/A</definedName>
    <definedName name="\K">#N/A</definedName>
    <definedName name="\L">#N/A</definedName>
    <definedName name="\M">#N/A</definedName>
    <definedName name="\N">#N/A</definedName>
    <definedName name="\P">#REF!</definedName>
    <definedName name="\R">#N/A</definedName>
    <definedName name="\S">#N/A</definedName>
    <definedName name="\W">#N/A</definedName>
    <definedName name="\X">#N/A</definedName>
    <definedName name="\Y">#N/A</definedName>
    <definedName name="\Z">#N/A</definedName>
    <definedName name="______PG2">#REF!</definedName>
    <definedName name="______PG3">#REF!</definedName>
    <definedName name="_____JAN1">#REF!</definedName>
    <definedName name="_____OM1">#REF!</definedName>
    <definedName name="_____om2" localSheetId="7">#REF!</definedName>
    <definedName name="_____om2">#REF!</definedName>
    <definedName name="_____PG1" localSheetId="7">#REF!</definedName>
    <definedName name="_____PG1">#REF!</definedName>
    <definedName name="_____PG2" localSheetId="7">#REF!</definedName>
    <definedName name="_____PG2">#REF!</definedName>
    <definedName name="_____PG3" localSheetId="7">#REF!</definedName>
    <definedName name="_____PG3">#REF!</definedName>
    <definedName name="_____RB1998">#REF!</definedName>
    <definedName name="_____RB1999">#REF!</definedName>
    <definedName name="_____REV2">#REF!</definedName>
    <definedName name="____PG1">#REF!</definedName>
    <definedName name="____PG2">#REF!</definedName>
    <definedName name="____PG3">#REF!</definedName>
    <definedName name="____RB1998">#REF!</definedName>
    <definedName name="___CCR4" localSheetId="0">#REF!</definedName>
    <definedName name="___CCR4" localSheetId="6">#REF!</definedName>
    <definedName name="___CCR4" localSheetId="7">#REF!</definedName>
    <definedName name="___CCR4">#REF!</definedName>
    <definedName name="___CCR5" localSheetId="0">#REF!</definedName>
    <definedName name="___CCR5" localSheetId="6">#REF!</definedName>
    <definedName name="___CCR5" localSheetId="7">#REF!</definedName>
    <definedName name="___CCR5">#REF!</definedName>
    <definedName name="___CCT2" localSheetId="0">#REF!</definedName>
    <definedName name="___CCT2" localSheetId="6">#REF!</definedName>
    <definedName name="___CCT2" localSheetId="7">#REF!</definedName>
    <definedName name="___CCT2">#REF!</definedName>
    <definedName name="___CCT4" localSheetId="0">#REF!</definedName>
    <definedName name="___CCT4" localSheetId="6">#REF!</definedName>
    <definedName name="___CCT4" localSheetId="7">#REF!</definedName>
    <definedName name="___CCT4">#REF!</definedName>
    <definedName name="___JAN1" localSheetId="0">#REF!</definedName>
    <definedName name="___JAN1" localSheetId="7">#REF!</definedName>
    <definedName name="___JAN1">#REF!</definedName>
    <definedName name="___PG1" localSheetId="0">#REF!</definedName>
    <definedName name="___PG1" localSheetId="7">#REF!</definedName>
    <definedName name="___PG1">#REF!</definedName>
    <definedName name="___PG2" localSheetId="0">#REF!</definedName>
    <definedName name="___PG2" localSheetId="7">#REF!</definedName>
    <definedName name="___PG2">#REF!</definedName>
    <definedName name="___PG3">#REF!</definedName>
    <definedName name="___RB1998">#REF!</definedName>
    <definedName name="___RB1999">#REF!</definedName>
    <definedName name="___REV2">#REF!</definedName>
    <definedName name="___REV4">#REF!</definedName>
    <definedName name="__123Graph_A" localSheetId="0" hidden="1">#REF!</definedName>
    <definedName name="__123Graph_A" localSheetId="5" hidden="1">#REF!</definedName>
    <definedName name="__123Graph_A" localSheetId="6" hidden="1">#REF!</definedName>
    <definedName name="__123Graph_A" localSheetId="7" hidden="1">#REF!</definedName>
    <definedName name="__123Graph_A" hidden="1">#REF!</definedName>
    <definedName name="__123Graph_B" localSheetId="0" hidden="1">#REF!</definedName>
    <definedName name="__123Graph_B" localSheetId="5" hidden="1">#REF!</definedName>
    <definedName name="__123Graph_B" localSheetId="6" hidden="1">#REF!</definedName>
    <definedName name="__123Graph_B" localSheetId="7" hidden="1">#REF!</definedName>
    <definedName name="__123Graph_B" hidden="1">#REF!</definedName>
    <definedName name="__123Graph_D" localSheetId="0" hidden="1">#REF!</definedName>
    <definedName name="__123Graph_D" localSheetId="5" hidden="1">#REF!</definedName>
    <definedName name="__123Graph_D" localSheetId="6" hidden="1">#REF!</definedName>
    <definedName name="__123Graph_D" localSheetId="7" hidden="1">#REF!</definedName>
    <definedName name="__123Graph_D" hidden="1">#REF!</definedName>
    <definedName name="__123Graph_X" localSheetId="0" hidden="1">#REF!</definedName>
    <definedName name="__123Graph_X" localSheetId="5" hidden="1">#REF!</definedName>
    <definedName name="__123Graph_X" localSheetId="6" hidden="1">#REF!</definedName>
    <definedName name="__123Graph_X" localSheetId="7" hidden="1">#REF!</definedName>
    <definedName name="__123Graph_X" hidden="1">#REF!</definedName>
    <definedName name="__C" localSheetId="0">#REF!</definedName>
    <definedName name="__C" localSheetId="6">#REF!</definedName>
    <definedName name="__C" localSheetId="7">#REF!</definedName>
    <definedName name="__C">#REF!</definedName>
    <definedName name="__COM93">#N/A</definedName>
    <definedName name="__COM94">#N/A</definedName>
    <definedName name="__COM95">#N/A</definedName>
    <definedName name="__COM96">#N/A</definedName>
    <definedName name="__IND93">#N/A</definedName>
    <definedName name="__IND94">#N/A</definedName>
    <definedName name="__IND95">#N/A</definedName>
    <definedName name="__IND96">#N/A</definedName>
    <definedName name="__JAN1" localSheetId="0">#REF!</definedName>
    <definedName name="__JAN1" localSheetId="7">#REF!</definedName>
    <definedName name="__JAN1">#REF!</definedName>
    <definedName name="__PG1" localSheetId="0">#REF!</definedName>
    <definedName name="__PG1" localSheetId="7">#REF!</definedName>
    <definedName name="__PG1">#REF!</definedName>
    <definedName name="__PG2" localSheetId="7">#REF!</definedName>
    <definedName name="__PG2">#REF!</definedName>
    <definedName name="__PG3">#REF!</definedName>
    <definedName name="__RB1998">#REF!</definedName>
    <definedName name="__RB1999">#REF!</definedName>
    <definedName name="__RES93">#N/A</definedName>
    <definedName name="__RES94">#N/A</definedName>
    <definedName name="__RES95">#N/A</definedName>
    <definedName name="__RES96">#N/A</definedName>
    <definedName name="__SRR93">#N/A</definedName>
    <definedName name="__SRR94">#N/A</definedName>
    <definedName name="__SRR95">#N/A</definedName>
    <definedName name="__SRR96">#N/A</definedName>
    <definedName name="_1">#REF!</definedName>
    <definedName name="_10R_1R_1B" localSheetId="6">#REF!</definedName>
    <definedName name="_10R_1R_1B" localSheetId="7">#REF!</definedName>
    <definedName name="_10R_1R_1B">#REF!</definedName>
    <definedName name="_10R_4R_4A" localSheetId="6">#REF!</definedName>
    <definedName name="_10R_4R_4A" localSheetId="7">#REF!</definedName>
    <definedName name="_10R_4R_4A">#REF!</definedName>
    <definedName name="_11R_4R_4B" localSheetId="6">#REF!</definedName>
    <definedName name="_11R_4R_4B">#REF!</definedName>
    <definedName name="_12G_2G_2">#REF!</definedName>
    <definedName name="_12R_1R_1C">#REF!</definedName>
    <definedName name="_12R_4R_4C">#REF!</definedName>
    <definedName name="_14R_2R_2A">#REF!</definedName>
    <definedName name="_16R_2R_2B">#REF!</definedName>
    <definedName name="_18G_3G_3">#REF!</definedName>
    <definedName name="_18R_2R_2C">#REF!</definedName>
    <definedName name="_1G_1G_1">#REF!</definedName>
    <definedName name="_2">#REF!</definedName>
    <definedName name="_20R_4R_4A">#REF!</definedName>
    <definedName name="_22R_4R_4B">#REF!</definedName>
    <definedName name="_24R_1R_1A">#REF!</definedName>
    <definedName name="_24R_4R_4C">#REF!</definedName>
    <definedName name="_2G_1G_1">#REF!</definedName>
    <definedName name="_2G_2G_2">#REF!</definedName>
    <definedName name="_30R_1R_1B">#REF!</definedName>
    <definedName name="_36R_1R_1C">#REF!</definedName>
    <definedName name="_3G_3G_3">#REF!</definedName>
    <definedName name="_42R_2R_2A">#REF!</definedName>
    <definedName name="_48R_2R_2B">#REF!</definedName>
    <definedName name="_4G_2G_2">#REF!</definedName>
    <definedName name="_4R_1R_1A">#REF!</definedName>
    <definedName name="_54R_2R_2C">#REF!</definedName>
    <definedName name="_5R_1R_1B">#REF!</definedName>
    <definedName name="_60R_4R_4A">#REF!</definedName>
    <definedName name="_66R_4R_4B">#REF!</definedName>
    <definedName name="_6G_1G_1">#REF!</definedName>
    <definedName name="_6G_3G_3">#REF!</definedName>
    <definedName name="_6R_1R_1C">#REF!</definedName>
    <definedName name="_72R_4R_4C">#REF!</definedName>
    <definedName name="_7R_2R_2A">#REF!</definedName>
    <definedName name="_8R_1R_1A">#REF!</definedName>
    <definedName name="_8R_2R_2B">#REF!</definedName>
    <definedName name="_9R_2R_2C">#REF!</definedName>
    <definedName name="_C">#REF!</definedName>
    <definedName name="_C93">#N/A</definedName>
    <definedName name="_C94">#N/A</definedName>
    <definedName name="_C95">#N/A</definedName>
    <definedName name="_C96">#N/A</definedName>
    <definedName name="_CCR5" localSheetId="0">#REF!</definedName>
    <definedName name="_CCR5" localSheetId="6">#REF!</definedName>
    <definedName name="_CCR5" localSheetId="7">#REF!</definedName>
    <definedName name="_CCR5">#REF!</definedName>
    <definedName name="_CCT2" localSheetId="0">#REF!</definedName>
    <definedName name="_CCT2" localSheetId="6">#REF!</definedName>
    <definedName name="_CCT2" localSheetId="7">#REF!</definedName>
    <definedName name="_CCT2">#REF!</definedName>
    <definedName name="_CCT4" localSheetId="0">#REF!</definedName>
    <definedName name="_CCT4" localSheetId="6">#REF!</definedName>
    <definedName name="_CCT4" localSheetId="7">#REF!</definedName>
    <definedName name="_CCT4">#REF!</definedName>
    <definedName name="_COM93">#N/A</definedName>
    <definedName name="_COM94">#N/A</definedName>
    <definedName name="_COM95">#N/A</definedName>
    <definedName name="_COM96">#N/A</definedName>
    <definedName name="_Fill" localSheetId="0" hidden="1">#REF!</definedName>
    <definedName name="_Fill" localSheetId="5" hidden="1">#REF!</definedName>
    <definedName name="_Fill" localSheetId="7" hidden="1">#REF!</definedName>
    <definedName name="_Fill" hidden="1">#REF!</definedName>
    <definedName name="_IND93">#N/A</definedName>
    <definedName name="_IND94">#N/A</definedName>
    <definedName name="_IND95">#N/A</definedName>
    <definedName name="_IND96">#N/A</definedName>
    <definedName name="_JAN1" localSheetId="0">#REF!</definedName>
    <definedName name="_JAN1" localSheetId="7">#REF!</definedName>
    <definedName name="_JAN1">#REF!</definedName>
    <definedName name="_Key1" localSheetId="7" hidden="1">#REF!</definedName>
    <definedName name="_Key1" hidden="1">#REF!</definedName>
    <definedName name="_MR1994" localSheetId="0">#REF!</definedName>
    <definedName name="_MR1994" localSheetId="6">#REF!</definedName>
    <definedName name="_MR1994" localSheetId="7">#REF!</definedName>
    <definedName name="_MR1994">#REF!</definedName>
    <definedName name="_MR1995" localSheetId="0">#REF!</definedName>
    <definedName name="_MR1995" localSheetId="6">#REF!</definedName>
    <definedName name="_MR1995" localSheetId="7">#REF!</definedName>
    <definedName name="_MR1995">#REF!</definedName>
    <definedName name="_MR1996" localSheetId="0">#REF!</definedName>
    <definedName name="_MR1996" localSheetId="6">#REF!</definedName>
    <definedName name="_MR1996" localSheetId="7">#REF!</definedName>
    <definedName name="_MR1996">#REF!</definedName>
    <definedName name="_MR1997" localSheetId="0">#REF!</definedName>
    <definedName name="_MR1997" localSheetId="6">#REF!</definedName>
    <definedName name="_MR1997" localSheetId="7">#REF!</definedName>
    <definedName name="_MR1997">#REF!</definedName>
    <definedName name="_MR1998" localSheetId="0">#REF!</definedName>
    <definedName name="_MR1998" localSheetId="6">#REF!</definedName>
    <definedName name="_MR1998" localSheetId="7">#REF!</definedName>
    <definedName name="_MR1998">#REF!</definedName>
    <definedName name="_MR1999" localSheetId="0">#REF!</definedName>
    <definedName name="_MR1999" localSheetId="6">#REF!</definedName>
    <definedName name="_MR1999" localSheetId="7">#REF!</definedName>
    <definedName name="_MR1999">#REF!</definedName>
    <definedName name="_MR2000" localSheetId="0">#REF!</definedName>
    <definedName name="_MR2000" localSheetId="6">#REF!</definedName>
    <definedName name="_MR2000" localSheetId="7">#REF!</definedName>
    <definedName name="_MR2000">#REF!</definedName>
    <definedName name="_MR2001" localSheetId="0">#REF!</definedName>
    <definedName name="_MR2001" localSheetId="6">#REF!</definedName>
    <definedName name="_MR2001" localSheetId="7">#REF!</definedName>
    <definedName name="_MR2001">#REF!</definedName>
    <definedName name="_MR2002" localSheetId="0">#REF!</definedName>
    <definedName name="_MR2002" localSheetId="6">#REF!</definedName>
    <definedName name="_MR2002" localSheetId="7">#REF!</definedName>
    <definedName name="_MR2002">#REF!</definedName>
    <definedName name="_MR2003" localSheetId="0">#REF!</definedName>
    <definedName name="_MR2003" localSheetId="6">#REF!</definedName>
    <definedName name="_MR2003" localSheetId="7">#REF!</definedName>
    <definedName name="_MR2003">#REF!</definedName>
    <definedName name="_MR2004" localSheetId="0">#REF!</definedName>
    <definedName name="_MR2004" localSheetId="6">#REF!</definedName>
    <definedName name="_MR2004" localSheetId="7">#REF!</definedName>
    <definedName name="_MR2004">#REF!</definedName>
    <definedName name="_MR2005" localSheetId="0">#REF!</definedName>
    <definedName name="_MR2005" localSheetId="6">#REF!</definedName>
    <definedName name="_MR2005" localSheetId="7">#REF!</definedName>
    <definedName name="_MR2005">#REF!</definedName>
    <definedName name="_MR2006" localSheetId="0">#REF!</definedName>
    <definedName name="_MR2006" localSheetId="6">#REF!</definedName>
    <definedName name="_MR2006" localSheetId="7">#REF!</definedName>
    <definedName name="_MR2006">#REF!</definedName>
    <definedName name="_MR2007" localSheetId="0">#REF!</definedName>
    <definedName name="_MR2007" localSheetId="6">#REF!</definedName>
    <definedName name="_MR2007" localSheetId="7">#REF!</definedName>
    <definedName name="_MR2007">#REF!</definedName>
    <definedName name="_MR2008" localSheetId="0">#REF!</definedName>
    <definedName name="_MR2008" localSheetId="6">#REF!</definedName>
    <definedName name="_MR2008" localSheetId="7">#REF!</definedName>
    <definedName name="_MR2008">#REF!</definedName>
    <definedName name="_MR2009" localSheetId="0">#REF!</definedName>
    <definedName name="_MR2009" localSheetId="6">#REF!</definedName>
    <definedName name="_MR2009" localSheetId="7">#REF!</definedName>
    <definedName name="_MR2009">#REF!</definedName>
    <definedName name="_MR2010" localSheetId="0">#REF!</definedName>
    <definedName name="_MR2010" localSheetId="6">#REF!</definedName>
    <definedName name="_MR2010" localSheetId="7">#REF!</definedName>
    <definedName name="_MR2010">#REF!</definedName>
    <definedName name="_MR2011" localSheetId="0">#REF!</definedName>
    <definedName name="_MR2011" localSheetId="6">#REF!</definedName>
    <definedName name="_MR2011" localSheetId="7">#REF!</definedName>
    <definedName name="_MR2011">#REF!</definedName>
    <definedName name="_MR2012" localSheetId="0">#REF!</definedName>
    <definedName name="_MR2012" localSheetId="6">#REF!</definedName>
    <definedName name="_MR2012" localSheetId="7">#REF!</definedName>
    <definedName name="_MR2012">#REF!</definedName>
    <definedName name="_MR2013" localSheetId="0">#REF!</definedName>
    <definedName name="_MR2013" localSheetId="6">#REF!</definedName>
    <definedName name="_MR2013" localSheetId="7">#REF!</definedName>
    <definedName name="_MR2013">#REF!</definedName>
    <definedName name="_MR2014" localSheetId="0">#REF!</definedName>
    <definedName name="_MR2014" localSheetId="6">#REF!</definedName>
    <definedName name="_MR2014" localSheetId="7">#REF!</definedName>
    <definedName name="_MR2014">#REF!</definedName>
    <definedName name="_MR2015" localSheetId="0">#REF!</definedName>
    <definedName name="_MR2015" localSheetId="6">#REF!</definedName>
    <definedName name="_MR2015" localSheetId="7">#REF!</definedName>
    <definedName name="_MR2015">#REF!</definedName>
    <definedName name="_MR2016" localSheetId="0">#REF!</definedName>
    <definedName name="_MR2016" localSheetId="6">#REF!</definedName>
    <definedName name="_MR2016" localSheetId="7">#REF!</definedName>
    <definedName name="_MR2016">#REF!</definedName>
    <definedName name="_MR2017" localSheetId="0">#REF!</definedName>
    <definedName name="_MR2017" localSheetId="6">#REF!</definedName>
    <definedName name="_MR2017" localSheetId="7">#REF!</definedName>
    <definedName name="_MR2017">#REF!</definedName>
    <definedName name="_MR2018" localSheetId="0">#REF!</definedName>
    <definedName name="_MR2018" localSheetId="6">#REF!</definedName>
    <definedName name="_MR2018" localSheetId="7">#REF!</definedName>
    <definedName name="_MR2018">#REF!</definedName>
    <definedName name="_MR2019" localSheetId="0">#REF!</definedName>
    <definedName name="_MR2019" localSheetId="6">#REF!</definedName>
    <definedName name="_MR2019" localSheetId="7">#REF!</definedName>
    <definedName name="_MR2019">#REF!</definedName>
    <definedName name="_MR2020" localSheetId="0">#REF!</definedName>
    <definedName name="_MR2020" localSheetId="6">#REF!</definedName>
    <definedName name="_MR2020" localSheetId="7">#REF!</definedName>
    <definedName name="_MR2020">#REF!</definedName>
    <definedName name="_Order1" hidden="1">255</definedName>
    <definedName name="_Order2" hidden="1">255</definedName>
    <definedName name="_PG1" localSheetId="0">#REF!</definedName>
    <definedName name="_PG1" localSheetId="7">#REF!</definedName>
    <definedName name="_PG1">#REF!</definedName>
    <definedName name="_PG2" localSheetId="0">#REF!</definedName>
    <definedName name="_PG2" localSheetId="7">#REF!</definedName>
    <definedName name="_PG2">#REF!</definedName>
    <definedName name="_PG3" localSheetId="7">#REF!</definedName>
    <definedName name="_PG3">#REF!</definedName>
    <definedName name="_R">#N/A</definedName>
    <definedName name="_R1993">#N/A</definedName>
    <definedName name="_R93">#N/A</definedName>
    <definedName name="_R94">#N/A</definedName>
    <definedName name="_R95">#N/A</definedName>
    <definedName name="_R96">#N/A</definedName>
    <definedName name="_RB1998">#REF!</definedName>
    <definedName name="_RB1999">#REF!</definedName>
    <definedName name="_RES93">#N/A</definedName>
    <definedName name="_RES94">#N/A</definedName>
    <definedName name="_RES95">#N/A</definedName>
    <definedName name="_RES96">#N/A</definedName>
    <definedName name="_REV2">#REF!</definedName>
    <definedName name="_REV4">#REF!</definedName>
    <definedName name="_SEG2">#REF!</definedName>
    <definedName name="_Sort" localSheetId="7" hidden="1">#REF!</definedName>
    <definedName name="_Sort" hidden="1">#REF!</definedName>
    <definedName name="_SRR93">#N/A</definedName>
    <definedName name="_SRR94">#N/A</definedName>
    <definedName name="_SRR95">#N/A</definedName>
    <definedName name="_SRR96">#N/A</definedName>
    <definedName name="_WP10">#REF!</definedName>
    <definedName name="_WP10new">#REF!</definedName>
    <definedName name="A" localSheetId="6">#REF!</definedName>
    <definedName name="A" localSheetId="7">#REF!</definedName>
    <definedName name="A">#REF!</definedName>
    <definedName name="AccessDatabase" hidden="1">"S:\SHARED\HUMANRES\EXCEL.97\Job Tracking\Req input form.mdb"</definedName>
    <definedName name="ADD_YEAR">#REF!</definedName>
    <definedName name="ADD_YR2">#REF!</definedName>
    <definedName name="ADJUSTMENTS">#REF!</definedName>
    <definedName name="admin">#REF!</definedName>
    <definedName name="alloc1999">#REF!</definedName>
    <definedName name="ANALYSIS">#REF!</definedName>
    <definedName name="ANALYSIS2">#REF!</definedName>
    <definedName name="Annual_G41">#REF!</definedName>
    <definedName name="Annual_G41_TotCust">#REF!</definedName>
    <definedName name="Annual_G42">#REF!</definedName>
    <definedName name="Annual_G42_TotCust">#REF!</definedName>
    <definedName name="Annual_G43">#REF!</definedName>
    <definedName name="Annual_G43_TotCust">#REF!</definedName>
    <definedName name="Annual_G51">#REF!</definedName>
    <definedName name="Annual_G51_TotCust">#REF!</definedName>
    <definedName name="Annual_G52">#REF!</definedName>
    <definedName name="Annual_G52_TotCust">#REF!</definedName>
    <definedName name="Annual_G53">#REF!</definedName>
    <definedName name="Annual_G53_TotCust">#REF!</definedName>
    <definedName name="Annual_R1">#REF!</definedName>
    <definedName name="Annual_R1_TotCust">#REF!</definedName>
    <definedName name="Annual_R2">#REF!</definedName>
    <definedName name="Annual_R2_TotCust">#REF!</definedName>
    <definedName name="Annual_R3">#REF!</definedName>
    <definedName name="Annual_R3_TotCust">#REF!</definedName>
    <definedName name="Annual_R4">#REF!</definedName>
    <definedName name="Annual_R4_TotCust">#REF!</definedName>
    <definedName name="APRIL">#REF!</definedName>
    <definedName name="AREA75">#REF!</definedName>
    <definedName name="AREAS">#REF!</definedName>
    <definedName name="AS2DocOpenMode" hidden="1">"AS2DocumentEdit"</definedName>
    <definedName name="AS2HasNoAutoHeaderFooter" hidden="1">" "</definedName>
    <definedName name="AS2NamedRange" hidden="1">12</definedName>
    <definedName name="ASD">#REF!</definedName>
    <definedName name="ASSETMAN">#REF!</definedName>
    <definedName name="ASSETS">#REF!</definedName>
    <definedName name="ASSETS_B_S">#REF!</definedName>
    <definedName name="AUGADJ">#REF!</definedName>
    <definedName name="AUGUST">#REF!</definedName>
    <definedName name="B">#REF!</definedName>
    <definedName name="B_S_FLUX">#REF!</definedName>
    <definedName name="BC_TAG" localSheetId="0">#REF!</definedName>
    <definedName name="BC_TAG" localSheetId="6">#REF!</definedName>
    <definedName name="BC_TAG" localSheetId="7">#REF!</definedName>
    <definedName name="BC_TAG">#REF!</definedName>
    <definedName name="BCR_Activity" localSheetId="0">#REF!</definedName>
    <definedName name="BCR_Activity" localSheetId="6">#REF!</definedName>
    <definedName name="BCR_Activity" localSheetId="7">#REF!</definedName>
    <definedName name="BCR_Activity">#REF!</definedName>
    <definedName name="BECO.G1DMD.Cst" localSheetId="0">#REF!</definedName>
    <definedName name="BECO.G1DMD.Cst" localSheetId="6">#REF!</definedName>
    <definedName name="BECO.G1DMD.Cst" localSheetId="7">#REF!</definedName>
    <definedName name="BECO.G1DMD.Cst">#REF!</definedName>
    <definedName name="BECO.G1DMD.Dmd.Blk1_s" localSheetId="0">#REF!</definedName>
    <definedName name="BECO.G1DMD.Dmd.Blk1_s" localSheetId="6">#REF!</definedName>
    <definedName name="BECO.G1DMD.Dmd.Blk1_s" localSheetId="7">#REF!</definedName>
    <definedName name="BECO.G1DMD.Dmd.Blk1_s">#REF!</definedName>
    <definedName name="BECO.G1DMD.Dmd.Blk1_w" localSheetId="0">#REF!</definedName>
    <definedName name="BECO.G1DMD.Dmd.Blk1_w" localSheetId="6">#REF!</definedName>
    <definedName name="BECO.G1DMD.Dmd.Blk1_w" localSheetId="7">#REF!</definedName>
    <definedName name="BECO.G1DMD.Dmd.Blk1_w">#REF!</definedName>
    <definedName name="BECO.G1DMD.kWh.Blk1_s" localSheetId="0">#REF!</definedName>
    <definedName name="BECO.G1DMD.kWh.Blk1_s" localSheetId="6">#REF!</definedName>
    <definedName name="BECO.G1DMD.kWh.Blk1_s" localSheetId="7">#REF!</definedName>
    <definedName name="BECO.G1DMD.kWh.Blk1_s">#REF!</definedName>
    <definedName name="BECO.G1DMD.kWh.Blk1_w" localSheetId="0">#REF!</definedName>
    <definedName name="BECO.G1DMD.kWh.Blk1_w" localSheetId="6">#REF!</definedName>
    <definedName name="BECO.G1DMD.kWh.Blk1_w" localSheetId="7">#REF!</definedName>
    <definedName name="BECO.G1DMD.kWh.Blk1_w">#REF!</definedName>
    <definedName name="BECO.G1DMD.kWh.Blk2_s" localSheetId="0">#REF!</definedName>
    <definedName name="BECO.G1DMD.kWh.Blk2_s" localSheetId="6">#REF!</definedName>
    <definedName name="BECO.G1DMD.kWh.Blk2_s" localSheetId="7">#REF!</definedName>
    <definedName name="BECO.G1DMD.kWh.Blk2_s">#REF!</definedName>
    <definedName name="BECO.G1DMD.kWh.Blk2_w" localSheetId="0">#REF!</definedName>
    <definedName name="BECO.G1DMD.kWh.Blk2_w" localSheetId="6">#REF!</definedName>
    <definedName name="BECO.G1DMD.kWh.Blk2_w" localSheetId="7">#REF!</definedName>
    <definedName name="BECO.G1DMD.kWh.Blk2_w">#REF!</definedName>
    <definedName name="BECO.G1DMD.KWh.Blk3_s" localSheetId="0">#REF!</definedName>
    <definedName name="BECO.G1DMD.KWh.Blk3_s" localSheetId="6">#REF!</definedName>
    <definedName name="BECO.G1DMD.KWh.Blk3_s" localSheetId="7">#REF!</definedName>
    <definedName name="BECO.G1DMD.KWh.Blk3_s">#REF!</definedName>
    <definedName name="BECO.G1DMD.KWh.Blk3_w" localSheetId="0">#REF!</definedName>
    <definedName name="BECO.G1DMD.KWh.Blk3_w" localSheetId="6">#REF!</definedName>
    <definedName name="BECO.G1DMD.KWh.Blk3_w" localSheetId="7">#REF!</definedName>
    <definedName name="BECO.G1DMD.KWh.Blk3_w">#REF!</definedName>
    <definedName name="BECO.G1ND.Cst" localSheetId="0">#REF!</definedName>
    <definedName name="BECO.G1ND.Cst" localSheetId="6">#REF!</definedName>
    <definedName name="BECO.G1ND.Cst" localSheetId="7">#REF!</definedName>
    <definedName name="BECO.G1ND.Cst">#REF!</definedName>
    <definedName name="BECO.G1ND.kWh_s" localSheetId="0">#REF!</definedName>
    <definedName name="BECO.G1ND.kWh_s" localSheetId="6">#REF!</definedName>
    <definedName name="BECO.G1ND.kWh_s" localSheetId="7">#REF!</definedName>
    <definedName name="BECO.G1ND.kWh_s">#REF!</definedName>
    <definedName name="BECO.G1ND.kWh_w" localSheetId="0">#REF!</definedName>
    <definedName name="BECO.G1ND.kWh_w" localSheetId="6">#REF!</definedName>
    <definedName name="BECO.G1ND.kWh_w" localSheetId="7">#REF!</definedName>
    <definedName name="BECO.G1ND.kWh_w">#REF!</definedName>
    <definedName name="BECO.G2.Cst" localSheetId="0">#REF!</definedName>
    <definedName name="BECO.G2.Cst" localSheetId="6">#REF!</definedName>
    <definedName name="BECO.G2.Cst" localSheetId="7">#REF!</definedName>
    <definedName name="BECO.G2.Cst">#REF!</definedName>
    <definedName name="BECO.G2.Dmd.Blk1_s" localSheetId="0">#REF!</definedName>
    <definedName name="BECO.G2.Dmd.Blk1_s" localSheetId="6">#REF!</definedName>
    <definedName name="BECO.G2.Dmd.Blk1_s" localSheetId="7">#REF!</definedName>
    <definedName name="BECO.G2.Dmd.Blk1_s">#REF!</definedName>
    <definedName name="BECO.G2.Dmd.Blk1_w" localSheetId="0">#REF!</definedName>
    <definedName name="BECO.G2.Dmd.Blk1_w" localSheetId="6">#REF!</definedName>
    <definedName name="BECO.G2.Dmd.Blk1_w" localSheetId="7">#REF!</definedName>
    <definedName name="BECO.G2.Dmd.Blk1_w">#REF!</definedName>
    <definedName name="BECO.G2.kWh.Blk1_s" localSheetId="0">#REF!</definedName>
    <definedName name="BECO.G2.kWh.Blk1_s" localSheetId="6">#REF!</definedName>
    <definedName name="BECO.G2.kWh.Blk1_s" localSheetId="7">#REF!</definedName>
    <definedName name="BECO.G2.kWh.Blk1_s">#REF!</definedName>
    <definedName name="BECO.G2.kWh.Blk1_w" localSheetId="0">#REF!</definedName>
    <definedName name="BECO.G2.kWh.Blk1_w" localSheetId="6">#REF!</definedName>
    <definedName name="BECO.G2.kWh.Blk1_w" localSheetId="7">#REF!</definedName>
    <definedName name="BECO.G2.kWh.Blk1_w">#REF!</definedName>
    <definedName name="BECO.G2.kWh.Blk2_s" localSheetId="0">#REF!</definedName>
    <definedName name="BECO.G2.kWh.Blk2_s" localSheetId="6">#REF!</definedName>
    <definedName name="BECO.G2.kWh.Blk2_s" localSheetId="7">#REF!</definedName>
    <definedName name="BECO.G2.kWh.Blk2_s">#REF!</definedName>
    <definedName name="BECO.G2.kWh.Blk2_w" localSheetId="0">#REF!</definedName>
    <definedName name="BECO.G2.kWh.Blk2_w" localSheetId="6">#REF!</definedName>
    <definedName name="BECO.G2.kWh.Blk2_w" localSheetId="7">#REF!</definedName>
    <definedName name="BECO.G2.kWh.Blk2_w">#REF!</definedName>
    <definedName name="BECO.G2.KWh.Blk3_s" localSheetId="0">#REF!</definedName>
    <definedName name="BECO.G2.KWh.Blk3_s" localSheetId="6">#REF!</definedName>
    <definedName name="BECO.G2.KWh.Blk3_s" localSheetId="7">#REF!</definedName>
    <definedName name="BECO.G2.KWh.Blk3_s">#REF!</definedName>
    <definedName name="BECO.G2.KWh.Blk3_w" localSheetId="0">#REF!</definedName>
    <definedName name="BECO.G2.KWh.Blk3_w" localSheetId="6">#REF!</definedName>
    <definedName name="BECO.G2.KWh.Blk3_w" localSheetId="7">#REF!</definedName>
    <definedName name="BECO.G2.KWh.Blk3_w">#REF!</definedName>
    <definedName name="BECO.G2MUNI.Cst" localSheetId="0">#REF!</definedName>
    <definedName name="BECO.G2MUNI.Cst" localSheetId="6">#REF!</definedName>
    <definedName name="BECO.G2MUNI.Cst" localSheetId="7">#REF!</definedName>
    <definedName name="BECO.G2MUNI.Cst">#REF!</definedName>
    <definedName name="BECO.G2MUNI.Dmd.Blk1_s" localSheetId="0">#REF!</definedName>
    <definedName name="BECO.G2MUNI.Dmd.Blk1_s" localSheetId="6">#REF!</definedName>
    <definedName name="BECO.G2MUNI.Dmd.Blk1_s" localSheetId="7">#REF!</definedName>
    <definedName name="BECO.G2MUNI.Dmd.Blk1_s">#REF!</definedName>
    <definedName name="BECO.G2MUNI.Dmd.Blk1_w" localSheetId="0">#REF!</definedName>
    <definedName name="BECO.G2MUNI.Dmd.Blk1_w" localSheetId="6">#REF!</definedName>
    <definedName name="BECO.G2MUNI.Dmd.Blk1_w" localSheetId="7">#REF!</definedName>
    <definedName name="BECO.G2MUNI.Dmd.Blk1_w">#REF!</definedName>
    <definedName name="BECO.G2MUNI.kWh.Blk1_s" localSheetId="0">#REF!</definedName>
    <definedName name="BECO.G2MUNI.kWh.Blk1_s" localSheetId="6">#REF!</definedName>
    <definedName name="BECO.G2MUNI.kWh.Blk1_s" localSheetId="7">#REF!</definedName>
    <definedName name="BECO.G2MUNI.kWh.Blk1_s">#REF!</definedName>
    <definedName name="BECO.G2MUNI.kWh.Blk1_w" localSheetId="0">#REF!</definedName>
    <definedName name="BECO.G2MUNI.kWh.Blk1_w" localSheetId="6">#REF!</definedName>
    <definedName name="BECO.G2MUNI.kWh.Blk1_w" localSheetId="7">#REF!</definedName>
    <definedName name="BECO.G2MUNI.kWh.Blk1_w">#REF!</definedName>
    <definedName name="BECO.G2MUNI.kWh.Blk2_s" localSheetId="0">#REF!</definedName>
    <definedName name="BECO.G2MUNI.kWh.Blk2_s" localSheetId="6">#REF!</definedName>
    <definedName name="BECO.G2MUNI.kWh.Blk2_s" localSheetId="7">#REF!</definedName>
    <definedName name="BECO.G2MUNI.kWh.Blk2_s">#REF!</definedName>
    <definedName name="BECO.G2MUNI.kWh.Blk2_w" localSheetId="0">#REF!</definedName>
    <definedName name="BECO.G2MUNI.kWh.Blk2_w" localSheetId="6">#REF!</definedName>
    <definedName name="BECO.G2MUNI.kWh.Blk2_w" localSheetId="7">#REF!</definedName>
    <definedName name="BECO.G2MUNI.kWh.Blk2_w">#REF!</definedName>
    <definedName name="BECO.G2MUNI.KWh.Blk3_s" localSheetId="0">#REF!</definedName>
    <definedName name="BECO.G2MUNI.KWh.Blk3_s" localSheetId="6">#REF!</definedName>
    <definedName name="BECO.G2MUNI.KWh.Blk3_s" localSheetId="7">#REF!</definedName>
    <definedName name="BECO.G2MUNI.KWh.Blk3_s">#REF!</definedName>
    <definedName name="BECO.G2MUNI.KWh.Blk3_w" localSheetId="0">#REF!</definedName>
    <definedName name="BECO.G2MUNI.KWh.Blk3_w" localSheetId="6">#REF!</definedName>
    <definedName name="BECO.G2MUNI.KWh.Blk3_w" localSheetId="7">#REF!</definedName>
    <definedName name="BECO.G2MUNI.KWh.Blk3_w">#REF!</definedName>
    <definedName name="BECO.G3.Cst" localSheetId="0">#REF!</definedName>
    <definedName name="BECO.G3.Cst" localSheetId="6">#REF!</definedName>
    <definedName name="BECO.G3.Cst" localSheetId="7">#REF!</definedName>
    <definedName name="BECO.G3.Cst">#REF!</definedName>
    <definedName name="BECO.G3.Dmd_s" localSheetId="0">#REF!</definedName>
    <definedName name="BECO.G3.Dmd_s" localSheetId="6">#REF!</definedName>
    <definedName name="BECO.G3.Dmd_s" localSheetId="7">#REF!</definedName>
    <definedName name="BECO.G3.Dmd_s">#REF!</definedName>
    <definedName name="BECO.G3.Dmd_w" localSheetId="0">#REF!</definedName>
    <definedName name="BECO.G3.Dmd_w" localSheetId="6">#REF!</definedName>
    <definedName name="BECO.G3.Dmd_w" localSheetId="7">#REF!</definedName>
    <definedName name="BECO.G3.Dmd_w">#REF!</definedName>
    <definedName name="BECO.H2.Cst" localSheetId="0">#REF!</definedName>
    <definedName name="BECO.H2.Cst" localSheetId="6">#REF!</definedName>
    <definedName name="BECO.H2.Cst" localSheetId="7">#REF!</definedName>
    <definedName name="BECO.H2.Cst">#REF!</definedName>
    <definedName name="BECO.H2.Dmd.Blk1_s" localSheetId="0">#REF!</definedName>
    <definedName name="BECO.H2.Dmd.Blk1_s" localSheetId="6">#REF!</definedName>
    <definedName name="BECO.H2.Dmd.Blk1_s" localSheetId="7">#REF!</definedName>
    <definedName name="BECO.H2.Dmd.Blk1_s">#REF!</definedName>
    <definedName name="BECO.H2.Dmd.Blk1_w" localSheetId="0">#REF!</definedName>
    <definedName name="BECO.H2.Dmd.Blk1_w" localSheetId="6">#REF!</definedName>
    <definedName name="BECO.H2.Dmd.Blk1_w" localSheetId="7">#REF!</definedName>
    <definedName name="BECO.H2.Dmd.Blk1_w">#REF!</definedName>
    <definedName name="BECO.H2.kWh.Blk1_s" localSheetId="0">#REF!</definedName>
    <definedName name="BECO.H2.kWh.Blk1_s" localSheetId="6">#REF!</definedName>
    <definedName name="BECO.H2.kWh.Blk1_s" localSheetId="7">#REF!</definedName>
    <definedName name="BECO.H2.kWh.Blk1_s">#REF!</definedName>
    <definedName name="BECO.H2.kWh.Blk1_w" localSheetId="0">#REF!</definedName>
    <definedName name="BECO.H2.kWh.Blk1_w" localSheetId="6">#REF!</definedName>
    <definedName name="BECO.H2.kWh.Blk1_w" localSheetId="7">#REF!</definedName>
    <definedName name="BECO.H2.kWh.Blk1_w">#REF!</definedName>
    <definedName name="BECO.H2.kWh.Blk2_s" localSheetId="0">#REF!</definedName>
    <definedName name="BECO.H2.kWh.Blk2_s" localSheetId="6">#REF!</definedName>
    <definedName name="BECO.H2.kWh.Blk2_s" localSheetId="7">#REF!</definedName>
    <definedName name="BECO.H2.kWh.Blk2_s">#REF!</definedName>
    <definedName name="BECO.H2.kWh.Blk2_w" localSheetId="0">#REF!</definedName>
    <definedName name="BECO.H2.kWh.Blk2_w" localSheetId="6">#REF!</definedName>
    <definedName name="BECO.H2.kWh.Blk2_w" localSheetId="7">#REF!</definedName>
    <definedName name="BECO.H2.kWh.Blk2_w">#REF!</definedName>
    <definedName name="BECO.H2.KWh.Blk3_s" localSheetId="0">#REF!</definedName>
    <definedName name="BECO.H2.KWh.Blk3_s" localSheetId="6">#REF!</definedName>
    <definedName name="BECO.H2.KWh.Blk3_s" localSheetId="7">#REF!</definedName>
    <definedName name="BECO.H2.KWh.Blk3_s">#REF!</definedName>
    <definedName name="BECO.H2.KWh.Blk3_w" localSheetId="0">#REF!</definedName>
    <definedName name="BECO.H2.KWh.Blk3_w" localSheetId="6">#REF!</definedName>
    <definedName name="BECO.H2.KWh.Blk3_w" localSheetId="7">#REF!</definedName>
    <definedName name="BECO.H2.KWh.Blk3_w">#REF!</definedName>
    <definedName name="BECO.T1.Cst" localSheetId="0">#REF!</definedName>
    <definedName name="BECO.T1.Cst" localSheetId="6">#REF!</definedName>
    <definedName name="BECO.T1.Cst" localSheetId="7">#REF!</definedName>
    <definedName name="BECO.T1.Cst">#REF!</definedName>
    <definedName name="BECO.T1.kWh.OP_s" localSheetId="0">#REF!</definedName>
    <definedName name="BECO.T1.kWh.OP_s" localSheetId="6">#REF!</definedName>
    <definedName name="BECO.T1.kWh.OP_s" localSheetId="7">#REF!</definedName>
    <definedName name="BECO.T1.kWh.OP_s">#REF!</definedName>
    <definedName name="BECO.T1.kWh.OP_w" localSheetId="0">#REF!</definedName>
    <definedName name="BECO.T1.kWh.OP_w" localSheetId="6">#REF!</definedName>
    <definedName name="BECO.T1.kWh.OP_w" localSheetId="7">#REF!</definedName>
    <definedName name="BECO.T1.kWh.OP_w">#REF!</definedName>
    <definedName name="BECO.T1.kWh.PK_s" localSheetId="0">#REF!</definedName>
    <definedName name="BECO.T1.kWh.PK_s" localSheetId="6">#REF!</definedName>
    <definedName name="BECO.T1.kWh.PK_s" localSheetId="7">#REF!</definedName>
    <definedName name="BECO.T1.kWh.PK_s">#REF!</definedName>
    <definedName name="BECO.T1.kWh.PK_w" localSheetId="0">#REF!</definedName>
    <definedName name="BECO.T1.kWh.PK_w" localSheetId="6">#REF!</definedName>
    <definedName name="BECO.T1.kWh.PK_w" localSheetId="7">#REF!</definedName>
    <definedName name="BECO.T1.kWh.PK_w">#REF!</definedName>
    <definedName name="BECO.T2.Dmd_s" localSheetId="0">#REF!</definedName>
    <definedName name="BECO.T2.Dmd_s" localSheetId="6">#REF!</definedName>
    <definedName name="BECO.T2.Dmd_s" localSheetId="7">#REF!</definedName>
    <definedName name="BECO.T2.Dmd_s">#REF!</definedName>
    <definedName name="BECO.T2.Dmd_w" localSheetId="0">#REF!</definedName>
    <definedName name="BECO.T2.Dmd_w" localSheetId="6">#REF!</definedName>
    <definedName name="BECO.T2.Dmd_w" localSheetId="7">#REF!</definedName>
    <definedName name="BECO.T2.Dmd_w">#REF!</definedName>
    <definedName name="BETGassets" localSheetId="0">#REF!:#REF!</definedName>
    <definedName name="BETGassets" localSheetId="6">#REF!:#REF!</definedName>
    <definedName name="BETGassets" localSheetId="7">#REF!:#REF!</definedName>
    <definedName name="BETGassets">#REF!:#REF!</definedName>
    <definedName name="BLOCKE" localSheetId="0">#REF!</definedName>
    <definedName name="BLOCKE" localSheetId="6">#REF!</definedName>
    <definedName name="BLOCKE" localSheetId="7">#REF!</definedName>
    <definedName name="BLOCKE">#REF!</definedName>
    <definedName name="BLOCKF" localSheetId="0">#REF!</definedName>
    <definedName name="BLOCKF" localSheetId="7">#REF!</definedName>
    <definedName name="BLOCKF">#REF!</definedName>
    <definedName name="BORDER_HD_TL" localSheetId="0">#REF!</definedName>
    <definedName name="BORDER_HD_TL" localSheetId="7">#REF!</definedName>
    <definedName name="BORDER_HD_TL">#REF!</definedName>
    <definedName name="BORDERAREA75">#REF!</definedName>
    <definedName name="BORDERBBTU">#REF!</definedName>
    <definedName name="BORDERBBTUTOP">#REF!</definedName>
    <definedName name="BORDERDOWNREV">#REF!</definedName>
    <definedName name="BORDERREVSUM">#REF!</definedName>
    <definedName name="BORDERREVSUMTOP">#REF!</definedName>
    <definedName name="BORDERSEND">#REF!</definedName>
    <definedName name="BORDERSENDTOP">#REF!</definedName>
    <definedName name="BORDERSLSREVYR1">#REF!</definedName>
    <definedName name="bos_g1_gt100" localSheetId="7">#REF!</definedName>
    <definedName name="bos_g1_gt100">#REF!</definedName>
    <definedName name="bos_g1_le100" localSheetId="7">#REF!</definedName>
    <definedName name="bos_g1_le100">#REF!</definedName>
    <definedName name="bos_g1nd" localSheetId="7">#REF!</definedName>
    <definedName name="bos_g1nd">#REF!</definedName>
    <definedName name="bos_g2_gt100" localSheetId="7">#REF!</definedName>
    <definedName name="bos_g2_gt100">#REF!</definedName>
    <definedName name="bos_g2_le100" localSheetId="7">#REF!</definedName>
    <definedName name="bos_g2_le100">#REF!</definedName>
    <definedName name="bos_g3" localSheetId="7">#REF!</definedName>
    <definedName name="bos_g3">#REF!</definedName>
    <definedName name="bos_t1" localSheetId="7">#REF!</definedName>
    <definedName name="bos_t1">#REF!</definedName>
    <definedName name="bos_t2_gt100" localSheetId="7">#REF!</definedName>
    <definedName name="bos_t2_gt100">#REF!</definedName>
    <definedName name="bos_t2_le100" localSheetId="7">#REF!</definedName>
    <definedName name="bos_t2_le100">#REF!</definedName>
    <definedName name="BSLG" localSheetId="0">#REF!</definedName>
    <definedName name="BSLG" localSheetId="6">#REF!</definedName>
    <definedName name="BSLG" localSheetId="7">#REF!</definedName>
    <definedName name="BSLG">#REF!</definedName>
    <definedName name="BSMG" localSheetId="0">#REF!</definedName>
    <definedName name="BSMG" localSheetId="6">#REF!</definedName>
    <definedName name="BSMG" localSheetId="7">#REF!</definedName>
    <definedName name="BSMG">#REF!</definedName>
    <definedName name="BSRES" localSheetId="0">#REF!</definedName>
    <definedName name="BSRES" localSheetId="6">#REF!</definedName>
    <definedName name="BSRES" localSheetId="7">#REF!</definedName>
    <definedName name="BSRES">#REF!</definedName>
    <definedName name="BTURATIO" localSheetId="0">#REF!</definedName>
    <definedName name="BTURATIO" localSheetId="7">#REF!</definedName>
    <definedName name="BTURATIO">#REF!</definedName>
    <definedName name="budget" localSheetId="0">#REF!</definedName>
    <definedName name="budget" localSheetId="7">#REF!</definedName>
    <definedName name="budget">#REF!</definedName>
    <definedName name="budsales" localSheetId="7">#REF!</definedName>
    <definedName name="budsales">#REF!</definedName>
    <definedName name="budsalesdata" localSheetId="7">#REF!</definedName>
    <definedName name="budsalesdata">#REF!</definedName>
    <definedName name="BUN" localSheetId="0">#REF!</definedName>
    <definedName name="BUN" localSheetId="7">#REF!</definedName>
    <definedName name="BUN">#REF!</definedName>
    <definedName name="C_" localSheetId="0">#REF!</definedName>
    <definedName name="C_" localSheetId="7">#REF!</definedName>
    <definedName name="C_">#REF!</definedName>
    <definedName name="C_F_OTHER_INVES" localSheetId="0">#REF!</definedName>
    <definedName name="C_F_OTHER_INVES" localSheetId="7">#REF!</definedName>
    <definedName name="C_F_OTHER_INVES">#REF!</definedName>
    <definedName name="CA">#REF!</definedName>
    <definedName name="cad">#REF!</definedName>
    <definedName name="calculation" localSheetId="6">#REF!</definedName>
    <definedName name="calculation">#REF!</definedName>
    <definedName name="CALENDAR">#REF!</definedName>
    <definedName name="CALLOC">#N/A</definedName>
    <definedName name="cam_g0" localSheetId="7">#REF!</definedName>
    <definedName name="cam_g0">#REF!</definedName>
    <definedName name="cam_g1" localSheetId="7">#REF!</definedName>
    <definedName name="cam_g1">#REF!</definedName>
    <definedName name="cam_g2" localSheetId="7">#REF!</definedName>
    <definedName name="cam_g2">#REF!</definedName>
    <definedName name="cam_g3" localSheetId="7">#REF!</definedName>
    <definedName name="cam_g3">#REF!</definedName>
    <definedName name="cam_g4_gt100kW" localSheetId="7">#REF!</definedName>
    <definedName name="cam_g4_gt100kW">#REF!</definedName>
    <definedName name="cam_g4_lt100kW" localSheetId="7">#REF!</definedName>
    <definedName name="cam_g4_lt100kW">#REF!</definedName>
    <definedName name="cam_g5" localSheetId="7">#REF!</definedName>
    <definedName name="cam_g5">#REF!</definedName>
    <definedName name="cam_g6" localSheetId="7">#REF!</definedName>
    <definedName name="cam_g6">#REF!</definedName>
    <definedName name="CAM_HEAT" localSheetId="0">#REF!</definedName>
    <definedName name="CAM_HEAT" localSheetId="6">#REF!</definedName>
    <definedName name="CAM_HEAT" localSheetId="7">#REF!</definedName>
    <definedName name="CAM_HEAT">#REF!</definedName>
    <definedName name="CAM_NON" localSheetId="0">#REF!</definedName>
    <definedName name="CAM_NON" localSheetId="6">#REF!</definedName>
    <definedName name="CAM_NON" localSheetId="7">#REF!</definedName>
    <definedName name="CAM_NON">#REF!</definedName>
    <definedName name="CAMB.G0.Cst" localSheetId="0">#REF!</definedName>
    <definedName name="CAMB.G0.Cst" localSheetId="6">#REF!</definedName>
    <definedName name="CAMB.G0.Cst" localSheetId="7">#REF!</definedName>
    <definedName name="CAMB.G0.Cst">#REF!</definedName>
    <definedName name="CAMB.G0.kWh" localSheetId="0">#REF!</definedName>
    <definedName name="CAMB.G0.kWh" localSheetId="6">#REF!</definedName>
    <definedName name="CAMB.G0.kWh" localSheetId="7">#REF!</definedName>
    <definedName name="CAMB.G0.kWh">#REF!</definedName>
    <definedName name="CAMB.G1.Cst" localSheetId="0">#REF!</definedName>
    <definedName name="CAMB.G1.Cst" localSheetId="6">#REF!</definedName>
    <definedName name="CAMB.G1.Cst" localSheetId="7">#REF!</definedName>
    <definedName name="CAMB.G1.Cst">#REF!</definedName>
    <definedName name="CAMB.G1.Dmd.Blk1" localSheetId="0">#REF!</definedName>
    <definedName name="CAMB.G1.Dmd.Blk1" localSheetId="6">#REF!</definedName>
    <definedName name="CAMB.G1.Dmd.Blk1" localSheetId="7">#REF!</definedName>
    <definedName name="CAMB.G1.Dmd.Blk1">#REF!</definedName>
    <definedName name="CAMB.G1.Dmd.Blk2" localSheetId="0">#REF!</definedName>
    <definedName name="CAMB.G1.Dmd.Blk2" localSheetId="6">#REF!</definedName>
    <definedName name="CAMB.G1.Dmd.Blk2" localSheetId="7">#REF!</definedName>
    <definedName name="CAMB.G1.Dmd.Blk2">#REF!</definedName>
    <definedName name="CAMB.G1.kWh" localSheetId="0">#REF!</definedName>
    <definedName name="CAMB.G1.kWh" localSheetId="6">#REF!</definedName>
    <definedName name="CAMB.G1.kWh" localSheetId="7">#REF!</definedName>
    <definedName name="CAMB.G1.kWh">#REF!</definedName>
    <definedName name="CAMB.G2.Cst" localSheetId="0">#REF!</definedName>
    <definedName name="CAMB.G2.Cst" localSheetId="6">#REF!</definedName>
    <definedName name="CAMB.G2.Cst" localSheetId="7">#REF!</definedName>
    <definedName name="CAMB.G2.Cst">#REF!</definedName>
    <definedName name="CAMB.G2.Dmd.Blk1" localSheetId="0">#REF!</definedName>
    <definedName name="CAMB.G2.Dmd.Blk1" localSheetId="6">#REF!</definedName>
    <definedName name="CAMB.G2.Dmd.Blk1" localSheetId="7">#REF!</definedName>
    <definedName name="CAMB.G2.Dmd.Blk1">#REF!</definedName>
    <definedName name="CAMB.G2.Dmd.Blk2" localSheetId="0">#REF!</definedName>
    <definedName name="CAMB.G2.Dmd.Blk2" localSheetId="6">#REF!</definedName>
    <definedName name="CAMB.G2.Dmd.Blk2" localSheetId="7">#REF!</definedName>
    <definedName name="CAMB.G2.Dmd.Blk2">#REF!</definedName>
    <definedName name="CAMB.G2.kWh.OP.LowA" localSheetId="0">#REF!</definedName>
    <definedName name="CAMB.G2.kWh.OP.LowA" localSheetId="6">#REF!</definedName>
    <definedName name="CAMB.G2.kWh.OP.LowA" localSheetId="7">#REF!</definedName>
    <definedName name="CAMB.G2.kWh.OP.LowA">#REF!</definedName>
    <definedName name="CAMB.G2.kWh.OP.LowB" localSheetId="0">#REF!</definedName>
    <definedName name="CAMB.G2.kWh.OP.LowB" localSheetId="6">#REF!</definedName>
    <definedName name="CAMB.G2.kWh.OP.LowB" localSheetId="7">#REF!</definedName>
    <definedName name="CAMB.G2.kWh.OP.LowB">#REF!</definedName>
    <definedName name="CAMB.G2.kWh.PK" localSheetId="0">#REF!</definedName>
    <definedName name="CAMB.G2.kWh.PK" localSheetId="6">#REF!</definedName>
    <definedName name="CAMB.G2.kWh.PK" localSheetId="7">#REF!</definedName>
    <definedName name="CAMB.G2.kWh.PK">#REF!</definedName>
    <definedName name="CAMB.G3.Cst" localSheetId="0">#REF!</definedName>
    <definedName name="CAMB.G3.Cst" localSheetId="6">#REF!</definedName>
    <definedName name="CAMB.G3.Cst" localSheetId="7">#REF!</definedName>
    <definedName name="CAMB.G3.Cst">#REF!</definedName>
    <definedName name="CAMB.G3.Dmd.Blk1" localSheetId="0">#REF!</definedName>
    <definedName name="CAMB.G3.Dmd.Blk1" localSheetId="6">#REF!</definedName>
    <definedName name="CAMB.G3.Dmd.Blk1" localSheetId="7">#REF!</definedName>
    <definedName name="CAMB.G3.Dmd.Blk1">#REF!</definedName>
    <definedName name="CAMB.G3.Dmd.Blk2" localSheetId="0">#REF!</definedName>
    <definedName name="CAMB.G3.Dmd.Blk2" localSheetId="6">#REF!</definedName>
    <definedName name="CAMB.G3.Dmd.Blk2" localSheetId="7">#REF!</definedName>
    <definedName name="CAMB.G3.Dmd.Blk2">#REF!</definedName>
    <definedName name="CAMB.G3.kWh.OP.LowA" localSheetId="0">#REF!</definedName>
    <definedName name="CAMB.G3.kWh.OP.LowA" localSheetId="6">#REF!</definedName>
    <definedName name="CAMB.G3.kWh.OP.LowA" localSheetId="7">#REF!</definedName>
    <definedName name="CAMB.G3.kWh.OP.LowA">#REF!</definedName>
    <definedName name="CAMB.G3.kWh.OP.LowB" localSheetId="0">#REF!</definedName>
    <definedName name="CAMB.G3.kWh.OP.LowB" localSheetId="6">#REF!</definedName>
    <definedName name="CAMB.G3.kWh.OP.LowB" localSheetId="7">#REF!</definedName>
    <definedName name="CAMB.G3.kWh.OP.LowB">#REF!</definedName>
    <definedName name="CAMB.G3.kWh.PK" localSheetId="0">#REF!</definedName>
    <definedName name="CAMB.G3.kWh.PK" localSheetId="6">#REF!</definedName>
    <definedName name="CAMB.G3.kWh.PK" localSheetId="7">#REF!</definedName>
    <definedName name="CAMB.G3.kWh.PK">#REF!</definedName>
    <definedName name="CAMB.G4.Cst" localSheetId="0">#REF!</definedName>
    <definedName name="CAMB.G4.Cst" localSheetId="6">#REF!</definedName>
    <definedName name="CAMB.G4.Cst" localSheetId="7">#REF!</definedName>
    <definedName name="CAMB.G4.Cst">#REF!</definedName>
    <definedName name="CAMB.G4.Dmd" localSheetId="0">#REF!</definedName>
    <definedName name="CAMB.G4.Dmd" localSheetId="6">#REF!</definedName>
    <definedName name="CAMB.G4.Dmd" localSheetId="7">#REF!</definedName>
    <definedName name="CAMB.G4.Dmd">#REF!</definedName>
    <definedName name="CAMB.G4.kWh.OP.LowA" localSheetId="0">#REF!</definedName>
    <definedName name="CAMB.G4.kWh.OP.LowA" localSheetId="6">#REF!</definedName>
    <definedName name="CAMB.G4.kWh.OP.LowA" localSheetId="7">#REF!</definedName>
    <definedName name="CAMB.G4.kWh.OP.LowA">#REF!</definedName>
    <definedName name="CAMB.G4.kWh.PK" localSheetId="0">#REF!</definedName>
    <definedName name="CAMB.G4.kWh.PK" localSheetId="6">#REF!</definedName>
    <definedName name="CAMB.G4.kWh.PK" localSheetId="7">#REF!</definedName>
    <definedName name="CAMB.G4.kWh.PK">#REF!</definedName>
    <definedName name="CAMB.G5.Cst" localSheetId="0">#REF!</definedName>
    <definedName name="CAMB.G5.Cst" localSheetId="6">#REF!</definedName>
    <definedName name="CAMB.G5.Cst" localSheetId="7">#REF!</definedName>
    <definedName name="CAMB.G5.Cst">#REF!</definedName>
    <definedName name="CAMB.G5.kWh.Blk1" localSheetId="0">#REF!</definedName>
    <definedName name="CAMB.G5.kWh.Blk1" localSheetId="6">#REF!</definedName>
    <definedName name="CAMB.G5.kWh.Blk1" localSheetId="7">#REF!</definedName>
    <definedName name="CAMB.G5.kWh.Blk1">#REF!</definedName>
    <definedName name="CAMB.G5.kWh.Blk2" localSheetId="0">#REF!</definedName>
    <definedName name="CAMB.G5.kWh.Blk2" localSheetId="6">#REF!</definedName>
    <definedName name="CAMB.G5.kWh.Blk2" localSheetId="7">#REF!</definedName>
    <definedName name="CAMB.G5.kWh.Blk2">#REF!</definedName>
    <definedName name="CAMB.G6.Cst" localSheetId="0">#REF!</definedName>
    <definedName name="CAMB.G6.Cst" localSheetId="6">#REF!</definedName>
    <definedName name="CAMB.G6.Cst" localSheetId="7">#REF!</definedName>
    <definedName name="CAMB.G6.Cst">#REF!</definedName>
    <definedName name="CAMB.G6.kWh.OP.LowA" localSheetId="0">#REF!</definedName>
    <definedName name="CAMB.G6.kWh.OP.LowA" localSheetId="6">#REF!</definedName>
    <definedName name="CAMB.G6.kWh.OP.LowA" localSheetId="7">#REF!</definedName>
    <definedName name="CAMB.G6.kWh.OP.LowA">#REF!</definedName>
    <definedName name="CAMB.G6.kWh.PK" localSheetId="0">#REF!</definedName>
    <definedName name="CAMB.G6.kWh.PK" localSheetId="6">#REF!</definedName>
    <definedName name="CAMB.G6.kWh.PK" localSheetId="7">#REF!</definedName>
    <definedName name="CAMB.G6.kWh.PK">#REF!</definedName>
    <definedName name="case" localSheetId="0">#REF!</definedName>
    <definedName name="case" localSheetId="6">#REF!</definedName>
    <definedName name="case" localSheetId="7">#REF!</definedName>
    <definedName name="case">#REF!</definedName>
    <definedName name="CBREV">#N/A</definedName>
    <definedName name="CBREV1">#N/A</definedName>
    <definedName name="CD" localSheetId="0">#REF!</definedName>
    <definedName name="CD" localSheetId="7">#REF!</definedName>
    <definedName name="CD">#REF!</definedName>
    <definedName name="CELLTOUSE" localSheetId="0">#REF!</definedName>
    <definedName name="CELLTOUSE" localSheetId="7">#REF!</definedName>
    <definedName name="CELLTOUSE">#REF!</definedName>
    <definedName name="CENCOM">#N/A</definedName>
    <definedName name="CENIND">#N/A</definedName>
    <definedName name="CENRES">#N/A</definedName>
    <definedName name="CENRET">#N/A</definedName>
    <definedName name="CENSTL">#N/A</definedName>
    <definedName name="CF__INV_FIN" localSheetId="7">#REF!</definedName>
    <definedName name="CF__INV_FIN">#REF!</definedName>
    <definedName name="CF__INV_FIN_ACT">#REF!</definedName>
    <definedName name="CF__OPERAT_ACT">#REF!</definedName>
    <definedName name="CF__OTHER_INV">#REF!</definedName>
    <definedName name="CF__OTHER_NET">#REF!</definedName>
    <definedName name="CFREV">#N/A</definedName>
    <definedName name="CGREV">#N/A</definedName>
    <definedName name="Choose_Lamp" localSheetId="6">#REF!</definedName>
    <definedName name="Choose_Lamp" localSheetId="7">#REF!</definedName>
    <definedName name="Choose_Lamp">#REF!</definedName>
    <definedName name="Choose_Wattage" localSheetId="6">#REF!</definedName>
    <definedName name="Choose_Wattage" localSheetId="7">#REF!</definedName>
    <definedName name="Choose_Wattage">#REF!</definedName>
    <definedName name="CI_Sewer" localSheetId="0">#REF!</definedName>
    <definedName name="CI_Sewer" localSheetId="6">#REF!</definedName>
    <definedName name="CI_Sewer" localSheetId="7">#REF!</definedName>
    <definedName name="CI_Sewer">#REF!</definedName>
    <definedName name="CI_Water" localSheetId="0">#REF!</definedName>
    <definedName name="CI_Water" localSheetId="6">#REF!</definedName>
    <definedName name="CI_Water" localSheetId="7">#REF!</definedName>
    <definedName name="CI_Water">#REF!</definedName>
    <definedName name="CLM" localSheetId="0">#REF!</definedName>
    <definedName name="CLM" localSheetId="7">#REF!</definedName>
    <definedName name="CLM">#REF!</definedName>
    <definedName name="CLP" localSheetId="0">#REF!</definedName>
    <definedName name="CLP" localSheetId="7">#REF!</definedName>
    <definedName name="CLP">#REF!</definedName>
    <definedName name="CLPDISC" localSheetId="0">#REF!</definedName>
    <definedName name="CLPDISC" localSheetId="6">#REF!</definedName>
    <definedName name="CLPDISC" localSheetId="7">#REF!</definedName>
    <definedName name="CLPDISC">#REF!</definedName>
    <definedName name="CLPECD">#REF!</definedName>
    <definedName name="CLPINC">#REF!</definedName>
    <definedName name="COE">#REF!</definedName>
    <definedName name="COG">#REF!</definedName>
    <definedName name="COMC">#N/A</definedName>
    <definedName name="COMMOD" localSheetId="6">#REF!</definedName>
    <definedName name="COMMOD" localSheetId="7">#REF!</definedName>
    <definedName name="COMMOD">#REF!</definedName>
    <definedName name="Contacts" localSheetId="7">#REF!</definedName>
    <definedName name="Contacts">#REF!</definedName>
    <definedName name="CONV" localSheetId="7">#REF!</definedName>
    <definedName name="CONV">#REF!</definedName>
    <definedName name="COUNTE" localSheetId="6">#REF!</definedName>
    <definedName name="COUNTE">#REF!</definedName>
    <definedName name="COUNTER">#REF!</definedName>
    <definedName name="COUNTF">#REF!</definedName>
    <definedName name="COVER">#REF!</definedName>
    <definedName name="CSAL">#N/A</definedName>
    <definedName name="CTREV">#N/A</definedName>
    <definedName name="CURMO">#REF!</definedName>
    <definedName name="CurrentDocket" localSheetId="0">#REF!</definedName>
    <definedName name="CurrentDocket" localSheetId="6">#REF!</definedName>
    <definedName name="CurrentDocket" localSheetId="7">#REF!</definedName>
    <definedName name="CurrentDocket">#REF!</definedName>
    <definedName name="CustG0Actual" localSheetId="0">#REF!</definedName>
    <definedName name="CustG0Actual" localSheetId="6">#REF!</definedName>
    <definedName name="CustG0Actual" localSheetId="7">#REF!</definedName>
    <definedName name="CustG0Actual">#REF!</definedName>
    <definedName name="Customers" localSheetId="0">#REF!</definedName>
    <definedName name="Customers" localSheetId="7">#REF!</definedName>
    <definedName name="Customers">#REF!</definedName>
    <definedName name="CustR1Actual" localSheetId="0">#REF!</definedName>
    <definedName name="CustR1Actual" localSheetId="7">#REF!</definedName>
    <definedName name="CustR1Actual">#REF!</definedName>
    <definedName name="CUTS">#REF!</definedName>
    <definedName name="D">#REF!</definedName>
    <definedName name="DATA2" localSheetId="7">#REF!</definedName>
    <definedName name="DATA2">#REF!</definedName>
    <definedName name="_xlnm.Database" localSheetId="0">#REF!</definedName>
    <definedName name="_xlnm.Database" localSheetId="7">#REF!</definedName>
    <definedName name="_xlnm.Database">#REF!</definedName>
    <definedName name="Date_of_Filing" localSheetId="0">#REF!</definedName>
    <definedName name="Date_of_Filing" localSheetId="6">#REF!</definedName>
    <definedName name="Date_of_Filing" localSheetId="7">#REF!</definedName>
    <definedName name="Date_of_Filing">#REF!</definedName>
    <definedName name="DD" localSheetId="0">#REF!</definedName>
    <definedName name="DD" localSheetId="6">#REF!</definedName>
    <definedName name="DD" localSheetId="7">#REF!</definedName>
    <definedName name="DD">#REF!</definedName>
    <definedName name="DECEMBER" localSheetId="0">#REF!</definedName>
    <definedName name="DECEMBER" localSheetId="7">#REF!</definedName>
    <definedName name="DECEMBER">#REF!</definedName>
    <definedName name="defsvcdef1999" localSheetId="0">#REF!</definedName>
    <definedName name="defsvcdef1999" localSheetId="6">#REF!</definedName>
    <definedName name="defsvcdef1999" localSheetId="7">#REF!</definedName>
    <definedName name="defsvcdef1999">#REF!</definedName>
    <definedName name="Deprate" localSheetId="0">#REF!</definedName>
    <definedName name="Deprate" localSheetId="7">#REF!</definedName>
    <definedName name="Deprate">#REF!</definedName>
    <definedName name="Detail_Billing_DD" localSheetId="0">#REF!</definedName>
    <definedName name="Detail_Billing_DD" localSheetId="6">#REF!</definedName>
    <definedName name="Detail_Billing_DD" localSheetId="7">#REF!</definedName>
    <definedName name="Detail_Billing_DD">#REF!</definedName>
    <definedName name="DIR_BAL_SHT" localSheetId="0">#REF!</definedName>
    <definedName name="DIR_BAL_SHT" localSheetId="7">#REF!</definedName>
    <definedName name="DIR_BAL_SHT">#REF!</definedName>
    <definedName name="DIR_BS" localSheetId="0">#REF!</definedName>
    <definedName name="DIR_BS" localSheetId="7">#REF!</definedName>
    <definedName name="DIR_BS">#REF!</definedName>
    <definedName name="DIR_INC_STMT" localSheetId="0">#REF!</definedName>
    <definedName name="DIR_INC_STMT" localSheetId="7">#REF!</definedName>
    <definedName name="DIR_INC_STMT">#REF!</definedName>
    <definedName name="DIR_IS">#REF!</definedName>
    <definedName name="Distribution" localSheetId="0">#REF!</definedName>
    <definedName name="Distribution" localSheetId="6">#REF!</definedName>
    <definedName name="Distribution" localSheetId="7">#REF!</definedName>
    <definedName name="Distribution">#REF!</definedName>
    <definedName name="dripe" localSheetId="0">#REF!</definedName>
    <definedName name="dripe" localSheetId="6">#REF!</definedName>
    <definedName name="dripe" localSheetId="7">#REF!</definedName>
    <definedName name="dripe">#REF!</definedName>
    <definedName name="DRIPE_LIGHT" localSheetId="0">#REF!</definedName>
    <definedName name="DRIPE_LIGHT" localSheetId="6">#REF!</definedName>
    <definedName name="DRIPE_LIGHT" localSheetId="7">#REF!</definedName>
    <definedName name="DRIPE_LIGHT">#REF!</definedName>
    <definedName name="dsint1999" localSheetId="0">#REF!</definedName>
    <definedName name="dsint1999" localSheetId="6">#REF!</definedName>
    <definedName name="dsint1999" localSheetId="7">#REF!</definedName>
    <definedName name="dsint1999">#REF!</definedName>
    <definedName name="DSM" localSheetId="0">#REF!</definedName>
    <definedName name="DSM" localSheetId="6">#REF!</definedName>
    <definedName name="DSM" localSheetId="7">#REF!</definedName>
    <definedName name="DSM">#REF!</definedName>
    <definedName name="EASCOM">#N/A</definedName>
    <definedName name="EASIND">#N/A</definedName>
    <definedName name="EASRES">#N/A</definedName>
    <definedName name="EASSTL">#N/A</definedName>
    <definedName name="EASTERN">#N/A</definedName>
    <definedName name="EASTOT">#N/A</definedName>
    <definedName name="Efftax" localSheetId="0">#REF!</definedName>
    <definedName name="Efftax" localSheetId="6">#REF!</definedName>
    <definedName name="Efftax" localSheetId="7">#REF!</definedName>
    <definedName name="Efftax">#REF!</definedName>
    <definedName name="END_PAGE" localSheetId="0">#REF!</definedName>
    <definedName name="END_PAGE" localSheetId="6">#REF!</definedName>
    <definedName name="END_PAGE" localSheetId="7">#REF!</definedName>
    <definedName name="END_PAGE">#REF!</definedName>
    <definedName name="Equip4A" localSheetId="0">#REF!</definedName>
    <definedName name="Equip4A" localSheetId="7">#REF!</definedName>
    <definedName name="Equip4A">#REF!</definedName>
    <definedName name="EV__LASTREFTIME__" hidden="1">42136.6929976852</definedName>
    <definedName name="EXCSTPRORATE">#REF!</definedName>
    <definedName name="Exhibit" localSheetId="0">#REF!</definedName>
    <definedName name="Exhibit" localSheetId="6">#REF!</definedName>
    <definedName name="Exhibit" localSheetId="7">#REF!</definedName>
    <definedName name="Exhibit">#REF!</definedName>
    <definedName name="FEBRUARY" localSheetId="0">#REF!</definedName>
    <definedName name="FEBRUARY" localSheetId="7">#REF!</definedName>
    <definedName name="FEBRUARY">#REF!</definedName>
    <definedName name="FIT" localSheetId="0">#REF!</definedName>
    <definedName name="FIT" localSheetId="6">#REF!</definedName>
    <definedName name="FIT" localSheetId="7">#REF!</definedName>
    <definedName name="FIT">#REF!</definedName>
    <definedName name="FOCUS" localSheetId="0">#REF!</definedName>
    <definedName name="FOCUS" localSheetId="7">#REF!</definedName>
    <definedName name="FOCUS">#REF!</definedName>
    <definedName name="FOCUS01" localSheetId="0">#REF!</definedName>
    <definedName name="FOCUS01" localSheetId="7">#REF!</definedName>
    <definedName name="FOCUS01">#REF!</definedName>
    <definedName name="FRA_HEAT" localSheetId="0">#REF!</definedName>
    <definedName name="FRA_HEAT" localSheetId="6">#REF!</definedName>
    <definedName name="FRA_HEAT" localSheetId="7">#REF!</definedName>
    <definedName name="FRA_HEAT">#REF!</definedName>
    <definedName name="FRA_NON">#REF!</definedName>
    <definedName name="Fuel" localSheetId="0">#REF!</definedName>
    <definedName name="Fuel" localSheetId="6">#REF!</definedName>
    <definedName name="Fuel" localSheetId="7">#REF!</definedName>
    <definedName name="Fuel">#REF!</definedName>
    <definedName name="FUELKWH">#N/A</definedName>
    <definedName name="FULL_DRIPE" localSheetId="0">#REF!</definedName>
    <definedName name="FULL_DRIPE" localSheetId="6">#REF!</definedName>
    <definedName name="FULL_DRIPE" localSheetId="7">#REF!</definedName>
    <definedName name="FULL_DRIPE">#REF!</definedName>
    <definedName name="FUTRYRSBASEREV" localSheetId="0">#REF!</definedName>
    <definedName name="FUTRYRSBASEREV" localSheetId="7">#REF!</definedName>
    <definedName name="FUTRYRSBASEREV">#REF!</definedName>
    <definedName name="FUTURECGAC" localSheetId="0">#REF!</definedName>
    <definedName name="FUTURECGAC" localSheetId="7">#REF!</definedName>
    <definedName name="FUTURECGAC">#REF!</definedName>
    <definedName name="FUTYRBBTUSUM" localSheetId="0">#REF!</definedName>
    <definedName name="FUTYRBBTUSUM" localSheetId="7">#REF!</definedName>
    <definedName name="FUTYRBBTUSUM">#REF!</definedName>
    <definedName name="FUTYRFIRMSALES">#REF!</definedName>
    <definedName name="FYR" localSheetId="7">#REF!</definedName>
    <definedName name="FYR">#REF!</definedName>
    <definedName name="FYR10A" localSheetId="7">#REF!</definedName>
    <definedName name="FYR10A">#REF!</definedName>
    <definedName name="FYR10B" localSheetId="7">#REF!</definedName>
    <definedName name="FYR10B">#REF!</definedName>
    <definedName name="FYR11A" localSheetId="7">#REF!</definedName>
    <definedName name="FYR11A">#REF!</definedName>
    <definedName name="FYR11B" localSheetId="7">#REF!</definedName>
    <definedName name="FYR11B">#REF!</definedName>
    <definedName name="FYR12A" localSheetId="7">#REF!</definedName>
    <definedName name="FYR12A">#REF!</definedName>
    <definedName name="FYR12B" localSheetId="7">#REF!</definedName>
    <definedName name="FYR12B">#REF!</definedName>
    <definedName name="FYR8A" localSheetId="7">#REF!</definedName>
    <definedName name="FYR8A">#REF!</definedName>
    <definedName name="FYR8B" localSheetId="7">#REF!</definedName>
    <definedName name="FYR8B">#REF!</definedName>
    <definedName name="FYR9A" localSheetId="7">#REF!</definedName>
    <definedName name="FYR9A">#REF!</definedName>
    <definedName name="FYR9B" localSheetId="7">#REF!</definedName>
    <definedName name="FYR9B">#REF!</definedName>
    <definedName name="gencost1999" localSheetId="0">#REF!</definedName>
    <definedName name="gencost1999" localSheetId="6">#REF!</definedName>
    <definedName name="gencost1999" localSheetId="7">#REF!</definedName>
    <definedName name="gencost1999">#REF!</definedName>
    <definedName name="generation" localSheetId="0">#REF!</definedName>
    <definedName name="generation" localSheetId="7">#REF!</definedName>
    <definedName name="generation">#REF!</definedName>
    <definedName name="genfcst1999" localSheetId="0">#REF!</definedName>
    <definedName name="genfcst1999" localSheetId="7">#REF!</definedName>
    <definedName name="genfcst1999">#REF!</definedName>
    <definedName name="GET">#REF!</definedName>
    <definedName name="GETREF">#REF!</definedName>
    <definedName name="GRAN">#REF!</definedName>
    <definedName name="HD_TL_BASEREV1">#REF!</definedName>
    <definedName name="HD_TL_CUSTCOUNT">#REF!</definedName>
    <definedName name="HDR">#REF!</definedName>
    <definedName name="HELP">#REF!</definedName>
    <definedName name="HO" localSheetId="0">#REF!</definedName>
    <definedName name="HO" localSheetId="6">#REF!</definedName>
    <definedName name="HO" localSheetId="7">#REF!</definedName>
    <definedName name="HO">#REF!</definedName>
    <definedName name="HOMEFUTSUM" localSheetId="0">#REF!</definedName>
    <definedName name="HOMEFUTSUM" localSheetId="7">#REF!</definedName>
    <definedName name="HOMEFUTSUM">#REF!</definedName>
    <definedName name="HOMEYR1SUM" localSheetId="0">#REF!</definedName>
    <definedName name="HOMEYR1SUM" localSheetId="7">#REF!</definedName>
    <definedName name="HOMEYR1SUM">#REF!</definedName>
    <definedName name="HOMEYR2SUM" localSheetId="0">#REF!</definedName>
    <definedName name="HOMEYR2SUM" localSheetId="7">#REF!</definedName>
    <definedName name="HOMEYR2SUM">#REF!</definedName>
    <definedName name="HP_Sodium" localSheetId="6">#REF!</definedName>
    <definedName name="HP_Sodium">#REF!</definedName>
    <definedName name="HWP">#REF!</definedName>
    <definedName name="I93_">#N/A</definedName>
    <definedName name="I94_">#N/A</definedName>
    <definedName name="I95_">#N/A</definedName>
    <definedName name="I96_">#N/A</definedName>
    <definedName name="IALLOC">#N/A</definedName>
    <definedName name="IBREV">#N/A</definedName>
    <definedName name="IBREV1">#N/A</definedName>
    <definedName name="ID" localSheetId="7" hidden="1">"abde5eea-4610-427f-bfcc-d98b33ca092d"</definedName>
    <definedName name="IFREV">#N/A</definedName>
    <definedName name="IGREV">#N/A</definedName>
    <definedName name="Incandescent" localSheetId="6">#REF!</definedName>
    <definedName name="Incandescent" localSheetId="7">#REF!</definedName>
    <definedName name="Incandescent">#REF!</definedName>
    <definedName name="IND_RAN" localSheetId="7">#REF!</definedName>
    <definedName name="IND_RAN">#REF!</definedName>
    <definedName name="INDC">#N/A</definedName>
    <definedName name="INDMOD" localSheetId="6">#REF!</definedName>
    <definedName name="INDMOD" localSheetId="7">#REF!</definedName>
    <definedName name="INDMOD">#REF!</definedName>
    <definedName name="inf" localSheetId="0">#REF!</definedName>
    <definedName name="inf" localSheetId="6">#REF!</definedName>
    <definedName name="inf" localSheetId="7">#REF!</definedName>
    <definedName name="inf">#REF!</definedName>
    <definedName name="INPUT" localSheetId="0">#REF!</definedName>
    <definedName name="INPUT" localSheetId="7">#REF!</definedName>
    <definedName name="INPUT">#REF!</definedName>
    <definedName name="INPUT_B_S_ASSET" localSheetId="0">#REF!</definedName>
    <definedName name="INPUT_B_S_ASSET" localSheetId="7">#REF!</definedName>
    <definedName name="INPUT_B_S_ASSET">#REF!</definedName>
    <definedName name="INPUT_B_S_LIAB" localSheetId="0">#REF!</definedName>
    <definedName name="INPUT_B_S_LIAB" localSheetId="7">#REF!</definedName>
    <definedName name="INPUT_B_S_LIAB">#REF!</definedName>
    <definedName name="INPUT_BS_ASSETS">#REF!</definedName>
    <definedName name="INPUT_BS_LIAB">#REF!</definedName>
    <definedName name="INPUT_COUNT">#REF!</definedName>
    <definedName name="INPUT_EXCESS">#REF!</definedName>
    <definedName name="INPUT_FORMULA">#REF!</definedName>
    <definedName name="INPUT_MTD_I_S">#REF!</definedName>
    <definedName name="INPUTDATE">#REF!</definedName>
    <definedName name="INPUTGAF">#REF!</definedName>
    <definedName name="INPUTPRORATION" localSheetId="7">#REF!</definedName>
    <definedName name="INPUTPRORATION">#REF!</definedName>
    <definedName name="INPUTSENDOUT" localSheetId="0">#REF!</definedName>
    <definedName name="INPUTSENDOUT" localSheetId="7">#REF!</definedName>
    <definedName name="INPUTSENDOUT">#REF!</definedName>
    <definedName name="ISAL">#N/A</definedName>
    <definedName name="ITREV">#N/A</definedName>
    <definedName name="J" localSheetId="0">#REF!</definedName>
    <definedName name="J" localSheetId="7">#REF!</definedName>
    <definedName name="J">#REF!</definedName>
    <definedName name="JANUARY" localSheetId="0">#REF!</definedName>
    <definedName name="JANUARY" localSheetId="7">#REF!</definedName>
    <definedName name="JANUARY">#REF!</definedName>
    <definedName name="JULY">#REF!</definedName>
    <definedName name="JUN_PCT" localSheetId="6">#REF!</definedName>
    <definedName name="JUN_PCT">#REF!</definedName>
    <definedName name="JUNE">#REF!</definedName>
    <definedName name="l" hidden="1">0</definedName>
    <definedName name="label" localSheetId="5">#REF!</definedName>
    <definedName name="label">#REF!</definedName>
    <definedName name="LABOR">#REF!</definedName>
    <definedName name="LaborRate">#REF!</definedName>
    <definedName name="LED">#REF!</definedName>
    <definedName name="LIAB">#REF!</definedName>
    <definedName name="LIAB_B_S">#REF!</definedName>
    <definedName name="LINK_BASEREV">#REF!</definedName>
    <definedName name="LINK_UNBILLED">#REF!</definedName>
    <definedName name="List" localSheetId="7">#REF!</definedName>
    <definedName name="List">#REF!</definedName>
    <definedName name="List_HPS_Wattage" localSheetId="0">#REF!</definedName>
    <definedName name="List_HPS_Wattage" localSheetId="6">#REF!</definedName>
    <definedName name="List_HPS_Wattage" localSheetId="7">#REF!</definedName>
    <definedName name="List_HPS_Wattage">#REF!</definedName>
    <definedName name="List_Inc_Wattage" localSheetId="0">#REF!</definedName>
    <definedName name="List_Inc_Wattage" localSheetId="7">#REF!</definedName>
    <definedName name="List_Inc_Wattage">#REF!</definedName>
    <definedName name="List_Lamp_Type" localSheetId="0">#REF!</definedName>
    <definedName name="List_Lamp_Type" localSheetId="7">#REF!</definedName>
    <definedName name="List_Lamp_Type">#REF!</definedName>
    <definedName name="List_LED_Wattage">#REF!</definedName>
    <definedName name="List_MH_Wattage">#REF!</definedName>
    <definedName name="List_MV_Wattage">#REF!</definedName>
    <definedName name="List2" localSheetId="7">#REF!</definedName>
    <definedName name="List2">#REF!</definedName>
    <definedName name="LMPDelta" localSheetId="0">#REF!</definedName>
    <definedName name="LMPDelta" localSheetId="6">#REF!</definedName>
    <definedName name="LMPDelta" localSheetId="7">#REF!</definedName>
    <definedName name="LMPDelta">#REF!</definedName>
    <definedName name="LoaderASE" localSheetId="0">#REF!</definedName>
    <definedName name="LoaderASE" localSheetId="7">#REF!</definedName>
    <definedName name="LoaderASE">#REF!</definedName>
    <definedName name="LoaderDirEng" localSheetId="0">#REF!</definedName>
    <definedName name="LoaderDirEng" localSheetId="7">#REF!</definedName>
    <definedName name="LoaderDirEng">#REF!</definedName>
    <definedName name="LoaderES">#REF!</definedName>
    <definedName name="LoaderLabor">#REF!</definedName>
    <definedName name="LoaderNonProd">#REF!</definedName>
    <definedName name="LoaderST">#REF!</definedName>
    <definedName name="loadshape" localSheetId="0">#REF!</definedName>
    <definedName name="loadshape" localSheetId="6">#REF!</definedName>
    <definedName name="loadshape" localSheetId="7">#REF!</definedName>
    <definedName name="loadshape">#REF!</definedName>
    <definedName name="LTCOM" localSheetId="0">#REF!</definedName>
    <definedName name="LTCOM" localSheetId="6">#REF!</definedName>
    <definedName name="LTCOM" localSheetId="7">#REF!</definedName>
    <definedName name="LTCOM">#REF!</definedName>
    <definedName name="LTIND" localSheetId="0">#REF!</definedName>
    <definedName name="LTIND" localSheetId="7">#REF!</definedName>
    <definedName name="LTIND">#REF!</definedName>
    <definedName name="LTRES" localSheetId="0">#REF!</definedName>
    <definedName name="LTRES" localSheetId="7">#REF!</definedName>
    <definedName name="LTRES">#REF!</definedName>
    <definedName name="LTRET">#REF!</definedName>
    <definedName name="LTSTL">#REF!</definedName>
    <definedName name="Luminaire_Types">#REF!</definedName>
    <definedName name="LYR" localSheetId="7">#REF!</definedName>
    <definedName name="LYR">#REF!</definedName>
    <definedName name="lysales" localSheetId="7">#REF!</definedName>
    <definedName name="lysales">#REF!</definedName>
    <definedName name="lysalesdata" localSheetId="7">#REF!</definedName>
    <definedName name="lysalesdata">#REF!</definedName>
    <definedName name="M" localSheetId="0">#REF!</definedName>
    <definedName name="M" localSheetId="7">#REF!</definedName>
    <definedName name="M">#REF!</definedName>
    <definedName name="MARCH" localSheetId="0">#REF!</definedName>
    <definedName name="MARCH" localSheetId="7">#REF!</definedName>
    <definedName name="MARCH">#REF!</definedName>
    <definedName name="MARGIN" localSheetId="0">#REF!</definedName>
    <definedName name="MARGIN" localSheetId="7">#REF!</definedName>
    <definedName name="MARGIN">#REF!</definedName>
    <definedName name="mat_prices" localSheetId="0">#REF!</definedName>
    <definedName name="mat_prices" localSheetId="6">#REF!</definedName>
    <definedName name="mat_prices" localSheetId="7">#REF!</definedName>
    <definedName name="mat_prices">#REF!</definedName>
    <definedName name="MatLoader" localSheetId="0">#REF!</definedName>
    <definedName name="MatLoader" localSheetId="6">#REF!</definedName>
    <definedName name="MatLoader" localSheetId="7">#REF!</definedName>
    <definedName name="MatLoader">#REF!</definedName>
    <definedName name="MAY" localSheetId="0">#REF!</definedName>
    <definedName name="MAY" localSheetId="7">#REF!</definedName>
    <definedName name="MAY">#REF!</definedName>
    <definedName name="Mercury_Vapor" localSheetId="0">#REF!</definedName>
    <definedName name="Mercury_Vapor" localSheetId="7">#REF!</definedName>
    <definedName name="Mercury_Vapor">#REF!</definedName>
    <definedName name="Metal_Halide">#REF!</definedName>
    <definedName name="MMCF_DOM">#REF!</definedName>
    <definedName name="MRAA" localSheetId="7">#REF!</definedName>
    <definedName name="MRAA">#REF!</definedName>
    <definedName name="MRBA" localSheetId="7">#REF!</definedName>
    <definedName name="MRBA">#REF!</definedName>
    <definedName name="MRFA" localSheetId="7">#REF!</definedName>
    <definedName name="MRFA">#REF!</definedName>
    <definedName name="MRPFA" localSheetId="7">#REF!</definedName>
    <definedName name="MRPFA">#REF!</definedName>
    <definedName name="MTD_I_S" localSheetId="0">#REF!</definedName>
    <definedName name="MTD_I_S" localSheetId="7">#REF!</definedName>
    <definedName name="MTD_I_S">#REF!</definedName>
    <definedName name="MUL_TOT" localSheetId="0">#REF!</definedName>
    <definedName name="MUL_TOT" localSheetId="7">#REF!</definedName>
    <definedName name="MUL_TOT">#REF!</definedName>
    <definedName name="NEES" localSheetId="0">#REF!</definedName>
    <definedName name="NEES" localSheetId="7">#REF!</definedName>
    <definedName name="NEES">#REF!</definedName>
    <definedName name="NEW_HEAT">#REF!</definedName>
    <definedName name="NEW_NON">#REF!</definedName>
    <definedName name="NomDisRate2014" localSheetId="0">#REF!</definedName>
    <definedName name="NomDisRate2014" localSheetId="6">#REF!</definedName>
    <definedName name="NomDisRate2014" localSheetId="7">#REF!</definedName>
    <definedName name="NomDisRate2014">#REF!</definedName>
    <definedName name="NomDisRate2015" localSheetId="0">#REF!</definedName>
    <definedName name="NomDisRate2015" localSheetId="6">#REF!</definedName>
    <definedName name="NomDisRate2015" localSheetId="7">#REF!</definedName>
    <definedName name="NomDisRate2015">#REF!</definedName>
    <definedName name="NomDisRate2017" localSheetId="0">#REF!</definedName>
    <definedName name="NomDisRate2017" localSheetId="6">#REF!</definedName>
    <definedName name="NomDisRate2017" localSheetId="7">#REF!</definedName>
    <definedName name="NomDisRate2017">#REF!</definedName>
    <definedName name="NomDisRate2018" localSheetId="0">#REF!</definedName>
    <definedName name="NomDisRate2018" localSheetId="6">#REF!</definedName>
    <definedName name="NomDisRate2018" localSheetId="7">#REF!</definedName>
    <definedName name="NomDisRate2018">#REF!</definedName>
    <definedName name="Non_Resource" localSheetId="0">#REF!</definedName>
    <definedName name="Non_Resource" localSheetId="6">#REF!</definedName>
    <definedName name="Non_Resource" localSheetId="7">#REF!</definedName>
    <definedName name="Non_Resource">#REF!</definedName>
    <definedName name="NonProdLoader" localSheetId="0">#REF!</definedName>
    <definedName name="NonProdLoader" localSheetId="6">#REF!</definedName>
    <definedName name="NonProdLoader" localSheetId="7">#REF!</definedName>
    <definedName name="NonProdLoader">#REF!</definedName>
    <definedName name="NORM_SALES_AND_READING_DAYS" localSheetId="0">#REF!</definedName>
    <definedName name="NORM_SALES_AND_READING_DAYS" localSheetId="6">#REF!</definedName>
    <definedName name="NORM_SALES_AND_READING_DAYS" localSheetId="7">#REF!</definedName>
    <definedName name="NORM_SALES_AND_READING_DAYS">#REF!</definedName>
    <definedName name="NOTE" localSheetId="0">#REF!</definedName>
    <definedName name="NOTE" localSheetId="7">#REF!</definedName>
    <definedName name="NOTE">#REF!</definedName>
    <definedName name="NOVEMBER" localSheetId="0">#REF!</definedName>
    <definedName name="NOVEMBER" localSheetId="7">#REF!</definedName>
    <definedName name="NOVEMBER">#REF!</definedName>
    <definedName name="NU" localSheetId="0">#REF!</definedName>
    <definedName name="NU" localSheetId="7">#REF!</definedName>
    <definedName name="NU">#REF!</definedName>
    <definedName name="NvsASD">"V2009-06-30"</definedName>
    <definedName name="NvsAutoDrillOk">"VN"</definedName>
    <definedName name="NvsElapsedTime">0.0000810185156296939</definedName>
    <definedName name="NvsEndTime">40005.0220949074</definedName>
    <definedName name="NvsInstLang">"VENG"</definedName>
    <definedName name="NvsInstSpec">"%,FBUSINESS_UNIT,V00005"</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"V2003-11-05"</definedName>
    <definedName name="NvsPanelSetid">"VSHARE"</definedName>
    <definedName name="NvsReqBU">"VNVSDD"</definedName>
    <definedName name="NvsReqBUOnly">"VN"</definedName>
    <definedName name="NvsTransLed">"VN"</definedName>
    <definedName name="NvsTreeASD">"V2009-06-30"</definedName>
    <definedName name="NvsValTbl.ACCOUNT">"GL_ACCOUNT_TBL"</definedName>
    <definedName name="o">#REF!</definedName>
    <definedName name="OCTOBER">#REF!</definedName>
    <definedName name="om">#REF!</definedName>
    <definedName name="OMBA" localSheetId="7">#REF!</definedName>
    <definedName name="OMBA">#REF!</definedName>
    <definedName name="Orig_Lamp" localSheetId="0">#REF!</definedName>
    <definedName name="Orig_Lamp" localSheetId="6">#REF!</definedName>
    <definedName name="Orig_Lamp" localSheetId="7">#REF!</definedName>
    <definedName name="Orig_Lamp">#REF!</definedName>
    <definedName name="PA" localSheetId="0">#REF!</definedName>
    <definedName name="PA" localSheetId="6">#REF!</definedName>
    <definedName name="PA" localSheetId="7">#REF!</definedName>
    <definedName name="PA">#REF!</definedName>
    <definedName name="Padj" localSheetId="0">#REF!</definedName>
    <definedName name="Padj" localSheetId="6">#REF!</definedName>
    <definedName name="Padj" localSheetId="7">#REF!</definedName>
    <definedName name="Padj">#REF!</definedName>
    <definedName name="Page1" localSheetId="0">#REF!</definedName>
    <definedName name="Page1" localSheetId="5">#REF!</definedName>
    <definedName name="Page1" localSheetId="6">#REF!</definedName>
    <definedName name="Page1" localSheetId="7">#REF!</definedName>
    <definedName name="Page1">#REF!</definedName>
    <definedName name="Page2" localSheetId="0">#REF!</definedName>
    <definedName name="Page2" localSheetId="5">#REF!</definedName>
    <definedName name="Page2" localSheetId="6">#REF!</definedName>
    <definedName name="Page2" localSheetId="7">#REF!</definedName>
    <definedName name="Page2">#REF!</definedName>
    <definedName name="Page3" localSheetId="0">#REF!</definedName>
    <definedName name="Page3" localSheetId="5">#REF!</definedName>
    <definedName name="Page3" localSheetId="6">#REF!</definedName>
    <definedName name="Page3" localSheetId="7">#REF!</definedName>
    <definedName name="Page3">#REF!</definedName>
    <definedName name="Page4" localSheetId="0">#REF!</definedName>
    <definedName name="Page4" localSheetId="5">#REF!</definedName>
    <definedName name="Page4" localSheetId="6">#REF!</definedName>
    <definedName name="Page4" localSheetId="7">#REF!</definedName>
    <definedName name="Page4">#REF!</definedName>
    <definedName name="Page5" localSheetId="0">#REF!</definedName>
    <definedName name="Page5" localSheetId="5">#REF!</definedName>
    <definedName name="Page5" localSheetId="6">#REF!</definedName>
    <definedName name="Page5" localSheetId="7">#REF!</definedName>
    <definedName name="Page5">#REF!</definedName>
    <definedName name="Page6" localSheetId="0">#REF!</definedName>
    <definedName name="Page6" localSheetId="5">#REF!</definedName>
    <definedName name="Page6" localSheetId="6">#REF!</definedName>
    <definedName name="Page6" localSheetId="7">#REF!</definedName>
    <definedName name="Page6">#REF!</definedName>
    <definedName name="PC10A" localSheetId="7">#REF!</definedName>
    <definedName name="PC10A">#REF!</definedName>
    <definedName name="PC10B" localSheetId="7">#REF!</definedName>
    <definedName name="PC10B">#REF!</definedName>
    <definedName name="PC11A" localSheetId="7">#REF!</definedName>
    <definedName name="PC11A">#REF!</definedName>
    <definedName name="PC11B" localSheetId="7">#REF!</definedName>
    <definedName name="PC11B">#REF!</definedName>
    <definedName name="PC12A" localSheetId="7">#REF!</definedName>
    <definedName name="PC12A">#REF!</definedName>
    <definedName name="PC12B" localSheetId="7">#REF!</definedName>
    <definedName name="PC12B">#REF!</definedName>
    <definedName name="PC1A" localSheetId="7">#REF!</definedName>
    <definedName name="PC1A">#REF!</definedName>
    <definedName name="PC1B" localSheetId="7">#REF!</definedName>
    <definedName name="PC1B">#REF!</definedName>
    <definedName name="PC2A" localSheetId="7">#REF!</definedName>
    <definedName name="PC2A">#REF!</definedName>
    <definedName name="PC2B" localSheetId="7">#REF!</definedName>
    <definedName name="PC2B">#REF!</definedName>
    <definedName name="PC3A" localSheetId="7">#REF!</definedName>
    <definedName name="PC3A">#REF!</definedName>
    <definedName name="PC3B" localSheetId="7">#REF!</definedName>
    <definedName name="PC3B">#REF!</definedName>
    <definedName name="PC4A" localSheetId="7">#REF!</definedName>
    <definedName name="PC4A">#REF!</definedName>
    <definedName name="PC4B" localSheetId="7">#REF!</definedName>
    <definedName name="PC4B">#REF!</definedName>
    <definedName name="PC5A" localSheetId="7">#REF!</definedName>
    <definedName name="PC5A">#REF!</definedName>
    <definedName name="PC5B" localSheetId="7">#REF!</definedName>
    <definedName name="PC5B">#REF!</definedName>
    <definedName name="PC6A" localSheetId="7">#REF!</definedName>
    <definedName name="PC6A">#REF!</definedName>
    <definedName name="PC6B" localSheetId="7">#REF!</definedName>
    <definedName name="PC6B">#REF!</definedName>
    <definedName name="PC7A" localSheetId="7">#REF!</definedName>
    <definedName name="PC7A">#REF!</definedName>
    <definedName name="PC7B" localSheetId="7">#REF!</definedName>
    <definedName name="PC7B">#REF!</definedName>
    <definedName name="PC8A" localSheetId="7">#REF!</definedName>
    <definedName name="PC8A">#REF!</definedName>
    <definedName name="PC8B" localSheetId="7">#REF!</definedName>
    <definedName name="PC8B">#REF!</definedName>
    <definedName name="PC9A" localSheetId="7">#REF!</definedName>
    <definedName name="PC9A">#REF!</definedName>
    <definedName name="PC9B" localSheetId="7">#REF!</definedName>
    <definedName name="PC9B">#REF!</definedName>
    <definedName name="PensAdj" localSheetId="0">#REF!</definedName>
    <definedName name="PensAdj" localSheetId="6">#REF!</definedName>
    <definedName name="PensAdj" localSheetId="7">#REF!</definedName>
    <definedName name="PensAdj">#REF!</definedName>
    <definedName name="PER" localSheetId="0">#REF!</definedName>
    <definedName name="PER" localSheetId="7">#REF!</definedName>
    <definedName name="PER">#REF!</definedName>
    <definedName name="PER10A" localSheetId="0">#REF!</definedName>
    <definedName name="PER10A" localSheetId="7">#REF!</definedName>
    <definedName name="PER10A">#REF!</definedName>
    <definedName name="PER10B" localSheetId="0">#REF!</definedName>
    <definedName name="PER10B" localSheetId="7">#REF!</definedName>
    <definedName name="PER10B">#REF!</definedName>
    <definedName name="PER11A" localSheetId="0">#REF!</definedName>
    <definedName name="PER11A" localSheetId="7">#REF!</definedName>
    <definedName name="PER11A">#REF!</definedName>
    <definedName name="PER11B" localSheetId="7">#REF!</definedName>
    <definedName name="PER11B">#REF!</definedName>
    <definedName name="PER12A" localSheetId="7">#REF!</definedName>
    <definedName name="PER12A">#REF!</definedName>
    <definedName name="PER12B" localSheetId="7">#REF!</definedName>
    <definedName name="PER12B">#REF!</definedName>
    <definedName name="PER1A" localSheetId="7">#REF!</definedName>
    <definedName name="PER1A">#REF!</definedName>
    <definedName name="PER1B" localSheetId="7">#REF!</definedName>
    <definedName name="PER1B">#REF!</definedName>
    <definedName name="PER2A" localSheetId="7">#REF!</definedName>
    <definedName name="PER2A">#REF!</definedName>
    <definedName name="PER2B" localSheetId="7">#REF!</definedName>
    <definedName name="PER2B">#REF!</definedName>
    <definedName name="PER3A" localSheetId="7">#REF!</definedName>
    <definedName name="PER3A">#REF!</definedName>
    <definedName name="PER3B" localSheetId="7">#REF!</definedName>
    <definedName name="PER3B">#REF!</definedName>
    <definedName name="PER4A" localSheetId="7">#REF!</definedName>
    <definedName name="PER4A">#REF!</definedName>
    <definedName name="PER4B" localSheetId="7">#REF!</definedName>
    <definedName name="PER4B">#REF!</definedName>
    <definedName name="PER5A" localSheetId="7">#REF!</definedName>
    <definedName name="PER5A">#REF!</definedName>
    <definedName name="PER5B" localSheetId="7">#REF!</definedName>
    <definedName name="PER5B">#REF!</definedName>
    <definedName name="PER6A" localSheetId="7">#REF!</definedName>
    <definedName name="PER6A">#REF!</definedName>
    <definedName name="PER6B" localSheetId="7">#REF!</definedName>
    <definedName name="PER6B">#REF!</definedName>
    <definedName name="PER7A" localSheetId="7">#REF!</definedName>
    <definedName name="PER7A">#REF!</definedName>
    <definedName name="PER7B" localSheetId="7">#REF!</definedName>
    <definedName name="PER7B">#REF!</definedName>
    <definedName name="PER8A" localSheetId="7">#REF!</definedName>
    <definedName name="PER8A">#REF!</definedName>
    <definedName name="PER8B" localSheetId="7">#REF!</definedName>
    <definedName name="PER8B">#REF!</definedName>
    <definedName name="PER9A" localSheetId="7">#REF!</definedName>
    <definedName name="PER9A">#REF!</definedName>
    <definedName name="PER9B" localSheetId="7">#REF!</definedName>
    <definedName name="PER9B">#REF!</definedName>
    <definedName name="PG1A" localSheetId="0">#REF!</definedName>
    <definedName name="PG1A" localSheetId="7">#REF!</definedName>
    <definedName name="PG1A">#REF!</definedName>
    <definedName name="PG1B" localSheetId="0">#REF!</definedName>
    <definedName name="PG1B" localSheetId="7">#REF!</definedName>
    <definedName name="PG1B">#REF!</definedName>
    <definedName name="PG2A" localSheetId="0">#REF!</definedName>
    <definedName name="PG2A" localSheetId="7">#REF!</definedName>
    <definedName name="PG2A">#REF!</definedName>
    <definedName name="PG2B">#REF!</definedName>
    <definedName name="PG3A">#REF!</definedName>
    <definedName name="PG3B">#REF!</definedName>
    <definedName name="phone" localSheetId="7">#REF!</definedName>
    <definedName name="phone">#REF!</definedName>
    <definedName name="Pick_Title_Month" localSheetId="7">#REF!</definedName>
    <definedName name="Pick_Title_Month">#REF!</definedName>
    <definedName name="Pole_Types" localSheetId="0">#REF!</definedName>
    <definedName name="Pole_Types" localSheetId="6">#REF!</definedName>
    <definedName name="Pole_Types" localSheetId="7">#REF!</definedName>
    <definedName name="Pole_Types">#REF!</definedName>
    <definedName name="PopCache_GL_INTERFACE_REFERENCE7" localSheetId="0" hidden="1">#REF!</definedName>
    <definedName name="PopCache_GL_INTERFACE_REFERENCE7" localSheetId="7" hidden="1">#REF!</definedName>
    <definedName name="PopCache_GL_INTERFACE_REFERENCE7" hidden="1">#REF!</definedName>
    <definedName name="PPage" localSheetId="0">#REF!</definedName>
    <definedName name="PPage" localSheetId="7">#REF!</definedName>
    <definedName name="PPage">#REF!</definedName>
    <definedName name="PPage1" localSheetId="0">#REF!</definedName>
    <definedName name="PPage1" localSheetId="7">#REF!</definedName>
    <definedName name="PPage1">#REF!</definedName>
    <definedName name="PPage2" localSheetId="0">#REF!</definedName>
    <definedName name="PPage2" localSheetId="7">#REF!</definedName>
    <definedName name="PPage2">#REF!</definedName>
    <definedName name="Price_Lamp">#REF!</definedName>
    <definedName name="PRINT_1">#REF!</definedName>
    <definedName name="PRINT_10">#REF!</definedName>
    <definedName name="PRINT_11">#REF!</definedName>
    <definedName name="PRINT_12">#REF!</definedName>
    <definedName name="PRINT_13">#REF!</definedName>
    <definedName name="PRINT_14">#REF!</definedName>
    <definedName name="PRINT_15">#REF!</definedName>
    <definedName name="PRINT_16">#REF!</definedName>
    <definedName name="PRINT_17">#REF!</definedName>
    <definedName name="PRINT_18">#REF!</definedName>
    <definedName name="PRINT_19">#REF!</definedName>
    <definedName name="PRINT_2">#REF!</definedName>
    <definedName name="PRINT_20">#REF!</definedName>
    <definedName name="PRINT_21">#REF!</definedName>
    <definedName name="PRINT_22">#REF!</definedName>
    <definedName name="Print_23">#REF!</definedName>
    <definedName name="PRINT_24">#REF!</definedName>
    <definedName name="PRINT_25">#REF!</definedName>
    <definedName name="PRINT_26">#REF!</definedName>
    <definedName name="PRINT_27">#REF!</definedName>
    <definedName name="PRINT_28">#REF!</definedName>
    <definedName name="PRINT_29">#REF!</definedName>
    <definedName name="PRINT_3">#REF!</definedName>
    <definedName name="PRINT_30">#REF!</definedName>
    <definedName name="PRINT_31">#REF!</definedName>
    <definedName name="PRINT_32">#REF!</definedName>
    <definedName name="PRINT_33">#REF!</definedName>
    <definedName name="PRINT_34">#REF!</definedName>
    <definedName name="PRINT_35">#REF!</definedName>
    <definedName name="PRINT_36">#REF!</definedName>
    <definedName name="PRINT_37">#REF!</definedName>
    <definedName name="PRINT_38">#REF!</definedName>
    <definedName name="PRINT_39">#REF!</definedName>
    <definedName name="PRINT_4">#REF!</definedName>
    <definedName name="PRINT_40">#REF!</definedName>
    <definedName name="PRINT_41">#REF!</definedName>
    <definedName name="PRINT_42">#REF!</definedName>
    <definedName name="PRINT_43" localSheetId="0">#REF!</definedName>
    <definedName name="PRINT_43" localSheetId="6">#REF!</definedName>
    <definedName name="PRINT_43" localSheetId="7">#REF!</definedName>
    <definedName name="PRINT_43">#REF!</definedName>
    <definedName name="PRINT_44" localSheetId="0">#REF!</definedName>
    <definedName name="PRINT_44" localSheetId="6">#REF!</definedName>
    <definedName name="PRINT_44" localSheetId="7">#REF!</definedName>
    <definedName name="PRINT_44">#REF!</definedName>
    <definedName name="PRINT_45" localSheetId="0">#REF!</definedName>
    <definedName name="PRINT_45" localSheetId="6">#REF!</definedName>
    <definedName name="PRINT_45" localSheetId="7">#REF!</definedName>
    <definedName name="PRINT_45">#REF!</definedName>
    <definedName name="PRINT_46" localSheetId="0">#REF!</definedName>
    <definedName name="PRINT_46" localSheetId="6">#REF!</definedName>
    <definedName name="PRINT_46" localSheetId="7">#REF!</definedName>
    <definedName name="PRINT_46">#REF!</definedName>
    <definedName name="PRINT_47" localSheetId="0">#REF!</definedName>
    <definedName name="PRINT_47" localSheetId="6">#REF!</definedName>
    <definedName name="PRINT_47" localSheetId="7">#REF!</definedName>
    <definedName name="PRINT_47">#REF!</definedName>
    <definedName name="PRINT_5" localSheetId="0">#REF!</definedName>
    <definedName name="PRINT_5" localSheetId="6">#REF!</definedName>
    <definedName name="PRINT_5" localSheetId="7">#REF!</definedName>
    <definedName name="PRINT_5">#REF!</definedName>
    <definedName name="PRINT_52" localSheetId="0">#REF!</definedName>
    <definedName name="PRINT_52" localSheetId="6">#REF!</definedName>
    <definedName name="PRINT_52" localSheetId="7">#REF!</definedName>
    <definedName name="PRINT_52">#REF!</definedName>
    <definedName name="PRINT_53" localSheetId="0">#REF!</definedName>
    <definedName name="PRINT_53" localSheetId="6">#REF!</definedName>
    <definedName name="PRINT_53" localSheetId="7">#REF!</definedName>
    <definedName name="PRINT_53">#REF!</definedName>
    <definedName name="PRINT_54" localSheetId="0">#REF!</definedName>
    <definedName name="PRINT_54" localSheetId="7">#REF!</definedName>
    <definedName name="PRINT_54">#REF!</definedName>
    <definedName name="PRINT_55" localSheetId="0">#REF!</definedName>
    <definedName name="PRINT_55" localSheetId="7">#REF!</definedName>
    <definedName name="PRINT_55">#REF!</definedName>
    <definedName name="PRINT_6">#REF!</definedName>
    <definedName name="PRINT_7" localSheetId="0">#REF!</definedName>
    <definedName name="PRINT_7" localSheetId="6">#REF!</definedName>
    <definedName name="PRINT_7" localSheetId="7">#REF!</definedName>
    <definedName name="PRINT_7">#REF!</definedName>
    <definedName name="PRINT_8" localSheetId="0">#REF!</definedName>
    <definedName name="PRINT_8" localSheetId="6">#REF!</definedName>
    <definedName name="PRINT_8" localSheetId="7">#REF!</definedName>
    <definedName name="PRINT_8">#REF!</definedName>
    <definedName name="PRINT_9" localSheetId="0">#REF!</definedName>
    <definedName name="PRINT_9" localSheetId="6">#REF!</definedName>
    <definedName name="PRINT_9" localSheetId="7">#REF!</definedName>
    <definedName name="PRINT_9">#REF!</definedName>
    <definedName name="_xlnm.Print_Area" localSheetId="0">'Sch 1_Heat Pump Rate Design'!$A$1:$C$43</definedName>
    <definedName name="_xlnm.Print_Area">#REF!</definedName>
    <definedName name="Print_Area_MI" localSheetId="0">#REF!</definedName>
    <definedName name="Print_Area_MI" localSheetId="7">#REF!</definedName>
    <definedName name="Print_Area_MI">#REF!</definedName>
    <definedName name="PRINT_LOOP_1" localSheetId="0">#REF!</definedName>
    <definedName name="PRINT_LOOP_1">#REF!</definedName>
    <definedName name="_xlnm.Print_Titles">#N/A</definedName>
    <definedName name="PRINTAREA75">#REF!</definedName>
    <definedName name="PRINTBBTU">#REF!</definedName>
    <definedName name="PRINTCONVERSION">#REF!</definedName>
    <definedName name="PRINTEXCESSCOST">#REF!</definedName>
    <definedName name="PRINTHDTLREV">#REF!</definedName>
    <definedName name="PRINTINPUT">#REF!</definedName>
    <definedName name="PRINTREVCURVE">#REF!</definedName>
    <definedName name="PRINTREVDETAIL">#REF!</definedName>
    <definedName name="PRINTREVSUMMARY">#REF!</definedName>
    <definedName name="PRINTUNBILLED">#REF!</definedName>
    <definedName name="PRINTVAR">#REF!</definedName>
    <definedName name="Product_Type" localSheetId="6">#REF!</definedName>
    <definedName name="Product_Type">#REF!</definedName>
    <definedName name="Program" localSheetId="0">#REF!</definedName>
    <definedName name="Program" localSheetId="6">#REF!</definedName>
    <definedName name="Program" localSheetId="7">#REF!</definedName>
    <definedName name="Program">#REF!</definedName>
    <definedName name="PRORATE" localSheetId="0">#REF!</definedName>
    <definedName name="PRORATE" localSheetId="6">#REF!</definedName>
    <definedName name="PRORATE" localSheetId="7">#REF!</definedName>
    <definedName name="PRORATE">#REF!</definedName>
    <definedName name="PSNH" localSheetId="0">#REF!</definedName>
    <definedName name="PSNH" localSheetId="7">#REF!</definedName>
    <definedName name="PSNH">#REF!</definedName>
    <definedName name="Purpose" localSheetId="0">#REF!</definedName>
    <definedName name="Purpose" localSheetId="7">#REF!</definedName>
    <definedName name="Purpose">#REF!</definedName>
    <definedName name="QTR_IS">#REF!</definedName>
    <definedName name="Query_for_Get_Credit">#REF!</definedName>
    <definedName name="query_Get_Credit">#REF!</definedName>
    <definedName name="RALLOC">#N/A</definedName>
    <definedName name="RATE">#N/A</definedName>
    <definedName name="RATIO_DOM">#REF!</definedName>
    <definedName name="RBAL">#N/A</definedName>
    <definedName name="rbavg">#REF!</definedName>
    <definedName name="RBREV">#N/A</definedName>
    <definedName name="RBREV1">#N/A</definedName>
    <definedName name="RDR" localSheetId="0">#REF!</definedName>
    <definedName name="RDR" localSheetId="6">#REF!</definedName>
    <definedName name="RDR" localSheetId="7">#REF!</definedName>
    <definedName name="RDR">#REF!</definedName>
    <definedName name="REASON" localSheetId="0">#REF!</definedName>
    <definedName name="REASON" localSheetId="7">#REF!</definedName>
    <definedName name="REASON">#REF!</definedName>
    <definedName name="REASON2" localSheetId="0">#REF!</definedName>
    <definedName name="REASON2" localSheetId="7">#REF!</definedName>
    <definedName name="REASON2">#REF!</definedName>
    <definedName name="RECON" localSheetId="0">#REF!</definedName>
    <definedName name="RECON" localSheetId="7">#REF!</definedName>
    <definedName name="RECON">#REF!</definedName>
    <definedName name="RECURSIVE_1" localSheetId="6">#REF!</definedName>
    <definedName name="RECURSIVE_1">#REF!</definedName>
    <definedName name="REFUND">#REF!</definedName>
    <definedName name="REFUND2">#REF!</definedName>
    <definedName name="REGCOM">#N/A</definedName>
    <definedName name="REGIND">#N/A</definedName>
    <definedName name="REGRES">#N/A</definedName>
    <definedName name="REGSTL">#N/A</definedName>
    <definedName name="RELIEF_CURR">#REF!</definedName>
    <definedName name="RELIEF_FUT">#REF!</definedName>
    <definedName name="REN" localSheetId="0">#REF!</definedName>
    <definedName name="REN" localSheetId="6">#REF!</definedName>
    <definedName name="REN" localSheetId="7">#REF!</definedName>
    <definedName name="REN">#REF!</definedName>
    <definedName name="REPORT" localSheetId="0">#REF!</definedName>
    <definedName name="REPORT" localSheetId="6">#REF!</definedName>
    <definedName name="REPORT" localSheetId="7">#REF!</definedName>
    <definedName name="REPORT">#REF!</definedName>
    <definedName name="RESC">#N/A</definedName>
    <definedName name="RESMOD" localSheetId="0">#REF!</definedName>
    <definedName name="RESMOD" localSheetId="6">#REF!</definedName>
    <definedName name="RESMOD" localSheetId="7">#REF!</definedName>
    <definedName name="RESMOD">#REF!</definedName>
    <definedName name="RESREG">#N/A</definedName>
    <definedName name="RETMOD" localSheetId="0">#REF!</definedName>
    <definedName name="RETMOD" localSheetId="6">#REF!</definedName>
    <definedName name="RETMOD" localSheetId="7">#REF!</definedName>
    <definedName name="RETMOD">#REF!</definedName>
    <definedName name="revcredit1999" localSheetId="7">#REF!</definedName>
    <definedName name="revcredit1999">#REF!</definedName>
    <definedName name="REVDETAIL">#REF!</definedName>
    <definedName name="REVDETAIL2">#REF!</definedName>
    <definedName name="REVDETAILFUT">#REF!</definedName>
    <definedName name="REVENUECURVE">#REF!</definedName>
    <definedName name="REVIEW">#REF!</definedName>
    <definedName name="REVIEW3">#REF!</definedName>
    <definedName name="revsfcst1999">#REF!</definedName>
    <definedName name="REVSUMMARY">#REF!</definedName>
    <definedName name="REVSUMMARYFUT">#REF!</definedName>
    <definedName name="RFREV">#N/A</definedName>
    <definedName name="RGREV">#N/A</definedName>
    <definedName name="ROD" localSheetId="0">#REF!</definedName>
    <definedName name="ROD" localSheetId="6">#REF!</definedName>
    <definedName name="ROD" localSheetId="7">#REF!</definedName>
    <definedName name="ROD">#REF!</definedName>
    <definedName name="ROLLING_I_S" localSheetId="0">#REF!</definedName>
    <definedName name="ROLLING_I_S" localSheetId="7">#REF!</definedName>
    <definedName name="ROLLING_I_S">#REF!</definedName>
    <definedName name="ROR" localSheetId="0">#REF!</definedName>
    <definedName name="ROR" localSheetId="6">#REF!</definedName>
    <definedName name="ROR" localSheetId="7">#REF!</definedName>
    <definedName name="ROR">#REF!</definedName>
    <definedName name="RRMOD" localSheetId="0">#REF!</definedName>
    <definedName name="RRMOD" localSheetId="6">#REF!</definedName>
    <definedName name="RRMOD" localSheetId="7">#REF!</definedName>
    <definedName name="RRMOD">#REF!</definedName>
    <definedName name="RSAL">#N/A</definedName>
    <definedName name="RTREV">#N/A</definedName>
    <definedName name="RYREV">#N/A</definedName>
    <definedName name="RYSTEAM" localSheetId="0">#REF!</definedName>
    <definedName name="RYSTEAM" localSheetId="7">#REF!</definedName>
    <definedName name="RYSTEAM">#REF!</definedName>
    <definedName name="RYTOTAL" localSheetId="0">#REF!</definedName>
    <definedName name="RYTOTAL" localSheetId="7">#REF!</definedName>
    <definedName name="RYTOTAL">#REF!</definedName>
    <definedName name="RYTRANS">#REF!</definedName>
    <definedName name="RYWALLINGFORDRE">#REF!</definedName>
    <definedName name="S93_">#N/A</definedName>
    <definedName name="S94_">#N/A</definedName>
    <definedName name="S95_">#N/A</definedName>
    <definedName name="S96_">#N/A</definedName>
    <definedName name="SalesG01998F">#REF!</definedName>
    <definedName name="SalesG0Actual">#REF!</definedName>
    <definedName name="SALLOC">#N/A</definedName>
    <definedName name="SBREV">#N/A</definedName>
    <definedName name="SBREV1">#N/A</definedName>
    <definedName name="SCN">#REF!</definedName>
    <definedName name="Sector" localSheetId="0">#REF!</definedName>
    <definedName name="Sector" localSheetId="6">#REF!</definedName>
    <definedName name="Sector" localSheetId="7">#REF!</definedName>
    <definedName name="Sector">#REF!</definedName>
    <definedName name="SEG" localSheetId="0">#REF!</definedName>
    <definedName name="SEG" localSheetId="7">#REF!</definedName>
    <definedName name="SEG">#REF!</definedName>
    <definedName name="SEGNAME" localSheetId="0">#REF!</definedName>
    <definedName name="SEGNAME" localSheetId="7">#REF!</definedName>
    <definedName name="SEGNAME">#REF!</definedName>
    <definedName name="SEPTEMBER" localSheetId="0">#REF!</definedName>
    <definedName name="SEPTEMBER" localSheetId="7">#REF!</definedName>
    <definedName name="SEPTEMBER">#REF!</definedName>
    <definedName name="SFREV">#N/A</definedName>
    <definedName name="SFV">#REF!</definedName>
    <definedName name="SGREV">#N/A</definedName>
    <definedName name="SIT" localSheetId="0">#REF!</definedName>
    <definedName name="SIT" localSheetId="6">#REF!</definedName>
    <definedName name="SIT" localSheetId="7">#REF!</definedName>
    <definedName name="SIT">#REF!</definedName>
    <definedName name="SL01C01HND">-1</definedName>
    <definedName name="SL01R01HND">-1</definedName>
    <definedName name="SL01VIEWHND">-1</definedName>
    <definedName name="sodef1999">#REF!</definedName>
    <definedName name="soint1999">#REF!</definedName>
    <definedName name="sou_g1a" localSheetId="7">#REF!</definedName>
    <definedName name="sou_g1a">#REF!</definedName>
    <definedName name="sou_g1s" localSheetId="7">#REF!</definedName>
    <definedName name="sou_g1s">#REF!</definedName>
    <definedName name="sou_g2" localSheetId="7">#REF!</definedName>
    <definedName name="sou_g2">#REF!</definedName>
    <definedName name="sou_g3" localSheetId="7">#REF!</definedName>
    <definedName name="sou_g3">#REF!</definedName>
    <definedName name="sou_g4" localSheetId="7">#REF!</definedName>
    <definedName name="sou_g4">#REF!</definedName>
    <definedName name="sou_g5" localSheetId="7">#REF!</definedName>
    <definedName name="sou_g5">#REF!</definedName>
    <definedName name="sou_g6" localSheetId="7">#REF!</definedName>
    <definedName name="sou_g6">#REF!</definedName>
    <definedName name="sou_g7a" localSheetId="7">#REF!</definedName>
    <definedName name="sou_g7a">#REF!</definedName>
    <definedName name="sou_g7s" localSheetId="7">#REF!</definedName>
    <definedName name="sou_g7s">#REF!</definedName>
    <definedName name="Source" localSheetId="0">#REF!</definedName>
    <definedName name="Source" localSheetId="7">#REF!</definedName>
    <definedName name="Source">#REF!</definedName>
    <definedName name="SOUTH.G1A.Cst" localSheetId="0">#REF!</definedName>
    <definedName name="SOUTH.G1A.Cst" localSheetId="6">#REF!</definedName>
    <definedName name="SOUTH.G1A.Cst" localSheetId="7">#REF!</definedName>
    <definedName name="SOUTH.G1A.Cst">#REF!</definedName>
    <definedName name="SOUTH.G1A.Dmd.Blk1" localSheetId="0">#REF!</definedName>
    <definedName name="SOUTH.G1A.Dmd.Blk1" localSheetId="6">#REF!</definedName>
    <definedName name="SOUTH.G1A.Dmd.Blk1" localSheetId="7">#REF!</definedName>
    <definedName name="SOUTH.G1A.Dmd.Blk1">#REF!</definedName>
    <definedName name="SOUTH.G1A.Dmd.Blk2" localSheetId="0">#REF!</definedName>
    <definedName name="SOUTH.G1A.Dmd.Blk2" localSheetId="6">#REF!</definedName>
    <definedName name="SOUTH.G1A.Dmd.Blk2" localSheetId="7">#REF!</definedName>
    <definedName name="SOUTH.G1A.Dmd.Blk2">#REF!</definedName>
    <definedName name="SOUTH.G1A.kWh.Blk1" localSheetId="0">#REF!</definedName>
    <definedName name="SOUTH.G1A.kWh.Blk1" localSheetId="6">#REF!</definedName>
    <definedName name="SOUTH.G1A.kWh.Blk1" localSheetId="7">#REF!</definedName>
    <definedName name="SOUTH.G1A.kWh.Blk1">#REF!</definedName>
    <definedName name="SOUTH.G1A.kWh.Blk2" localSheetId="0">#REF!</definedName>
    <definedName name="SOUTH.G1A.kWh.Blk2" localSheetId="6">#REF!</definedName>
    <definedName name="SOUTH.G1A.kWh.Blk2" localSheetId="7">#REF!</definedName>
    <definedName name="SOUTH.G1A.kWh.Blk2">#REF!</definedName>
    <definedName name="SOUTH.G1S.Cst" localSheetId="0">#REF!</definedName>
    <definedName name="SOUTH.G1S.Cst" localSheetId="6">#REF!</definedName>
    <definedName name="SOUTH.G1S.Cst" localSheetId="7">#REF!</definedName>
    <definedName name="SOUTH.G1S.Cst">#REF!</definedName>
    <definedName name="SOUTH.G1S.Dmd.Blk1" localSheetId="0">#REF!</definedName>
    <definedName name="SOUTH.G1S.Dmd.Blk1" localSheetId="6">#REF!</definedName>
    <definedName name="SOUTH.G1S.Dmd.Blk1" localSheetId="7">#REF!</definedName>
    <definedName name="SOUTH.G1S.Dmd.Blk1">#REF!</definedName>
    <definedName name="SOUTH.G1S.Dmd.Blk2" localSheetId="0">#REF!</definedName>
    <definedName name="SOUTH.G1S.Dmd.Blk2" localSheetId="6">#REF!</definedName>
    <definedName name="SOUTH.G1S.Dmd.Blk2" localSheetId="7">#REF!</definedName>
    <definedName name="SOUTH.G1S.Dmd.Blk2">#REF!</definedName>
    <definedName name="SOUTH.G1S.kWh.Blk1" localSheetId="0">#REF!</definedName>
    <definedName name="SOUTH.G1S.kWh.Blk1" localSheetId="6">#REF!</definedName>
    <definedName name="SOUTH.G1S.kWh.Blk1" localSheetId="7">#REF!</definedName>
    <definedName name="SOUTH.G1S.kWh.Blk1">#REF!</definedName>
    <definedName name="SOUTH.G1S.kWh.Blk2" localSheetId="0">#REF!</definedName>
    <definedName name="SOUTH.G1S.kWh.Blk2" localSheetId="6">#REF!</definedName>
    <definedName name="SOUTH.G1S.kWh.Blk2" localSheetId="7">#REF!</definedName>
    <definedName name="SOUTH.G1S.kWh.Blk2">#REF!</definedName>
    <definedName name="SOUTH.G1SO.Cst" localSheetId="0">#REF!</definedName>
    <definedName name="SOUTH.G1SO.Cst" localSheetId="6">#REF!</definedName>
    <definedName name="SOUTH.G1SO.Cst" localSheetId="7">#REF!</definedName>
    <definedName name="SOUTH.G1SO.Cst">#REF!</definedName>
    <definedName name="SOUTH.G1SO.Dmd.Blk1" localSheetId="0">#REF!</definedName>
    <definedName name="SOUTH.G1SO.Dmd.Blk1" localSheetId="6">#REF!</definedName>
    <definedName name="SOUTH.G1SO.Dmd.Blk1" localSheetId="7">#REF!</definedName>
    <definedName name="SOUTH.G1SO.Dmd.Blk1">#REF!</definedName>
    <definedName name="SOUTH.G1SO.Dmd.Blk2" localSheetId="0">#REF!</definedName>
    <definedName name="SOUTH.G1SO.Dmd.Blk2" localSheetId="6">#REF!</definedName>
    <definedName name="SOUTH.G1SO.Dmd.Blk2" localSheetId="7">#REF!</definedName>
    <definedName name="SOUTH.G1SO.Dmd.Blk2">#REF!</definedName>
    <definedName name="SOUTH.G1SO.kWh.Blk1" localSheetId="0">#REF!</definedName>
    <definedName name="SOUTH.G1SO.kWh.Blk1" localSheetId="6">#REF!</definedName>
    <definedName name="SOUTH.G1SO.kWh.Blk1" localSheetId="7">#REF!</definedName>
    <definedName name="SOUTH.G1SO.kWh.Blk1">#REF!</definedName>
    <definedName name="SOUTH.G1SO.kWh.Blk2" localSheetId="0">#REF!</definedName>
    <definedName name="SOUTH.G1SO.kWh.Blk2" localSheetId="6">#REF!</definedName>
    <definedName name="SOUTH.G1SO.kWh.Blk2" localSheetId="7">#REF!</definedName>
    <definedName name="SOUTH.G1SO.kWh.Blk2">#REF!</definedName>
    <definedName name="SOUTH.G2.Cst" localSheetId="0">#REF!</definedName>
    <definedName name="SOUTH.G2.Cst" localSheetId="6">#REF!</definedName>
    <definedName name="SOUTH.G2.Cst" localSheetId="7">#REF!</definedName>
    <definedName name="SOUTH.G2.Cst">#REF!</definedName>
    <definedName name="SOUTH.G2.Dmd" localSheetId="0">#REF!</definedName>
    <definedName name="SOUTH.G2.Dmd" localSheetId="6">#REF!</definedName>
    <definedName name="SOUTH.G2.Dmd" localSheetId="7">#REF!</definedName>
    <definedName name="SOUTH.G2.Dmd">#REF!</definedName>
    <definedName name="SOUTH.G2.kWh.OP.LowA" localSheetId="0">#REF!</definedName>
    <definedName name="SOUTH.G2.kWh.OP.LowA" localSheetId="6">#REF!</definedName>
    <definedName name="SOUTH.G2.kWh.OP.LowA" localSheetId="7">#REF!</definedName>
    <definedName name="SOUTH.G2.kWh.OP.LowA">#REF!</definedName>
    <definedName name="SOUTH.G2.kWh.OP.LowB" localSheetId="0">#REF!</definedName>
    <definedName name="SOUTH.G2.kWh.OP.LowB" localSheetId="6">#REF!</definedName>
    <definedName name="SOUTH.G2.kWh.OP.LowB" localSheetId="7">#REF!</definedName>
    <definedName name="SOUTH.G2.kWh.OP.LowB">#REF!</definedName>
    <definedName name="SOUTH.G2.kWh.PK" localSheetId="0">#REF!</definedName>
    <definedName name="SOUTH.G2.kWh.PK" localSheetId="6">#REF!</definedName>
    <definedName name="SOUTH.G2.kWh.PK" localSheetId="7">#REF!</definedName>
    <definedName name="SOUTH.G2.kWh.PK">#REF!</definedName>
    <definedName name="SOUTH.G3.Cst" localSheetId="0">#REF!</definedName>
    <definedName name="SOUTH.G3.Cst" localSheetId="6">#REF!</definedName>
    <definedName name="SOUTH.G3.Cst" localSheetId="7">#REF!</definedName>
    <definedName name="SOUTH.G3.Cst">#REF!</definedName>
    <definedName name="SOUTH.G3.Dmd" localSheetId="0">#REF!</definedName>
    <definedName name="SOUTH.G3.Dmd" localSheetId="6">#REF!</definedName>
    <definedName name="SOUTH.G3.Dmd" localSheetId="7">#REF!</definedName>
    <definedName name="SOUTH.G3.Dmd">#REF!</definedName>
    <definedName name="SOUTH.G3.kWh.OP.LowA" localSheetId="0">#REF!</definedName>
    <definedName name="SOUTH.G3.kWh.OP.LowA" localSheetId="6">#REF!</definedName>
    <definedName name="SOUTH.G3.kWh.OP.LowA" localSheetId="7">#REF!</definedName>
    <definedName name="SOUTH.G3.kWh.OP.LowA">#REF!</definedName>
    <definedName name="SOUTH.G3.kWh.OP.LowB" localSheetId="0">#REF!</definedName>
    <definedName name="SOUTH.G3.kWh.OP.LowB" localSheetId="6">#REF!</definedName>
    <definedName name="SOUTH.G3.kWh.OP.LowB" localSheetId="7">#REF!</definedName>
    <definedName name="SOUTH.G3.kWh.OP.LowB">#REF!</definedName>
    <definedName name="SOUTH.G3.kWh.PK" localSheetId="0">#REF!</definedName>
    <definedName name="SOUTH.G3.kWh.PK" localSheetId="6">#REF!</definedName>
    <definedName name="SOUTH.G3.kWh.PK" localSheetId="7">#REF!</definedName>
    <definedName name="SOUTH.G3.kWh.PK">#REF!</definedName>
    <definedName name="SOUTH.G4.Cst" localSheetId="0">#REF!</definedName>
    <definedName name="SOUTH.G4.Cst" localSheetId="6">#REF!</definedName>
    <definedName name="SOUTH.G4.Cst" localSheetId="7">#REF!</definedName>
    <definedName name="SOUTH.G4.Cst">#REF!</definedName>
    <definedName name="SOUTH.G4.Dmd.Blk1" localSheetId="0">#REF!</definedName>
    <definedName name="SOUTH.G4.Dmd.Blk1" localSheetId="6">#REF!</definedName>
    <definedName name="SOUTH.G4.Dmd.Blk1" localSheetId="7">#REF!</definedName>
    <definedName name="SOUTH.G4.Dmd.Blk1">#REF!</definedName>
    <definedName name="SOUTH.G4.kWh" localSheetId="0">#REF!</definedName>
    <definedName name="SOUTH.G4.kWh" localSheetId="6">#REF!</definedName>
    <definedName name="SOUTH.G4.kWh" localSheetId="7">#REF!</definedName>
    <definedName name="SOUTH.G4.kWh">#REF!</definedName>
    <definedName name="SOUTH.G5.Cst" localSheetId="0">#REF!</definedName>
    <definedName name="SOUTH.G5.Cst" localSheetId="6">#REF!</definedName>
    <definedName name="SOUTH.G5.Cst" localSheetId="7">#REF!</definedName>
    <definedName name="SOUTH.G5.Cst">#REF!</definedName>
    <definedName name="SOUTH.G5.Dmd.Blk1" localSheetId="0">#REF!</definedName>
    <definedName name="SOUTH.G5.Dmd.Blk1" localSheetId="6">#REF!</definedName>
    <definedName name="SOUTH.G5.Dmd.Blk1" localSheetId="7">#REF!</definedName>
    <definedName name="SOUTH.G5.Dmd.Blk1">#REF!</definedName>
    <definedName name="SOUTH.G5.Dmd.Blk2" localSheetId="0">#REF!</definedName>
    <definedName name="SOUTH.G5.Dmd.Blk2" localSheetId="6">#REF!</definedName>
    <definedName name="SOUTH.G5.Dmd.Blk2" localSheetId="7">#REF!</definedName>
    <definedName name="SOUTH.G5.Dmd.Blk2">#REF!</definedName>
    <definedName name="SOUTH.G5.kWh" localSheetId="0">#REF!</definedName>
    <definedName name="SOUTH.G5.kWh" localSheetId="6">#REF!</definedName>
    <definedName name="SOUTH.G5.kWh" localSheetId="7">#REF!</definedName>
    <definedName name="SOUTH.G5.kWh">#REF!</definedName>
    <definedName name="SOUTH.G6.Cst" localSheetId="0">#REF!</definedName>
    <definedName name="SOUTH.G6.Cst" localSheetId="6">#REF!</definedName>
    <definedName name="SOUTH.G6.Cst" localSheetId="7">#REF!</definedName>
    <definedName name="SOUTH.G6.Cst">#REF!</definedName>
    <definedName name="SOUTH.G6.Dmd.Blk1" localSheetId="0">#REF!</definedName>
    <definedName name="SOUTH.G6.Dmd.Blk1" localSheetId="6">#REF!</definedName>
    <definedName name="SOUTH.G6.Dmd.Blk1" localSheetId="7">#REF!</definedName>
    <definedName name="SOUTH.G6.Dmd.Blk1">#REF!</definedName>
    <definedName name="SOUTH.G6.Dmd.Blk2" localSheetId="0">#REF!</definedName>
    <definedName name="SOUTH.G6.Dmd.Blk2" localSheetId="6">#REF!</definedName>
    <definedName name="SOUTH.G6.Dmd.Blk2" localSheetId="7">#REF!</definedName>
    <definedName name="SOUTH.G6.Dmd.Blk2">#REF!</definedName>
    <definedName name="SOUTH.G6.kWh" localSheetId="0">#REF!</definedName>
    <definedName name="SOUTH.G6.kWh" localSheetId="6">#REF!</definedName>
    <definedName name="SOUTH.G6.kWh" localSheetId="7">#REF!</definedName>
    <definedName name="SOUTH.G6.kWh">#REF!</definedName>
    <definedName name="SOUTH.G7A.Cst" localSheetId="0">#REF!</definedName>
    <definedName name="SOUTH.G7A.Cst" localSheetId="6">#REF!</definedName>
    <definedName name="SOUTH.G7A.Cst" localSheetId="7">#REF!</definedName>
    <definedName name="SOUTH.G7A.Cst">#REF!</definedName>
    <definedName name="SOUTH.G7A.Dmd" localSheetId="0">#REF!</definedName>
    <definedName name="SOUTH.G7A.Dmd" localSheetId="6">#REF!</definedName>
    <definedName name="SOUTH.G7A.Dmd" localSheetId="7">#REF!</definedName>
    <definedName name="SOUTH.G7A.Dmd">#REF!</definedName>
    <definedName name="SOUTH.G7A.kWh.OP.LowA" localSheetId="0">#REF!</definedName>
    <definedName name="SOUTH.G7A.kWh.OP.LowA" localSheetId="6">#REF!</definedName>
    <definedName name="SOUTH.G7A.kWh.OP.LowA" localSheetId="7">#REF!</definedName>
    <definedName name="SOUTH.G7A.kWh.OP.LowA">#REF!</definedName>
    <definedName name="SOUTH.G7A.kWh.OP.LowB" localSheetId="0">#REF!</definedName>
    <definedName name="SOUTH.G7A.kWh.OP.LowB" localSheetId="6">#REF!</definedName>
    <definedName name="SOUTH.G7A.kWh.OP.LowB" localSheetId="7">#REF!</definedName>
    <definedName name="SOUTH.G7A.kWh.OP.LowB">#REF!</definedName>
    <definedName name="SOUTH.G7A.kWh.PK" localSheetId="0">#REF!</definedName>
    <definedName name="SOUTH.G7A.kWh.PK" localSheetId="6">#REF!</definedName>
    <definedName name="SOUTH.G7A.kWh.PK" localSheetId="7">#REF!</definedName>
    <definedName name="SOUTH.G7A.kWh.PK">#REF!</definedName>
    <definedName name="SOUTH.G7S.Cst" localSheetId="0">#REF!</definedName>
    <definedName name="SOUTH.G7S.Cst" localSheetId="6">#REF!</definedName>
    <definedName name="SOUTH.G7S.Cst" localSheetId="7">#REF!</definedName>
    <definedName name="SOUTH.G7S.Cst">#REF!</definedName>
    <definedName name="SOUTH.G7S.Dmd" localSheetId="0">#REF!</definedName>
    <definedName name="SOUTH.G7S.Dmd" localSheetId="6">#REF!</definedName>
    <definedName name="SOUTH.G7S.Dmd" localSheetId="7">#REF!</definedName>
    <definedName name="SOUTH.G7S.Dmd">#REF!</definedName>
    <definedName name="SOUTH.G7S.kWh.OP.LowA" localSheetId="0">#REF!</definedName>
    <definedName name="SOUTH.G7S.kWh.OP.LowA" localSheetId="6">#REF!</definedName>
    <definedName name="SOUTH.G7S.kWh.OP.LowA" localSheetId="7">#REF!</definedName>
    <definedName name="SOUTH.G7S.kWh.OP.LowA">#REF!</definedName>
    <definedName name="SOUTH.G7S.kWh.OP.LowB" localSheetId="0">#REF!</definedName>
    <definedName name="SOUTH.G7S.kWh.OP.LowB" localSheetId="6">#REF!</definedName>
    <definedName name="SOUTH.G7S.kWh.OP.LowB" localSheetId="7">#REF!</definedName>
    <definedName name="SOUTH.G7S.kWh.OP.LowB">#REF!</definedName>
    <definedName name="SOUTH.G7S.kWh.PK" localSheetId="0">#REF!</definedName>
    <definedName name="SOUTH.G7S.kWh.PK" localSheetId="6">#REF!</definedName>
    <definedName name="SOUTH.G7S.kWh.PK" localSheetId="7">#REF!</definedName>
    <definedName name="SOUTH.G7S.kWh.PK">#REF!</definedName>
    <definedName name="SSAL">#N/A</definedName>
    <definedName name="START_PAGE" localSheetId="0">#REF!</definedName>
    <definedName name="START_PAGE" localSheetId="6">#REF!</definedName>
    <definedName name="START_PAGE" localSheetId="7">#REF!</definedName>
    <definedName name="START_PAGE">#REF!</definedName>
    <definedName name="stexp1999" localSheetId="0">#REF!</definedName>
    <definedName name="stexp1999" localSheetId="6">#REF!</definedName>
    <definedName name="stexp1999" localSheetId="7">#REF!</definedName>
    <definedName name="stexp1999">#REF!</definedName>
    <definedName name="stgeneration" localSheetId="7">#REF!</definedName>
    <definedName name="stgeneration">#REF!</definedName>
    <definedName name="STLC">#N/A</definedName>
    <definedName name="STLMOD" localSheetId="6">#REF!</definedName>
    <definedName name="STLMOD" localSheetId="7">#REF!</definedName>
    <definedName name="STLMOD">#REF!</definedName>
    <definedName name="STREV">#N/A</definedName>
    <definedName name="SumDistr" localSheetId="0">#REF!</definedName>
    <definedName name="SumDistr" localSheetId="6">#REF!</definedName>
    <definedName name="SumDistr" localSheetId="7">#REF!</definedName>
    <definedName name="SumDistr">#REF!</definedName>
    <definedName name="Summary_IS" localSheetId="0">#REF!</definedName>
    <definedName name="Summary_IS" localSheetId="6">#REF!</definedName>
    <definedName name="Summary_IS" localSheetId="7">#REF!</definedName>
    <definedName name="Summary_IS">#REF!</definedName>
    <definedName name="Summary_Titles" localSheetId="0">#REF!</definedName>
    <definedName name="Summary_Titles" localSheetId="6">#REF!</definedName>
    <definedName name="Summary_Titles" localSheetId="7">#REF!</definedName>
    <definedName name="Summary_Titles">#REF!</definedName>
    <definedName name="Summer_G41" localSheetId="0">#REF!</definedName>
    <definedName name="Summer_G41" localSheetId="6">#REF!</definedName>
    <definedName name="Summer_G41" localSheetId="7">#REF!</definedName>
    <definedName name="Summer_G41">#REF!</definedName>
    <definedName name="Summer_G41_TotCust" localSheetId="0">#REF!</definedName>
    <definedName name="Summer_G41_TotCust" localSheetId="7">#REF!</definedName>
    <definedName name="Summer_G41_TotCust">#REF!</definedName>
    <definedName name="Summer_G42" localSheetId="0">#REF!</definedName>
    <definedName name="Summer_G42" localSheetId="7">#REF!</definedName>
    <definedName name="Summer_G42">#REF!</definedName>
    <definedName name="Summer_G42_TotCust">#REF!</definedName>
    <definedName name="Summer_G43">#REF!</definedName>
    <definedName name="Summer_G43_TotCust">#REF!</definedName>
    <definedName name="Summer_G51">#REF!</definedName>
    <definedName name="Summer_G51_TotCust">#REF!</definedName>
    <definedName name="Summer_G52">#REF!</definedName>
    <definedName name="Summer_G52_TotCust">#REF!</definedName>
    <definedName name="Summer_G53">#REF!</definedName>
    <definedName name="Summer_G53_TotCust">#REF!</definedName>
    <definedName name="Summer_Gen" localSheetId="0">#REF!</definedName>
    <definedName name="Summer_Gen" localSheetId="6">#REF!</definedName>
    <definedName name="Summer_Gen" localSheetId="7">#REF!</definedName>
    <definedName name="Summer_Gen">#REF!</definedName>
    <definedName name="Summer_Off" localSheetId="0">#REF!</definedName>
    <definedName name="Summer_Off" localSheetId="6">#REF!</definedName>
    <definedName name="Summer_Off" localSheetId="7">#REF!</definedName>
    <definedName name="Summer_Off">#REF!</definedName>
    <definedName name="Summer_Peak" localSheetId="0">#REF!</definedName>
    <definedName name="Summer_Peak" localSheetId="6">#REF!</definedName>
    <definedName name="Summer_Peak" localSheetId="7">#REF!</definedName>
    <definedName name="Summer_Peak">#REF!</definedName>
    <definedName name="Summer_R1" localSheetId="0">#REF!</definedName>
    <definedName name="Summer_R1" localSheetId="6">#REF!</definedName>
    <definedName name="Summer_R1" localSheetId="7">#REF!</definedName>
    <definedName name="Summer_R1">#REF!</definedName>
    <definedName name="Summer_R1_TotCust" localSheetId="0">#REF!</definedName>
    <definedName name="Summer_R1_TotCust" localSheetId="7">#REF!</definedName>
    <definedName name="Summer_R1_TotCust">#REF!</definedName>
    <definedName name="Summer_R2" localSheetId="0">#REF!</definedName>
    <definedName name="Summer_R2" localSheetId="7">#REF!</definedName>
    <definedName name="Summer_R2">#REF!</definedName>
    <definedName name="Summer_R2_TotCust">#REF!</definedName>
    <definedName name="Summer_R3">#REF!</definedName>
    <definedName name="Summer_R3_TotCust">#REF!</definedName>
    <definedName name="Summer_R4">#REF!</definedName>
    <definedName name="Summer_R4_TotCust">#REF!</definedName>
    <definedName name="SumTrans" localSheetId="0">#REF!</definedName>
    <definedName name="SumTrans" localSheetId="6">#REF!</definedName>
    <definedName name="SumTrans" localSheetId="7">#REF!</definedName>
    <definedName name="SumTrans">#REF!</definedName>
    <definedName name="Table_Start" localSheetId="0">#REF!</definedName>
    <definedName name="Table_Start" localSheetId="6">#REF!</definedName>
    <definedName name="Table_Start" localSheetId="7">#REF!</definedName>
    <definedName name="Table_Start">#REF!</definedName>
    <definedName name="TCTYAMORT" localSheetId="0">#REF!</definedName>
    <definedName name="TCTYAMORT" localSheetId="7">#REF!</definedName>
    <definedName name="TCTYAMORT">#REF!</definedName>
    <definedName name="TCTYDIST" localSheetId="0">#REF!</definedName>
    <definedName name="TCTYDIST" localSheetId="7">#REF!</definedName>
    <definedName name="TCTYDIST">#REF!</definedName>
    <definedName name="TCTYDISTEASEMEN">#REF!</definedName>
    <definedName name="TCTYGEN">#REF!</definedName>
    <definedName name="TCTYHYDRO">#REF!</definedName>
    <definedName name="TCTYNUKE">#REF!</definedName>
    <definedName name="TCTYOTHER">#REF!</definedName>
    <definedName name="TCTYPROD">#REF!</definedName>
    <definedName name="TCTYSTEAM">#REF!</definedName>
    <definedName name="TCTYTOTAL">#REF!</definedName>
    <definedName name="TCTYTRANS">#REF!</definedName>
    <definedName name="TCTYTRANSEASEME">#REF!</definedName>
    <definedName name="TESTYEAR">#REF!</definedName>
    <definedName name="TITLE1" localSheetId="0">_xll.SUBNM("qubeprod:Companies","Default","200: NSTAR Gas Company","Name")</definedName>
    <definedName name="TITLE1" localSheetId="4">_xll.SUBNM("qubeprod:Companies","Default","200: NSTAR Gas Company","Name")</definedName>
    <definedName name="TITLE1">_xll.SUBNM("qubeprod:Companies","Default","200: NSTAR Gas Company","Name")</definedName>
    <definedName name="TITLE1ALIAS">"Name"</definedName>
    <definedName name="TITLE1NM">"Default"</definedName>
    <definedName name="TITLE5">39356</definedName>
    <definedName name="TM1REBUILDOPTION">1</definedName>
    <definedName name="TOTALCOADJ">#REF!</definedName>
    <definedName name="TOTALCOADJTORYA">#REF!</definedName>
    <definedName name="TOTCOM">#N/A</definedName>
    <definedName name="totdef1999" localSheetId="6">#REF!</definedName>
    <definedName name="totdef1999" localSheetId="7">#REF!</definedName>
    <definedName name="totdef1999">#REF!</definedName>
    <definedName name="TOTIND">#N/A</definedName>
    <definedName name="TOTREG">#N/A</definedName>
    <definedName name="TOTRES">#N/A</definedName>
    <definedName name="Trans" localSheetId="0">#REF!</definedName>
    <definedName name="Trans" localSheetId="6">#REF!</definedName>
    <definedName name="Trans" localSheetId="7">#REF!</definedName>
    <definedName name="Trans">#REF!</definedName>
    <definedName name="Transmission" localSheetId="0">#REF!</definedName>
    <definedName name="Transmission" localSheetId="6">#REF!</definedName>
    <definedName name="Transmission" localSheetId="7">#REF!</definedName>
    <definedName name="Transmission">#REF!</definedName>
    <definedName name="TYAMORT" localSheetId="0">#REF!</definedName>
    <definedName name="TYAMORT" localSheetId="7">#REF!</definedName>
    <definedName name="TYAMORT">#REF!</definedName>
    <definedName name="TYCLP" localSheetId="0">#REF!</definedName>
    <definedName name="TYCLP" localSheetId="7">#REF!</definedName>
    <definedName name="TYCLP">#REF!</definedName>
    <definedName name="TYCMEEC" localSheetId="0">#REF!</definedName>
    <definedName name="TYCMEEC" localSheetId="7">#REF!</definedName>
    <definedName name="TYCMEEC">#REF!</definedName>
    <definedName name="TYDIST">#REF!</definedName>
    <definedName name="TYDISTEASEMENTS">#REF!</definedName>
    <definedName name="TYGEN">#REF!</definedName>
    <definedName name="TYPROD">#REF!</definedName>
    <definedName name="TYRETAILAMORT">#REF!</definedName>
    <definedName name="UNBILLED_FORM">#REF!</definedName>
    <definedName name="UNBILLEDPRICING">#REF!</definedName>
    <definedName name="UNBILLEDREV">#REF!</definedName>
    <definedName name="UnloadedLaborRate" localSheetId="6">#REF!</definedName>
    <definedName name="UnloadedLaborRate">#REF!</definedName>
    <definedName name="Utility">#REF!</definedName>
    <definedName name="Valid_Months" localSheetId="7">#REF!</definedName>
    <definedName name="Valid_Months">#REF!</definedName>
    <definedName name="VAR" localSheetId="0">#REF!</definedName>
    <definedName name="VAR" localSheetId="7">#REF!</definedName>
    <definedName name="VAR">#REF!</definedName>
    <definedName name="VAR_ACT" localSheetId="0">#REF!</definedName>
    <definedName name="VAR_ACT" localSheetId="7">#REF!</definedName>
    <definedName name="VAR_ACT">#REF!</definedName>
    <definedName name="VARACT2" localSheetId="0">#REF!</definedName>
    <definedName name="VARACT2" localSheetId="7">#REF!</definedName>
    <definedName name="VARACT2">#REF!</definedName>
    <definedName name="VARSEND">#REF!</definedName>
    <definedName name="Water" localSheetId="0">#REF!</definedName>
    <definedName name="Water" localSheetId="6">#REF!</definedName>
    <definedName name="Water" localSheetId="7">#REF!</definedName>
    <definedName name="Water">#REF!</definedName>
    <definedName name="WESCOM">#N/A</definedName>
    <definedName name="WESIND">#N/A</definedName>
    <definedName name="WESRES">#N/A</definedName>
    <definedName name="WESSTL">#N/A</definedName>
    <definedName name="WEST" localSheetId="7">#REF!</definedName>
    <definedName name="WEST">#REF!</definedName>
    <definedName name="WESTERN">#N/A</definedName>
    <definedName name="WESTOT">#N/A</definedName>
    <definedName name="Winter_G41" localSheetId="6">#REF!</definedName>
    <definedName name="Winter_G41" localSheetId="7">#REF!</definedName>
    <definedName name="Winter_G41">#REF!</definedName>
    <definedName name="Winter_G41_TotCust" localSheetId="7">#REF!</definedName>
    <definedName name="Winter_G41_TotCust">#REF!</definedName>
    <definedName name="Winter_G42" localSheetId="7">#REF!</definedName>
    <definedName name="Winter_G42">#REF!</definedName>
    <definedName name="Winter_G42_TotCust">#REF!</definedName>
    <definedName name="Winter_G43">#REF!</definedName>
    <definedName name="Winter_G43_TotCust">#REF!</definedName>
    <definedName name="Winter_G51">#REF!</definedName>
    <definedName name="Winter_G51_TotCust">#REF!</definedName>
    <definedName name="Winter_G52">#REF!</definedName>
    <definedName name="Winter_G52_TotCust">#REF!</definedName>
    <definedName name="Winter_G53">#REF!</definedName>
    <definedName name="Winter_G53_TotCust">#REF!</definedName>
    <definedName name="Winter_Gen" localSheetId="0">#REF!</definedName>
    <definedName name="Winter_Gen" localSheetId="6">#REF!</definedName>
    <definedName name="Winter_Gen" localSheetId="7">#REF!</definedName>
    <definedName name="Winter_Gen">#REF!</definedName>
    <definedName name="Winter_Off" localSheetId="0">#REF!</definedName>
    <definedName name="Winter_Off" localSheetId="6">#REF!</definedName>
    <definedName name="Winter_Off" localSheetId="7">#REF!</definedName>
    <definedName name="Winter_Off">#REF!</definedName>
    <definedName name="Winter_Peak" localSheetId="0">#REF!</definedName>
    <definedName name="Winter_Peak" localSheetId="6">#REF!</definedName>
    <definedName name="Winter_Peak" localSheetId="7">#REF!</definedName>
    <definedName name="Winter_Peak">#REF!</definedName>
    <definedName name="Winter_R1" localSheetId="0">#REF!</definedName>
    <definedName name="Winter_R1" localSheetId="6">#REF!</definedName>
    <definedName name="Winter_R1" localSheetId="7">#REF!</definedName>
    <definedName name="Winter_R1">#REF!</definedName>
    <definedName name="Winter_R1_TotCust" localSheetId="0">#REF!</definedName>
    <definedName name="Winter_R1_TotCust" localSheetId="7">#REF!</definedName>
    <definedName name="Winter_R1_TotCust">#REF!</definedName>
    <definedName name="Winter_R2" localSheetId="0">#REF!</definedName>
    <definedName name="Winter_R2" localSheetId="7">#REF!</definedName>
    <definedName name="Winter_R2">#REF!</definedName>
    <definedName name="Winter_R2_TotCust">#REF!</definedName>
    <definedName name="Winter_R3">#REF!</definedName>
    <definedName name="Winter_R3_TotCust">#REF!</definedName>
    <definedName name="Winter_R4">#REF!</definedName>
    <definedName name="Winter_R4_TotCust">#REF!</definedName>
    <definedName name="wma_23" localSheetId="7">#REF!</definedName>
    <definedName name="wma_23">#REF!</definedName>
    <definedName name="wma_24" localSheetId="7">#REF!</definedName>
    <definedName name="wma_24">#REF!</definedName>
    <definedName name="wma_g0_gt100" localSheetId="7">#REF!</definedName>
    <definedName name="wma_g0_gt100">#REF!</definedName>
    <definedName name="wma_g0d_le100" localSheetId="7">#REF!</definedName>
    <definedName name="wma_g0d_le100">#REF!</definedName>
    <definedName name="wma_g2_gt100" localSheetId="7">#REF!</definedName>
    <definedName name="wma_g2_gt100">#REF!</definedName>
    <definedName name="wma_g2_le100" localSheetId="7">#REF!</definedName>
    <definedName name="wma_g2_le100">#REF!</definedName>
    <definedName name="wma_t0_gt100" localSheetId="7">#REF!</definedName>
    <definedName name="wma_t0_gt100">#REF!</definedName>
    <definedName name="wma_t0_le100" localSheetId="7">#REF!</definedName>
    <definedName name="wma_t0_le100">#REF!</definedName>
    <definedName name="wma_t2" localSheetId="7">#REF!</definedName>
    <definedName name="wma_t2">#REF!</definedName>
    <definedName name="wma_t4_gt100" localSheetId="7">#REF!</definedName>
    <definedName name="wma_t4_gt100">#REF!</definedName>
    <definedName name="wma_t4_le100" localSheetId="7">#REF!</definedName>
    <definedName name="wma_t4_le100">#REF!</definedName>
    <definedName name="wma_t5" localSheetId="7">#REF!</definedName>
    <definedName name="wma_t5">#REF!</definedName>
    <definedName name="WMECO" localSheetId="0">#REF!</definedName>
    <definedName name="WMECO" localSheetId="7">#REF!</definedName>
    <definedName name="WMECO">#REF!</definedName>
    <definedName name="WMECO.G0MTR.Cst" localSheetId="0">#REF!</definedName>
    <definedName name="WMECO.G0MTR.Cst" localSheetId="6">#REF!</definedName>
    <definedName name="WMECO.G0MTR.Cst" localSheetId="7">#REF!</definedName>
    <definedName name="WMECO.G0MTR.Cst">#REF!</definedName>
    <definedName name="WMECO.G0MTR.Dmd.Blk1" localSheetId="0">#REF!</definedName>
    <definedName name="WMECO.G0MTR.Dmd.Blk1" localSheetId="6">#REF!</definedName>
    <definedName name="WMECO.G0MTR.Dmd.Blk1" localSheetId="7">#REF!</definedName>
    <definedName name="WMECO.G0MTR.Dmd.Blk1">#REF!</definedName>
    <definedName name="WMECO.G0MTR.kWh" localSheetId="0">#REF!</definedName>
    <definedName name="WMECO.G0MTR.kWh" localSheetId="6">#REF!</definedName>
    <definedName name="WMECO.G0MTR.kWh" localSheetId="7">#REF!</definedName>
    <definedName name="WMECO.G0MTR.kWh">#REF!</definedName>
    <definedName name="WMECO.G0NMTR.Cst" localSheetId="0">#REF!</definedName>
    <definedName name="WMECO.G0NMTR.Cst" localSheetId="6">#REF!</definedName>
    <definedName name="WMECO.G0NMTR.Cst" localSheetId="7">#REF!</definedName>
    <definedName name="WMECO.G0NMTR.Cst">#REF!</definedName>
    <definedName name="WMECO.G0NMTR.Dmd.Blk1" localSheetId="0">#REF!</definedName>
    <definedName name="WMECO.G0NMTR.Dmd.Blk1" localSheetId="6">#REF!</definedName>
    <definedName name="WMECO.G0NMTR.Dmd.Blk1" localSheetId="7">#REF!</definedName>
    <definedName name="WMECO.G0NMTR.Dmd.Blk1">#REF!</definedName>
    <definedName name="WMECO.G0NMTR.kWh" localSheetId="0">#REF!</definedName>
    <definedName name="WMECO.G0NMTR.kWh" localSheetId="6">#REF!</definedName>
    <definedName name="WMECO.G0NMTR.kWh" localSheetId="7">#REF!</definedName>
    <definedName name="WMECO.G0NMTR.kWh">#REF!</definedName>
    <definedName name="WMECO.G2.Cst" localSheetId="0">#REF!</definedName>
    <definedName name="WMECO.G2.Cst" localSheetId="6">#REF!</definedName>
    <definedName name="WMECO.G2.Cst" localSheetId="7">#REF!</definedName>
    <definedName name="WMECO.G2.Cst">#REF!</definedName>
    <definedName name="WMECO.G2.Dmd.Blk1" localSheetId="0">#REF!</definedName>
    <definedName name="WMECO.G2.Dmd.Blk1" localSheetId="6">#REF!</definedName>
    <definedName name="WMECO.G2.Dmd.Blk1" localSheetId="7">#REF!</definedName>
    <definedName name="WMECO.G2.Dmd.Blk1">#REF!</definedName>
    <definedName name="WMECO.G2.Dmd.Blk2" localSheetId="0">#REF!</definedName>
    <definedName name="WMECO.G2.Dmd.Blk2" localSheetId="6">#REF!</definedName>
    <definedName name="WMECO.G2.Dmd.Blk2" localSheetId="7">#REF!</definedName>
    <definedName name="WMECO.G2.Dmd.Blk2">#REF!</definedName>
    <definedName name="WMECO.G2.kWh" localSheetId="0">#REF!</definedName>
    <definedName name="WMECO.G2.kWh" localSheetId="6">#REF!</definedName>
    <definedName name="WMECO.G2.kWh" localSheetId="7">#REF!</definedName>
    <definedName name="WMECO.G2.kWh">#REF!</definedName>
    <definedName name="WMECO.Rate23.Cst" localSheetId="0">#REF!</definedName>
    <definedName name="WMECO.Rate23.Cst" localSheetId="6">#REF!</definedName>
    <definedName name="WMECO.Rate23.Cst" localSheetId="7">#REF!</definedName>
    <definedName name="WMECO.Rate23.Cst">#REF!</definedName>
    <definedName name="WMECO.Rate23.kWh" localSheetId="0">#REF!</definedName>
    <definedName name="WMECO.Rate23.kWh" localSheetId="6">#REF!</definedName>
    <definedName name="WMECO.Rate23.kWh" localSheetId="7">#REF!</definedName>
    <definedName name="WMECO.Rate23.kWh">#REF!</definedName>
    <definedName name="WMECO.Rate24.Cst" localSheetId="0">#REF!</definedName>
    <definedName name="WMECO.Rate24.Cst" localSheetId="6">#REF!</definedName>
    <definedName name="WMECO.Rate24.Cst" localSheetId="7">#REF!</definedName>
    <definedName name="WMECO.Rate24.Cst">#REF!</definedName>
    <definedName name="WMECO.Rate24.Dmd.Blk1" localSheetId="0">#REF!</definedName>
    <definedName name="WMECO.Rate24.Dmd.Blk1" localSheetId="6">#REF!</definedName>
    <definedName name="WMECO.Rate24.Dmd.Blk1" localSheetId="7">#REF!</definedName>
    <definedName name="WMECO.Rate24.Dmd.Blk1">#REF!</definedName>
    <definedName name="WMECO.Rate24.kWh" localSheetId="0">#REF!</definedName>
    <definedName name="WMECO.Rate24.kWh" localSheetId="6">#REF!</definedName>
    <definedName name="WMECO.Rate24.kWh" localSheetId="7">#REF!</definedName>
    <definedName name="WMECO.Rate24.kWh">#REF!</definedName>
    <definedName name="WMECO.T0.Cst" localSheetId="0">#REF!</definedName>
    <definedName name="WMECO.T0.Cst" localSheetId="6">#REF!</definedName>
    <definedName name="WMECO.T0.Cst" localSheetId="7">#REF!</definedName>
    <definedName name="WMECO.T0.Cst">#REF!</definedName>
    <definedName name="WMECO.T0.Dmd.Blk1" localSheetId="0">#REF!</definedName>
    <definedName name="WMECO.T0.Dmd.Blk1" localSheetId="6">#REF!</definedName>
    <definedName name="WMECO.T0.Dmd.Blk1" localSheetId="7">#REF!</definedName>
    <definedName name="WMECO.T0.Dmd.Blk1">#REF!</definedName>
    <definedName name="WMECO.T0.kWh.OP.LowA" localSheetId="0">#REF!</definedName>
    <definedName name="WMECO.T0.kWh.OP.LowA" localSheetId="6">#REF!</definedName>
    <definedName name="WMECO.T0.kWh.OP.LowA" localSheetId="7">#REF!</definedName>
    <definedName name="WMECO.T0.kWh.OP.LowA">#REF!</definedName>
    <definedName name="WMECO.T0.kWh.OP.LowB" localSheetId="0">#REF!</definedName>
    <definedName name="WMECO.T0.kWh.OP.LowB" localSheetId="6">#REF!</definedName>
    <definedName name="WMECO.T0.kWh.OP.LowB" localSheetId="7">#REF!</definedName>
    <definedName name="WMECO.T0.kWh.OP.LowB">#REF!</definedName>
    <definedName name="WMECO.T0.kWh.PK" localSheetId="0">#REF!</definedName>
    <definedName name="WMECO.T0.kWh.PK" localSheetId="6">#REF!</definedName>
    <definedName name="WMECO.T0.kWh.PK" localSheetId="7">#REF!</definedName>
    <definedName name="WMECO.T0.kWh.PK">#REF!</definedName>
    <definedName name="WMECO.T2.Dmd" localSheetId="0">#REF!</definedName>
    <definedName name="WMECO.T2.Dmd" localSheetId="6">#REF!</definedName>
    <definedName name="WMECO.T2.Dmd" localSheetId="7">#REF!</definedName>
    <definedName name="WMECO.T2.Dmd">#REF!</definedName>
    <definedName name="WMECO.T2.kWh.OP.LowA" localSheetId="0">#REF!</definedName>
    <definedName name="WMECO.T2.kWh.OP.LowA" localSheetId="6">#REF!</definedName>
    <definedName name="WMECO.T2.kWh.OP.LowA" localSheetId="7">#REF!</definedName>
    <definedName name="WMECO.T2.kWh.OP.LowA">#REF!</definedName>
    <definedName name="WMECO.T2.kWh.OP.LowB" localSheetId="0">#REF!</definedName>
    <definedName name="WMECO.T2.kWh.OP.LowB" localSheetId="6">#REF!</definedName>
    <definedName name="WMECO.T2.kWh.OP.LowB" localSheetId="7">#REF!</definedName>
    <definedName name="WMECO.T2.kWh.OP.LowB">#REF!</definedName>
    <definedName name="WMECO.T2.kWh.PK" localSheetId="0">#REF!</definedName>
    <definedName name="WMECO.T2.kWh.PK" localSheetId="6">#REF!</definedName>
    <definedName name="WMECO.T2.kWh.PK" localSheetId="7">#REF!</definedName>
    <definedName name="WMECO.T2.kWh.PK">#REF!</definedName>
    <definedName name="WMECO.T4.Cst" localSheetId="0">#REF!</definedName>
    <definedName name="WMECO.T4.Cst" localSheetId="6">#REF!</definedName>
    <definedName name="WMECO.T4.Cst" localSheetId="7">#REF!</definedName>
    <definedName name="WMECO.T4.Cst">#REF!</definedName>
    <definedName name="WMECO.T4.Dmd.Blk1" localSheetId="0">#REF!</definedName>
    <definedName name="WMECO.T4.Dmd.Blk1" localSheetId="6">#REF!</definedName>
    <definedName name="WMECO.T4.Dmd.Blk1" localSheetId="7">#REF!</definedName>
    <definedName name="WMECO.T4.Dmd.Blk1">#REF!</definedName>
    <definedName name="WMECO.T4.Dmd.Blk2" localSheetId="0">#REF!</definedName>
    <definedName name="WMECO.T4.Dmd.Blk2" localSheetId="6">#REF!</definedName>
    <definedName name="WMECO.T4.Dmd.Blk2" localSheetId="7">#REF!</definedName>
    <definedName name="WMECO.T4.Dmd.Blk2">#REF!</definedName>
    <definedName name="WMECO.T4.kWh.OP.LowA" localSheetId="0">#REF!</definedName>
    <definedName name="WMECO.T4.kWh.OP.LowA" localSheetId="6">#REF!</definedName>
    <definedName name="WMECO.T4.kWh.OP.LowA" localSheetId="7">#REF!</definedName>
    <definedName name="WMECO.T4.kWh.OP.LowA">#REF!</definedName>
    <definedName name="WMECO.T4.kWh.PK" localSheetId="0">#REF!</definedName>
    <definedName name="WMECO.T4.kWh.PK" localSheetId="6">#REF!</definedName>
    <definedName name="WMECO.T4.kWh.PK" localSheetId="7">#REF!</definedName>
    <definedName name="WMECO.T4.kWh.PK">#REF!</definedName>
    <definedName name="WMECO.T5.Cst" localSheetId="0">#REF!</definedName>
    <definedName name="WMECO.T5.Cst" localSheetId="6">#REF!</definedName>
    <definedName name="WMECO.T5.Cst" localSheetId="7">#REF!</definedName>
    <definedName name="WMECO.T5.Cst">#REF!</definedName>
    <definedName name="WMECO.T5.Dmd" localSheetId="0">#REF!</definedName>
    <definedName name="WMECO.T5.Dmd" localSheetId="6">#REF!</definedName>
    <definedName name="WMECO.T5.Dmd" localSheetId="7">#REF!</definedName>
    <definedName name="WMECO.T5.Dmd">#REF!</definedName>
    <definedName name="WMECO.T5.kWh.OP.LowA" localSheetId="0">#REF!</definedName>
    <definedName name="WMECO.T5.kWh.OP.LowA" localSheetId="6">#REF!</definedName>
    <definedName name="WMECO.T5.kWh.OP.LowA" localSheetId="7">#REF!</definedName>
    <definedName name="WMECO.T5.kWh.OP.LowA">#REF!</definedName>
    <definedName name="WMECO.T5.kWh.PK" localSheetId="0">#REF!</definedName>
    <definedName name="WMECO.T5.kWh.PK" localSheetId="6">#REF!</definedName>
    <definedName name="WMECO.T5.kWh.PK" localSheetId="7">#REF!</definedName>
    <definedName name="WMECO.T5.kWh.PK">#REF!</definedName>
    <definedName name="WMECO_G0" localSheetId="0">#REF!</definedName>
    <definedName name="WMECO_G0" localSheetId="6">#REF!</definedName>
    <definedName name="WMECO_G0" localSheetId="7">#REF!</definedName>
    <definedName name="WMECO_G0">#REF!</definedName>
    <definedName name="WMECO_G0LPBSA" localSheetId="0">#REF!</definedName>
    <definedName name="WMECO_G0LPBSA" localSheetId="7">#REF!</definedName>
    <definedName name="WMECO_G0LPBSA">#REF!</definedName>
    <definedName name="WMECO_G0NMTR" localSheetId="0">#REF!</definedName>
    <definedName name="WMECO_G0NMTR" localSheetId="7">#REF!</definedName>
    <definedName name="WMECO_G0NMTR">#REF!</definedName>
    <definedName name="WMECO_G2">#REF!</definedName>
    <definedName name="WMECO_Rate23COMM">#REF!</definedName>
    <definedName name="WMECO_Rate24">#REF!</definedName>
    <definedName name="WMECO_T0">#REF!</definedName>
    <definedName name="WMECO_T2">#REF!</definedName>
    <definedName name="WMECO_T4">#REF!</definedName>
    <definedName name="WMECO_T5">#REF!</definedName>
    <definedName name="WOR_HEAT">#REF!</definedName>
    <definedName name="WOR_NON">#REF!</definedName>
    <definedName name="wpb21adds">#REF!</definedName>
    <definedName name="wpb21bal99">#REF!</definedName>
    <definedName name="wpb21retires">#REF!</definedName>
    <definedName name="wrn.CGAC." localSheetId="0" hidden="1">{"FormII",#N/A,FALSE,"Main";"GAF Summary",#N/A,FALSE,"Main";"Sendout",#N/A,FALSE,"Main";"Sales",#N/A,FALSE,"Main";"Commodity",#N/A,FALSE,"Main";"Remaining",#N/A,FALSE,"Main";"Demand",#N/A,FALSE,"Main";"Base",#N/A,FALSE,"Main";"NewCGA",#N/A,FALSE,"Main";"Working Capital",#N/A,FALSE,"Main";"IS&amp;CR",#N/A,FALSE,"Main";"IS&amp;CR Margin Cr.",#N/A,FALSE,"Main";"Sept CGA",#N/A,FALSE,"Main";"Adders",#N/A,FALSE,"Main";"IFC",#N/A,FALSE,"Main";"Refunds",#N/A,FALSE,"Main";"Bad Debt",#N/A,FALSE,"Main"}</definedName>
    <definedName name="wrn.CGAC." localSheetId="8" hidden="1">{"FormII",#N/A,FALSE,"Main";"GAF Summary",#N/A,FALSE,"Main";"Sendout",#N/A,FALSE,"Main";"Sales",#N/A,FALSE,"Main";"Commodity",#N/A,FALSE,"Main";"Remaining",#N/A,FALSE,"Main";"Demand",#N/A,FALSE,"Main";"Base",#N/A,FALSE,"Main";"NewCGA",#N/A,FALSE,"Main";"Working Capital",#N/A,FALSE,"Main";"IS&amp;CR",#N/A,FALSE,"Main";"IS&amp;CR Margin Cr.",#N/A,FALSE,"Main";"Sept CGA",#N/A,FALSE,"Main";"Adders",#N/A,FALSE,"Main";"IFC",#N/A,FALSE,"Main";"Refunds",#N/A,FALSE,"Main";"Bad Debt",#N/A,FALSE,"Main"}</definedName>
    <definedName name="wrn.CGAC." localSheetId="6" hidden="1">{"FormII",#N/A,FALSE,"Main";"GAF Summary",#N/A,FALSE,"Main";"Sendout",#N/A,FALSE,"Main";"Sales",#N/A,FALSE,"Main";"Commodity",#N/A,FALSE,"Main";"Remaining",#N/A,FALSE,"Main";"Demand",#N/A,FALSE,"Main";"Base",#N/A,FALSE,"Main";"NewCGA",#N/A,FALSE,"Main";"Working Capital",#N/A,FALSE,"Main";"IS&amp;CR",#N/A,FALSE,"Main";"IS&amp;CR Margin Cr.",#N/A,FALSE,"Main";"Sept CGA",#N/A,FALSE,"Main";"Adders",#N/A,FALSE,"Main";"IFC",#N/A,FALSE,"Main";"Refunds",#N/A,FALSE,"Main";"Bad Debt",#N/A,FALSE,"Main"}</definedName>
    <definedName name="wrn.CGAC." localSheetId="7" hidden="1">{"FormII",#N/A,FALSE,"Main";"GAF Summary",#N/A,FALSE,"Main";"Sendout",#N/A,FALSE,"Main";"Sales",#N/A,FALSE,"Main";"Commodity",#N/A,FALSE,"Main";"Remaining",#N/A,FALSE,"Main";"Demand",#N/A,FALSE,"Main";"Base",#N/A,FALSE,"Main";"NewCGA",#N/A,FALSE,"Main";"Working Capital",#N/A,FALSE,"Main";"IS&amp;CR",#N/A,FALSE,"Main";"IS&amp;CR Margin Cr.",#N/A,FALSE,"Main";"Sept CGA",#N/A,FALSE,"Main";"Adders",#N/A,FALSE,"Main";"IFC",#N/A,FALSE,"Main";"Refunds",#N/A,FALSE,"Main";"Bad Debt",#N/A,FALSE,"Main"}</definedName>
    <definedName name="wrn.CGAC." hidden="1">{"FormII",#N/A,FALSE,"Main";"GAF Summary",#N/A,FALSE,"Main";"Sendout",#N/A,FALSE,"Main";"Sales",#N/A,FALSE,"Main";"Commodity",#N/A,FALSE,"Main";"Remaining",#N/A,FALSE,"Main";"Demand",#N/A,FALSE,"Main";"Base",#N/A,FALSE,"Main";"NewCGA",#N/A,FALSE,"Main";"Working Capital",#N/A,FALSE,"Main";"IS&amp;CR",#N/A,FALSE,"Main";"IS&amp;CR Margin Cr.",#N/A,FALSE,"Main";"Sept CGA",#N/A,FALSE,"Main";"Adders",#N/A,FALSE,"Main";"IFC",#N/A,FALSE,"Main";"Refunds",#N/A,FALSE,"Main";"Bad Debt",#N/A,FALSE,"Main"}</definedName>
    <definedName name="wrn.Temp." localSheetId="0" hidden="1">{"Working Capital",#N/A,FALSE,"Main";"Sept CGA",#N/A,FALSE,"Main";"Adders",#N/A,FALSE,"Main";"Bad Debt",#N/A,FALSE,"Main"}</definedName>
    <definedName name="wrn.Temp." localSheetId="8" hidden="1">{"Working Capital",#N/A,FALSE,"Main";"Sept CGA",#N/A,FALSE,"Main";"Adders",#N/A,FALSE,"Main";"Bad Debt",#N/A,FALSE,"Main"}</definedName>
    <definedName name="wrn.Temp." localSheetId="6" hidden="1">{"Working Capital",#N/A,FALSE,"Main";"Sept CGA",#N/A,FALSE,"Main";"Adders",#N/A,FALSE,"Main";"Bad Debt",#N/A,FALSE,"Main"}</definedName>
    <definedName name="wrn.Temp." localSheetId="7" hidden="1">{"Working Capital",#N/A,FALSE,"Main";"Sept CGA",#N/A,FALSE,"Main";"Adders",#N/A,FALSE,"Main";"Bad Debt",#N/A,FALSE,"Main"}</definedName>
    <definedName name="wrn.Temp." hidden="1">{"Working Capital",#N/A,FALSE,"Main";"Sept CGA",#N/A,FALSE,"Main";"Adders",#N/A,FALSE,"Main";"Bad Debt",#N/A,FALSE,"Main"}</definedName>
    <definedName name="YEAR">#REF!</definedName>
    <definedName name="YEAR1" localSheetId="7">#REF!</definedName>
    <definedName name="YEAR1">#REF!</definedName>
    <definedName name="YR1BBTUSUMMARY" localSheetId="0">#REF!</definedName>
    <definedName name="YR1BBTUSUMMARY" localSheetId="7">#REF!</definedName>
    <definedName name="YR1BBTUSUMMARY">#REF!</definedName>
    <definedName name="YR1BBTUSUMRATIO" localSheetId="0">#REF!</definedName>
    <definedName name="YR1BBTUSUMRATIO" localSheetId="7">#REF!</definedName>
    <definedName name="YR1BBTUSUMRATIO">#REF!</definedName>
    <definedName name="YR2BBTUSUMMARY" localSheetId="0">#REF!</definedName>
    <definedName name="YR2BBTUSUMMARY" localSheetId="7">#REF!</definedName>
    <definedName name="YR2BBTUSUMMARY">#REF!</definedName>
    <definedName name="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27" l="1"/>
  <c r="K16" i="27"/>
  <c r="F21" i="4"/>
  <c r="E21" i="4"/>
  <c r="F20" i="4"/>
  <c r="E20" i="4"/>
  <c r="P23" i="25" l="1"/>
  <c r="E23" i="25"/>
  <c r="A23" i="25"/>
  <c r="G23" i="25"/>
  <c r="B10" i="11" l="1"/>
  <c r="B9" i="11"/>
  <c r="B7" i="11" l="1"/>
  <c r="B6" i="11"/>
  <c r="H14" i="25" l="1"/>
  <c r="H22" i="25"/>
  <c r="H17" i="25"/>
  <c r="H13" i="25"/>
  <c r="H12" i="25"/>
  <c r="H11" i="25"/>
  <c r="H16" i="25"/>
  <c r="H15" i="25"/>
  <c r="H19" i="25"/>
  <c r="H21" i="25"/>
  <c r="H20" i="25"/>
  <c r="H18" i="25"/>
  <c r="A2" i="27"/>
  <c r="A3" i="27" s="1"/>
  <c r="A4" i="27" s="1"/>
  <c r="A2" i="25"/>
  <c r="A3" i="25" s="1"/>
  <c r="A4" i="25" s="1"/>
  <c r="A5" i="25" s="1"/>
  <c r="A3" i="18"/>
  <c r="A4" i="18" s="1"/>
  <c r="A5" i="18" s="1"/>
  <c r="A6" i="18" s="1"/>
  <c r="A2" i="18"/>
  <c r="E10" i="4"/>
  <c r="H23" i="25" l="1"/>
  <c r="C37" i="18"/>
  <c r="C35" i="18"/>
  <c r="N120" i="28"/>
  <c r="M120" i="28"/>
  <c r="L120" i="28"/>
  <c r="K120" i="28"/>
  <c r="J120" i="28"/>
  <c r="I120" i="28"/>
  <c r="H120" i="28"/>
  <c r="G120" i="28"/>
  <c r="F120" i="28"/>
  <c r="E120" i="28"/>
  <c r="D120" i="28"/>
  <c r="C120" i="28"/>
  <c r="O120" i="28" s="1"/>
  <c r="O123" i="28" s="1"/>
  <c r="O119" i="28"/>
  <c r="O118" i="28"/>
  <c r="O117" i="28"/>
  <c r="O116" i="28"/>
  <c r="O115" i="28"/>
  <c r="O114" i="28"/>
  <c r="O113" i="28"/>
  <c r="O112" i="28"/>
  <c r="O111" i="28"/>
  <c r="O110" i="28"/>
  <c r="O109" i="28"/>
  <c r="O108" i="28"/>
  <c r="O107" i="28"/>
  <c r="O106" i="28"/>
  <c r="O105" i="28"/>
  <c r="O104" i="28"/>
  <c r="O103" i="28"/>
  <c r="O102" i="28"/>
  <c r="O101" i="28"/>
  <c r="O100" i="28"/>
  <c r="O99" i="28"/>
  <c r="O98" i="28"/>
  <c r="O97" i="28"/>
  <c r="O96" i="28"/>
  <c r="O95" i="28"/>
  <c r="O94" i="28"/>
  <c r="O93" i="28"/>
  <c r="O92" i="28"/>
  <c r="O91" i="28"/>
  <c r="O90" i="28"/>
  <c r="O89" i="28"/>
  <c r="O88" i="28"/>
  <c r="O87" i="28"/>
  <c r="O86" i="28"/>
  <c r="O85" i="28"/>
  <c r="O84" i="28"/>
  <c r="O83" i="28"/>
  <c r="O82" i="28"/>
  <c r="O81" i="28"/>
  <c r="O80" i="28"/>
  <c r="O79" i="28"/>
  <c r="N70" i="28"/>
  <c r="M70" i="28"/>
  <c r="L70" i="28"/>
  <c r="K70" i="28"/>
  <c r="J70" i="28"/>
  <c r="J37" i="28" s="1"/>
  <c r="J8" i="28" s="1"/>
  <c r="I70" i="28"/>
  <c r="H70" i="28"/>
  <c r="G70" i="28"/>
  <c r="F70" i="28"/>
  <c r="E70" i="28"/>
  <c r="D70" i="28"/>
  <c r="C70" i="28"/>
  <c r="O70" i="28" s="1"/>
  <c r="N69" i="28"/>
  <c r="M69" i="28"/>
  <c r="L69" i="28"/>
  <c r="K69" i="28"/>
  <c r="J69" i="28"/>
  <c r="I69" i="28"/>
  <c r="H69" i="28"/>
  <c r="G69" i="28"/>
  <c r="F69" i="28"/>
  <c r="O69" i="28" s="1"/>
  <c r="E69" i="28"/>
  <c r="D69" i="28"/>
  <c r="C69" i="28"/>
  <c r="N68" i="28"/>
  <c r="M68" i="28"/>
  <c r="L68" i="28"/>
  <c r="K68" i="28"/>
  <c r="J68" i="28"/>
  <c r="I68" i="28"/>
  <c r="H68" i="28"/>
  <c r="G68" i="28"/>
  <c r="F68" i="28"/>
  <c r="E68" i="28"/>
  <c r="D68" i="28"/>
  <c r="C68" i="28"/>
  <c r="O68" i="28" s="1"/>
  <c r="N67" i="28"/>
  <c r="M67" i="28"/>
  <c r="L67" i="28"/>
  <c r="K67" i="28"/>
  <c r="J67" i="28"/>
  <c r="I67" i="28"/>
  <c r="H67" i="28"/>
  <c r="G67" i="28"/>
  <c r="F67" i="28"/>
  <c r="E67" i="28"/>
  <c r="D67" i="28"/>
  <c r="C67" i="28"/>
  <c r="O67" i="28" s="1"/>
  <c r="N66" i="28"/>
  <c r="M66" i="28"/>
  <c r="L66" i="28"/>
  <c r="K66" i="28"/>
  <c r="J66" i="28"/>
  <c r="I66" i="28"/>
  <c r="H66" i="28"/>
  <c r="G66" i="28"/>
  <c r="F66" i="28"/>
  <c r="E66" i="28"/>
  <c r="D66" i="28"/>
  <c r="C66" i="28"/>
  <c r="O66" i="28" s="1"/>
  <c r="N65" i="28"/>
  <c r="M65" i="28"/>
  <c r="L65" i="28"/>
  <c r="K65" i="28"/>
  <c r="J65" i="28"/>
  <c r="I65" i="28"/>
  <c r="H65" i="28"/>
  <c r="G65" i="28"/>
  <c r="F65" i="28"/>
  <c r="E65" i="28"/>
  <c r="D65" i="28"/>
  <c r="C65" i="28"/>
  <c r="O65" i="28" s="1"/>
  <c r="N64" i="28"/>
  <c r="M64" i="28"/>
  <c r="L64" i="28"/>
  <c r="K64" i="28"/>
  <c r="J64" i="28"/>
  <c r="I64" i="28"/>
  <c r="H64" i="28"/>
  <c r="G64" i="28"/>
  <c r="O64" i="28" s="1"/>
  <c r="F64" i="28"/>
  <c r="E64" i="28"/>
  <c r="D64" i="28"/>
  <c r="C64" i="28"/>
  <c r="N63" i="28"/>
  <c r="N71" i="28" s="1"/>
  <c r="N72" i="28" s="1"/>
  <c r="M63" i="28"/>
  <c r="M71" i="28" s="1"/>
  <c r="M72" i="28" s="1"/>
  <c r="L63" i="28"/>
  <c r="L71" i="28" s="1"/>
  <c r="L72" i="28" s="1"/>
  <c r="K63" i="28"/>
  <c r="K71" i="28" s="1"/>
  <c r="K72" i="28" s="1"/>
  <c r="J63" i="28"/>
  <c r="J71" i="28" s="1"/>
  <c r="J72" i="28" s="1"/>
  <c r="I63" i="28"/>
  <c r="I71" i="28" s="1"/>
  <c r="I72" i="28" s="1"/>
  <c r="H63" i="28"/>
  <c r="H71" i="28" s="1"/>
  <c r="H72" i="28" s="1"/>
  <c r="G63" i="28"/>
  <c r="G71" i="28" s="1"/>
  <c r="G72" i="28" s="1"/>
  <c r="F63" i="28"/>
  <c r="F71" i="28" s="1"/>
  <c r="F72" i="28" s="1"/>
  <c r="E63" i="28"/>
  <c r="E71" i="28" s="1"/>
  <c r="E72" i="28" s="1"/>
  <c r="D63" i="28"/>
  <c r="D71" i="28" s="1"/>
  <c r="D72" i="28" s="1"/>
  <c r="C63" i="28"/>
  <c r="C71" i="28" s="1"/>
  <c r="J62" i="28"/>
  <c r="I62" i="28"/>
  <c r="N57" i="28"/>
  <c r="M57" i="28"/>
  <c r="L57" i="28"/>
  <c r="K57" i="28"/>
  <c r="J57" i="28"/>
  <c r="I57" i="28"/>
  <c r="I37" i="28" s="1"/>
  <c r="I8" i="28" s="1"/>
  <c r="H57" i="28"/>
  <c r="H37" i="28" s="1"/>
  <c r="G57" i="28"/>
  <c r="F57" i="28"/>
  <c r="E57" i="28"/>
  <c r="D57" i="28"/>
  <c r="C57" i="28"/>
  <c r="O57" i="28" s="1"/>
  <c r="N56" i="28"/>
  <c r="M56" i="28"/>
  <c r="L56" i="28"/>
  <c r="K56" i="28"/>
  <c r="J56" i="28"/>
  <c r="I56" i="28"/>
  <c r="H56" i="28"/>
  <c r="G56" i="28"/>
  <c r="F56" i="28"/>
  <c r="E56" i="28"/>
  <c r="D56" i="28"/>
  <c r="C56" i="28"/>
  <c r="O56" i="28" s="1"/>
  <c r="N55" i="28"/>
  <c r="M55" i="28"/>
  <c r="L55" i="28"/>
  <c r="K55" i="28"/>
  <c r="J55" i="28"/>
  <c r="I55" i="28"/>
  <c r="H55" i="28"/>
  <c r="G55" i="28"/>
  <c r="F55" i="28"/>
  <c r="E55" i="28"/>
  <c r="D55" i="28"/>
  <c r="C55" i="28"/>
  <c r="O55" i="28" s="1"/>
  <c r="N54" i="28"/>
  <c r="M54" i="28"/>
  <c r="L54" i="28"/>
  <c r="K54" i="28"/>
  <c r="J54" i="28"/>
  <c r="I54" i="28"/>
  <c r="H54" i="28"/>
  <c r="G54" i="28"/>
  <c r="O54" i="28" s="1"/>
  <c r="F54" i="28"/>
  <c r="E54" i="28"/>
  <c r="D54" i="28"/>
  <c r="C54" i="28"/>
  <c r="N53" i="28"/>
  <c r="M53" i="28"/>
  <c r="L53" i="28"/>
  <c r="K53" i="28"/>
  <c r="J53" i="28"/>
  <c r="I53" i="28"/>
  <c r="H53" i="28"/>
  <c r="G53" i="28"/>
  <c r="F53" i="28"/>
  <c r="E53" i="28"/>
  <c r="D53" i="28"/>
  <c r="C53" i="28"/>
  <c r="O53" i="28" s="1"/>
  <c r="N52" i="28"/>
  <c r="M52" i="28"/>
  <c r="L52" i="28"/>
  <c r="K52" i="28"/>
  <c r="J52" i="28"/>
  <c r="I52" i="28"/>
  <c r="H52" i="28"/>
  <c r="G52" i="28"/>
  <c r="O52" i="28" s="1"/>
  <c r="F52" i="28"/>
  <c r="E52" i="28"/>
  <c r="D52" i="28"/>
  <c r="C52" i="28"/>
  <c r="N51" i="28"/>
  <c r="M51" i="28"/>
  <c r="L51" i="28"/>
  <c r="K51" i="28"/>
  <c r="J51" i="28"/>
  <c r="I51" i="28"/>
  <c r="H51" i="28"/>
  <c r="G51" i="28"/>
  <c r="F51" i="28"/>
  <c r="O51" i="28" s="1"/>
  <c r="E51" i="28"/>
  <c r="D51" i="28"/>
  <c r="C51" i="28"/>
  <c r="N50" i="28"/>
  <c r="M50" i="28"/>
  <c r="L50" i="28"/>
  <c r="K50" i="28"/>
  <c r="J50" i="28"/>
  <c r="I50" i="28"/>
  <c r="H50" i="28"/>
  <c r="G50" i="28"/>
  <c r="F50" i="28"/>
  <c r="E50" i="28"/>
  <c r="D50" i="28"/>
  <c r="C50" i="28"/>
  <c r="O50" i="28" s="1"/>
  <c r="N49" i="28"/>
  <c r="M49" i="28"/>
  <c r="L49" i="28"/>
  <c r="K49" i="28"/>
  <c r="J49" i="28"/>
  <c r="I49" i="28"/>
  <c r="H49" i="28"/>
  <c r="G49" i="28"/>
  <c r="F49" i="28"/>
  <c r="E49" i="28"/>
  <c r="D49" i="28"/>
  <c r="C49" i="28"/>
  <c r="O49" i="28" s="1"/>
  <c r="N48" i="28"/>
  <c r="M48" i="28"/>
  <c r="L48" i="28"/>
  <c r="K48" i="28"/>
  <c r="J48" i="28"/>
  <c r="I48" i="28"/>
  <c r="H48" i="28"/>
  <c r="G48" i="28"/>
  <c r="F48" i="28"/>
  <c r="E48" i="28"/>
  <c r="D48" i="28"/>
  <c r="C48" i="28"/>
  <c r="O48" i="28" s="1"/>
  <c r="N47" i="28"/>
  <c r="M47" i="28"/>
  <c r="L47" i="28"/>
  <c r="K47" i="28"/>
  <c r="J47" i="28"/>
  <c r="I47" i="28"/>
  <c r="H47" i="28"/>
  <c r="G47" i="28"/>
  <c r="F47" i="28"/>
  <c r="E47" i="28"/>
  <c r="D47" i="28"/>
  <c r="C47" i="28"/>
  <c r="O47" i="28" s="1"/>
  <c r="N46" i="28"/>
  <c r="M46" i="28"/>
  <c r="L46" i="28"/>
  <c r="K46" i="28"/>
  <c r="J46" i="28"/>
  <c r="I46" i="28"/>
  <c r="H46" i="28"/>
  <c r="G46" i="28"/>
  <c r="O46" i="28" s="1"/>
  <c r="F46" i="28"/>
  <c r="E46" i="28"/>
  <c r="D46" i="28"/>
  <c r="C46" i="28"/>
  <c r="N45" i="28"/>
  <c r="M45" i="28"/>
  <c r="L45" i="28"/>
  <c r="K45" i="28"/>
  <c r="J45" i="28"/>
  <c r="I45" i="28"/>
  <c r="H45" i="28"/>
  <c r="G45" i="28"/>
  <c r="F45" i="28"/>
  <c r="E45" i="28"/>
  <c r="D45" i="28"/>
  <c r="C45" i="28"/>
  <c r="O45" i="28" s="1"/>
  <c r="N44" i="28"/>
  <c r="M44" i="28"/>
  <c r="L44" i="28"/>
  <c r="K44" i="28"/>
  <c r="J44" i="28"/>
  <c r="I44" i="28"/>
  <c r="H44" i="28"/>
  <c r="G44" i="28"/>
  <c r="F44" i="28"/>
  <c r="E44" i="28"/>
  <c r="D44" i="28"/>
  <c r="C44" i="28"/>
  <c r="O44" i="28" s="1"/>
  <c r="N43" i="28"/>
  <c r="M43" i="28"/>
  <c r="L43" i="28"/>
  <c r="K43" i="28"/>
  <c r="J43" i="28"/>
  <c r="I43" i="28"/>
  <c r="H43" i="28"/>
  <c r="G43" i="28"/>
  <c r="F43" i="28"/>
  <c r="O43" i="28" s="1"/>
  <c r="E43" i="28"/>
  <c r="D43" i="28"/>
  <c r="C43" i="28"/>
  <c r="N42" i="28"/>
  <c r="N58" i="28" s="1"/>
  <c r="N59" i="28" s="1"/>
  <c r="M42" i="28"/>
  <c r="M58" i="28" s="1"/>
  <c r="M59" i="28" s="1"/>
  <c r="L42" i="28"/>
  <c r="L58" i="28" s="1"/>
  <c r="L59" i="28" s="1"/>
  <c r="K42" i="28"/>
  <c r="K58" i="28" s="1"/>
  <c r="K59" i="28" s="1"/>
  <c r="J42" i="28"/>
  <c r="J58" i="28" s="1"/>
  <c r="J59" i="28" s="1"/>
  <c r="I42" i="28"/>
  <c r="I58" i="28" s="1"/>
  <c r="I59" i="28" s="1"/>
  <c r="H42" i="28"/>
  <c r="H58" i="28" s="1"/>
  <c r="H59" i="28" s="1"/>
  <c r="G42" i="28"/>
  <c r="G58" i="28" s="1"/>
  <c r="G59" i="28" s="1"/>
  <c r="F42" i="28"/>
  <c r="F58" i="28" s="1"/>
  <c r="F59" i="28" s="1"/>
  <c r="E42" i="28"/>
  <c r="E58" i="28" s="1"/>
  <c r="E59" i="28" s="1"/>
  <c r="D42" i="28"/>
  <c r="D58" i="28" s="1"/>
  <c r="D59" i="28" s="1"/>
  <c r="C42" i="28"/>
  <c r="O42" i="28" s="1"/>
  <c r="O41" i="28"/>
  <c r="O62" i="28" s="1"/>
  <c r="N41" i="28"/>
  <c r="N62" i="28" s="1"/>
  <c r="M41" i="28"/>
  <c r="M62" i="28" s="1"/>
  <c r="L41" i="28"/>
  <c r="L62" i="28" s="1"/>
  <c r="K41" i="28"/>
  <c r="K62" i="28" s="1"/>
  <c r="J41" i="28"/>
  <c r="I41" i="28"/>
  <c r="H41" i="28"/>
  <c r="H62" i="28" s="1"/>
  <c r="G41" i="28"/>
  <c r="G62" i="28" s="1"/>
  <c r="F41" i="28"/>
  <c r="F62" i="28" s="1"/>
  <c r="E41" i="28"/>
  <c r="E62" i="28" s="1"/>
  <c r="D41" i="28"/>
  <c r="D62" i="28" s="1"/>
  <c r="C41" i="28"/>
  <c r="C62" i="28" s="1"/>
  <c r="N37" i="28"/>
  <c r="M37" i="28"/>
  <c r="L37" i="28"/>
  <c r="K37" i="28"/>
  <c r="G37" i="28"/>
  <c r="F37" i="28"/>
  <c r="E37" i="28"/>
  <c r="D37" i="28"/>
  <c r="C37" i="28"/>
  <c r="N36" i="28"/>
  <c r="M36" i="28"/>
  <c r="L36" i="28"/>
  <c r="K36" i="28"/>
  <c r="J36" i="28"/>
  <c r="I36" i="28"/>
  <c r="H36" i="28"/>
  <c r="G36" i="28"/>
  <c r="F36" i="28"/>
  <c r="E36" i="28"/>
  <c r="D36" i="28"/>
  <c r="C36" i="28"/>
  <c r="O36" i="28" s="1"/>
  <c r="N35" i="28"/>
  <c r="M35" i="28"/>
  <c r="L35" i="28"/>
  <c r="K35" i="28"/>
  <c r="J35" i="28"/>
  <c r="I35" i="28"/>
  <c r="H35" i="28"/>
  <c r="G35" i="28"/>
  <c r="F35" i="28"/>
  <c r="E35" i="28"/>
  <c r="D35" i="28"/>
  <c r="C35" i="28"/>
  <c r="O35" i="28" s="1"/>
  <c r="N34" i="28"/>
  <c r="M34" i="28"/>
  <c r="L34" i="28"/>
  <c r="K34" i="28"/>
  <c r="J34" i="28"/>
  <c r="I34" i="28"/>
  <c r="H34" i="28"/>
  <c r="G34" i="28"/>
  <c r="F34" i="28"/>
  <c r="O34" i="28" s="1"/>
  <c r="E34" i="28"/>
  <c r="D34" i="28"/>
  <c r="C34" i="28"/>
  <c r="N33" i="28"/>
  <c r="M33" i="28"/>
  <c r="L33" i="28"/>
  <c r="K33" i="28"/>
  <c r="J33" i="28"/>
  <c r="I33" i="28"/>
  <c r="H33" i="28"/>
  <c r="G33" i="28"/>
  <c r="F33" i="28"/>
  <c r="E33" i="28"/>
  <c r="D33" i="28"/>
  <c r="C33" i="28"/>
  <c r="O33" i="28" s="1"/>
  <c r="N32" i="28"/>
  <c r="M32" i="28"/>
  <c r="L32" i="28"/>
  <c r="K32" i="28"/>
  <c r="J32" i="28"/>
  <c r="I32" i="28"/>
  <c r="H32" i="28"/>
  <c r="G32" i="28"/>
  <c r="F32" i="28"/>
  <c r="E32" i="28"/>
  <c r="D32" i="28"/>
  <c r="O32" i="28" s="1"/>
  <c r="C32" i="28"/>
  <c r="N31" i="28"/>
  <c r="M31" i="28"/>
  <c r="L31" i="28"/>
  <c r="K31" i="28"/>
  <c r="J31" i="28"/>
  <c r="I31" i="28"/>
  <c r="H31" i="28"/>
  <c r="G31" i="28"/>
  <c r="F31" i="28"/>
  <c r="E31" i="28"/>
  <c r="D31" i="28"/>
  <c r="C31" i="28"/>
  <c r="O31" i="28" s="1"/>
  <c r="N30" i="28"/>
  <c r="M30" i="28"/>
  <c r="L30" i="28"/>
  <c r="K30" i="28"/>
  <c r="J30" i="28"/>
  <c r="I30" i="28"/>
  <c r="H30" i="28"/>
  <c r="G30" i="28"/>
  <c r="F30" i="28"/>
  <c r="E30" i="28"/>
  <c r="D30" i="28"/>
  <c r="C30" i="28"/>
  <c r="O30" i="28" s="1"/>
  <c r="N29" i="28"/>
  <c r="M29" i="28"/>
  <c r="L29" i="28"/>
  <c r="K29" i="28"/>
  <c r="J29" i="28"/>
  <c r="I29" i="28"/>
  <c r="H29" i="28"/>
  <c r="G29" i="28"/>
  <c r="O29" i="28" s="1"/>
  <c r="F29" i="28"/>
  <c r="E29" i="28"/>
  <c r="D29" i="28"/>
  <c r="C29" i="28"/>
  <c r="N28" i="28"/>
  <c r="M28" i="28"/>
  <c r="L28" i="28"/>
  <c r="K28" i="28"/>
  <c r="J28" i="28"/>
  <c r="I28" i="28"/>
  <c r="H28" i="28"/>
  <c r="G28" i="28"/>
  <c r="F28" i="28"/>
  <c r="E28" i="28"/>
  <c r="D28" i="28"/>
  <c r="C28" i="28"/>
  <c r="O28" i="28" s="1"/>
  <c r="N27" i="28"/>
  <c r="M27" i="28"/>
  <c r="L27" i="28"/>
  <c r="K27" i="28"/>
  <c r="J27" i="28"/>
  <c r="J7" i="28" s="1"/>
  <c r="I27" i="28"/>
  <c r="H27" i="28"/>
  <c r="G27" i="28"/>
  <c r="F27" i="28"/>
  <c r="E27" i="28"/>
  <c r="D27" i="28"/>
  <c r="C27" i="28"/>
  <c r="O27" i="28" s="1"/>
  <c r="N26" i="28"/>
  <c r="N9" i="28" s="1"/>
  <c r="M26" i="28"/>
  <c r="L26" i="28"/>
  <c r="K26" i="28"/>
  <c r="J26" i="28"/>
  <c r="I26" i="28"/>
  <c r="H26" i="28"/>
  <c r="G26" i="28"/>
  <c r="G9" i="28" s="1"/>
  <c r="F26" i="28"/>
  <c r="O26" i="28" s="1"/>
  <c r="E26" i="28"/>
  <c r="D26" i="28"/>
  <c r="C26" i="28"/>
  <c r="N25" i="28"/>
  <c r="M25" i="28"/>
  <c r="L25" i="28"/>
  <c r="L8" i="28" s="1"/>
  <c r="K25" i="28"/>
  <c r="K8" i="28" s="1"/>
  <c r="J25" i="28"/>
  <c r="I25" i="28"/>
  <c r="H25" i="28"/>
  <c r="G25" i="28"/>
  <c r="F25" i="28"/>
  <c r="E25" i="28"/>
  <c r="D25" i="28"/>
  <c r="D8" i="28" s="1"/>
  <c r="C25" i="28"/>
  <c r="O25" i="28" s="1"/>
  <c r="N24" i="28"/>
  <c r="M24" i="28"/>
  <c r="L24" i="28"/>
  <c r="K24" i="28"/>
  <c r="J24" i="28"/>
  <c r="I24" i="28"/>
  <c r="I7" i="28" s="1"/>
  <c r="H24" i="28"/>
  <c r="H7" i="28" s="1"/>
  <c r="G24" i="28"/>
  <c r="F24" i="28"/>
  <c r="E24" i="28"/>
  <c r="D24" i="28"/>
  <c r="O24" i="28" s="1"/>
  <c r="C24" i="28"/>
  <c r="N23" i="28"/>
  <c r="M23" i="28"/>
  <c r="L23" i="28"/>
  <c r="K23" i="28"/>
  <c r="J23" i="28"/>
  <c r="I23" i="28"/>
  <c r="H23" i="28"/>
  <c r="G23" i="28"/>
  <c r="F23" i="28"/>
  <c r="E23" i="28"/>
  <c r="D23" i="28"/>
  <c r="C23" i="28"/>
  <c r="O23" i="28" s="1"/>
  <c r="N22" i="28"/>
  <c r="M22" i="28"/>
  <c r="L22" i="28"/>
  <c r="K22" i="28"/>
  <c r="K9" i="28" s="1"/>
  <c r="J22" i="28"/>
  <c r="J38" i="28" s="1"/>
  <c r="J39" i="28" s="1"/>
  <c r="I22" i="28"/>
  <c r="H22" i="28"/>
  <c r="G22" i="28"/>
  <c r="F22" i="28"/>
  <c r="E22" i="28"/>
  <c r="D22" i="28"/>
  <c r="C22" i="28"/>
  <c r="C9" i="28" s="1"/>
  <c r="N21" i="28"/>
  <c r="M21" i="28"/>
  <c r="L21" i="28"/>
  <c r="K21" i="28"/>
  <c r="J21" i="28"/>
  <c r="I21" i="28"/>
  <c r="H21" i="28"/>
  <c r="H8" i="28" s="1"/>
  <c r="G21" i="28"/>
  <c r="O21" i="28" s="1"/>
  <c r="F21" i="28"/>
  <c r="E21" i="28"/>
  <c r="D21" i="28"/>
  <c r="C21" i="28"/>
  <c r="N20" i="28"/>
  <c r="M20" i="28"/>
  <c r="M7" i="28" s="1"/>
  <c r="L20" i="28"/>
  <c r="K20" i="28"/>
  <c r="J20" i="28"/>
  <c r="I20" i="28"/>
  <c r="H20" i="28"/>
  <c r="G20" i="28"/>
  <c r="F20" i="28"/>
  <c r="E20" i="28"/>
  <c r="E7" i="28" s="1"/>
  <c r="D20" i="28"/>
  <c r="C20" i="28"/>
  <c r="O20" i="28" s="1"/>
  <c r="N19" i="28"/>
  <c r="M19" i="28"/>
  <c r="L19" i="28"/>
  <c r="K19" i="28"/>
  <c r="J19" i="28"/>
  <c r="J9" i="28" s="1"/>
  <c r="I19" i="28"/>
  <c r="I9" i="28" s="1"/>
  <c r="H19" i="28"/>
  <c r="G19" i="28"/>
  <c r="F19" i="28"/>
  <c r="E19" i="28"/>
  <c r="D19" i="28"/>
  <c r="C19" i="28"/>
  <c r="O19" i="28" s="1"/>
  <c r="N18" i="28"/>
  <c r="N8" i="28" s="1"/>
  <c r="M18" i="28"/>
  <c r="L18" i="28"/>
  <c r="K18" i="28"/>
  <c r="J18" i="28"/>
  <c r="I18" i="28"/>
  <c r="H18" i="28"/>
  <c r="G18" i="28"/>
  <c r="G8" i="28" s="1"/>
  <c r="F18" i="28"/>
  <c r="F8" i="28" s="1"/>
  <c r="E18" i="28"/>
  <c r="D18" i="28"/>
  <c r="C18" i="28"/>
  <c r="N17" i="28"/>
  <c r="M17" i="28"/>
  <c r="L17" i="28"/>
  <c r="L7" i="28" s="1"/>
  <c r="K17" i="28"/>
  <c r="K7" i="28" s="1"/>
  <c r="J17" i="28"/>
  <c r="I17" i="28"/>
  <c r="H17" i="28"/>
  <c r="G17" i="28"/>
  <c r="F17" i="28"/>
  <c r="E17" i="28"/>
  <c r="D17" i="28"/>
  <c r="D7" i="28" s="1"/>
  <c r="C17" i="28"/>
  <c r="C7" i="28" s="1"/>
  <c r="N16" i="28"/>
  <c r="M16" i="28"/>
  <c r="L16" i="28"/>
  <c r="K16" i="28"/>
  <c r="J16" i="28"/>
  <c r="I16" i="28"/>
  <c r="I6" i="28" s="1"/>
  <c r="H16" i="28"/>
  <c r="H6" i="28" s="1"/>
  <c r="G16" i="28"/>
  <c r="F16" i="28"/>
  <c r="E16" i="28"/>
  <c r="D16" i="28"/>
  <c r="O16" i="28" s="1"/>
  <c r="C16" i="28"/>
  <c r="N15" i="28"/>
  <c r="N38" i="28" s="1"/>
  <c r="N39" i="28" s="1"/>
  <c r="M15" i="28"/>
  <c r="M38" i="28" s="1"/>
  <c r="M39" i="28" s="1"/>
  <c r="L15" i="28"/>
  <c r="L38" i="28" s="1"/>
  <c r="L39" i="28" s="1"/>
  <c r="K15" i="28"/>
  <c r="J15" i="28"/>
  <c r="I15" i="28"/>
  <c r="I38" i="28" s="1"/>
  <c r="I39" i="28" s="1"/>
  <c r="H15" i="28"/>
  <c r="H38" i="28" s="1"/>
  <c r="H39" i="28" s="1"/>
  <c r="G15" i="28"/>
  <c r="G38" i="28" s="1"/>
  <c r="G39" i="28" s="1"/>
  <c r="F15" i="28"/>
  <c r="F38" i="28" s="1"/>
  <c r="F39" i="28" s="1"/>
  <c r="E15" i="28"/>
  <c r="E38" i="28" s="1"/>
  <c r="E39" i="28" s="1"/>
  <c r="D15" i="28"/>
  <c r="D38" i="28" s="1"/>
  <c r="D39" i="28" s="1"/>
  <c r="C15" i="28"/>
  <c r="O15" i="28" s="1"/>
  <c r="M9" i="28"/>
  <c r="L9" i="28"/>
  <c r="H9" i="28"/>
  <c r="E9" i="28"/>
  <c r="D9" i="28"/>
  <c r="M8" i="28"/>
  <c r="E8" i="28"/>
  <c r="N7" i="28"/>
  <c r="F7" i="28"/>
  <c r="L6" i="28"/>
  <c r="L10" i="28" s="1"/>
  <c r="L11" i="28" s="1"/>
  <c r="K6" i="28"/>
  <c r="K10" i="28" s="1"/>
  <c r="J6" i="28"/>
  <c r="G6" i="28"/>
  <c r="D6" i="28"/>
  <c r="D10" i="28" s="1"/>
  <c r="C6" i="28"/>
  <c r="C72" i="28" l="1"/>
  <c r="O71" i="28"/>
  <c r="O72" i="28" s="1"/>
  <c r="H10" i="28"/>
  <c r="H11" i="28" s="1"/>
  <c r="D11" i="28"/>
  <c r="I10" i="28"/>
  <c r="I11" i="28" s="1"/>
  <c r="J10" i="28"/>
  <c r="J11" i="28" s="1"/>
  <c r="O37" i="28"/>
  <c r="O18" i="28"/>
  <c r="K38" i="28"/>
  <c r="K39" i="28" s="1"/>
  <c r="M6" i="28"/>
  <c r="M10" i="28" s="1"/>
  <c r="M11" i="28" s="1"/>
  <c r="C8" i="28"/>
  <c r="O8" i="28" s="1"/>
  <c r="F9" i="28"/>
  <c r="O9" i="28" s="1"/>
  <c r="E6" i="28"/>
  <c r="E10" i="28" s="1"/>
  <c r="E11" i="28" s="1"/>
  <c r="F6" i="28"/>
  <c r="O6" i="28" s="1"/>
  <c r="N6" i="28"/>
  <c r="N10" i="28" s="1"/>
  <c r="N11" i="28" s="1"/>
  <c r="O63" i="28"/>
  <c r="C58" i="28"/>
  <c r="G7" i="28"/>
  <c r="G10" i="28" s="1"/>
  <c r="G11" i="28" s="1"/>
  <c r="C38" i="28"/>
  <c r="C10" i="28"/>
  <c r="C11" i="28" s="1"/>
  <c r="O17" i="28"/>
  <c r="O22" i="28"/>
  <c r="C39" i="28" l="1"/>
  <c r="O38" i="28"/>
  <c r="O39" i="28" s="1"/>
  <c r="C59" i="28"/>
  <c r="O58" i="28"/>
  <c r="O59" i="28" s="1"/>
  <c r="F10" i="28"/>
  <c r="F11" i="28" s="1"/>
  <c r="O7" i="28"/>
  <c r="O10" i="28" s="1"/>
  <c r="O11" i="28" s="1"/>
  <c r="K11" i="28"/>
  <c r="A5" i="27" l="1"/>
  <c r="A6" i="27" s="1"/>
  <c r="A7" i="27" s="1"/>
  <c r="A8" i="27" s="1"/>
  <c r="A9" i="27" s="1"/>
  <c r="A10" i="27" s="1"/>
  <c r="A11" i="27" s="1"/>
  <c r="A12" i="27" s="1"/>
  <c r="A13" i="27" s="1"/>
  <c r="A14" i="27" s="1"/>
  <c r="A15" i="27" s="1"/>
  <c r="A16" i="27" s="1"/>
  <c r="A17" i="27" s="1"/>
  <c r="A18" i="27" s="1"/>
  <c r="A19" i="27" s="1"/>
  <c r="A20" i="27" s="1"/>
  <c r="A21" i="27" s="1"/>
  <c r="A22" i="27" s="1"/>
  <c r="A23" i="27" s="1"/>
  <c r="A24" i="27" s="1"/>
  <c r="A25" i="27" s="1"/>
  <c r="A26" i="27" s="1"/>
  <c r="B10" i="4"/>
  <c r="A6" i="25" l="1"/>
  <c r="A7" i="25" s="1"/>
  <c r="A8" i="25" s="1"/>
  <c r="A9" i="25" s="1"/>
  <c r="A10" i="25" s="1"/>
  <c r="A11" i="25" s="1"/>
  <c r="A12" i="25" s="1"/>
  <c r="A13" i="25" s="1"/>
  <c r="A14" i="25" s="1"/>
  <c r="A15" i="25" s="1"/>
  <c r="A16" i="25" s="1"/>
  <c r="A17" i="25" s="1"/>
  <c r="A18" i="25" s="1"/>
  <c r="A19" i="25" s="1"/>
  <c r="A20" i="25" s="1"/>
  <c r="A21" i="25" s="1"/>
  <c r="A22" i="25" s="1"/>
  <c r="C36" i="18" l="1"/>
  <c r="C15" i="18"/>
  <c r="C16" i="18"/>
  <c r="C17" i="18" s="1"/>
  <c r="O22" i="25"/>
  <c r="O21" i="25"/>
  <c r="O20" i="25"/>
  <c r="O19" i="25"/>
  <c r="O18" i="25"/>
  <c r="O17" i="25"/>
  <c r="O16" i="25"/>
  <c r="O15" i="25"/>
  <c r="O14" i="25"/>
  <c r="O13" i="25"/>
  <c r="O12" i="25"/>
  <c r="O11" i="25"/>
  <c r="N22" i="25"/>
  <c r="N21" i="25"/>
  <c r="N20" i="25"/>
  <c r="N19" i="25"/>
  <c r="N18" i="25"/>
  <c r="N17" i="25"/>
  <c r="N16" i="25"/>
  <c r="N15" i="25"/>
  <c r="N14" i="25"/>
  <c r="N13" i="25"/>
  <c r="N12" i="25"/>
  <c r="N11" i="25"/>
  <c r="D22" i="25"/>
  <c r="G22" i="25" s="1"/>
  <c r="D21" i="25"/>
  <c r="D20" i="25"/>
  <c r="D19" i="25"/>
  <c r="D18" i="25"/>
  <c r="D17" i="25"/>
  <c r="G17" i="25" s="1"/>
  <c r="D16" i="25"/>
  <c r="G16" i="25" s="1"/>
  <c r="D15" i="25"/>
  <c r="G15" i="25" s="1"/>
  <c r="D14" i="25"/>
  <c r="G14" i="25" s="1"/>
  <c r="D13" i="25"/>
  <c r="D12" i="25"/>
  <c r="G12" i="25" s="1"/>
  <c r="D11" i="25"/>
  <c r="G11" i="25" s="1"/>
  <c r="N39" i="26"/>
  <c r="N40" i="26"/>
  <c r="N41" i="26"/>
  <c r="N42" i="26"/>
  <c r="N43" i="26"/>
  <c r="N44" i="26"/>
  <c r="N45" i="26"/>
  <c r="N46" i="26"/>
  <c r="N38" i="26"/>
  <c r="N47" i="26"/>
  <c r="C48" i="26"/>
  <c r="D48" i="26"/>
  <c r="E48" i="26"/>
  <c r="F48" i="26"/>
  <c r="G48" i="26"/>
  <c r="H48" i="26"/>
  <c r="I48" i="26"/>
  <c r="J48" i="26"/>
  <c r="K48" i="26"/>
  <c r="L48" i="26"/>
  <c r="M48" i="26"/>
  <c r="B48" i="26"/>
  <c r="N26" i="26"/>
  <c r="N27" i="26"/>
  <c r="N28" i="26"/>
  <c r="N29" i="26"/>
  <c r="N30" i="26"/>
  <c r="N31" i="26"/>
  <c r="N32" i="26"/>
  <c r="N33" i="26"/>
  <c r="N34" i="26"/>
  <c r="N25" i="26"/>
  <c r="C35" i="26"/>
  <c r="D35" i="26"/>
  <c r="E35" i="26"/>
  <c r="F35" i="26"/>
  <c r="G35" i="26"/>
  <c r="H35" i="26"/>
  <c r="I35" i="26"/>
  <c r="J35" i="26"/>
  <c r="K35" i="26"/>
  <c r="L35" i="26"/>
  <c r="M35" i="26"/>
  <c r="B35" i="26"/>
  <c r="N13" i="26"/>
  <c r="N14" i="26"/>
  <c r="N15" i="26"/>
  <c r="N16" i="26"/>
  <c r="N17" i="26"/>
  <c r="N18" i="26"/>
  <c r="N19" i="26"/>
  <c r="N20" i="26"/>
  <c r="N21" i="26"/>
  <c r="N12" i="26"/>
  <c r="C22" i="26"/>
  <c r="D22" i="26"/>
  <c r="E22" i="26"/>
  <c r="F22" i="26"/>
  <c r="G22" i="26"/>
  <c r="H22" i="26"/>
  <c r="I22" i="26"/>
  <c r="J22" i="26"/>
  <c r="K22" i="26"/>
  <c r="L22" i="26"/>
  <c r="M22" i="26"/>
  <c r="B22" i="26"/>
  <c r="N48" i="26" l="1"/>
  <c r="P17" i="25"/>
  <c r="O16" i="27" s="1"/>
  <c r="P18" i="25"/>
  <c r="O17" i="27" s="1"/>
  <c r="P11" i="25"/>
  <c r="O10" i="27" s="1"/>
  <c r="P19" i="25"/>
  <c r="O18" i="27" s="1"/>
  <c r="Q18" i="27" s="1"/>
  <c r="Q10" i="27" s="1"/>
  <c r="Q11" i="27" s="1"/>
  <c r="Q12" i="27" s="1"/>
  <c r="Q13" i="27" s="1"/>
  <c r="Q14" i="27" s="1"/>
  <c r="P20" i="25"/>
  <c r="O19" i="27" s="1"/>
  <c r="Q19" i="27" s="1"/>
  <c r="P12" i="25"/>
  <c r="O11" i="27" s="1"/>
  <c r="P21" i="25"/>
  <c r="O20" i="27" s="1"/>
  <c r="P13" i="25"/>
  <c r="O12" i="27" s="1"/>
  <c r="P14" i="25"/>
  <c r="O13" i="27" s="1"/>
  <c r="P22" i="25"/>
  <c r="O21" i="27" s="1"/>
  <c r="P15" i="25"/>
  <c r="O14" i="27" s="1"/>
  <c r="P16" i="25"/>
  <c r="O15" i="27" s="1"/>
  <c r="O23" i="25"/>
  <c r="D23" i="25"/>
  <c r="S11" i="25"/>
  <c r="G13" i="25"/>
  <c r="N35" i="26"/>
  <c r="N22" i="26"/>
  <c r="C22" i="25"/>
  <c r="E22" i="25" s="1"/>
  <c r="C21" i="27" s="1"/>
  <c r="C21" i="25"/>
  <c r="E21" i="25" s="1"/>
  <c r="C20" i="27" s="1"/>
  <c r="C20" i="25"/>
  <c r="E20" i="25" s="1"/>
  <c r="C19" i="27" s="1"/>
  <c r="C19" i="25"/>
  <c r="E19" i="25" s="1"/>
  <c r="C18" i="27" s="1"/>
  <c r="C18" i="25"/>
  <c r="E18" i="25" s="1"/>
  <c r="C17" i="27" s="1"/>
  <c r="C17" i="25"/>
  <c r="E17" i="25" s="1"/>
  <c r="C16" i="27" s="1"/>
  <c r="C16" i="25"/>
  <c r="E16" i="25" s="1"/>
  <c r="C15" i="27" s="1"/>
  <c r="C15" i="25"/>
  <c r="E15" i="25" s="1"/>
  <c r="C14" i="27" s="1"/>
  <c r="C14" i="25"/>
  <c r="E14" i="25" s="1"/>
  <c r="C13" i="27" s="1"/>
  <c r="C13" i="25"/>
  <c r="E13" i="25" s="1"/>
  <c r="C12" i="27" s="1"/>
  <c r="C12" i="25"/>
  <c r="E12" i="25" s="1"/>
  <c r="C11" i="27" s="1"/>
  <c r="C11" i="25"/>
  <c r="E11" i="25" s="1"/>
  <c r="C10" i="27" s="1"/>
  <c r="D17" i="27" l="1"/>
  <c r="O22" i="27"/>
  <c r="O23" i="27" s="1"/>
  <c r="C22" i="27"/>
  <c r="C23" i="27" s="1"/>
  <c r="D18" i="27"/>
  <c r="H18" i="27" s="1"/>
  <c r="I18" i="27" s="1"/>
  <c r="P12" i="27"/>
  <c r="D19" i="27"/>
  <c r="H19" i="27" s="1"/>
  <c r="I19" i="27" s="1"/>
  <c r="P11" i="27"/>
  <c r="P10" i="27"/>
  <c r="P13" i="27"/>
  <c r="D20" i="27"/>
  <c r="H20" i="27" s="1"/>
  <c r="I20" i="27" s="1"/>
  <c r="Q15" i="27"/>
  <c r="P14" i="27"/>
  <c r="F14" i="27" s="1"/>
  <c r="C11" i="18"/>
  <c r="H13" i="27" l="1"/>
  <c r="I13" i="27" s="1"/>
  <c r="F13" i="27"/>
  <c r="H10" i="27"/>
  <c r="I10" i="27" s="1"/>
  <c r="F10" i="27"/>
  <c r="H11" i="27"/>
  <c r="I11" i="27" s="1"/>
  <c r="F11" i="27"/>
  <c r="H12" i="27"/>
  <c r="I12" i="27" s="1"/>
  <c r="F12" i="27"/>
  <c r="H17" i="27"/>
  <c r="I17" i="27" s="1"/>
  <c r="D22" i="27"/>
  <c r="H14" i="27"/>
  <c r="I14" i="27" s="1"/>
  <c r="Q16" i="27"/>
  <c r="P15" i="27"/>
  <c r="E11" i="4"/>
  <c r="F19" i="25"/>
  <c r="G19" i="25" s="1"/>
  <c r="F20" i="25"/>
  <c r="G20" i="25" s="1"/>
  <c r="F21" i="25"/>
  <c r="G21" i="25" s="1"/>
  <c r="F18" i="25"/>
  <c r="G18" i="25" s="1"/>
  <c r="S12" i="25"/>
  <c r="C23" i="25"/>
  <c r="H15" i="27" l="1"/>
  <c r="F15" i="27"/>
  <c r="S13" i="25"/>
  <c r="S14" i="25" s="1"/>
  <c r="S15" i="25" s="1"/>
  <c r="S16" i="25" s="1"/>
  <c r="S17" i="25" s="1"/>
  <c r="S18" i="25" s="1"/>
  <c r="S19" i="25" s="1"/>
  <c r="S20" i="25" s="1"/>
  <c r="S21" i="25" s="1"/>
  <c r="S22" i="25" s="1"/>
  <c r="P16" i="27"/>
  <c r="F16" i="27" s="1"/>
  <c r="Q17" i="27"/>
  <c r="A7" i="18"/>
  <c r="A8" i="18" s="1"/>
  <c r="A9" i="18" s="1"/>
  <c r="A10" i="18" s="1"/>
  <c r="A11" i="18" s="1"/>
  <c r="Q11" i="25"/>
  <c r="R11" i="25" s="1"/>
  <c r="Q12" i="25"/>
  <c r="R12" i="25" s="1"/>
  <c r="Q13" i="25" l="1"/>
  <c r="R13" i="25" s="1"/>
  <c r="H16" i="27"/>
  <c r="I16" i="27" s="1"/>
  <c r="A12" i="18"/>
  <c r="A13" i="18" s="1"/>
  <c r="A14" i="18" s="1"/>
  <c r="A15" i="18" s="1"/>
  <c r="A16" i="18" s="1"/>
  <c r="A17" i="18" s="1"/>
  <c r="A18" i="18" s="1"/>
  <c r="P17" i="27"/>
  <c r="F17" i="27" s="1"/>
  <c r="I15" i="27"/>
  <c r="Q14" i="25"/>
  <c r="R14" i="25" s="1"/>
  <c r="F23" i="25"/>
  <c r="N23" i="25"/>
  <c r="A19" i="18" l="1"/>
  <c r="P18" i="27"/>
  <c r="F18" i="27" s="1"/>
  <c r="Q15" i="25"/>
  <c r="R15" i="25" s="1"/>
  <c r="F11" i="4"/>
  <c r="F12" i="4"/>
  <c r="E12" i="4"/>
  <c r="A20" i="18" l="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P19" i="27"/>
  <c r="F19" i="27" s="1"/>
  <c r="Q20" i="27"/>
  <c r="Q16" i="25"/>
  <c r="R16" i="25" s="1"/>
  <c r="P20" i="27" l="1"/>
  <c r="F20" i="27" s="1"/>
  <c r="Q21" i="27"/>
  <c r="Q17" i="25"/>
  <c r="R17" i="25" s="1"/>
  <c r="P21" i="27" l="1"/>
  <c r="Q22" i="27"/>
  <c r="Q23" i="27" s="1"/>
  <c r="Q18" i="25"/>
  <c r="R18" i="25" s="1"/>
  <c r="H21" i="27" l="1"/>
  <c r="F21" i="27"/>
  <c r="P22" i="27"/>
  <c r="P23" i="27" s="1"/>
  <c r="Q19" i="25"/>
  <c r="R19" i="25" s="1"/>
  <c r="F22" i="27" l="1"/>
  <c r="F23" i="27" s="1"/>
  <c r="I21" i="27"/>
  <c r="H22" i="27"/>
  <c r="H23" i="27" s="1"/>
  <c r="Q21" i="25"/>
  <c r="R21" i="25" s="1"/>
  <c r="Q20" i="25"/>
  <c r="R20" i="25" s="1"/>
  <c r="I22" i="27" l="1"/>
  <c r="I23" i="27" s="1"/>
  <c r="Q22" i="25"/>
  <c r="R22" i="25" s="1"/>
  <c r="S23" i="25"/>
  <c r="R23" i="25" l="1"/>
  <c r="Q23" i="25" l="1"/>
  <c r="K98" i="19" l="1"/>
  <c r="J98" i="19"/>
  <c r="I98" i="19"/>
  <c r="H98" i="19"/>
  <c r="N98" i="19"/>
  <c r="M98" i="19"/>
  <c r="L98" i="19"/>
  <c r="G98" i="19"/>
  <c r="F98" i="19"/>
  <c r="E98" i="19"/>
  <c r="D98" i="19"/>
  <c r="O70" i="19"/>
  <c r="O69" i="19"/>
  <c r="O68" i="19"/>
  <c r="O67" i="19"/>
  <c r="O66" i="19"/>
  <c r="O65" i="19"/>
  <c r="O64" i="19"/>
  <c r="O63" i="19"/>
  <c r="O62" i="19"/>
  <c r="O61" i="19"/>
  <c r="O60" i="19"/>
  <c r="O59" i="19"/>
  <c r="O58" i="19"/>
  <c r="O57" i="19"/>
  <c r="O56" i="19"/>
  <c r="O55" i="19"/>
  <c r="O54" i="19"/>
  <c r="O53" i="19"/>
  <c r="O52" i="19"/>
  <c r="O51" i="19"/>
  <c r="O50" i="19"/>
  <c r="O49" i="19"/>
  <c r="O48" i="19"/>
  <c r="K71" i="19"/>
  <c r="C71" i="19"/>
  <c r="O46" i="19"/>
  <c r="O45" i="19"/>
  <c r="O44" i="19"/>
  <c r="O43" i="19"/>
  <c r="N71" i="19"/>
  <c r="M71" i="19"/>
  <c r="L71" i="19"/>
  <c r="J71" i="19"/>
  <c r="I71" i="19"/>
  <c r="H71" i="19"/>
  <c r="G71" i="19"/>
  <c r="F71" i="19"/>
  <c r="E71" i="19"/>
  <c r="D71" i="19"/>
  <c r="O37" i="19"/>
  <c r="O36" i="19"/>
  <c r="O35" i="19"/>
  <c r="O34" i="19"/>
  <c r="O33" i="19"/>
  <c r="O32" i="19"/>
  <c r="O31" i="19"/>
  <c r="O30" i="19"/>
  <c r="O29" i="19"/>
  <c r="O28" i="19"/>
  <c r="O27" i="19"/>
  <c r="O26" i="19"/>
  <c r="O25" i="19"/>
  <c r="O24" i="19"/>
  <c r="O23" i="19"/>
  <c r="O22" i="19"/>
  <c r="O21" i="19"/>
  <c r="O20" i="19"/>
  <c r="O19" i="19"/>
  <c r="O18" i="19"/>
  <c r="O17" i="19"/>
  <c r="O16" i="19"/>
  <c r="O15" i="19"/>
  <c r="M38" i="19"/>
  <c r="E38" i="19"/>
  <c r="O13" i="19"/>
  <c r="O12" i="19"/>
  <c r="O11" i="19"/>
  <c r="O10" i="19"/>
  <c r="N38" i="19"/>
  <c r="L38" i="19"/>
  <c r="K38" i="19"/>
  <c r="J38" i="19"/>
  <c r="I38" i="19"/>
  <c r="H38" i="19"/>
  <c r="G38" i="19"/>
  <c r="D38" i="19"/>
  <c r="C38" i="19"/>
  <c r="C21" i="18"/>
  <c r="O14" i="19" l="1"/>
  <c r="O47" i="19"/>
  <c r="O9" i="19"/>
  <c r="O38" i="19" s="1"/>
  <c r="O98" i="19"/>
  <c r="O42" i="19"/>
  <c r="O71" i="19" s="1"/>
  <c r="C98" i="19"/>
  <c r="F38" i="19"/>
  <c r="F10" i="4" l="1"/>
  <c r="K18" i="25" l="1"/>
  <c r="K19" i="25"/>
  <c r="L19" i="25" s="1"/>
  <c r="K21" i="25"/>
  <c r="L21" i="25" s="1"/>
  <c r="K20" i="25"/>
  <c r="L20" i="25" s="1"/>
  <c r="K13" i="25"/>
  <c r="L13" i="25" s="1"/>
  <c r="K12" i="25"/>
  <c r="L12" i="25" s="1"/>
  <c r="K14" i="25"/>
  <c r="L14" i="25" s="1"/>
  <c r="K15" i="25"/>
  <c r="L15" i="25" s="1"/>
  <c r="K16" i="25"/>
  <c r="L16" i="25" s="1"/>
  <c r="K17" i="25"/>
  <c r="L17" i="25" s="1"/>
  <c r="K22" i="25"/>
  <c r="L22" i="25" s="1"/>
  <c r="K11" i="25" l="1"/>
  <c r="K23" i="25" s="1"/>
  <c r="C19" i="18"/>
  <c r="L18" i="25"/>
  <c r="C12" i="18" l="1"/>
  <c r="C8" i="18" s="1"/>
  <c r="E8" i="4" s="1"/>
  <c r="C32" i="18"/>
  <c r="C29" i="18" s="1"/>
  <c r="E9" i="4" s="1"/>
  <c r="L11" i="25"/>
  <c r="C18" i="18"/>
  <c r="L23" i="25"/>
  <c r="C33" i="18" l="1"/>
  <c r="C34" i="18" s="1"/>
  <c r="C13" i="18"/>
  <c r="C39" i="18"/>
  <c r="E13" i="4"/>
  <c r="C22" i="18"/>
  <c r="K19" i="27" l="1"/>
  <c r="M19" i="27" s="1"/>
  <c r="K18" i="27"/>
  <c r="M18" i="27" s="1"/>
  <c r="K20" i="27"/>
  <c r="M20" i="27" s="1"/>
  <c r="K17" i="27"/>
  <c r="M17" i="27" s="1"/>
  <c r="M16" i="27"/>
  <c r="M21" i="27"/>
  <c r="C30" i="18"/>
  <c r="F9" i="4" s="1"/>
  <c r="C40" i="18" l="1"/>
  <c r="C41" i="18" s="1"/>
  <c r="C43" i="18" s="1"/>
  <c r="B11" i="4" l="1"/>
  <c r="E20" i="27" l="1"/>
  <c r="G20" i="27" s="1"/>
  <c r="E15" i="27"/>
  <c r="G15" i="27" s="1"/>
  <c r="E19" i="27"/>
  <c r="G19" i="27" s="1"/>
  <c r="E13" i="27"/>
  <c r="G13" i="27" s="1"/>
  <c r="E18" i="27"/>
  <c r="G18" i="27" s="1"/>
  <c r="E12" i="27"/>
  <c r="G12" i="27" s="1"/>
  <c r="E16" i="27"/>
  <c r="G16" i="27" s="1"/>
  <c r="E17" i="27"/>
  <c r="G17" i="27" s="1"/>
  <c r="E11" i="27"/>
  <c r="G11" i="27" s="1"/>
  <c r="E14" i="27"/>
  <c r="G14" i="27" s="1"/>
  <c r="E21" i="27"/>
  <c r="G21" i="27" s="1"/>
  <c r="E10" i="27"/>
  <c r="G10" i="27" s="1"/>
  <c r="G22" i="27" s="1"/>
  <c r="G23" i="27" s="1"/>
  <c r="J19" i="27"/>
  <c r="L19" i="27" s="1"/>
  <c r="J18" i="27"/>
  <c r="L18" i="27" s="1"/>
  <c r="J20" i="27"/>
  <c r="L20" i="27" s="1"/>
  <c r="J17" i="27"/>
  <c r="L17" i="27" s="1"/>
  <c r="J10" i="27"/>
  <c r="J11" i="27"/>
  <c r="J13" i="27"/>
  <c r="J12" i="27"/>
  <c r="J14" i="27"/>
  <c r="J16" i="27"/>
  <c r="L16" i="27" s="1"/>
  <c r="J15" i="27"/>
  <c r="J21" i="27"/>
  <c r="J22" i="27" l="1"/>
  <c r="J23" i="27" s="1"/>
  <c r="L21" i="27"/>
  <c r="E22" i="27"/>
  <c r="E23" i="27" s="1"/>
  <c r="C14" i="18" l="1"/>
  <c r="C9" i="18"/>
  <c r="F8" i="4" s="1"/>
  <c r="C23" i="18" l="1"/>
  <c r="C24" i="18" s="1"/>
  <c r="C26" i="18" s="1"/>
  <c r="F13" i="4" l="1"/>
  <c r="K11" i="27" l="1"/>
  <c r="K10" i="27"/>
  <c r="M10" i="27" s="1"/>
  <c r="K13" i="27"/>
  <c r="K12" i="27"/>
  <c r="K14" i="27"/>
  <c r="K15" i="27"/>
  <c r="L15" i="27" l="1"/>
  <c r="M15" i="27"/>
  <c r="L14" i="27"/>
  <c r="M14" i="27"/>
  <c r="L12" i="27"/>
  <c r="M12" i="27"/>
  <c r="L13" i="27"/>
  <c r="M13" i="27"/>
  <c r="L11" i="27"/>
  <c r="M11" i="27"/>
  <c r="L10" i="27"/>
  <c r="K22" i="27"/>
  <c r="M22" i="27" s="1"/>
  <c r="K23" i="27" l="1"/>
  <c r="L22" i="27"/>
  <c r="L23" i="27" l="1"/>
  <c r="M23" i="27"/>
</calcChain>
</file>

<file path=xl/sharedStrings.xml><?xml version="1.0" encoding="utf-8"?>
<sst xmlns="http://schemas.openxmlformats.org/spreadsheetml/2006/main" count="642" uniqueCount="215">
  <si>
    <t>R-3</t>
  </si>
  <si>
    <t>ELECTRIC</t>
  </si>
  <si>
    <t>Current</t>
  </si>
  <si>
    <t>Heating</t>
  </si>
  <si>
    <t>Non-Heat</t>
  </si>
  <si>
    <t>Bill Date</t>
  </si>
  <si>
    <t>kWh</t>
  </si>
  <si>
    <t>Monthly Bill</t>
  </si>
  <si>
    <t>Therms</t>
  </si>
  <si>
    <t>November</t>
  </si>
  <si>
    <t>December</t>
  </si>
  <si>
    <t>January</t>
  </si>
  <si>
    <t>February</t>
  </si>
  <si>
    <t>March</t>
  </si>
  <si>
    <t>April</t>
  </si>
  <si>
    <t>May</t>
  </si>
  <si>
    <t>June</t>
  </si>
  <si>
    <t>July</t>
  </si>
  <si>
    <t>August</t>
  </si>
  <si>
    <t>September</t>
  </si>
  <si>
    <t>October</t>
  </si>
  <si>
    <t>Total</t>
  </si>
  <si>
    <t>Monthly Average</t>
  </si>
  <si>
    <t>Transmission</t>
  </si>
  <si>
    <t>Rate R-1</t>
  </si>
  <si>
    <t>Cust Chg</t>
  </si>
  <si>
    <t>Delivery</t>
  </si>
  <si>
    <t xml:space="preserve">Supply </t>
  </si>
  <si>
    <t>BTU/kWh</t>
  </si>
  <si>
    <t>BTU/CCF</t>
  </si>
  <si>
    <t>Electric Res Eff</t>
  </si>
  <si>
    <t>Cooling</t>
  </si>
  <si>
    <t>ASHP</t>
  </si>
  <si>
    <t>Post-ASHP</t>
  </si>
  <si>
    <t>HEATING REQUIREMENTS</t>
  </si>
  <si>
    <t>Proposed</t>
  </si>
  <si>
    <t>Customer Charge</t>
  </si>
  <si>
    <t>Test Year Bills</t>
  </si>
  <si>
    <t>Customer Revenue</t>
  </si>
  <si>
    <t>Total Base Rate Revenue</t>
  </si>
  <si>
    <t>Difference from Target</t>
  </si>
  <si>
    <t>NSTAR Electric Company</t>
  </si>
  <si>
    <t>d/b/a Eversource Energy</t>
  </si>
  <si>
    <t>Rate Class</t>
  </si>
  <si>
    <t>Service Area</t>
  </si>
  <si>
    <t>Jan</t>
  </si>
  <si>
    <t>Feb</t>
  </si>
  <si>
    <t>Mar</t>
  </si>
  <si>
    <t>Apr</t>
  </si>
  <si>
    <t>Jun</t>
  </si>
  <si>
    <t>Jul</t>
  </si>
  <si>
    <t>Aug</t>
  </si>
  <si>
    <t>Sep</t>
  </si>
  <si>
    <t>Oct</t>
  </si>
  <si>
    <t>Nov</t>
  </si>
  <si>
    <t>Dec</t>
  </si>
  <si>
    <t>SALES</t>
  </si>
  <si>
    <t>R-1</t>
  </si>
  <si>
    <t>All</t>
  </si>
  <si>
    <t>R-2</t>
  </si>
  <si>
    <t>R-4</t>
  </si>
  <si>
    <t>G-1</t>
  </si>
  <si>
    <t>Boston</t>
  </si>
  <si>
    <t>T-1</t>
  </si>
  <si>
    <t>G-2</t>
  </si>
  <si>
    <t>G-3</t>
  </si>
  <si>
    <t>WR</t>
  </si>
  <si>
    <t>Cambridge</t>
  </si>
  <si>
    <t>G-6</t>
  </si>
  <si>
    <t>G-3/SB</t>
  </si>
  <si>
    <t>G-5</t>
  </si>
  <si>
    <t>South</t>
  </si>
  <si>
    <t>G-7</t>
  </si>
  <si>
    <t>G-4</t>
  </si>
  <si>
    <t>WMA</t>
  </si>
  <si>
    <t>T-4</t>
  </si>
  <si>
    <t>T-5</t>
  </si>
  <si>
    <t>S-1</t>
  </si>
  <si>
    <t>S-2</t>
  </si>
  <si>
    <t>CUSTOMERS</t>
  </si>
  <si>
    <t>DEMAND</t>
  </si>
  <si>
    <t>Energy Charge - Summer (June - Sept)</t>
  </si>
  <si>
    <t>Energy Charge - Winter (Oct - May)</t>
  </si>
  <si>
    <t>Energy Revenue - Summer</t>
  </si>
  <si>
    <t>Energy Revenue - Winter</t>
  </si>
  <si>
    <t>Summer</t>
  </si>
  <si>
    <t>Winter</t>
  </si>
  <si>
    <t>Base Dist</t>
  </si>
  <si>
    <t>Total Fixed</t>
  </si>
  <si>
    <t>Total Energy</t>
  </si>
  <si>
    <t>Other</t>
  </si>
  <si>
    <t>Supply</t>
  </si>
  <si>
    <t>Rate</t>
  </si>
  <si>
    <t>G-41</t>
  </si>
  <si>
    <t>G-42</t>
  </si>
  <si>
    <t>G-43</t>
  </si>
  <si>
    <t>G-51</t>
  </si>
  <si>
    <t>G-52</t>
  </si>
  <si>
    <t>G-53</t>
  </si>
  <si>
    <t>Normalized Therms</t>
  </si>
  <si>
    <t>Number of Bills</t>
  </si>
  <si>
    <t>MDTQ</t>
  </si>
  <si>
    <t>TY Sales (Therms)</t>
  </si>
  <si>
    <t>TY Sales (kWh)</t>
  </si>
  <si>
    <t>Estimated Sales</t>
  </si>
  <si>
    <t>Distribution Rate Design</t>
  </si>
  <si>
    <t>SUMMARY OF WEATHER NORMALIZED TEST YEAR BILLING DETERMINANTS</t>
  </si>
  <si>
    <t>TY Cust (Bills)</t>
  </si>
  <si>
    <t>TY Sales/Cust</t>
  </si>
  <si>
    <t>kWh/Cust</t>
  </si>
  <si>
    <t>Rate R-3/R-4</t>
  </si>
  <si>
    <t>Month</t>
  </si>
  <si>
    <t>Therms/Cust</t>
  </si>
  <si>
    <t>Adjustment (%)</t>
  </si>
  <si>
    <t>Winter Heat Pump Adj. Factor</t>
  </si>
  <si>
    <t>Summer Heat Pump Adj. Factor</t>
  </si>
  <si>
    <t>Test Year kWh - HP Adjusted</t>
  </si>
  <si>
    <t>Transmission Rate Design</t>
  </si>
  <si>
    <t>Proposed Residential Heat Pump Rate Design (R-1HP/R-2HP)</t>
  </si>
  <si>
    <t>2025 Forecast Sales - Winter</t>
  </si>
  <si>
    <t>2025 Forecast Sales - Winter - HP adjusted</t>
  </si>
  <si>
    <t>Heat Pump Sales Adjustment</t>
  </si>
  <si>
    <t>Rate Inputs</t>
  </si>
  <si>
    <t>Rate R-1HP</t>
  </si>
  <si>
    <t>Current R-1</t>
  </si>
  <si>
    <t>Projected R-1</t>
  </si>
  <si>
    <t>Projected R-1HP</t>
  </si>
  <si>
    <t>R-3 Heating</t>
  </si>
  <si>
    <t>R-3 Non-Heat</t>
  </si>
  <si>
    <t xml:space="preserve">Efficiency Factors </t>
  </si>
  <si>
    <t>AIR SOURCE HEAT PUMP AVERAGE ELECTRIC BILL IMPACTS</t>
  </si>
  <si>
    <t>Change (%)</t>
  </si>
  <si>
    <t>THERMAL HEATING REQUIREMENTS</t>
  </si>
  <si>
    <t>2025 Sales kWh Forecast</t>
  </si>
  <si>
    <t>By RATE GROUP</t>
  </si>
  <si>
    <t>CONSOLIDATED</t>
  </si>
  <si>
    <t>Rate Group</t>
  </si>
  <si>
    <t>Residential</t>
  </si>
  <si>
    <t>Small General Service/Outdoor Lighting</t>
  </si>
  <si>
    <t>Medium General Service</t>
  </si>
  <si>
    <t>Large General Service</t>
  </si>
  <si>
    <t>Customer Class</t>
  </si>
  <si>
    <t>Residential Heat</t>
  </si>
  <si>
    <t>Greater Boston</t>
  </si>
  <si>
    <t>G-1/T-1</t>
  </si>
  <si>
    <t>G3/WR</t>
  </si>
  <si>
    <t>G-1/G-6</t>
  </si>
  <si>
    <t>G3/SB1</t>
  </si>
  <si>
    <t>G-1/G-7</t>
  </si>
  <si>
    <t>Western MA</t>
  </si>
  <si>
    <t>G-2/T-4</t>
  </si>
  <si>
    <t>EV-2</t>
  </si>
  <si>
    <t>EMA ONLY</t>
  </si>
  <si>
    <t>Eastern MA</t>
  </si>
  <si>
    <t>Streetlights</t>
  </si>
  <si>
    <t>WMA ONLY</t>
  </si>
  <si>
    <t>23/24/G-1</t>
  </si>
  <si>
    <t>No tracker charges on AM (Boston) and CON (South)</t>
  </si>
  <si>
    <t>Detail</t>
  </si>
  <si>
    <t>EMA</t>
  </si>
  <si>
    <t>R1</t>
  </si>
  <si>
    <t>R2</t>
  </si>
  <si>
    <t>R3</t>
  </si>
  <si>
    <t>R4</t>
  </si>
  <si>
    <t>G1DMD</t>
  </si>
  <si>
    <t>G1NDMD</t>
  </si>
  <si>
    <t>G2</t>
  </si>
  <si>
    <t>G3</t>
  </si>
  <si>
    <t>T1</t>
  </si>
  <si>
    <t>G1</t>
  </si>
  <si>
    <t>G3/SB</t>
  </si>
  <si>
    <t>G5</t>
  </si>
  <si>
    <t>G6</t>
  </si>
  <si>
    <t>G4</t>
  </si>
  <si>
    <t>G7</t>
  </si>
  <si>
    <t>S1</t>
  </si>
  <si>
    <t>S2</t>
  </si>
  <si>
    <t>CON</t>
  </si>
  <si>
    <t>G1NMTR</t>
  </si>
  <si>
    <t>T4</t>
  </si>
  <si>
    <t>T5</t>
  </si>
  <si>
    <t>Check</t>
  </si>
  <si>
    <t>2025 Forecast Sales - Summer</t>
  </si>
  <si>
    <t>2025 Forecast Sales - Summer - HP adjusted</t>
  </si>
  <si>
    <t>2025 Target Base Rate Revenue (DPU 24-137)</t>
  </si>
  <si>
    <t>2025 Forecast Sales (kWh) - HP Adjusted</t>
  </si>
  <si>
    <t>Test Year Summer kWh - HP adjusted</t>
  </si>
  <si>
    <t>Test Year Winter kWh - HP adjusted</t>
  </si>
  <si>
    <t>Test Year Summer kWh</t>
  </si>
  <si>
    <t>Test Year Winter kWh</t>
  </si>
  <si>
    <t>2025 Forecast Annual Sales (kWh)</t>
  </si>
  <si>
    <t>Test Year Annual kWh</t>
  </si>
  <si>
    <t>2025 Target Base Rate Revenue (DPU 24-171)</t>
  </si>
  <si>
    <t>Rate R-1/R-2</t>
  </si>
  <si>
    <t>R-3/R-4</t>
  </si>
  <si>
    <t>NSTAR Gas Company</t>
  </si>
  <si>
    <t>Notes:</t>
  </si>
  <si>
    <t>(3) Based on 2025-27 Massachusetts Technical Reference Manual (TRM)</t>
  </si>
  <si>
    <t>Rate R-3</t>
  </si>
  <si>
    <t>Current R-3 Gas</t>
  </si>
  <si>
    <t>Monthly Bill (1)</t>
  </si>
  <si>
    <t>Notes</t>
  </si>
  <si>
    <t>(1) Reflects heating portion of energy cost only; customer charge excluded under assumption that gas is still used for non-heating purposes</t>
  </si>
  <si>
    <t>Total Electric/Gas</t>
  </si>
  <si>
    <t>Electric/Gas</t>
  </si>
  <si>
    <t>R-1 to R-1HP</t>
  </si>
  <si>
    <t>to R-1HP Change (%)</t>
  </si>
  <si>
    <t>ASHP Heating Eff (1)</t>
  </si>
  <si>
    <t>ASHP Cooling Eff (1)</t>
  </si>
  <si>
    <t>(1) Mass Save Qualified Product List standards</t>
  </si>
  <si>
    <t>Gas Heating Eff (2)</t>
  </si>
  <si>
    <t>Central Air Cooling Eff (2)</t>
  </si>
  <si>
    <t>COP (1)</t>
  </si>
  <si>
    <t>https://ma-eeac.org/wp-content/uploads/MA-HPMS-CT-R2246-Heat-Pump-Metering-Study-Final-Report_August_2024.pdf</t>
  </si>
  <si>
    <t>(1) Monthly COP values were based on an analysis provided by Guidehouse Inc.  Their results will be provided in an update to their Massachusetts and Connecticut Heat Pump Metering Study. The study is expected to be updated and published near the time of this filing.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</si>
</sst>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_);\(&quot;$&quot;#,##0\)"/>
    <numFmt numFmtId="7" formatCode="&quot;$&quot;#,##0.00_);\(&quot;$&quot;#,##0.00\)"/>
    <numFmt numFmtId="44" formatCode="_(&quot;$&quot;* #,##0.00_);_(&quot;$&quot;* \(#,##0.00\);_(&quot;$&quot;* &quot;-&quot;??_);_(@_)"/>
    <numFmt numFmtId="43" formatCode="_(* #,##0.00_);_(* \(#,##0.00\);_(* &quot;-&quot;??_);_(@_)"/>
    <numFmt numFmtId="164" formatCode="_(* #,##0_);_(* \(#,##0\);_(* &quot;-&quot;??_);_(@_)"/>
    <numFmt numFmtId="165" formatCode="_(* #,##0.0_);_(* \(#,##0.0\);_(* &quot;-&quot;?_);_(@_)"/>
    <numFmt numFmtId="166" formatCode="_(&quot;$&quot;* #,##0.00000_);_(&quot;$&quot;* \(#,##0.00000\);_(&quot;$&quot;* &quot;-&quot;??_);_(@_)"/>
    <numFmt numFmtId="167" formatCode="&quot;$&quot;#,##0.00000_);\(&quot;$&quot;#,##0.00000\)"/>
    <numFmt numFmtId="168" formatCode="0.000%"/>
    <numFmt numFmtId="169" formatCode="_(&quot;$&quot;* #,##0_);_(&quot;$&quot;* \(#,##0\);_(&quot;$&quot;* &quot;-&quot;??_);_(@_)"/>
    <numFmt numFmtId="170" formatCode="_(* #,##0.00000_);_(* \(#,##0.00000\);_(* &quot;-&quot;??_);_(@_)"/>
    <numFmt numFmtId="171" formatCode="[$-409]mmm\-yy;@"/>
    <numFmt numFmtId="172" formatCode="_(&quot;$&quot;* #,##0.0000_);_(&quot;$&quot;* \(#,##0.0000\);_(&quot;$&quot;* &quot;-&quot;??_);_(@_)"/>
  </numFmts>
  <fonts count="28">
    <font>
      <sz val="11"/>
      <color theme="1"/>
      <name val="Calibri"/>
      <family val="2"/>
      <scheme val="minor"/>
    </font>
    <font>
      <sz val="11"/>
      <name val="Calibri"/>
      <family val="2"/>
    </font>
    <font>
      <sz val="11"/>
      <color theme="1"/>
      <name val="Calibri"/>
      <family val="2"/>
      <scheme val="minor"/>
    </font>
    <font>
      <sz val="11"/>
      <color rgb="FFFF0000"/>
      <name val="Calibri"/>
      <family val="2"/>
      <scheme val="minor"/>
    </font>
    <font>
      <b/>
      <sz val="11"/>
      <color theme="1"/>
      <name val="Calibri"/>
      <family val="2"/>
      <scheme val="minor"/>
    </font>
    <font>
      <b/>
      <sz val="14"/>
      <color theme="1"/>
      <name val="Calibri"/>
      <family val="2"/>
      <scheme val="minor"/>
    </font>
    <font>
      <sz val="14"/>
      <color rgb="FFFF0000"/>
      <name val="Calibri"/>
      <family val="2"/>
      <scheme val="minor"/>
    </font>
    <font>
      <u/>
      <sz val="11"/>
      <color theme="1"/>
      <name val="Calibri"/>
      <family val="2"/>
      <scheme val="minor"/>
    </font>
    <font>
      <sz val="11"/>
      <name val="Calibri"/>
      <family val="2"/>
      <scheme val="minor"/>
    </font>
    <font>
      <u val="singleAccounting"/>
      <sz val="11"/>
      <color theme="1"/>
      <name val="Calibri"/>
      <family val="2"/>
      <scheme val="minor"/>
    </font>
    <font>
      <u val="singleAccounting"/>
      <sz val="11"/>
      <name val="Calibri"/>
      <family val="2"/>
      <scheme val="minor"/>
    </font>
    <font>
      <b/>
      <sz val="11"/>
      <name val="Calibri"/>
      <family val="2"/>
      <scheme val="minor"/>
    </font>
    <font>
      <b/>
      <u/>
      <sz val="11"/>
      <color theme="1"/>
      <name val="Calibri"/>
      <family val="2"/>
      <scheme val="minor"/>
    </font>
    <font>
      <u val="singleAccounting"/>
      <sz val="11"/>
      <color rgb="FFFF0000"/>
      <name val="Calibri"/>
      <family val="2"/>
      <scheme val="minor"/>
    </font>
    <font>
      <u/>
      <sz val="11"/>
      <color rgb="FFFF0000"/>
      <name val="Calibri"/>
      <family val="2"/>
      <scheme val="minor"/>
    </font>
    <font>
      <sz val="10"/>
      <name val="Arial"/>
      <family val="2"/>
    </font>
    <font>
      <u/>
      <sz val="11"/>
      <name val="Calibri"/>
      <family val="2"/>
    </font>
    <font>
      <sz val="11"/>
      <color rgb="FFFF0000"/>
      <name val="Calibri"/>
      <family val="2"/>
    </font>
    <font>
      <b/>
      <sz val="10"/>
      <color theme="1"/>
      <name val="Arial"/>
      <family val="2"/>
    </font>
    <font>
      <sz val="10"/>
      <color theme="1"/>
      <name val="Arial"/>
      <family val="2"/>
    </font>
    <font>
      <b/>
      <u/>
      <sz val="10"/>
      <color theme="1"/>
      <name val="Arial"/>
      <family val="2"/>
    </font>
    <font>
      <u/>
      <sz val="10"/>
      <color theme="1"/>
      <name val="Arial"/>
      <family val="2"/>
    </font>
    <font>
      <u val="singleAccounting"/>
      <sz val="10"/>
      <color theme="1"/>
      <name val="Arial"/>
      <family val="2"/>
    </font>
    <font>
      <sz val="8"/>
      <name val="Calibri"/>
      <family val="2"/>
      <scheme val="minor"/>
    </font>
    <font>
      <sz val="12"/>
      <name val="SWISS"/>
    </font>
    <font>
      <u/>
      <sz val="11"/>
      <name val="Calibri"/>
      <family val="2"/>
      <scheme val="minor"/>
    </font>
    <font>
      <b/>
      <sz val="11"/>
      <name val="Calibri"/>
      <family val="2"/>
    </font>
    <font>
      <u/>
      <sz val="11"/>
      <color theme="1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s>
  <cellStyleXfs count="16">
    <xf numFmtId="0" fontId="0" fillId="0" borderId="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15" fillId="0" borderId="0"/>
    <xf numFmtId="0" fontId="15" fillId="0" borderId="0"/>
    <xf numFmtId="44"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24" fillId="0" borderId="0"/>
    <xf numFmtId="44" fontId="24" fillId="0" borderId="0" applyFont="0" applyFill="0" applyBorder="0" applyAlignment="0" applyProtection="0"/>
    <xf numFmtId="0" fontId="2" fillId="0" borderId="0"/>
    <xf numFmtId="0" fontId="2" fillId="0" borderId="0"/>
    <xf numFmtId="0" fontId="27" fillId="0" borderId="0" applyNumberFormat="0" applyFill="0" applyBorder="0" applyAlignment="0" applyProtection="0"/>
  </cellStyleXfs>
  <cellXfs count="139">
    <xf numFmtId="0" fontId="0" fillId="0" borderId="0" xfId="0"/>
    <xf numFmtId="0" fontId="5" fillId="0" borderId="0" xfId="0" applyFont="1"/>
    <xf numFmtId="0" fontId="6" fillId="0" borderId="0" xfId="0" applyFont="1"/>
    <xf numFmtId="0" fontId="4" fillId="0" borderId="0" xfId="0" applyFont="1"/>
    <xf numFmtId="0" fontId="4" fillId="0" borderId="0" xfId="0" applyFont="1" applyAlignment="1">
      <alignment horizontal="left"/>
    </xf>
    <xf numFmtId="0" fontId="0" fillId="0" borderId="0" xfId="0" applyAlignment="1">
      <alignment horizontal="left"/>
    </xf>
    <xf numFmtId="44" fontId="0" fillId="0" borderId="0" xfId="1" applyFont="1"/>
    <xf numFmtId="0" fontId="7" fillId="0" borderId="0" xfId="0" applyFont="1" applyAlignment="1">
      <alignment horizontal="right"/>
    </xf>
    <xf numFmtId="17" fontId="0" fillId="0" borderId="0" xfId="0" applyNumberFormat="1" applyAlignment="1">
      <alignment horizontal="right"/>
    </xf>
    <xf numFmtId="164" fontId="0" fillId="0" borderId="0" xfId="2" applyNumberFormat="1" applyFont="1"/>
    <xf numFmtId="44" fontId="0" fillId="0" borderId="0" xfId="0" applyNumberFormat="1"/>
    <xf numFmtId="9" fontId="0" fillId="0" borderId="0" xfId="3" applyFont="1"/>
    <xf numFmtId="164" fontId="8" fillId="0" borderId="0" xfId="2" applyNumberFormat="1" applyFont="1" applyFill="1"/>
    <xf numFmtId="164" fontId="2" fillId="0" borderId="0" xfId="2" applyNumberFormat="1" applyFont="1"/>
    <xf numFmtId="17" fontId="7" fillId="0" borderId="0" xfId="0" applyNumberFormat="1" applyFont="1" applyAlignment="1">
      <alignment horizontal="right"/>
    </xf>
    <xf numFmtId="164" fontId="9" fillId="0" borderId="0" xfId="2" applyNumberFormat="1" applyFont="1"/>
    <xf numFmtId="44" fontId="9" fillId="0" borderId="0" xfId="0" applyNumberFormat="1" applyFont="1"/>
    <xf numFmtId="9" fontId="7" fillId="0" borderId="0" xfId="3" applyFont="1"/>
    <xf numFmtId="164" fontId="10" fillId="0" borderId="0" xfId="2" applyNumberFormat="1" applyFont="1" applyFill="1"/>
    <xf numFmtId="0" fontId="7" fillId="0" borderId="0" xfId="0" applyFont="1"/>
    <xf numFmtId="0" fontId="4" fillId="0" borderId="0" xfId="0" applyFont="1" applyAlignment="1">
      <alignment horizontal="right"/>
    </xf>
    <xf numFmtId="164" fontId="11" fillId="0" borderId="0" xfId="2" applyNumberFormat="1" applyFont="1" applyFill="1"/>
    <xf numFmtId="44" fontId="4" fillId="0" borderId="0" xfId="0" applyNumberFormat="1" applyFont="1"/>
    <xf numFmtId="164" fontId="4" fillId="0" borderId="0" xfId="2" applyNumberFormat="1" applyFont="1"/>
    <xf numFmtId="9" fontId="4" fillId="0" borderId="0" xfId="3" applyFont="1"/>
    <xf numFmtId="164" fontId="4" fillId="0" borderId="0" xfId="0" applyNumberFormat="1" applyFont="1"/>
    <xf numFmtId="165" fontId="4" fillId="0" borderId="0" xfId="0" applyNumberFormat="1" applyFont="1"/>
    <xf numFmtId="0" fontId="3" fillId="0" borderId="0" xfId="0" applyFont="1"/>
    <xf numFmtId="43" fontId="0" fillId="0" borderId="0" xfId="0" applyNumberFormat="1"/>
    <xf numFmtId="0" fontId="0" fillId="0" borderId="0" xfId="0" applyAlignment="1">
      <alignment horizontal="center"/>
    </xf>
    <xf numFmtId="166" fontId="0" fillId="0" borderId="0" xfId="1" applyNumberFormat="1" applyFont="1"/>
    <xf numFmtId="166" fontId="0" fillId="0" borderId="0" xfId="0" applyNumberFormat="1"/>
    <xf numFmtId="0" fontId="12" fillId="0" borderId="0" xfId="0" applyFont="1"/>
    <xf numFmtId="166" fontId="13" fillId="0" borderId="0" xfId="1" applyNumberFormat="1" applyFont="1"/>
    <xf numFmtId="164" fontId="0" fillId="0" borderId="0" xfId="0" applyNumberFormat="1"/>
    <xf numFmtId="43" fontId="4" fillId="0" borderId="0" xfId="0" applyNumberFormat="1" applyFont="1"/>
    <xf numFmtId="164" fontId="0" fillId="0" borderId="0" xfId="2" applyNumberFormat="1" applyFont="1" applyFill="1"/>
    <xf numFmtId="0" fontId="14" fillId="0" borderId="0" xfId="0" applyFont="1" applyAlignment="1">
      <alignment horizontal="right"/>
    </xf>
    <xf numFmtId="44" fontId="3" fillId="0" borderId="0" xfId="0" applyNumberFormat="1" applyFont="1"/>
    <xf numFmtId="44" fontId="13" fillId="0" borderId="0" xfId="0" applyNumberFormat="1" applyFont="1"/>
    <xf numFmtId="0" fontId="1" fillId="0" borderId="0" xfId="6" applyFont="1" applyAlignment="1">
      <alignment horizontal="center"/>
    </xf>
    <xf numFmtId="0" fontId="1" fillId="0" borderId="0" xfId="6" applyFont="1"/>
    <xf numFmtId="167" fontId="1" fillId="0" borderId="0" xfId="6" applyNumberFormat="1" applyFont="1"/>
    <xf numFmtId="5" fontId="1" fillId="0" borderId="0" xfId="6" applyNumberFormat="1" applyFont="1"/>
    <xf numFmtId="5" fontId="1" fillId="0" borderId="0" xfId="8" applyNumberFormat="1" applyFont="1" applyBorder="1" applyAlignment="1">
      <alignment horizontal="center"/>
    </xf>
    <xf numFmtId="0" fontId="17" fillId="0" borderId="0" xfId="6" applyFont="1"/>
    <xf numFmtId="5" fontId="1" fillId="0" borderId="0" xfId="8" applyNumberFormat="1" applyFont="1" applyFill="1" applyBorder="1" applyAlignment="1">
      <alignment horizontal="center"/>
    </xf>
    <xf numFmtId="0" fontId="18" fillId="0" borderId="0" xfId="0" applyFont="1"/>
    <xf numFmtId="0" fontId="19" fillId="0" borderId="0" xfId="0" applyFont="1"/>
    <xf numFmtId="164" fontId="19" fillId="0" borderId="0" xfId="4" applyNumberFormat="1" applyFont="1"/>
    <xf numFmtId="0" fontId="20" fillId="0" borderId="0" xfId="0" applyFont="1"/>
    <xf numFmtId="0" fontId="20" fillId="0" borderId="0" xfId="0" applyFont="1" applyAlignment="1">
      <alignment horizontal="center"/>
    </xf>
    <xf numFmtId="0" fontId="21" fillId="0" borderId="0" xfId="0" applyFont="1"/>
    <xf numFmtId="0" fontId="19" fillId="0" borderId="0" xfId="0" applyFont="1" applyAlignment="1">
      <alignment horizontal="left"/>
    </xf>
    <xf numFmtId="164" fontId="22" fillId="0" borderId="0" xfId="4" applyNumberFormat="1" applyFont="1"/>
    <xf numFmtId="164" fontId="19" fillId="0" borderId="0" xfId="0" applyNumberFormat="1" applyFont="1"/>
    <xf numFmtId="170" fontId="19" fillId="0" borderId="0" xfId="4" applyNumberFormat="1" applyFont="1"/>
    <xf numFmtId="0" fontId="7" fillId="0" borderId="0" xfId="0" applyFont="1" applyAlignment="1">
      <alignment horizontal="center"/>
    </xf>
    <xf numFmtId="0" fontId="8" fillId="0" borderId="0" xfId="11" applyFont="1"/>
    <xf numFmtId="169" fontId="8" fillId="0" borderId="0" xfId="12" applyNumberFormat="1" applyFont="1"/>
    <xf numFmtId="169" fontId="8" fillId="0" borderId="0" xfId="11" applyNumberFormat="1" applyFont="1"/>
    <xf numFmtId="0" fontId="11" fillId="0" borderId="0" xfId="11" applyFont="1"/>
    <xf numFmtId="0" fontId="25" fillId="0" borderId="0" xfId="11" applyFont="1"/>
    <xf numFmtId="171" fontId="7" fillId="0" borderId="0" xfId="13" applyNumberFormat="1" applyFont="1" applyAlignment="1">
      <alignment horizontal="right"/>
    </xf>
    <xf numFmtId="0" fontId="25" fillId="0" borderId="0" xfId="11" applyFont="1" applyAlignment="1">
      <alignment horizontal="right"/>
    </xf>
    <xf numFmtId="0" fontId="14" fillId="0" borderId="0" xfId="11" applyFont="1" applyAlignment="1">
      <alignment horizontal="right"/>
    </xf>
    <xf numFmtId="164" fontId="8" fillId="0" borderId="0" xfId="10" applyNumberFormat="1" applyFont="1"/>
    <xf numFmtId="164" fontId="3" fillId="0" borderId="0" xfId="10" applyNumberFormat="1" applyFont="1"/>
    <xf numFmtId="9" fontId="8" fillId="0" borderId="0" xfId="9" applyFont="1"/>
    <xf numFmtId="164" fontId="25" fillId="0" borderId="0" xfId="10" applyNumberFormat="1" applyFont="1"/>
    <xf numFmtId="164" fontId="14" fillId="0" borderId="0" xfId="10" applyNumberFormat="1" applyFont="1"/>
    <xf numFmtId="164" fontId="8" fillId="0" borderId="0" xfId="10" applyNumberFormat="1" applyFont="1" applyBorder="1"/>
    <xf numFmtId="164" fontId="3" fillId="0" borderId="0" xfId="10" applyNumberFormat="1" applyFont="1" applyBorder="1"/>
    <xf numFmtId="0" fontId="3" fillId="0" borderId="0" xfId="11" applyFont="1"/>
    <xf numFmtId="164" fontId="13" fillId="0" borderId="0" xfId="10" applyNumberFormat="1" applyFont="1"/>
    <xf numFmtId="164" fontId="8" fillId="0" borderId="0" xfId="2" applyNumberFormat="1" applyFont="1"/>
    <xf numFmtId="0" fontId="12" fillId="0" borderId="0" xfId="0" applyFont="1" applyFill="1"/>
    <xf numFmtId="0" fontId="0" fillId="0" borderId="0" xfId="0" applyFill="1"/>
    <xf numFmtId="0" fontId="4" fillId="0" borderId="0" xfId="0" applyFont="1" applyFill="1"/>
    <xf numFmtId="0" fontId="7" fillId="0" borderId="0" xfId="0" applyFont="1" applyFill="1" applyAlignment="1">
      <alignment horizontal="right"/>
    </xf>
    <xf numFmtId="44" fontId="0" fillId="0" borderId="0" xfId="1" applyFont="1" applyFill="1"/>
    <xf numFmtId="166" fontId="0" fillId="0" borderId="0" xfId="1" applyNumberFormat="1" applyFont="1" applyFill="1"/>
    <xf numFmtId="166" fontId="0" fillId="0" borderId="0" xfId="5" applyNumberFormat="1" applyFont="1" applyFill="1"/>
    <xf numFmtId="166" fontId="0" fillId="0" borderId="0" xfId="0" applyNumberFormat="1" applyFill="1"/>
    <xf numFmtId="0" fontId="7" fillId="0" borderId="0" xfId="0" applyFont="1" applyFill="1"/>
    <xf numFmtId="166" fontId="7" fillId="0" borderId="0" xfId="0" applyNumberFormat="1" applyFont="1" applyFill="1"/>
    <xf numFmtId="44" fontId="0" fillId="0" borderId="0" xfId="0" applyNumberFormat="1" applyFill="1"/>
    <xf numFmtId="0" fontId="11" fillId="0" borderId="0" xfId="0" applyFont="1"/>
    <xf numFmtId="0" fontId="26" fillId="0" borderId="0" xfId="6" applyFont="1"/>
    <xf numFmtId="0" fontId="16" fillId="0" borderId="0" xfId="6" applyFont="1" applyBorder="1" applyAlignment="1">
      <alignment horizontal="center"/>
    </xf>
    <xf numFmtId="0" fontId="1" fillId="0" borderId="0" xfId="6" applyFont="1" applyBorder="1"/>
    <xf numFmtId="7" fontId="1" fillId="0" borderId="0" xfId="6" applyNumberFormat="1" applyFont="1" applyBorder="1" applyAlignment="1">
      <alignment horizontal="center"/>
    </xf>
    <xf numFmtId="167" fontId="1" fillId="0" borderId="0" xfId="8" applyNumberFormat="1" applyFont="1" applyFill="1" applyBorder="1" applyAlignment="1">
      <alignment horizontal="center"/>
    </xf>
    <xf numFmtId="0" fontId="1" fillId="0" borderId="0" xfId="6" applyFont="1" applyBorder="1" applyAlignment="1">
      <alignment horizontal="center"/>
    </xf>
    <xf numFmtId="3" fontId="1" fillId="0" borderId="0" xfId="6" applyNumberFormat="1" applyFont="1" applyBorder="1" applyAlignment="1">
      <alignment horizontal="center"/>
    </xf>
    <xf numFmtId="5" fontId="1" fillId="0" borderId="0" xfId="6" applyNumberFormat="1" applyFont="1" applyBorder="1" applyAlignment="1">
      <alignment horizontal="center"/>
    </xf>
    <xf numFmtId="5" fontId="16" fillId="0" borderId="0" xfId="6" applyNumberFormat="1" applyFont="1" applyBorder="1" applyAlignment="1">
      <alignment horizontal="center"/>
    </xf>
    <xf numFmtId="168" fontId="1" fillId="0" borderId="0" xfId="9" applyNumberFormat="1" applyFont="1" applyFill="1" applyBorder="1" applyAlignment="1">
      <alignment horizontal="center"/>
    </xf>
    <xf numFmtId="0" fontId="1" fillId="0" borderId="0" xfId="6" applyFont="1" applyFill="1" applyBorder="1"/>
    <xf numFmtId="0" fontId="1" fillId="0" borderId="0" xfId="6" applyFont="1" applyFill="1" applyBorder="1" applyAlignment="1">
      <alignment horizontal="fill"/>
    </xf>
    <xf numFmtId="166" fontId="10" fillId="0" borderId="0" xfId="1" applyNumberFormat="1" applyFont="1"/>
    <xf numFmtId="14" fontId="7" fillId="0" borderId="0" xfId="0" applyNumberFormat="1" applyFont="1"/>
    <xf numFmtId="164" fontId="0" fillId="0" borderId="0" xfId="4" applyNumberFormat="1" applyFont="1"/>
    <xf numFmtId="164" fontId="9" fillId="0" borderId="0" xfId="4" applyNumberFormat="1" applyFont="1" applyAlignment="1">
      <alignment horizontal="center"/>
    </xf>
    <xf numFmtId="0" fontId="9" fillId="0" borderId="0" xfId="0" applyFont="1" applyAlignment="1">
      <alignment horizontal="center"/>
    </xf>
    <xf numFmtId="164" fontId="9" fillId="0" borderId="0" xfId="4" applyNumberFormat="1" applyFont="1"/>
    <xf numFmtId="164" fontId="9" fillId="0" borderId="0" xfId="0" applyNumberFormat="1" applyFont="1"/>
    <xf numFmtId="164" fontId="0" fillId="0" borderId="0" xfId="4" applyNumberFormat="1" applyFont="1" applyAlignment="1">
      <alignment horizontal="center"/>
    </xf>
    <xf numFmtId="164" fontId="2" fillId="0" borderId="0" xfId="4" applyNumberFormat="1" applyFont="1" applyAlignment="1">
      <alignment horizontal="center"/>
    </xf>
    <xf numFmtId="0" fontId="0" fillId="0" borderId="0" xfId="14" applyFont="1"/>
    <xf numFmtId="0" fontId="2" fillId="0" borderId="0" xfId="14"/>
    <xf numFmtId="0" fontId="2" fillId="0" borderId="0" xfId="14" applyAlignment="1">
      <alignment horizontal="left"/>
    </xf>
    <xf numFmtId="164" fontId="2" fillId="0" borderId="0" xfId="4" applyNumberFormat="1" applyFont="1"/>
    <xf numFmtId="164" fontId="2" fillId="0" borderId="0" xfId="0" applyNumberFormat="1" applyFont="1"/>
    <xf numFmtId="164" fontId="0" fillId="3" borderId="0" xfId="4" applyNumberFormat="1" applyFont="1" applyFill="1"/>
    <xf numFmtId="0" fontId="0" fillId="0" borderId="0" xfId="0" quotePrefix="1"/>
    <xf numFmtId="0" fontId="8" fillId="0" borderId="0" xfId="0" applyFont="1" applyFill="1"/>
    <xf numFmtId="1" fontId="0" fillId="0" borderId="0" xfId="0" applyNumberFormat="1" applyFill="1"/>
    <xf numFmtId="4" fontId="1" fillId="0" borderId="0" xfId="6" applyNumberFormat="1" applyFont="1" applyBorder="1" applyAlignment="1">
      <alignment horizontal="center"/>
    </xf>
    <xf numFmtId="43" fontId="0" fillId="0" borderId="0" xfId="2" applyNumberFormat="1" applyFont="1"/>
    <xf numFmtId="43" fontId="9" fillId="0" borderId="0" xfId="2" applyNumberFormat="1" applyFont="1"/>
    <xf numFmtId="164" fontId="4" fillId="0" borderId="0" xfId="2" applyNumberFormat="1" applyFont="1" applyFill="1"/>
    <xf numFmtId="0" fontId="0" fillId="0" borderId="0" xfId="0" applyBorder="1" applyAlignment="1">
      <alignment horizontal="center"/>
    </xf>
    <xf numFmtId="172" fontId="0" fillId="0" borderId="0" xfId="1" applyNumberFormat="1" applyFont="1" applyFill="1"/>
    <xf numFmtId="172" fontId="9" fillId="0" borderId="0" xfId="5" applyNumberFormat="1" applyFont="1" applyFill="1"/>
    <xf numFmtId="172" fontId="0" fillId="0" borderId="0" xfId="0" applyNumberFormat="1"/>
    <xf numFmtId="0" fontId="0" fillId="0" borderId="0" xfId="0" quotePrefix="1" applyFont="1" applyAlignment="1">
      <alignment horizontal="left"/>
    </xf>
    <xf numFmtId="0" fontId="7" fillId="0" borderId="0" xfId="0" applyFont="1" applyAlignment="1">
      <alignment horizontal="left"/>
    </xf>
    <xf numFmtId="0" fontId="27" fillId="0" borderId="0" xfId="15"/>
    <xf numFmtId="9" fontId="4" fillId="0" borderId="0" xfId="3" applyNumberFormat="1" applyFont="1"/>
    <xf numFmtId="44" fontId="9" fillId="3" borderId="0" xfId="0" applyNumberFormat="1" applyFont="1" applyFill="1"/>
    <xf numFmtId="44" fontId="0" fillId="3" borderId="0" xfId="0" applyNumberFormat="1" applyFill="1"/>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0" fillId="0" borderId="0" xfId="0" applyBorder="1" applyAlignment="1">
      <alignment horizontal="center"/>
    </xf>
    <xf numFmtId="0" fontId="8" fillId="0" borderId="0" xfId="11" applyFont="1" applyAlignment="1">
      <alignment horizontal="center"/>
    </xf>
    <xf numFmtId="14" fontId="0" fillId="0" borderId="4" xfId="0" applyNumberFormat="1" applyFill="1" applyBorder="1" applyAlignment="1">
      <alignment horizontal="center"/>
    </xf>
    <xf numFmtId="14" fontId="0" fillId="0" borderId="4" xfId="0" applyNumberFormat="1" applyBorder="1" applyAlignment="1">
      <alignment horizontal="center"/>
    </xf>
  </cellXfs>
  <cellStyles count="16">
    <cellStyle name="Comma" xfId="4" builtinId="3"/>
    <cellStyle name="Comma 2" xfId="2" xr:uid="{CAFBE1B9-3FD0-4245-B418-48EF1A69DBFA}"/>
    <cellStyle name="Comma 3" xfId="10" xr:uid="{973EBE84-0D91-4066-8C68-5D6BAEE8D2AA}"/>
    <cellStyle name="Currency" xfId="5" builtinId="4"/>
    <cellStyle name="Currency 2" xfId="1" xr:uid="{C9F42873-9C0C-40FE-92BA-3F1CF4B4DD97}"/>
    <cellStyle name="Currency 2 2" xfId="12" xr:uid="{2EE28B4C-F9E6-461A-8C4B-5FB573B09B9B}"/>
    <cellStyle name="Currency 3" xfId="8" xr:uid="{84554C7A-C122-4213-B574-84E4D220614D}"/>
    <cellStyle name="Hyperlink" xfId="15" builtinId="8"/>
    <cellStyle name="Normal" xfId="0" builtinId="0"/>
    <cellStyle name="Normal 10" xfId="6" xr:uid="{83158F16-1B94-4DF2-829C-21A01A7D9350}"/>
    <cellStyle name="Normal 10 4 2 2" xfId="14" xr:uid="{BAD41E03-E277-4562-A601-141246BB8F3A}"/>
    <cellStyle name="Normal 2 2" xfId="7" xr:uid="{09A11010-6118-476D-9A3D-098842012503}"/>
    <cellStyle name="Normal 2 3" xfId="13" xr:uid="{4F170D70-E9E6-429C-8A05-A2F61A4B1E8B}"/>
    <cellStyle name="Normal 5" xfId="11" xr:uid="{8F772AB6-01D2-4DA6-8B1C-15D4F2D767B8}"/>
    <cellStyle name="Percent 2" xfId="3" xr:uid="{A366ABB6-5E11-432E-8DE2-36F319ECB0C9}"/>
    <cellStyle name="Percent 5 2" xfId="9" xr:uid="{B21C9872-D410-44F9-B324-4662B2D68B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sharedStrings" Target="sharedStrings.xml"/><Relationship Id="rId3" Type="http://schemas.openxmlformats.org/officeDocument/2006/relationships/chartsheet" Target="chartsheets/sheet1.xml"/><Relationship Id="rId7" Type="http://schemas.openxmlformats.org/officeDocument/2006/relationships/worksheet" Target="worksheets/sheet5.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theme" Target="theme/theme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chartsheet" Target="chartsheets/sheet2.xml"/><Relationship Id="rId9" Type="http://schemas.openxmlformats.org/officeDocument/2006/relationships/worksheet" Target="worksheets/sheet7.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Rate R-1/R-2 Test Year</a:t>
            </a:r>
            <a:r>
              <a:rPr lang="en-US" sz="1800" b="1" baseline="0"/>
              <a:t> Sales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spPr>
            <a:solidFill>
              <a:schemeClr val="accent1"/>
            </a:solidFill>
            <a:ln>
              <a:noFill/>
            </a:ln>
            <a:effectLst/>
          </c:spPr>
          <c:cat>
            <c:strRef>
              <c:f>'Sch 2_HP Sales Conversion'!$B$11:$B$22</c:f>
              <c:strCache>
                <c:ptCount val="12"/>
                <c:pt idx="0">
                  <c:v>November</c:v>
                </c:pt>
                <c:pt idx="1">
                  <c:v>December</c:v>
                </c:pt>
                <c:pt idx="2">
                  <c:v>January</c:v>
                </c:pt>
                <c:pt idx="3">
                  <c:v>February</c:v>
                </c:pt>
                <c:pt idx="4">
                  <c:v>March</c:v>
                </c:pt>
                <c:pt idx="5">
                  <c:v>April</c:v>
                </c:pt>
                <c:pt idx="6">
                  <c:v>May</c:v>
                </c:pt>
                <c:pt idx="7">
                  <c:v>June</c:v>
                </c:pt>
                <c:pt idx="8">
                  <c:v>July</c:v>
                </c:pt>
                <c:pt idx="9">
                  <c:v>August</c:v>
                </c:pt>
                <c:pt idx="10">
                  <c:v>September</c:v>
                </c:pt>
                <c:pt idx="11">
                  <c:v>October</c:v>
                </c:pt>
              </c:strCache>
            </c:strRef>
          </c:cat>
          <c:val>
            <c:numRef>
              <c:f>'Sch 2_HP Sales Conversion'!$C$11:$C$22</c:f>
              <c:numCache>
                <c:formatCode>_(* #,##0_);_(* \(#,##0\);_(* "-"??_);_(@_)</c:formatCode>
                <c:ptCount val="12"/>
                <c:pt idx="0">
                  <c:v>513025344.03975344</c:v>
                </c:pt>
                <c:pt idx="1">
                  <c:v>568347214.19167233</c:v>
                </c:pt>
                <c:pt idx="2">
                  <c:v>646905231.55020559</c:v>
                </c:pt>
                <c:pt idx="3">
                  <c:v>608055407.59620893</c:v>
                </c:pt>
                <c:pt idx="4">
                  <c:v>551194178.56322384</c:v>
                </c:pt>
                <c:pt idx="5">
                  <c:v>497120235.05248636</c:v>
                </c:pt>
                <c:pt idx="6">
                  <c:v>459282117.96565259</c:v>
                </c:pt>
                <c:pt idx="7">
                  <c:v>591378250.78898108</c:v>
                </c:pt>
                <c:pt idx="8">
                  <c:v>745508184.11801052</c:v>
                </c:pt>
                <c:pt idx="9">
                  <c:v>739239697.98833537</c:v>
                </c:pt>
                <c:pt idx="10">
                  <c:v>776108073.49613333</c:v>
                </c:pt>
                <c:pt idx="11">
                  <c:v>517347333.78216928</c:v>
                </c:pt>
              </c:numCache>
            </c:numRef>
          </c:val>
          <c:extLst>
            <c:ext xmlns:c16="http://schemas.microsoft.com/office/drawing/2014/chart" uri="{C3380CC4-5D6E-409C-BE32-E72D297353CC}">
              <c16:uniqueId val="{00000000-E229-40BD-B446-9A4C0F97CEE6}"/>
            </c:ext>
          </c:extLst>
        </c:ser>
        <c:dLbls>
          <c:showLegendKey val="0"/>
          <c:showVal val="0"/>
          <c:showCatName val="0"/>
          <c:showSerName val="0"/>
          <c:showPercent val="0"/>
          <c:showBubbleSize val="0"/>
        </c:dLbls>
        <c:axId val="830150640"/>
        <c:axId val="830151720"/>
      </c:areaChart>
      <c:catAx>
        <c:axId val="83015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30151720"/>
        <c:crosses val="autoZero"/>
        <c:auto val="1"/>
        <c:lblAlgn val="ctr"/>
        <c:lblOffset val="100"/>
        <c:noMultiLvlLbl val="0"/>
      </c:catAx>
      <c:valAx>
        <c:axId val="83015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KWH</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301506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Rate R-3/R-4 Test Year</a:t>
            </a:r>
            <a:r>
              <a:rPr lang="en-US" sz="1800" b="1" baseline="0"/>
              <a:t> Sales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strRef>
              <c:f>'Sch 2_HP Sales Conversion'!$N$10</c:f>
              <c:strCache>
                <c:ptCount val="1"/>
                <c:pt idx="0">
                  <c:v>TY Sales (Therms)</c:v>
                </c:pt>
              </c:strCache>
            </c:strRef>
          </c:tx>
          <c:spPr>
            <a:solidFill>
              <a:schemeClr val="accent1"/>
            </a:solidFill>
            <a:ln w="25400">
              <a:noFill/>
            </a:ln>
            <a:effectLst/>
          </c:spPr>
          <c:cat>
            <c:strRef>
              <c:f>'Sch 2_HP Sales Conversion'!$B$11:$B$22</c:f>
              <c:strCache>
                <c:ptCount val="12"/>
                <c:pt idx="0">
                  <c:v>November</c:v>
                </c:pt>
                <c:pt idx="1">
                  <c:v>December</c:v>
                </c:pt>
                <c:pt idx="2">
                  <c:v>January</c:v>
                </c:pt>
                <c:pt idx="3">
                  <c:v>February</c:v>
                </c:pt>
                <c:pt idx="4">
                  <c:v>March</c:v>
                </c:pt>
                <c:pt idx="5">
                  <c:v>April</c:v>
                </c:pt>
                <c:pt idx="6">
                  <c:v>May</c:v>
                </c:pt>
                <c:pt idx="7">
                  <c:v>June</c:v>
                </c:pt>
                <c:pt idx="8">
                  <c:v>July</c:v>
                </c:pt>
                <c:pt idx="9">
                  <c:v>August</c:v>
                </c:pt>
                <c:pt idx="10">
                  <c:v>September</c:v>
                </c:pt>
                <c:pt idx="11">
                  <c:v>October</c:v>
                </c:pt>
              </c:strCache>
            </c:strRef>
          </c:cat>
          <c:val>
            <c:numRef>
              <c:f>'Sch 2_HP Sales Conversion'!$N$11:$N$22</c:f>
              <c:numCache>
                <c:formatCode>_(* #,##0_);_(* \(#,##0\);_(* "-"??_);_(@_)</c:formatCode>
                <c:ptCount val="12"/>
                <c:pt idx="0">
                  <c:v>22688057.332155302</c:v>
                </c:pt>
                <c:pt idx="1">
                  <c:v>35933551.684656963</c:v>
                </c:pt>
                <c:pt idx="2">
                  <c:v>43147823.377898641</c:v>
                </c:pt>
                <c:pt idx="3">
                  <c:v>36776294.547941357</c:v>
                </c:pt>
                <c:pt idx="4">
                  <c:v>31232622.060945954</c:v>
                </c:pt>
                <c:pt idx="5">
                  <c:v>18148465.206160009</c:v>
                </c:pt>
                <c:pt idx="6">
                  <c:v>9704419.9381963238</c:v>
                </c:pt>
                <c:pt idx="7">
                  <c:v>5301177.1445986973</c:v>
                </c:pt>
                <c:pt idx="8">
                  <c:v>3872925.2334539355</c:v>
                </c:pt>
                <c:pt idx="9">
                  <c:v>3872925.2334539355</c:v>
                </c:pt>
                <c:pt idx="10">
                  <c:v>4072558.4585445244</c:v>
                </c:pt>
                <c:pt idx="11">
                  <c:v>12679432.714453295</c:v>
                </c:pt>
              </c:numCache>
            </c:numRef>
          </c:val>
          <c:extLst>
            <c:ext xmlns:c16="http://schemas.microsoft.com/office/drawing/2014/chart" uri="{C3380CC4-5D6E-409C-BE32-E72D297353CC}">
              <c16:uniqueId val="{00000000-B8BB-4676-92F1-679F488784A5}"/>
            </c:ext>
          </c:extLst>
        </c:ser>
        <c:dLbls>
          <c:showLegendKey val="0"/>
          <c:showVal val="0"/>
          <c:showCatName val="0"/>
          <c:showSerName val="0"/>
          <c:showPercent val="0"/>
          <c:showBubbleSize val="0"/>
        </c:dLbls>
        <c:axId val="830150640"/>
        <c:axId val="830151720"/>
      </c:areaChart>
      <c:catAx>
        <c:axId val="83015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30151720"/>
        <c:crosses val="autoZero"/>
        <c:auto val="1"/>
        <c:lblAlgn val="ctr"/>
        <c:lblOffset val="100"/>
        <c:noMultiLvlLbl val="0"/>
      </c:catAx>
      <c:valAx>
        <c:axId val="83015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THERMS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301506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393902D-F197-4085-B9CA-3710CDD99D6D}">
  <sheetPr>
    <tabColor rgb="FFFF0000"/>
  </sheetPr>
  <sheetViews>
    <sheetView zoomScale="116" workbookViewId="0" zoomToFit="1"/>
  </sheetViews>
  <pageMargins left="0.7" right="0.7" top="0.75" bottom="0.75" header="0.3" footer="0.3"/>
  <pageSetup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D25B7C1-E8F8-4845-94B6-8E5316D4BF00}">
  <sheetPr>
    <tabColor rgb="FFFF0000"/>
  </sheetPr>
  <sheetViews>
    <sheetView zoomScale="116" workbookViewId="0" zoomToFit="1"/>
  </sheetViews>
  <pageMargins left="0.7" right="0.7" top="0.75" bottom="0.75" header="0.3" footer="0.3"/>
  <pageSetup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662823" cy="6289784"/>
    <xdr:graphicFrame macro="">
      <xdr:nvGraphicFramePr>
        <xdr:cNvPr id="2" name="Chart 1">
          <a:extLst>
            <a:ext uri="{FF2B5EF4-FFF2-40B4-BE49-F238E27FC236}">
              <a16:creationId xmlns:a16="http://schemas.microsoft.com/office/drawing/2014/main" id="{FFA4A94F-2285-851C-1F48-F2965FE8C82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2823" cy="6289784"/>
    <xdr:graphicFrame macro="">
      <xdr:nvGraphicFramePr>
        <xdr:cNvPr id="2" name="Chart 1">
          <a:extLst>
            <a:ext uri="{FF2B5EF4-FFF2-40B4-BE49-F238E27FC236}">
              <a16:creationId xmlns:a16="http://schemas.microsoft.com/office/drawing/2014/main" id="{3FA7231A-09AC-5CB2-8AB0-BBCBF1C73C1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urldefense.com/v3/__https:/ma-eeac.org/wp-content/uploads/MA-HPMS-CT-R2246-Heat-Pump-Metering-Study-Final-Report_August_2024.pdf__;!!A_2VBGNDm7Y!qljJQA3d7t6kXRX9O-N3JrsJ-TEKskw34l3koNrIQ-HWM0cy9qfTXJuKSU3MmBpYdZ9tUAAybzyU5puHXofDEIlteeYPoAU$"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F1863-C231-4DD2-9712-D9420E4BC1C9}">
  <sheetPr>
    <pageSetUpPr fitToPage="1"/>
  </sheetPr>
  <dimension ref="A1:D43"/>
  <sheetViews>
    <sheetView tabSelected="1" zoomScaleNormal="100" workbookViewId="0"/>
  </sheetViews>
  <sheetFormatPr defaultColWidth="9.1796875" defaultRowHeight="14.5"/>
  <cols>
    <col min="1" max="1" width="8.54296875" style="40" customWidth="1"/>
    <col min="2" max="2" width="50.81640625" style="41" customWidth="1"/>
    <col min="3" max="3" width="25.81640625" style="41" customWidth="1"/>
    <col min="4" max="4" width="18.54296875" style="41" customWidth="1"/>
    <col min="5" max="16384" width="9.1796875" style="41"/>
  </cols>
  <sheetData>
    <row r="1" spans="1:4">
      <c r="A1" s="40">
        <v>1</v>
      </c>
    </row>
    <row r="2" spans="1:4">
      <c r="A2" s="40">
        <f>A1+1</f>
        <v>2</v>
      </c>
    </row>
    <row r="3" spans="1:4">
      <c r="A3" s="40">
        <f t="shared" ref="A3:A6" si="0">A2+1</f>
        <v>3</v>
      </c>
    </row>
    <row r="4" spans="1:4">
      <c r="A4" s="40">
        <f t="shared" si="0"/>
        <v>4</v>
      </c>
      <c r="B4" s="88" t="s">
        <v>118</v>
      </c>
    </row>
    <row r="5" spans="1:4">
      <c r="A5" s="40">
        <f t="shared" si="0"/>
        <v>5</v>
      </c>
    </row>
    <row r="6" spans="1:4">
      <c r="A6" s="40">
        <f t="shared" si="0"/>
        <v>6</v>
      </c>
      <c r="B6" s="19" t="s">
        <v>105</v>
      </c>
      <c r="C6" s="89" t="s">
        <v>35</v>
      </c>
    </row>
    <row r="7" spans="1:4">
      <c r="A7" s="40">
        <f t="shared" ref="A7:A43" si="1">A6+1</f>
        <v>7</v>
      </c>
      <c r="B7" s="90" t="s">
        <v>36</v>
      </c>
      <c r="C7" s="91">
        <v>10</v>
      </c>
    </row>
    <row r="8" spans="1:4">
      <c r="A8" s="40">
        <f t="shared" si="1"/>
        <v>8</v>
      </c>
      <c r="B8" s="98" t="s">
        <v>81</v>
      </c>
      <c r="C8" s="92">
        <f>(0.06264*C15)/C12</f>
        <v>6.7395093472822645E-2</v>
      </c>
      <c r="D8" s="42"/>
    </row>
    <row r="9" spans="1:4">
      <c r="A9" s="40">
        <f t="shared" si="1"/>
        <v>9</v>
      </c>
      <c r="B9" s="98" t="s">
        <v>82</v>
      </c>
      <c r="C9" s="92">
        <f>(C25-SUM(C21:C22))/C13</f>
        <v>2.1917055720880485E-2</v>
      </c>
      <c r="D9" s="42"/>
    </row>
    <row r="10" spans="1:4">
      <c r="A10" s="40">
        <f t="shared" si="1"/>
        <v>10</v>
      </c>
      <c r="B10" s="99"/>
      <c r="C10" s="93"/>
    </row>
    <row r="11" spans="1:4">
      <c r="A11" s="40">
        <f t="shared" si="1"/>
        <v>11</v>
      </c>
      <c r="B11" s="98" t="s">
        <v>37</v>
      </c>
      <c r="C11" s="94">
        <f>SUM('WP_Electric Test Year BQs'!O42:O43)</f>
        <v>13685092.205690347</v>
      </c>
    </row>
    <row r="12" spans="1:4">
      <c r="A12" s="40">
        <f t="shared" si="1"/>
        <v>12</v>
      </c>
      <c r="B12" s="98" t="s">
        <v>186</v>
      </c>
      <c r="C12" s="94">
        <f>SUM('WP_Electric Test Year BQs'!$H$9:$K$10)*C19</f>
        <v>2650993440.0552177</v>
      </c>
    </row>
    <row r="13" spans="1:4">
      <c r="A13" s="40">
        <f t="shared" si="1"/>
        <v>13</v>
      </c>
      <c r="B13" s="98" t="s">
        <v>187</v>
      </c>
      <c r="C13" s="94">
        <f>SUM('WP_Electric Test Year BQs'!$C$9:$G$10,'WP_Electric Test Year BQs'!$L$9:$N$10)*C18</f>
        <v>12465334499.256819</v>
      </c>
    </row>
    <row r="14" spans="1:4">
      <c r="A14" s="40">
        <f t="shared" si="1"/>
        <v>14</v>
      </c>
      <c r="B14" s="98" t="s">
        <v>116</v>
      </c>
      <c r="C14" s="94">
        <f>C13+C12</f>
        <v>15116327939.312037</v>
      </c>
    </row>
    <row r="15" spans="1:4">
      <c r="A15" s="40">
        <f t="shared" si="1"/>
        <v>15</v>
      </c>
      <c r="B15" s="98" t="s">
        <v>188</v>
      </c>
      <c r="C15" s="94">
        <f>SUM('WP_Electric Test Year BQs'!$H$9:$K$10)</f>
        <v>2852234206.3914599</v>
      </c>
    </row>
    <row r="16" spans="1:4">
      <c r="A16" s="40">
        <f t="shared" si="1"/>
        <v>16</v>
      </c>
      <c r="B16" s="98" t="s">
        <v>189</v>
      </c>
      <c r="C16" s="94">
        <f>SUM('WP_Electric Test Year BQs'!$C$9:$G$10,'WP_Electric Test Year BQs'!$L$9:$N$10)</f>
        <v>4361277062.7413721</v>
      </c>
    </row>
    <row r="17" spans="1:4">
      <c r="A17" s="40">
        <f t="shared" si="1"/>
        <v>17</v>
      </c>
      <c r="B17" s="98" t="s">
        <v>191</v>
      </c>
      <c r="C17" s="94">
        <f>C16+C15</f>
        <v>7213511269.1328316</v>
      </c>
    </row>
    <row r="18" spans="1:4">
      <c r="A18" s="40">
        <f t="shared" si="1"/>
        <v>18</v>
      </c>
      <c r="B18" s="90" t="s">
        <v>114</v>
      </c>
      <c r="C18" s="118">
        <f>SUM('Sch 2_HP Sales Conversion'!K11:K17,'Sch 2_HP Sales Conversion'!K22)/SUM('Sch 2_HP Sales Conversion'!E11:E17,'Sch 2_HP Sales Conversion'!E22)</f>
        <v>2.8581844996156862</v>
      </c>
    </row>
    <row r="19" spans="1:4">
      <c r="A19" s="40">
        <f t="shared" si="1"/>
        <v>19</v>
      </c>
      <c r="B19" s="90" t="s">
        <v>115</v>
      </c>
      <c r="C19" s="118">
        <f>SUM('Sch 2_HP Sales Conversion'!K18:K21)/SUM('Sch 2_HP Sales Conversion'!E18:E21)</f>
        <v>0.92944451550111506</v>
      </c>
    </row>
    <row r="20" spans="1:4">
      <c r="A20" s="40">
        <f t="shared" si="1"/>
        <v>20</v>
      </c>
      <c r="B20" s="90"/>
      <c r="C20" s="93"/>
    </row>
    <row r="21" spans="1:4">
      <c r="A21" s="40">
        <f t="shared" si="1"/>
        <v>21</v>
      </c>
      <c r="B21" s="90" t="s">
        <v>38</v>
      </c>
      <c r="C21" s="95">
        <f>C7*C11</f>
        <v>136850922.05690348</v>
      </c>
    </row>
    <row r="22" spans="1:4">
      <c r="A22" s="40">
        <f t="shared" si="1"/>
        <v>22</v>
      </c>
      <c r="B22" s="90" t="s">
        <v>83</v>
      </c>
      <c r="C22" s="95">
        <f>C8*C12</f>
        <v>178663950.68836105</v>
      </c>
    </row>
    <row r="23" spans="1:4">
      <c r="A23" s="40">
        <f t="shared" si="1"/>
        <v>23</v>
      </c>
      <c r="B23" s="90" t="s">
        <v>84</v>
      </c>
      <c r="C23" s="96">
        <f>C9*C13</f>
        <v>273203430.79962552</v>
      </c>
    </row>
    <row r="24" spans="1:4">
      <c r="A24" s="40">
        <f t="shared" si="1"/>
        <v>24</v>
      </c>
      <c r="B24" s="90" t="s">
        <v>39</v>
      </c>
      <c r="C24" s="46">
        <f>SUM(C21:C23)</f>
        <v>588718303.54489005</v>
      </c>
      <c r="D24" s="44"/>
    </row>
    <row r="25" spans="1:4">
      <c r="A25" s="40">
        <f t="shared" si="1"/>
        <v>25</v>
      </c>
      <c r="B25" s="98" t="s">
        <v>184</v>
      </c>
      <c r="C25" s="46">
        <v>588718303.54489005</v>
      </c>
      <c r="D25" s="43"/>
    </row>
    <row r="26" spans="1:4">
      <c r="A26" s="40">
        <f t="shared" si="1"/>
        <v>26</v>
      </c>
      <c r="B26" s="90" t="s">
        <v>40</v>
      </c>
      <c r="C26" s="97">
        <f>C24/C25-1</f>
        <v>0</v>
      </c>
    </row>
    <row r="27" spans="1:4">
      <c r="A27" s="40">
        <f t="shared" si="1"/>
        <v>27</v>
      </c>
    </row>
    <row r="28" spans="1:4">
      <c r="A28" s="40">
        <f t="shared" si="1"/>
        <v>28</v>
      </c>
      <c r="B28" s="19" t="s">
        <v>117</v>
      </c>
      <c r="C28" s="89" t="s">
        <v>35</v>
      </c>
    </row>
    <row r="29" spans="1:4">
      <c r="A29" s="40">
        <f t="shared" si="1"/>
        <v>29</v>
      </c>
      <c r="B29" s="98" t="s">
        <v>81</v>
      </c>
      <c r="C29" s="92">
        <f>(0.04545*C35)/C32</f>
        <v>4.8900175580137116E-2</v>
      </c>
    </row>
    <row r="30" spans="1:4">
      <c r="A30" s="40">
        <f t="shared" si="1"/>
        <v>30</v>
      </c>
      <c r="B30" s="98" t="s">
        <v>82</v>
      </c>
      <c r="C30" s="92">
        <f>(C42-C39)/C33</f>
        <v>1.5906022079077688E-2</v>
      </c>
    </row>
    <row r="31" spans="1:4">
      <c r="A31" s="40">
        <f t="shared" si="1"/>
        <v>31</v>
      </c>
      <c r="B31" s="98"/>
      <c r="C31" s="92"/>
    </row>
    <row r="32" spans="1:4">
      <c r="A32" s="40">
        <f t="shared" si="1"/>
        <v>32</v>
      </c>
      <c r="B32" s="41" t="s">
        <v>183</v>
      </c>
      <c r="C32" s="94">
        <f>C35*C19</f>
        <v>2747524071.343502</v>
      </c>
      <c r="D32" s="45"/>
    </row>
    <row r="33" spans="1:4">
      <c r="A33" s="40">
        <f t="shared" si="1"/>
        <v>33</v>
      </c>
      <c r="B33" s="41" t="s">
        <v>120</v>
      </c>
      <c r="C33" s="94">
        <f>C36*C18</f>
        <v>14676172072.849121</v>
      </c>
    </row>
    <row r="34" spans="1:4">
      <c r="A34" s="40">
        <f t="shared" si="1"/>
        <v>34</v>
      </c>
      <c r="B34" s="41" t="s">
        <v>185</v>
      </c>
      <c r="C34" s="94">
        <f>C33+C32</f>
        <v>17423696144.192623</v>
      </c>
    </row>
    <row r="35" spans="1:4">
      <c r="A35" s="40">
        <f t="shared" si="1"/>
        <v>35</v>
      </c>
      <c r="B35" s="41" t="s">
        <v>182</v>
      </c>
      <c r="C35" s="94">
        <f>SUM('WP_Sales Forecast'!H6:K6)</f>
        <v>2956092618.2475343</v>
      </c>
      <c r="D35" s="45"/>
    </row>
    <row r="36" spans="1:4">
      <c r="A36" s="40">
        <f t="shared" si="1"/>
        <v>36</v>
      </c>
      <c r="B36" s="41" t="s">
        <v>119</v>
      </c>
      <c r="C36" s="94">
        <f>C37-C35</f>
        <v>5134788210.7759285</v>
      </c>
    </row>
    <row r="37" spans="1:4">
      <c r="A37" s="40">
        <f t="shared" si="1"/>
        <v>37</v>
      </c>
      <c r="B37" s="41" t="s">
        <v>190</v>
      </c>
      <c r="C37" s="94">
        <f>'WP_Sales Forecast'!O6</f>
        <v>8090880829.0234623</v>
      </c>
      <c r="D37" s="45"/>
    </row>
    <row r="38" spans="1:4">
      <c r="A38" s="40">
        <f t="shared" si="1"/>
        <v>38</v>
      </c>
    </row>
    <row r="39" spans="1:4">
      <c r="A39" s="40">
        <f t="shared" si="1"/>
        <v>39</v>
      </c>
      <c r="B39" s="90" t="s">
        <v>83</v>
      </c>
      <c r="C39" s="95">
        <f>C29*C32</f>
        <v>134354409.49935043</v>
      </c>
    </row>
    <row r="40" spans="1:4">
      <c r="A40" s="40">
        <f t="shared" si="1"/>
        <v>40</v>
      </c>
      <c r="B40" s="90" t="s">
        <v>84</v>
      </c>
      <c r="C40" s="96">
        <f>C30*C33</f>
        <v>233439517.02708146</v>
      </c>
    </row>
    <row r="41" spans="1:4">
      <c r="A41" s="40">
        <f t="shared" si="1"/>
        <v>41</v>
      </c>
      <c r="B41" s="90" t="s">
        <v>39</v>
      </c>
      <c r="C41" s="46">
        <f>SUM(C38:C40)</f>
        <v>367793926.52643192</v>
      </c>
    </row>
    <row r="42" spans="1:4">
      <c r="A42" s="40">
        <f t="shared" si="1"/>
        <v>42</v>
      </c>
      <c r="B42" s="98" t="s">
        <v>192</v>
      </c>
      <c r="C42" s="46">
        <v>367793926.52643192</v>
      </c>
    </row>
    <row r="43" spans="1:4">
      <c r="A43" s="40">
        <f t="shared" si="1"/>
        <v>43</v>
      </c>
      <c r="B43" s="90" t="s">
        <v>40</v>
      </c>
      <c r="C43" s="97">
        <f>C41/C42-1</f>
        <v>0</v>
      </c>
    </row>
  </sheetData>
  <phoneticPr fontId="23" type="noConversion"/>
  <printOptions horizontalCentered="1"/>
  <pageMargins left="0.7" right="0.7" top="0.75" bottom="0.75" header="0.3" footer="0.3"/>
  <pageSetup orientation="portrait" r:id="rId1"/>
  <headerFooter alignWithMargins="0">
    <oddHeader>&amp;RNSTAR Electric Company d/b/a Eversource Energy
D.P.U. 25-55
Attachment DOER-1-2(b)
Schedule 1
Page &amp;P of &amp;N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FD9C2-6FCF-4958-838D-8B41E60C1ADC}">
  <sheetPr>
    <pageSetUpPr fitToPage="1"/>
  </sheetPr>
  <dimension ref="A1:S27"/>
  <sheetViews>
    <sheetView view="pageLayout" zoomScaleNormal="100" workbookViewId="0">
      <selection activeCell="I17" sqref="I17"/>
    </sheetView>
  </sheetViews>
  <sheetFormatPr defaultRowHeight="14.5"/>
  <cols>
    <col min="1" max="1" width="9.1796875" style="29"/>
    <col min="2" max="2" width="15.54296875" bestFit="1" customWidth="1"/>
    <col min="3" max="5" width="18.81640625" customWidth="1"/>
    <col min="6" max="6" width="18.453125" bestFit="1" customWidth="1"/>
    <col min="7" max="7" width="14.81640625" customWidth="1"/>
    <col min="8" max="10" width="15.453125" customWidth="1"/>
    <col min="11" max="11" width="14.54296875" customWidth="1"/>
    <col min="12" max="12" width="16.7265625" customWidth="1"/>
    <col min="13" max="13" width="6.54296875" customWidth="1"/>
    <col min="14" max="16" width="16.453125" customWidth="1"/>
    <col min="17" max="18" width="14.81640625" customWidth="1"/>
    <col min="19" max="19" width="17.81640625" customWidth="1"/>
  </cols>
  <sheetData>
    <row r="1" spans="1:19">
      <c r="A1" s="29">
        <v>1</v>
      </c>
    </row>
    <row r="2" spans="1:19">
      <c r="A2" s="29">
        <f>A1+1</f>
        <v>2</v>
      </c>
    </row>
    <row r="3" spans="1:19">
      <c r="A3" s="29">
        <f t="shared" ref="A3:A5" si="0">A2+1</f>
        <v>3</v>
      </c>
    </row>
    <row r="4" spans="1:19">
      <c r="A4" s="29">
        <f t="shared" si="0"/>
        <v>4</v>
      </c>
      <c r="B4" s="87" t="s">
        <v>121</v>
      </c>
    </row>
    <row r="5" spans="1:19">
      <c r="A5" s="29">
        <f t="shared" si="0"/>
        <v>5</v>
      </c>
      <c r="C5" s="27"/>
      <c r="D5" s="27"/>
      <c r="E5" s="27"/>
    </row>
    <row r="6" spans="1:19">
      <c r="A6" s="29">
        <f t="shared" ref="A6:A23" si="1">A5+1</f>
        <v>6</v>
      </c>
      <c r="B6" s="3"/>
      <c r="C6" s="27"/>
      <c r="D6" s="27"/>
      <c r="E6" s="27"/>
      <c r="N6" s="4"/>
      <c r="O6" s="4"/>
      <c r="P6" s="4"/>
      <c r="Q6" s="5"/>
      <c r="R6" s="5"/>
      <c r="S6" s="5"/>
    </row>
    <row r="7" spans="1:19" ht="15" thickBot="1">
      <c r="A7" s="29">
        <f t="shared" si="1"/>
        <v>7</v>
      </c>
    </row>
    <row r="8" spans="1:19" ht="15" thickBot="1">
      <c r="A8" s="29">
        <f t="shared" si="1"/>
        <v>8</v>
      </c>
      <c r="C8" s="132" t="s">
        <v>1</v>
      </c>
      <c r="D8" s="133"/>
      <c r="E8" s="133"/>
      <c r="F8" s="133"/>
      <c r="G8" s="133"/>
      <c r="H8" s="133"/>
      <c r="I8" s="133"/>
      <c r="J8" s="133"/>
      <c r="K8" s="133"/>
      <c r="L8" s="134"/>
      <c r="N8" s="132" t="s">
        <v>132</v>
      </c>
      <c r="O8" s="133"/>
      <c r="P8" s="133"/>
      <c r="Q8" s="133"/>
      <c r="R8" s="133"/>
      <c r="S8" s="133"/>
    </row>
    <row r="9" spans="1:19">
      <c r="A9" s="29">
        <f t="shared" si="1"/>
        <v>9</v>
      </c>
      <c r="C9" s="7" t="s">
        <v>193</v>
      </c>
      <c r="D9" s="7" t="s">
        <v>193</v>
      </c>
      <c r="E9" s="7" t="s">
        <v>193</v>
      </c>
      <c r="F9" s="7" t="s">
        <v>31</v>
      </c>
      <c r="G9" s="7" t="s">
        <v>31</v>
      </c>
      <c r="H9" s="7" t="s">
        <v>32</v>
      </c>
      <c r="I9" s="7" t="s">
        <v>3</v>
      </c>
      <c r="J9" s="7" t="s">
        <v>31</v>
      </c>
      <c r="K9" s="7" t="s">
        <v>33</v>
      </c>
      <c r="L9" s="7" t="s">
        <v>104</v>
      </c>
      <c r="N9" s="7" t="s">
        <v>110</v>
      </c>
      <c r="O9" s="7" t="s">
        <v>110</v>
      </c>
      <c r="P9" s="7" t="s">
        <v>110</v>
      </c>
      <c r="Q9" s="7" t="s">
        <v>3</v>
      </c>
      <c r="R9" s="7" t="s">
        <v>3</v>
      </c>
      <c r="S9" s="7" t="s">
        <v>4</v>
      </c>
    </row>
    <row r="10" spans="1:19">
      <c r="A10" s="29">
        <f t="shared" si="1"/>
        <v>10</v>
      </c>
      <c r="B10" s="7" t="s">
        <v>111</v>
      </c>
      <c r="C10" s="7" t="s">
        <v>103</v>
      </c>
      <c r="D10" s="7" t="s">
        <v>107</v>
      </c>
      <c r="E10" s="7" t="s">
        <v>108</v>
      </c>
      <c r="F10" s="7" t="s">
        <v>6</v>
      </c>
      <c r="G10" s="7" t="s">
        <v>109</v>
      </c>
      <c r="H10" s="7" t="s">
        <v>109</v>
      </c>
      <c r="I10" s="7" t="s">
        <v>212</v>
      </c>
      <c r="J10" s="7" t="s">
        <v>212</v>
      </c>
      <c r="K10" s="7" t="s">
        <v>109</v>
      </c>
      <c r="L10" s="7" t="s">
        <v>113</v>
      </c>
      <c r="M10" s="57"/>
      <c r="N10" s="7" t="s">
        <v>102</v>
      </c>
      <c r="O10" s="7" t="s">
        <v>107</v>
      </c>
      <c r="P10" s="7" t="s">
        <v>108</v>
      </c>
      <c r="Q10" s="7" t="s">
        <v>8</v>
      </c>
      <c r="R10" s="7" t="s">
        <v>112</v>
      </c>
      <c r="S10" s="7" t="s">
        <v>8</v>
      </c>
    </row>
    <row r="11" spans="1:19">
      <c r="A11" s="29">
        <f t="shared" si="1"/>
        <v>11</v>
      </c>
      <c r="B11" s="8" t="s">
        <v>9</v>
      </c>
      <c r="C11" s="9">
        <f>SUM('WP_Electric Test Year BQs'!M9:M10)</f>
        <v>513025344.03975344</v>
      </c>
      <c r="D11" s="9">
        <f>SUM('WP_Electric Test Year BQs'!M42:M43)</f>
        <v>1164765.8993424529</v>
      </c>
      <c r="E11" s="9">
        <f>C11/D11</f>
        <v>440.45360902939592</v>
      </c>
      <c r="F11" s="9">
        <v>0</v>
      </c>
      <c r="G11" s="9">
        <f>F11/D11</f>
        <v>0</v>
      </c>
      <c r="H11" s="9">
        <f>R11*'WP_Efficiency Factors'!$B$6/(3412*I11)</f>
        <v>697.5461868398794</v>
      </c>
      <c r="I11" s="119">
        <v>2.71</v>
      </c>
      <c r="J11" s="119"/>
      <c r="K11" s="9">
        <f>H11-G11+E11</f>
        <v>1137.9997958692752</v>
      </c>
      <c r="L11" s="11">
        <f>K11/E11</f>
        <v>2.5836995600445292</v>
      </c>
      <c r="M11" s="9"/>
      <c r="N11" s="9">
        <f>SUM('WP_Gas Test Year BQs'!L14:L15)</f>
        <v>22688057.332155302</v>
      </c>
      <c r="O11" s="9">
        <f>SUM('WP_Gas Test Year BQs'!L27:L28)</f>
        <v>254228</v>
      </c>
      <c r="P11" s="9">
        <f>N11/O11</f>
        <v>89.242952515676095</v>
      </c>
      <c r="Q11" s="9">
        <f>N11-S11</f>
        <v>18815132.098701365</v>
      </c>
      <c r="R11" s="9">
        <f>Q11/O11</f>
        <v>74.008890046341733</v>
      </c>
      <c r="S11" s="12">
        <f>AVERAGE(N19:N20)</f>
        <v>3872925.2334539355</v>
      </c>
    </row>
    <row r="12" spans="1:19">
      <c r="A12" s="29">
        <f t="shared" si="1"/>
        <v>12</v>
      </c>
      <c r="B12" s="8" t="s">
        <v>10</v>
      </c>
      <c r="C12" s="9">
        <f>SUM('WP_Electric Test Year BQs'!N9:N10)</f>
        <v>568347214.19167233</v>
      </c>
      <c r="D12" s="9">
        <f>SUM('WP_Electric Test Year BQs'!N42:N43)</f>
        <v>1142056.6916146667</v>
      </c>
      <c r="E12" s="9">
        <f t="shared" ref="E12:E22" si="2">C12/D12</f>
        <v>497.65236556525895</v>
      </c>
      <c r="F12" s="13">
        <v>0</v>
      </c>
      <c r="G12" s="9">
        <f t="shared" ref="G12:G22" si="3">F12/D12</f>
        <v>0</v>
      </c>
      <c r="H12" s="9">
        <f>R12*'WP_Efficiency Factors'!$B$6/(3412*I12)</f>
        <v>1259.6150906789237</v>
      </c>
      <c r="I12" s="119">
        <v>2.59</v>
      </c>
      <c r="J12" s="119"/>
      <c r="K12" s="9">
        <f t="shared" ref="K12:K22" si="4">H12-G12+E12</f>
        <v>1757.2674562441825</v>
      </c>
      <c r="L12" s="11">
        <f t="shared" ref="L12:L23" si="5">K12/E12</f>
        <v>3.5311144442128564</v>
      </c>
      <c r="M12" s="9"/>
      <c r="N12" s="9">
        <f>SUM('WP_Gas Test Year BQs'!M14:M15)</f>
        <v>35933551.684656963</v>
      </c>
      <c r="O12" s="9">
        <f>SUM('WP_Gas Test Year BQs'!M27:M28)</f>
        <v>251011</v>
      </c>
      <c r="P12" s="9">
        <f t="shared" ref="P12:P22" si="6">N12/O12</f>
        <v>143.15528675897457</v>
      </c>
      <c r="Q12" s="9">
        <f>N12-S12</f>
        <v>32060626.451203026</v>
      </c>
      <c r="R12" s="9">
        <f t="shared" ref="R12:R22" si="7">Q12/O12</f>
        <v>127.72598193387152</v>
      </c>
      <c r="S12" s="12">
        <f>S11</f>
        <v>3872925.2334539355</v>
      </c>
    </row>
    <row r="13" spans="1:19">
      <c r="A13" s="29">
        <f t="shared" si="1"/>
        <v>13</v>
      </c>
      <c r="B13" s="8" t="s">
        <v>11</v>
      </c>
      <c r="C13" s="9">
        <f>SUM('WP_Electric Test Year BQs'!C9:C10)</f>
        <v>646905231.55020559</v>
      </c>
      <c r="D13" s="9">
        <f>SUM('WP_Electric Test Year BQs'!C$42:C$43)</f>
        <v>1135602.1486717653</v>
      </c>
      <c r="E13" s="9">
        <f t="shared" si="2"/>
        <v>569.65833703894054</v>
      </c>
      <c r="F13" s="9">
        <v>0</v>
      </c>
      <c r="G13" s="9">
        <f t="shared" si="3"/>
        <v>0</v>
      </c>
      <c r="H13" s="9">
        <f>R13*'WP_Efficiency Factors'!$B$6/(3412*I13)</f>
        <v>1671.742705539549</v>
      </c>
      <c r="I13" s="119">
        <v>2.42</v>
      </c>
      <c r="J13" s="119"/>
      <c r="K13" s="9">
        <f t="shared" si="4"/>
        <v>2241.4010425784895</v>
      </c>
      <c r="L13" s="11">
        <f t="shared" si="5"/>
        <v>3.9346409888937912</v>
      </c>
      <c r="M13" s="9"/>
      <c r="N13" s="75">
        <f>SUM('WP_Gas Test Year BQs'!B$14:B$15)</f>
        <v>43147823.377898641</v>
      </c>
      <c r="O13" s="75">
        <f>SUM('WP_Gas Test Year BQs'!B$27:B$28)</f>
        <v>247964</v>
      </c>
      <c r="P13" s="9">
        <f t="shared" si="6"/>
        <v>174.00841806834316</v>
      </c>
      <c r="Q13" s="9">
        <f t="shared" ref="Q13:Q22" si="8">N13-S13</f>
        <v>39274898.144444704</v>
      </c>
      <c r="R13" s="9">
        <f t="shared" si="7"/>
        <v>158.38951680261934</v>
      </c>
      <c r="S13" s="12">
        <f t="shared" ref="S13:S22" si="9">S12</f>
        <v>3872925.2334539355</v>
      </c>
    </row>
    <row r="14" spans="1:19">
      <c r="A14" s="29">
        <f t="shared" si="1"/>
        <v>14</v>
      </c>
      <c r="B14" s="8" t="s">
        <v>12</v>
      </c>
      <c r="C14" s="9">
        <f>SUM('WP_Electric Test Year BQs'!D9:D10)</f>
        <v>608055407.59620893</v>
      </c>
      <c r="D14" s="9">
        <f>SUM('WP_Electric Test Year BQs'!D$42:D$43)</f>
        <v>1136317.1260280712</v>
      </c>
      <c r="E14" s="9">
        <f t="shared" si="2"/>
        <v>535.11066027987306</v>
      </c>
      <c r="F14" s="9">
        <v>0</v>
      </c>
      <c r="G14" s="9">
        <f t="shared" si="3"/>
        <v>0</v>
      </c>
      <c r="H14" s="9">
        <f>R14*'WP_Efficiency Factors'!$B$6/(3412*I14)</f>
        <v>1366.4551425193374</v>
      </c>
      <c r="I14" s="119">
        <v>2.48</v>
      </c>
      <c r="J14" s="119"/>
      <c r="K14" s="9">
        <f t="shared" si="4"/>
        <v>1901.5658027992104</v>
      </c>
      <c r="L14" s="11">
        <f t="shared" si="5"/>
        <v>3.5535935722242109</v>
      </c>
      <c r="M14" s="9"/>
      <c r="N14" s="75">
        <f>SUM('WP_Gas Test Year BQs'!C$14:C$15)</f>
        <v>36776294.547941357</v>
      </c>
      <c r="O14" s="75">
        <f>SUM('WP_Gas Test Year BQs'!C$27:C$28)</f>
        <v>248000</v>
      </c>
      <c r="P14" s="9">
        <f t="shared" si="6"/>
        <v>148.29151027395707</v>
      </c>
      <c r="Q14" s="9">
        <f t="shared" si="8"/>
        <v>32903369.31448742</v>
      </c>
      <c r="R14" s="9">
        <f t="shared" si="7"/>
        <v>132.67487626809444</v>
      </c>
      <c r="S14" s="12">
        <f t="shared" si="9"/>
        <v>3872925.2334539355</v>
      </c>
    </row>
    <row r="15" spans="1:19">
      <c r="A15" s="29">
        <f t="shared" si="1"/>
        <v>15</v>
      </c>
      <c r="B15" s="8" t="s">
        <v>13</v>
      </c>
      <c r="C15" s="9">
        <f>SUM('WP_Electric Test Year BQs'!E9:E10)</f>
        <v>551194178.56322384</v>
      </c>
      <c r="D15" s="9">
        <f>SUM('WP_Electric Test Year BQs'!E$42:E$43)</f>
        <v>1138190.9089291461</v>
      </c>
      <c r="E15" s="9">
        <f t="shared" si="2"/>
        <v>484.27216755913872</v>
      </c>
      <c r="F15" s="9">
        <v>0</v>
      </c>
      <c r="G15" s="9">
        <f t="shared" si="3"/>
        <v>0</v>
      </c>
      <c r="H15" s="9">
        <f>R15*'WP_Efficiency Factors'!$B$6/(3412*I15)</f>
        <v>1049.6272140130129</v>
      </c>
      <c r="I15" s="119">
        <v>2.67</v>
      </c>
      <c r="J15" s="119"/>
      <c r="K15" s="9">
        <f t="shared" si="4"/>
        <v>1533.8993815721517</v>
      </c>
      <c r="L15" s="11">
        <f t="shared" si="5"/>
        <v>3.1674324570487191</v>
      </c>
      <c r="M15" s="9"/>
      <c r="N15" s="75">
        <f>SUM('WP_Gas Test Year BQs'!D$14:D$15)</f>
        <v>31232622.060945954</v>
      </c>
      <c r="O15" s="75">
        <f>SUM('WP_Gas Test Year BQs'!D$27:D$28)</f>
        <v>249358</v>
      </c>
      <c r="P15" s="9">
        <f t="shared" si="6"/>
        <v>125.25213572833418</v>
      </c>
      <c r="Q15" s="9">
        <f t="shared" si="8"/>
        <v>27359696.827492017</v>
      </c>
      <c r="R15" s="9">
        <f t="shared" si="7"/>
        <v>109.7205496815503</v>
      </c>
      <c r="S15" s="12">
        <f t="shared" si="9"/>
        <v>3872925.2334539355</v>
      </c>
    </row>
    <row r="16" spans="1:19">
      <c r="A16" s="29">
        <f t="shared" si="1"/>
        <v>16</v>
      </c>
      <c r="B16" s="8" t="s">
        <v>14</v>
      </c>
      <c r="C16" s="9">
        <f>SUM('WP_Electric Test Year BQs'!F9:F10)</f>
        <v>497120235.05248636</v>
      </c>
      <c r="D16" s="9">
        <f>SUM('WP_Electric Test Year BQs'!F$42:F$43)</f>
        <v>1140705.246861791</v>
      </c>
      <c r="E16" s="9">
        <f t="shared" si="2"/>
        <v>435.80077887790935</v>
      </c>
      <c r="F16" s="9">
        <v>0</v>
      </c>
      <c r="G16" s="9">
        <f t="shared" si="3"/>
        <v>0</v>
      </c>
      <c r="H16" s="9">
        <f>R16*'WP_Efficiency Factors'!$B$6/(3412*I16)</f>
        <v>526.65540622755248</v>
      </c>
      <c r="I16" s="119">
        <v>2.78</v>
      </c>
      <c r="J16" s="119"/>
      <c r="K16" s="9">
        <f t="shared" si="4"/>
        <v>962.45618510546183</v>
      </c>
      <c r="L16" s="11">
        <f t="shared" si="5"/>
        <v>2.2084774322422591</v>
      </c>
      <c r="M16" s="9"/>
      <c r="N16" s="75">
        <f>SUM('WP_Gas Test Year BQs'!E$14:E$15)</f>
        <v>18148465.206160009</v>
      </c>
      <c r="O16" s="75">
        <f>SUM('WP_Gas Test Year BQs'!E$27:E$28)</f>
        <v>249046</v>
      </c>
      <c r="P16" s="9">
        <f t="shared" si="6"/>
        <v>72.871940148245741</v>
      </c>
      <c r="Q16" s="9">
        <f t="shared" si="8"/>
        <v>14275539.972706074</v>
      </c>
      <c r="R16" s="9">
        <f t="shared" si="7"/>
        <v>57.320896431607309</v>
      </c>
      <c r="S16" s="12">
        <f t="shared" si="9"/>
        <v>3872925.2334539355</v>
      </c>
    </row>
    <row r="17" spans="1:19">
      <c r="A17" s="29">
        <f t="shared" si="1"/>
        <v>17</v>
      </c>
      <c r="B17" s="8" t="s">
        <v>15</v>
      </c>
      <c r="C17" s="9">
        <f>SUM('WP_Electric Test Year BQs'!G9:G10)</f>
        <v>459282117.96565259</v>
      </c>
      <c r="D17" s="9">
        <f>SUM('WP_Electric Test Year BQs'!G$42:G$43)</f>
        <v>1139718.5280152955</v>
      </c>
      <c r="E17" s="9">
        <f t="shared" si="2"/>
        <v>402.97854836618819</v>
      </c>
      <c r="F17" s="9">
        <v>0</v>
      </c>
      <c r="G17" s="9">
        <f t="shared" si="3"/>
        <v>0</v>
      </c>
      <c r="H17" s="9">
        <f>R17*'WP_Efficiency Factors'!$B$6/(3412*I17)</f>
        <v>211.28364836001603</v>
      </c>
      <c r="I17" s="119">
        <v>2.83</v>
      </c>
      <c r="J17" s="119">
        <v>4.28</v>
      </c>
      <c r="K17" s="9">
        <f t="shared" si="4"/>
        <v>614.26219672620425</v>
      </c>
      <c r="L17" s="11">
        <f t="shared" si="5"/>
        <v>1.5243049517564438</v>
      </c>
      <c r="M17" s="9"/>
      <c r="N17" s="75">
        <f>SUM('WP_Gas Test Year BQs'!F$14:F$15)</f>
        <v>9704419.9381963238</v>
      </c>
      <c r="O17" s="75">
        <f>SUM('WP_Gas Test Year BQs'!F$27:F$28)</f>
        <v>249107</v>
      </c>
      <c r="P17" s="9">
        <f t="shared" si="6"/>
        <v>38.956833562269722</v>
      </c>
      <c r="Q17" s="9">
        <f t="shared" si="8"/>
        <v>5831494.7047423888</v>
      </c>
      <c r="R17" s="9">
        <f t="shared" si="7"/>
        <v>23.40959790267792</v>
      </c>
      <c r="S17" s="12">
        <f t="shared" si="9"/>
        <v>3872925.2334539355</v>
      </c>
    </row>
    <row r="18" spans="1:19">
      <c r="A18" s="29">
        <f t="shared" si="1"/>
        <v>18</v>
      </c>
      <c r="B18" s="8" t="s">
        <v>16</v>
      </c>
      <c r="C18" s="9">
        <f>SUM('WP_Electric Test Year BQs'!H9:H10)</f>
        <v>591378250.78898108</v>
      </c>
      <c r="D18" s="9">
        <f>SUM('WP_Electric Test Year BQs'!H$42:H$43)</f>
        <v>1142046.3408286548</v>
      </c>
      <c r="E18" s="9">
        <f t="shared" si="2"/>
        <v>517.823340128111</v>
      </c>
      <c r="F18" s="9">
        <f>C18-AVERAGE($C$16:$C$17,$C$22)</f>
        <v>100128355.18887836</v>
      </c>
      <c r="G18" s="9">
        <f t="shared" si="3"/>
        <v>87.674511628159024</v>
      </c>
      <c r="H18" s="36">
        <f>G18*('WP_Efficiency Factors'!$B$7/(3412*J18))+R18*('WP_Efficiency Factors'!$B$6/(3412*I17))</f>
        <v>114.04644747294211</v>
      </c>
      <c r="I18" s="119"/>
      <c r="J18" s="119">
        <v>4.54</v>
      </c>
      <c r="K18" s="9">
        <f t="shared" si="4"/>
        <v>544.19527597289402</v>
      </c>
      <c r="L18" s="11">
        <f t="shared" si="5"/>
        <v>1.0509284418084719</v>
      </c>
      <c r="M18" s="9"/>
      <c r="N18" s="75">
        <f>SUM('WP_Gas Test Year BQs'!G$14:G$15)</f>
        <v>5301177.1445986973</v>
      </c>
      <c r="O18" s="75">
        <f>SUM('WP_Gas Test Year BQs'!G$27:G$28)</f>
        <v>248915</v>
      </c>
      <c r="P18" s="9">
        <f t="shared" si="6"/>
        <v>21.297138158000511</v>
      </c>
      <c r="Q18" s="9">
        <f t="shared" si="8"/>
        <v>1428251.9111447618</v>
      </c>
      <c r="R18" s="9">
        <f t="shared" si="7"/>
        <v>5.7379101747374079</v>
      </c>
      <c r="S18" s="12">
        <f t="shared" si="9"/>
        <v>3872925.2334539355</v>
      </c>
    </row>
    <row r="19" spans="1:19">
      <c r="A19" s="29">
        <f t="shared" si="1"/>
        <v>19</v>
      </c>
      <c r="B19" s="8" t="s">
        <v>17</v>
      </c>
      <c r="C19" s="9">
        <f>SUM('WP_Electric Test Year BQs'!I9:I10)</f>
        <v>745508184.11801052</v>
      </c>
      <c r="D19" s="9">
        <f>SUM('WP_Electric Test Year BQs'!I$42:I$43)</f>
        <v>1141572.8461469985</v>
      </c>
      <c r="E19" s="9">
        <f t="shared" si="2"/>
        <v>653.05353629794786</v>
      </c>
      <c r="F19" s="9">
        <f t="shared" ref="F19:F21" si="10">C19-AVERAGE($C$16:$C$17,$C$22)</f>
        <v>254258288.5179078</v>
      </c>
      <c r="G19" s="9">
        <f t="shared" si="3"/>
        <v>222.72629326816292</v>
      </c>
      <c r="H19" s="36">
        <f>G19*('WP_Efficiency Factors'!$B$7/(3412*J19))</f>
        <v>157.1227067006262</v>
      </c>
      <c r="I19" s="119"/>
      <c r="J19" s="119">
        <v>4.57</v>
      </c>
      <c r="K19" s="9">
        <f t="shared" si="4"/>
        <v>587.44994973041116</v>
      </c>
      <c r="L19" s="11">
        <f t="shared" si="5"/>
        <v>0.89954332543786142</v>
      </c>
      <c r="M19" s="9"/>
      <c r="N19" s="75">
        <f>SUM('WP_Gas Test Year BQs'!H$14:H$15)</f>
        <v>3872925.2334539355</v>
      </c>
      <c r="O19" s="75">
        <f>SUM('WP_Gas Test Year BQs'!H$27:H$28)</f>
        <v>248733</v>
      </c>
      <c r="P19" s="9">
        <f t="shared" si="6"/>
        <v>15.570612799483525</v>
      </c>
      <c r="Q19" s="9">
        <f t="shared" si="8"/>
        <v>0</v>
      </c>
      <c r="R19" s="9">
        <f t="shared" si="7"/>
        <v>0</v>
      </c>
      <c r="S19" s="12">
        <f t="shared" si="9"/>
        <v>3872925.2334539355</v>
      </c>
    </row>
    <row r="20" spans="1:19">
      <c r="A20" s="29">
        <f t="shared" si="1"/>
        <v>20</v>
      </c>
      <c r="B20" s="8" t="s">
        <v>18</v>
      </c>
      <c r="C20" s="9">
        <f>SUM('WP_Electric Test Year BQs'!J9:J10)</f>
        <v>739239697.98833537</v>
      </c>
      <c r="D20" s="9">
        <f>SUM('WP_Electric Test Year BQs'!J$42:J$43)</f>
        <v>1136129.0701672446</v>
      </c>
      <c r="E20" s="9">
        <f t="shared" si="2"/>
        <v>650.66524341245406</v>
      </c>
      <c r="F20" s="9">
        <f t="shared" si="10"/>
        <v>247989802.38823265</v>
      </c>
      <c r="G20" s="9">
        <f t="shared" si="3"/>
        <v>218.27608226918016</v>
      </c>
      <c r="H20" s="36">
        <f>G20*('WP_Efficiency Factors'!$B$7/(3412*J20))</f>
        <v>149.72418404136724</v>
      </c>
      <c r="I20" s="119"/>
      <c r="J20" s="119">
        <v>4.7</v>
      </c>
      <c r="K20" s="9">
        <f t="shared" si="4"/>
        <v>582.11334518464116</v>
      </c>
      <c r="L20" s="11">
        <f t="shared" si="5"/>
        <v>0.89464336858030369</v>
      </c>
      <c r="M20" s="9"/>
      <c r="N20" s="75">
        <f>SUM('WP_Gas Test Year BQs'!I$14:I$15)</f>
        <v>3872925.2334539355</v>
      </c>
      <c r="O20" s="75">
        <f>SUM('WP_Gas Test Year BQs'!I$27:I$28)</f>
        <v>248622</v>
      </c>
      <c r="P20" s="9">
        <f t="shared" si="6"/>
        <v>15.577564469169806</v>
      </c>
      <c r="Q20" s="9">
        <f t="shared" si="8"/>
        <v>0</v>
      </c>
      <c r="R20" s="9">
        <f t="shared" si="7"/>
        <v>0</v>
      </c>
      <c r="S20" s="12">
        <f t="shared" si="9"/>
        <v>3872925.2334539355</v>
      </c>
    </row>
    <row r="21" spans="1:19">
      <c r="A21" s="29">
        <f t="shared" si="1"/>
        <v>21</v>
      </c>
      <c r="B21" s="8" t="s">
        <v>19</v>
      </c>
      <c r="C21" s="9">
        <f>SUM('WP_Electric Test Year BQs'!K9:K10)</f>
        <v>776108073.49613333</v>
      </c>
      <c r="D21" s="9">
        <f>SUM('WP_Electric Test Year BQs'!K$42:K$43)</f>
        <v>1145685.2432906691</v>
      </c>
      <c r="E21" s="9">
        <f t="shared" si="2"/>
        <v>677.41823335960419</v>
      </c>
      <c r="F21" s="9">
        <f t="shared" si="10"/>
        <v>284858177.8960306</v>
      </c>
      <c r="G21" s="9">
        <f t="shared" si="3"/>
        <v>248.635634930457</v>
      </c>
      <c r="H21" s="36">
        <f>G21*('WP_Efficiency Factors'!$B$7/(3412*J21))+R21*('WP_Efficiency Factors'!$B$6/(3412*I22))</f>
        <v>180.10382541762573</v>
      </c>
      <c r="I21" s="119"/>
      <c r="J21" s="119">
        <v>4.6399999999999997</v>
      </c>
      <c r="K21" s="9">
        <f t="shared" si="4"/>
        <v>608.88642384677291</v>
      </c>
      <c r="L21" s="11">
        <f t="shared" si="5"/>
        <v>0.89883382799876377</v>
      </c>
      <c r="M21" s="9"/>
      <c r="N21" s="75">
        <f>SUM('WP_Gas Test Year BQs'!J$14:J$15)</f>
        <v>4072558.4585445244</v>
      </c>
      <c r="O21" s="75">
        <f>SUM('WP_Gas Test Year BQs'!J$27:J$28)</f>
        <v>248675</v>
      </c>
      <c r="P21" s="9">
        <f t="shared" si="6"/>
        <v>16.377032104331054</v>
      </c>
      <c r="Q21" s="9">
        <f t="shared" si="8"/>
        <v>199633.22509058891</v>
      </c>
      <c r="R21" s="9">
        <f t="shared" si="7"/>
        <v>0.80278767504006798</v>
      </c>
      <c r="S21" s="12">
        <f t="shared" si="9"/>
        <v>3872925.2334539355</v>
      </c>
    </row>
    <row r="22" spans="1:19" ht="16">
      <c r="A22" s="29">
        <f t="shared" si="1"/>
        <v>22</v>
      </c>
      <c r="B22" s="14" t="s">
        <v>20</v>
      </c>
      <c r="C22" s="15">
        <f>SUM('WP_Electric Test Year BQs'!L9:L10)</f>
        <v>517347333.78216928</v>
      </c>
      <c r="D22" s="15">
        <f>SUM('WP_Electric Test Year BQs'!L$42:L$43)</f>
        <v>1122302.1557935888</v>
      </c>
      <c r="E22" s="15">
        <f t="shared" si="2"/>
        <v>460.96974073470335</v>
      </c>
      <c r="F22" s="15">
        <v>0</v>
      </c>
      <c r="G22" s="15">
        <f t="shared" si="3"/>
        <v>0</v>
      </c>
      <c r="H22" s="15">
        <f>R22*'WP_Efficiency Factors'!$B$6/(3412*I22)</f>
        <v>328.15382014599027</v>
      </c>
      <c r="I22" s="120">
        <v>2.79</v>
      </c>
      <c r="J22" s="120">
        <v>4.5599999999999996</v>
      </c>
      <c r="K22" s="15">
        <f t="shared" si="4"/>
        <v>789.12356088069362</v>
      </c>
      <c r="L22" s="17">
        <f t="shared" si="5"/>
        <v>1.711877138883285</v>
      </c>
      <c r="M22" s="9"/>
      <c r="N22" s="15">
        <f>SUM('WP_Gas Test Year BQs'!K$14:K$15)</f>
        <v>12679432.714453295</v>
      </c>
      <c r="O22" s="15">
        <f>SUM('WP_Gas Test Year BQs'!K$27:K$28)</f>
        <v>245686</v>
      </c>
      <c r="P22" s="15">
        <f t="shared" si="6"/>
        <v>51.608283396096219</v>
      </c>
      <c r="Q22" s="15">
        <f t="shared" si="8"/>
        <v>8806507.4809993599</v>
      </c>
      <c r="R22" s="15">
        <f t="shared" si="7"/>
        <v>35.844563715471615</v>
      </c>
      <c r="S22" s="18">
        <f t="shared" si="9"/>
        <v>3872925.2334539355</v>
      </c>
    </row>
    <row r="23" spans="1:19">
      <c r="A23" s="29">
        <f t="shared" si="1"/>
        <v>23</v>
      </c>
      <c r="B23" s="20" t="s">
        <v>21</v>
      </c>
      <c r="C23" s="21">
        <f t="shared" ref="C23:F23" si="11">SUM(C11:C22)</f>
        <v>7213511269.1328335</v>
      </c>
      <c r="D23" s="21">
        <f t="shared" si="11"/>
        <v>13685092.205690345</v>
      </c>
      <c r="E23" s="23">
        <f>SUM(E11:E22)</f>
        <v>6325.8565606495249</v>
      </c>
      <c r="F23" s="21">
        <f t="shared" si="11"/>
        <v>887234623.99104953</v>
      </c>
      <c r="G23" s="21">
        <f>SUM(G11:G22)</f>
        <v>777.31252209595914</v>
      </c>
      <c r="H23" s="121">
        <f>SUM(H11:H22)</f>
        <v>7712.0763779568242</v>
      </c>
      <c r="I23" s="21"/>
      <c r="J23" s="21"/>
      <c r="K23" s="23">
        <f>SUM(K11:K22)</f>
        <v>13260.620416510388</v>
      </c>
      <c r="L23" s="24">
        <f t="shared" si="5"/>
        <v>2.0962568925446545</v>
      </c>
      <c r="M23" s="22"/>
      <c r="N23" s="23">
        <f t="shared" ref="N23:S23" si="12">SUM(N11:N22)</f>
        <v>227430252.93245894</v>
      </c>
      <c r="O23" s="23">
        <f t="shared" si="12"/>
        <v>2989345</v>
      </c>
      <c r="P23" s="23">
        <f>SUM(P11:P22)</f>
        <v>912.20970798288181</v>
      </c>
      <c r="Q23" s="23">
        <f t="shared" si="12"/>
        <v>180955150.13101172</v>
      </c>
      <c r="R23" s="23">
        <f t="shared" si="12"/>
        <v>725.63557063201176</v>
      </c>
      <c r="S23" s="21">
        <f t="shared" si="12"/>
        <v>46475102.801447235</v>
      </c>
    </row>
    <row r="25" spans="1:19">
      <c r="B25" t="s">
        <v>196</v>
      </c>
      <c r="C25" s="34"/>
      <c r="D25" s="34"/>
      <c r="E25" s="34"/>
      <c r="K25" s="34"/>
    </row>
    <row r="26" spans="1:19">
      <c r="B26" s="115" t="s">
        <v>214</v>
      </c>
    </row>
    <row r="27" spans="1:19">
      <c r="B27" s="128" t="s">
        <v>213</v>
      </c>
    </row>
  </sheetData>
  <mergeCells count="2">
    <mergeCell ref="C8:L8"/>
    <mergeCell ref="N8:S8"/>
  </mergeCells>
  <phoneticPr fontId="23" type="noConversion"/>
  <hyperlinks>
    <hyperlink ref="B27" r:id="rId1" display="https://urldefense.com/v3/__https:/ma-eeac.org/wp-content/uploads/MA-HPMS-CT-R2246-Heat-Pump-Metering-Study-Final-Report_August_2024.pdf__;!!A_2VBGNDm7Y!qljJQA3d7t6kXRX9O-N3JrsJ-TEKskw34l3koNrIQ-HWM0cy9qfTXJuKSU3MmBpYdZ9tUAAybzyU5puHXofDEIlteeYPoAU$" xr:uid="{BBC29250-EE42-4155-AD3E-E629DD2E2F54}"/>
  </hyperlinks>
  <pageMargins left="0.7" right="0.7" top="0.75" bottom="0.75" header="0.3" footer="0.3"/>
  <pageSetup scale="41" orientation="landscape" r:id="rId2"/>
  <headerFooter>
    <oddHeader>&amp;RNSTAR Electric Company d/b/a Eversource Energy
D.P.U. 25-55
Attachment DOER-1-2(b)
Schedule 2
Page &amp;P of &amp;N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BFBFF-48E1-467A-A90F-A0D8E08C887E}">
  <sheetPr>
    <pageSetUpPr fitToPage="1"/>
  </sheetPr>
  <dimension ref="A1:Q26"/>
  <sheetViews>
    <sheetView view="pageLayout" zoomScaleNormal="100" workbookViewId="0">
      <selection activeCell="K3" sqref="K3"/>
    </sheetView>
  </sheetViews>
  <sheetFormatPr defaultRowHeight="14.5"/>
  <cols>
    <col min="1" max="1" width="7.1796875" style="29" customWidth="1"/>
    <col min="2" max="2" width="18" customWidth="1"/>
    <col min="3" max="5" width="14" customWidth="1"/>
    <col min="6" max="7" width="16.1796875" customWidth="1"/>
    <col min="8" max="9" width="14" customWidth="1"/>
    <col min="10" max="10" width="17.54296875" customWidth="1"/>
    <col min="11" max="11" width="16.7265625" customWidth="1"/>
    <col min="12" max="12" width="14" customWidth="1"/>
    <col min="13" max="13" width="19.453125" customWidth="1"/>
    <col min="14" max="14" width="10.1796875" bestFit="1" customWidth="1"/>
    <col min="15" max="17" width="13" customWidth="1"/>
    <col min="18" max="18" width="13.54296875" customWidth="1"/>
    <col min="19" max="19" width="11.453125" customWidth="1"/>
    <col min="20" max="20" width="13.54296875" customWidth="1"/>
    <col min="22" max="22" width="12.453125" customWidth="1"/>
    <col min="23" max="23" width="11.1796875" bestFit="1" customWidth="1"/>
    <col min="25" max="25" width="12.81640625" customWidth="1"/>
    <col min="29" max="29" width="12.1796875" bestFit="1" customWidth="1"/>
    <col min="31" max="31" width="9.453125" customWidth="1"/>
    <col min="33" max="33" width="12.1796875" bestFit="1" customWidth="1"/>
    <col min="35" max="35" width="12.1796875" bestFit="1" customWidth="1"/>
    <col min="37" max="37" width="13" customWidth="1"/>
    <col min="41" max="41" width="12.1796875" bestFit="1" customWidth="1"/>
    <col min="43" max="43" width="9" customWidth="1"/>
    <col min="44" max="44" width="9.7265625" customWidth="1"/>
    <col min="45" max="45" width="12.1796875" bestFit="1" customWidth="1"/>
  </cols>
  <sheetData>
    <row r="1" spans="1:17">
      <c r="A1" s="29">
        <v>1</v>
      </c>
    </row>
    <row r="2" spans="1:17">
      <c r="A2" s="29">
        <f>A1+1</f>
        <v>2</v>
      </c>
    </row>
    <row r="3" spans="1:17">
      <c r="A3" s="29">
        <f t="shared" ref="A3:A4" si="0">A2+1</f>
        <v>3</v>
      </c>
    </row>
    <row r="4" spans="1:17" ht="18.5">
      <c r="A4" s="29">
        <f t="shared" si="0"/>
        <v>4</v>
      </c>
      <c r="B4" s="1" t="s">
        <v>130</v>
      </c>
    </row>
    <row r="5" spans="1:17" ht="19" thickBot="1">
      <c r="A5" s="29">
        <f>A4+1</f>
        <v>5</v>
      </c>
      <c r="B5" s="2"/>
    </row>
    <row r="6" spans="1:17" ht="15" thickBot="1">
      <c r="A6" s="29">
        <f t="shared" ref="A6:A26" si="1">A5+1</f>
        <v>6</v>
      </c>
      <c r="C6" s="132" t="s">
        <v>1</v>
      </c>
      <c r="D6" s="133"/>
      <c r="E6" s="133"/>
      <c r="F6" s="133"/>
      <c r="G6" s="133"/>
      <c r="H6" s="133"/>
      <c r="I6" s="133"/>
      <c r="J6" s="133"/>
      <c r="K6" s="133"/>
      <c r="L6" s="133"/>
      <c r="M6" s="134"/>
      <c r="O6" s="132" t="s">
        <v>34</v>
      </c>
      <c r="P6" s="133"/>
      <c r="Q6" s="134"/>
    </row>
    <row r="7" spans="1:17">
      <c r="A7" s="29">
        <f t="shared" si="1"/>
        <v>7</v>
      </c>
      <c r="C7" s="5"/>
      <c r="D7" s="5"/>
      <c r="H7" s="135"/>
      <c r="I7" s="135"/>
      <c r="J7" s="135"/>
      <c r="K7" s="135"/>
      <c r="L7" s="135"/>
      <c r="M7" s="122"/>
    </row>
    <row r="8" spans="1:17">
      <c r="A8" s="29">
        <f t="shared" si="1"/>
        <v>8</v>
      </c>
      <c r="C8" s="7" t="s">
        <v>2</v>
      </c>
      <c r="D8" s="7" t="s">
        <v>31</v>
      </c>
      <c r="E8" s="7" t="s">
        <v>124</v>
      </c>
      <c r="F8" s="7" t="s">
        <v>199</v>
      </c>
      <c r="G8" s="7" t="s">
        <v>21</v>
      </c>
      <c r="H8" s="7" t="s">
        <v>32</v>
      </c>
      <c r="I8" s="7" t="s">
        <v>33</v>
      </c>
      <c r="J8" s="7" t="s">
        <v>125</v>
      </c>
      <c r="K8" s="7" t="s">
        <v>126</v>
      </c>
      <c r="L8" s="7" t="s">
        <v>205</v>
      </c>
      <c r="M8" s="7" t="s">
        <v>203</v>
      </c>
      <c r="O8" s="7" t="s">
        <v>194</v>
      </c>
      <c r="P8" s="7" t="s">
        <v>127</v>
      </c>
      <c r="Q8" s="7" t="s">
        <v>128</v>
      </c>
    </row>
    <row r="9" spans="1:17">
      <c r="A9" s="29">
        <f t="shared" si="1"/>
        <v>9</v>
      </c>
      <c r="B9" s="7" t="s">
        <v>5</v>
      </c>
      <c r="C9" s="7" t="s">
        <v>6</v>
      </c>
      <c r="D9" s="7" t="s">
        <v>6</v>
      </c>
      <c r="E9" s="7" t="s">
        <v>7</v>
      </c>
      <c r="F9" s="7" t="s">
        <v>200</v>
      </c>
      <c r="G9" s="7" t="s">
        <v>204</v>
      </c>
      <c r="H9" s="7" t="s">
        <v>6</v>
      </c>
      <c r="I9" s="7" t="s">
        <v>6</v>
      </c>
      <c r="J9" s="7" t="s">
        <v>7</v>
      </c>
      <c r="K9" s="7" t="s">
        <v>7</v>
      </c>
      <c r="L9" s="7" t="s">
        <v>131</v>
      </c>
      <c r="M9" s="7" t="s">
        <v>206</v>
      </c>
      <c r="N9" s="37"/>
      <c r="O9" s="7" t="s">
        <v>112</v>
      </c>
      <c r="P9" s="7" t="s">
        <v>112</v>
      </c>
      <c r="Q9" s="7" t="s">
        <v>112</v>
      </c>
    </row>
    <row r="10" spans="1:17">
      <c r="A10" s="29">
        <f t="shared" si="1"/>
        <v>10</v>
      </c>
      <c r="B10" s="8" t="s">
        <v>9</v>
      </c>
      <c r="C10" s="9">
        <f>'Sch 2_HP Sales Conversion'!E11</f>
        <v>440.45360902939592</v>
      </c>
      <c r="D10" s="9">
        <v>0</v>
      </c>
      <c r="E10" s="10">
        <f>(C10*'WP_Rate Inputs'!$B$11)+'WP_Rate Inputs'!$B$7</f>
        <v>152.54400149018338</v>
      </c>
      <c r="F10" s="10">
        <f>'WP_Rate Inputs'!$F$21*P10</f>
        <v>186.84778798820759</v>
      </c>
      <c r="G10" s="10">
        <f>F10+E10</f>
        <v>339.39178947839093</v>
      </c>
      <c r="H10" s="9">
        <f>P10*'WP_Efficiency Factors'!$B$6/'WP_Efficiency Factors'!$B$9</f>
        <v>792.65980324273858</v>
      </c>
      <c r="I10" s="9">
        <f>H10-D10+C10</f>
        <v>1233.1134122721346</v>
      </c>
      <c r="J10" s="10">
        <f>(I10*'WP_Rate Inputs'!$B$11)+'WP_Rate Inputs'!$B$10</f>
        <v>409.07249361363091</v>
      </c>
      <c r="K10" s="10">
        <f>(I10*'WP_Rate Inputs'!$F$13)+'WP_Rate Inputs'!$F$12</f>
        <v>322.40928299914532</v>
      </c>
      <c r="L10" s="11">
        <f>K10/J10-1</f>
        <v>-0.21185294041387936</v>
      </c>
      <c r="M10" s="11">
        <f>K10/G10-1</f>
        <v>-5.0038059274639224E-2</v>
      </c>
      <c r="N10" s="38"/>
      <c r="O10" s="9">
        <f>'Sch 2_HP Sales Conversion'!P11</f>
        <v>89.242952515676095</v>
      </c>
      <c r="P10" s="9">
        <f>O10-Q10</f>
        <v>73.672339716192567</v>
      </c>
      <c r="Q10" s="12">
        <f>Q18</f>
        <v>15.570612799483525</v>
      </c>
    </row>
    <row r="11" spans="1:17">
      <c r="A11" s="29">
        <f t="shared" si="1"/>
        <v>11</v>
      </c>
      <c r="B11" s="8" t="s">
        <v>10</v>
      </c>
      <c r="C11" s="9">
        <f>'Sch 2_HP Sales Conversion'!E12</f>
        <v>497.65236556525895</v>
      </c>
      <c r="D11" s="13">
        <v>0</v>
      </c>
      <c r="E11" s="10">
        <f>(C11*'WP_Rate Inputs'!$B$11)+'WP_Rate Inputs'!$B$7</f>
        <v>171.05523506788475</v>
      </c>
      <c r="F11" s="10">
        <f>'WP_Rate Inputs'!$F$21*P11</f>
        <v>323.58025009606121</v>
      </c>
      <c r="G11" s="10">
        <f t="shared" ref="G11:G21" si="2">F11+E11</f>
        <v>494.63548516394599</v>
      </c>
      <c r="H11" s="9">
        <f>P11*'WP_Efficiency Factors'!$B$6/'WP_Efficiency Factors'!$B$9</f>
        <v>1372.7165846382277</v>
      </c>
      <c r="I11" s="9">
        <f t="shared" ref="I11:I21" si="3">H11-D11+C11</f>
        <v>1870.3689502034867</v>
      </c>
      <c r="J11" s="10">
        <f>(I11*'WP_Rate Inputs'!$B$11)+'WP_Rate Inputs'!$B$10</f>
        <v>615.30750335435437</v>
      </c>
      <c r="K11" s="10">
        <f>(I11*'WP_Rate Inputs'!$F$13)+'WP_Rate Inputs'!$F$12</f>
        <v>483.85797353405343</v>
      </c>
      <c r="L11" s="11">
        <f t="shared" ref="L11:L21" si="4">K11/J11-1</f>
        <v>-0.21363225558554488</v>
      </c>
      <c r="M11" s="11">
        <f t="shared" ref="M11:M23" si="5">K11/G11-1</f>
        <v>-2.1788795897488833E-2</v>
      </c>
      <c r="N11" s="38"/>
      <c r="O11" s="9">
        <f>'Sch 2_HP Sales Conversion'!P12</f>
        <v>143.15528675897457</v>
      </c>
      <c r="P11" s="9">
        <f t="shared" ref="P11:P21" si="6">O11-Q11</f>
        <v>127.58467395949104</v>
      </c>
      <c r="Q11" s="12">
        <f>Q10</f>
        <v>15.570612799483525</v>
      </c>
    </row>
    <row r="12" spans="1:17">
      <c r="A12" s="29">
        <f t="shared" si="1"/>
        <v>12</v>
      </c>
      <c r="B12" s="8" t="s">
        <v>11</v>
      </c>
      <c r="C12" s="9">
        <f>'Sch 2_HP Sales Conversion'!E13</f>
        <v>569.65833703894054</v>
      </c>
      <c r="D12" s="9">
        <v>0</v>
      </c>
      <c r="E12" s="10">
        <f>(C12*'WP_Rate Inputs'!$B$11)+'WP_Rate Inputs'!$B$7</f>
        <v>194.35852761591232</v>
      </c>
      <c r="F12" s="10">
        <f>'WP_Rate Inputs'!$F$21*P12</f>
        <v>401.82996172288182</v>
      </c>
      <c r="G12" s="10">
        <f t="shared" si="2"/>
        <v>596.18848933879417</v>
      </c>
      <c r="H12" s="9">
        <f>P12*'WP_Efficiency Factors'!$B$6/'WP_Efficiency Factors'!$B$9</f>
        <v>1704.6734233556936</v>
      </c>
      <c r="I12" s="9">
        <f t="shared" si="3"/>
        <v>2274.3317603946343</v>
      </c>
      <c r="J12" s="10">
        <f>(I12*'WP_Rate Inputs'!$B$11)+'WP_Rate Inputs'!$B$10</f>
        <v>746.04198761651548</v>
      </c>
      <c r="K12" s="10">
        <f>(I12*'WP_Rate Inputs'!$F$13)+'WP_Rate Inputs'!$F$12</f>
        <v>586.20195149598067</v>
      </c>
      <c r="L12" s="11">
        <f t="shared" si="4"/>
        <v>-0.2142507241867152</v>
      </c>
      <c r="M12" s="11">
        <f t="shared" si="5"/>
        <v>-1.6750638466517698E-2</v>
      </c>
      <c r="N12" s="38"/>
      <c r="O12" s="9">
        <f>'Sch 2_HP Sales Conversion'!P13</f>
        <v>174.00841806834316</v>
      </c>
      <c r="P12" s="75">
        <f>O12-Q12</f>
        <v>158.43780526885965</v>
      </c>
      <c r="Q12" s="12">
        <f t="shared" ref="Q12:Q21" si="7">Q11</f>
        <v>15.570612799483525</v>
      </c>
    </row>
    <row r="13" spans="1:17">
      <c r="A13" s="29">
        <f t="shared" si="1"/>
        <v>13</v>
      </c>
      <c r="B13" s="8" t="s">
        <v>12</v>
      </c>
      <c r="C13" s="9">
        <f>'Sch 2_HP Sales Conversion'!E14</f>
        <v>535.11066027987306</v>
      </c>
      <c r="D13" s="9">
        <v>0</v>
      </c>
      <c r="E13" s="10">
        <f>(C13*'WP_Rate Inputs'!$B$11)+'WP_Rate Inputs'!$B$7</f>
        <v>183.17786298637532</v>
      </c>
      <c r="F13" s="10">
        <f>'WP_Rate Inputs'!$F$21*P13</f>
        <v>336.60674017475986</v>
      </c>
      <c r="G13" s="10">
        <f t="shared" si="2"/>
        <v>519.78460316113524</v>
      </c>
      <c r="H13" s="9">
        <f>P13*'WP_Efficiency Factors'!$B$6/'WP_Efficiency Factors'!$B$9</f>
        <v>1427.9785450494285</v>
      </c>
      <c r="I13" s="9">
        <f t="shared" si="3"/>
        <v>1963.0892053293014</v>
      </c>
      <c r="J13" s="10">
        <f>(I13*'WP_Rate Inputs'!$B$11)+'WP_Rate Inputs'!$B$10</f>
        <v>645.31455952072179</v>
      </c>
      <c r="K13" s="10">
        <f>(I13*'WP_Rate Inputs'!$F$13)+'WP_Rate Inputs'!$F$12</f>
        <v>507.34865017017853</v>
      </c>
      <c r="L13" s="11">
        <f t="shared" si="4"/>
        <v>-0.21379636847650119</v>
      </c>
      <c r="M13" s="11">
        <f t="shared" si="5"/>
        <v>-2.3925204623849727E-2</v>
      </c>
      <c r="N13" s="38"/>
      <c r="O13" s="9">
        <f>'Sch 2_HP Sales Conversion'!P14</f>
        <v>148.29151027395707</v>
      </c>
      <c r="P13" s="9">
        <f t="shared" si="6"/>
        <v>132.72089747447356</v>
      </c>
      <c r="Q13" s="12">
        <f t="shared" si="7"/>
        <v>15.570612799483525</v>
      </c>
    </row>
    <row r="14" spans="1:17">
      <c r="A14" s="29">
        <f t="shared" si="1"/>
        <v>14</v>
      </c>
      <c r="B14" s="8" t="s">
        <v>13</v>
      </c>
      <c r="C14" s="9">
        <f>'Sch 2_HP Sales Conversion'!E15</f>
        <v>484.27216755913872</v>
      </c>
      <c r="D14" s="9">
        <v>0</v>
      </c>
      <c r="E14" s="10">
        <f>(C14*'WP_Rate Inputs'!$B$11)+'WP_Rate Inputs'!$B$7</f>
        <v>166.72500158716406</v>
      </c>
      <c r="F14" s="10">
        <f>'WP_Rate Inputs'!$F$21*P14</f>
        <v>278.17427845215104</v>
      </c>
      <c r="G14" s="10">
        <f t="shared" si="2"/>
        <v>444.8992800393151</v>
      </c>
      <c r="H14" s="9">
        <f>P14*'WP_Efficiency Factors'!$B$6/'WP_Efficiency Factors'!$B$9</f>
        <v>1180.0919411418931</v>
      </c>
      <c r="I14" s="9">
        <f t="shared" si="3"/>
        <v>1664.3641087010319</v>
      </c>
      <c r="J14" s="10">
        <f>(I14*'WP_Rate Inputs'!$B$11)+'WP_Rate Inputs'!$B$10</f>
        <v>548.6381564989149</v>
      </c>
      <c r="K14" s="10">
        <f>(I14*'WP_Rate Inputs'!$F$13)+'WP_Rate Inputs'!$F$12</f>
        <v>431.66664693940646</v>
      </c>
      <c r="L14" s="11">
        <f t="shared" si="4"/>
        <v>-0.21320338035901776</v>
      </c>
      <c r="M14" s="11">
        <f t="shared" si="5"/>
        <v>-2.9742986095053436E-2</v>
      </c>
      <c r="N14" s="38"/>
      <c r="O14" s="9">
        <f>'Sch 2_HP Sales Conversion'!P15</f>
        <v>125.25213572833418</v>
      </c>
      <c r="P14" s="9">
        <f t="shared" si="6"/>
        <v>109.68152292885065</v>
      </c>
      <c r="Q14" s="12">
        <f t="shared" si="7"/>
        <v>15.570612799483525</v>
      </c>
    </row>
    <row r="15" spans="1:17">
      <c r="A15" s="29">
        <f t="shared" si="1"/>
        <v>15</v>
      </c>
      <c r="B15" s="8" t="s">
        <v>14</v>
      </c>
      <c r="C15" s="9">
        <f>'Sch 2_HP Sales Conversion'!E16</f>
        <v>435.80077887790935</v>
      </c>
      <c r="D15" s="9">
        <v>0</v>
      </c>
      <c r="E15" s="10">
        <f>(C15*'WP_Rate Inputs'!$B$11)+'WP_Rate Inputs'!$B$7</f>
        <v>151.03820606825778</v>
      </c>
      <c r="F15" s="10">
        <f>'WP_Rate Inputs'!$F$21*P15</f>
        <v>145.32762642193072</v>
      </c>
      <c r="G15" s="10">
        <f t="shared" si="2"/>
        <v>296.3658324901885</v>
      </c>
      <c r="H15" s="9">
        <f>P15*'WP_Efficiency Factors'!$B$6/'WP_Efficiency Factors'!$B$9</f>
        <v>616.51983684501567</v>
      </c>
      <c r="I15" s="9">
        <f t="shared" si="3"/>
        <v>1052.3206157229251</v>
      </c>
      <c r="J15" s="10">
        <f>(I15*'WP_Rate Inputs'!$B$11)+'WP_Rate Inputs'!$B$10</f>
        <v>350.56252086641024</v>
      </c>
      <c r="K15" s="10">
        <f>(I15*'WP_Rate Inputs'!$F$13)+'WP_Rate Inputs'!$F$12</f>
        <v>276.60542799340311</v>
      </c>
      <c r="L15" s="11">
        <f t="shared" si="4"/>
        <v>-0.21096691309220172</v>
      </c>
      <c r="M15" s="11">
        <f t="shared" si="5"/>
        <v>-6.6675717408954616E-2</v>
      </c>
      <c r="N15" s="38"/>
      <c r="O15" s="9">
        <f>'Sch 2_HP Sales Conversion'!P16</f>
        <v>72.871940148245741</v>
      </c>
      <c r="P15" s="9">
        <f t="shared" si="6"/>
        <v>57.301327348762214</v>
      </c>
      <c r="Q15" s="12">
        <f t="shared" si="7"/>
        <v>15.570612799483525</v>
      </c>
    </row>
    <row r="16" spans="1:17">
      <c r="A16" s="29">
        <f t="shared" si="1"/>
        <v>16</v>
      </c>
      <c r="B16" s="8" t="s">
        <v>15</v>
      </c>
      <c r="C16" s="9">
        <f>'Sch 2_HP Sales Conversion'!E17</f>
        <v>402.97854836618819</v>
      </c>
      <c r="D16" s="9">
        <v>0</v>
      </c>
      <c r="E16" s="10">
        <f>(C16*'WP_Rate Inputs'!$B$11)+'WP_Rate Inputs'!$B$7</f>
        <v>140.41594760774947</v>
      </c>
      <c r="F16" s="10">
        <f>'WP_Rate Inputs'!$E$21*P16</f>
        <v>43.575545147299515</v>
      </c>
      <c r="G16" s="10">
        <f t="shared" si="2"/>
        <v>183.99149275504899</v>
      </c>
      <c r="H16" s="9">
        <f>P16*'WP_Efficiency Factors'!$B$6/'WP_Efficiency Factors'!$B$9</f>
        <v>251.6184122810885</v>
      </c>
      <c r="I16" s="9">
        <f t="shared" si="3"/>
        <v>654.59696064727666</v>
      </c>
      <c r="J16" s="10">
        <f>(I16*'WP_Rate Inputs'!$B$11)+'WP_Rate Inputs'!$B$10</f>
        <v>221.84721437427814</v>
      </c>
      <c r="K16" s="131">
        <f>(I16*'WP_Rate Inputs'!$F$13)+'WP_Rate Inputs'!$F$12</f>
        <v>175.84213997998756</v>
      </c>
      <c r="L16" s="11">
        <f t="shared" si="4"/>
        <v>-0.20737278367027623</v>
      </c>
      <c r="M16" s="11">
        <f t="shared" si="5"/>
        <v>-4.4292008576237829E-2</v>
      </c>
      <c r="N16" s="38"/>
      <c r="O16" s="9">
        <f>'Sch 2_HP Sales Conversion'!P17</f>
        <v>38.956833562269722</v>
      </c>
      <c r="P16" s="9">
        <f t="shared" si="6"/>
        <v>23.386220762786195</v>
      </c>
      <c r="Q16" s="12">
        <f t="shared" si="7"/>
        <v>15.570612799483525</v>
      </c>
    </row>
    <row r="17" spans="1:17">
      <c r="A17" s="29">
        <f t="shared" si="1"/>
        <v>17</v>
      </c>
      <c r="B17" s="8" t="s">
        <v>16</v>
      </c>
      <c r="C17" s="9">
        <f>'Sch 2_HP Sales Conversion'!E18</f>
        <v>517.823340128111</v>
      </c>
      <c r="D17" s="9">
        <f>C17-AVERAGE($C$15:$C$16,$C$21)</f>
        <v>84.573650801844053</v>
      </c>
      <c r="E17" s="10">
        <f>(C17*'WP_Rate Inputs'!$B$11)+'WP_Rate Inputs'!$B$7</f>
        <v>177.58316756566055</v>
      </c>
      <c r="F17" s="10">
        <f>'WP_Rate Inputs'!$E$21*P17</f>
        <v>10.670234700524698</v>
      </c>
      <c r="G17" s="10">
        <f t="shared" si="2"/>
        <v>188.25340226618525</v>
      </c>
      <c r="H17" s="36">
        <f>D17*'WP_Efficiency Factors'!$B$7/'WP_Efficiency Factors'!$B$10</f>
        <v>66.45072563002033</v>
      </c>
      <c r="I17" s="9">
        <f t="shared" si="3"/>
        <v>499.70041495628726</v>
      </c>
      <c r="J17" s="10">
        <f>(I17*'WP_Rate Inputs'!$B$11)+'WP_Rate Inputs'!$B$10</f>
        <v>171.71804529230323</v>
      </c>
      <c r="K17" s="10">
        <f>(I17*'WP_Rate Inputs'!$E$13)+'WP_Rate Inputs'!$E$12</f>
        <v>175.81558869494481</v>
      </c>
      <c r="L17" s="11">
        <f t="shared" si="4"/>
        <v>2.3862043128120902E-2</v>
      </c>
      <c r="M17" s="11">
        <f t="shared" si="5"/>
        <v>-6.606952873900096E-2</v>
      </c>
      <c r="N17" s="38"/>
      <c r="O17" s="9">
        <f>'Sch 2_HP Sales Conversion'!P18</f>
        <v>21.297138158000511</v>
      </c>
      <c r="P17" s="9">
        <f t="shared" si="6"/>
        <v>5.7265253585169855</v>
      </c>
      <c r="Q17" s="12">
        <f t="shared" si="7"/>
        <v>15.570612799483525</v>
      </c>
    </row>
    <row r="18" spans="1:17">
      <c r="A18" s="29">
        <f t="shared" si="1"/>
        <v>18</v>
      </c>
      <c r="B18" s="8" t="s">
        <v>17</v>
      </c>
      <c r="C18" s="9">
        <f>'Sch 2_HP Sales Conversion'!E19</f>
        <v>653.05353629794786</v>
      </c>
      <c r="D18" s="9">
        <f t="shared" ref="D18:D20" si="8">C18-AVERAGE($C$15:$C$16,$C$21)</f>
        <v>219.80384697168091</v>
      </c>
      <c r="E18" s="10">
        <f>(C18*'WP_Rate Inputs'!$B$11)+'WP_Rate Inputs'!$B$7</f>
        <v>221.34771595210483</v>
      </c>
      <c r="F18" s="10">
        <f>'WP_Rate Inputs'!$E$21*P18</f>
        <v>0</v>
      </c>
      <c r="G18" s="10">
        <f t="shared" si="2"/>
        <v>221.34771595210483</v>
      </c>
      <c r="H18" s="36">
        <f>D18*'WP_Efficiency Factors'!$B$7/'WP_Efficiency Factors'!$B$10</f>
        <v>172.70302262060645</v>
      </c>
      <c r="I18" s="9">
        <f t="shared" si="3"/>
        <v>605.95271194687336</v>
      </c>
      <c r="J18" s="10">
        <f>(I18*'WP_Rate Inputs'!$B$11)+'WP_Rate Inputs'!$B$10</f>
        <v>206.10447616736661</v>
      </c>
      <c r="K18" s="10">
        <f>(I18*'WP_Rate Inputs'!$E$13)+'WP_Rate Inputs'!$E$12</f>
        <v>211.073288405331</v>
      </c>
      <c r="L18" s="11">
        <f t="shared" si="4"/>
        <v>2.4108220890503462E-2</v>
      </c>
      <c r="M18" s="11">
        <f t="shared" si="5"/>
        <v>-4.6417590091586969E-2</v>
      </c>
      <c r="N18" s="38"/>
      <c r="O18" s="9">
        <f>'Sch 2_HP Sales Conversion'!P19</f>
        <v>15.570612799483525</v>
      </c>
      <c r="P18" s="9">
        <f t="shared" si="6"/>
        <v>0</v>
      </c>
      <c r="Q18" s="12">
        <f>O18</f>
        <v>15.570612799483525</v>
      </c>
    </row>
    <row r="19" spans="1:17">
      <c r="A19" s="29">
        <f t="shared" si="1"/>
        <v>19</v>
      </c>
      <c r="B19" s="8" t="s">
        <v>18</v>
      </c>
      <c r="C19" s="9">
        <f>'Sch 2_HP Sales Conversion'!E20</f>
        <v>650.66524341245406</v>
      </c>
      <c r="D19" s="9">
        <f t="shared" si="8"/>
        <v>217.41555408618711</v>
      </c>
      <c r="E19" s="10">
        <f>(C19*'WP_Rate Inputs'!$B$11)+'WP_Rate Inputs'!$B$7</f>
        <v>220.57479272557248</v>
      </c>
      <c r="F19" s="10">
        <f>'WP_Rate Inputs'!$E$21*P19</f>
        <v>0</v>
      </c>
      <c r="G19" s="10">
        <f t="shared" si="2"/>
        <v>220.57479272557248</v>
      </c>
      <c r="H19" s="36">
        <f>D19*'WP_Efficiency Factors'!$B$7/'WP_Efficiency Factors'!$B$10</f>
        <v>170.82650678200417</v>
      </c>
      <c r="I19" s="9">
        <f t="shared" si="3"/>
        <v>604.07619610827112</v>
      </c>
      <c r="J19" s="10">
        <f>(I19*'WP_Rate Inputs'!$B$11)+'WP_Rate Inputs'!$B$10</f>
        <v>205.49717934651977</v>
      </c>
      <c r="K19" s="10">
        <f>(I19*'WP_Rate Inputs'!$E$13)+'WP_Rate Inputs'!$E$12</f>
        <v>210.45060415460762</v>
      </c>
      <c r="L19" s="11">
        <f t="shared" si="4"/>
        <v>2.4104587828600366E-2</v>
      </c>
      <c r="M19" s="11">
        <f t="shared" si="5"/>
        <v>-4.589911859765794E-2</v>
      </c>
      <c r="N19" s="38"/>
      <c r="O19" s="9">
        <f>'Sch 2_HP Sales Conversion'!P20</f>
        <v>15.577564469169806</v>
      </c>
      <c r="P19" s="9">
        <f t="shared" si="6"/>
        <v>0</v>
      </c>
      <c r="Q19" s="12">
        <f>O19</f>
        <v>15.577564469169806</v>
      </c>
    </row>
    <row r="20" spans="1:17">
      <c r="A20" s="29">
        <f t="shared" si="1"/>
        <v>20</v>
      </c>
      <c r="B20" s="8" t="s">
        <v>19</v>
      </c>
      <c r="C20" s="9">
        <f>'Sch 2_HP Sales Conversion'!E21</f>
        <v>677.41823335960419</v>
      </c>
      <c r="D20" s="9">
        <f t="shared" si="8"/>
        <v>244.16854403333724</v>
      </c>
      <c r="E20" s="10">
        <f>(C20*'WP_Rate Inputs'!$B$11)+'WP_Rate Inputs'!$B$7</f>
        <v>229.23286286216867</v>
      </c>
      <c r="F20" s="10">
        <f>'WP_Rate Inputs'!$E$21*P20</f>
        <v>1.4896480445959532</v>
      </c>
      <c r="G20" s="10">
        <f t="shared" si="2"/>
        <v>230.72251090676463</v>
      </c>
      <c r="H20" s="36">
        <f>D20*'WP_Efficiency Factors'!$B$7/'WP_Efficiency Factors'!$B$10</f>
        <v>191.8467131690507</v>
      </c>
      <c r="I20" s="9">
        <f t="shared" si="3"/>
        <v>625.09640249531765</v>
      </c>
      <c r="J20" s="10">
        <f>(I20*'WP_Rate Inputs'!$B$11)+'WP_Rate Inputs'!$B$10</f>
        <v>212.29994873955962</v>
      </c>
      <c r="K20" s="10">
        <f>(I20*'WP_Rate Inputs'!$E$13)+'WP_Rate Inputs'!$E$12</f>
        <v>217.42573924002127</v>
      </c>
      <c r="L20" s="11">
        <f t="shared" si="4"/>
        <v>2.4144096740926324E-2</v>
      </c>
      <c r="M20" s="11">
        <f t="shared" si="5"/>
        <v>-5.763101144524474E-2</v>
      </c>
      <c r="N20" s="38"/>
      <c r="O20" s="9">
        <f>'Sch 2_HP Sales Conversion'!P21</f>
        <v>16.377032104331054</v>
      </c>
      <c r="P20" s="9">
        <f t="shared" si="6"/>
        <v>0.79946763516124797</v>
      </c>
      <c r="Q20" s="12">
        <f t="shared" si="7"/>
        <v>15.577564469169806</v>
      </c>
    </row>
    <row r="21" spans="1:17" ht="16">
      <c r="A21" s="29">
        <f t="shared" si="1"/>
        <v>21</v>
      </c>
      <c r="B21" s="14" t="s">
        <v>20</v>
      </c>
      <c r="C21" s="15">
        <f>'Sch 2_HP Sales Conversion'!E22</f>
        <v>460.96974073470335</v>
      </c>
      <c r="D21" s="15">
        <v>0</v>
      </c>
      <c r="E21" s="16">
        <f>(C21*'WP_Rate Inputs'!$B$11)+'WP_Rate Inputs'!$B$7</f>
        <v>159.18363719397203</v>
      </c>
      <c r="F21" s="16">
        <f>'WP_Rate Inputs'!$E$21*P21</f>
        <v>67.136038576541978</v>
      </c>
      <c r="G21" s="16">
        <f t="shared" si="2"/>
        <v>226.31967577051401</v>
      </c>
      <c r="H21" s="15">
        <f>P21*'WP_Efficiency Factors'!$B$6/'WP_Efficiency Factors'!$B$9</f>
        <v>387.66384623230084</v>
      </c>
      <c r="I21" s="15">
        <f t="shared" si="3"/>
        <v>848.63358696700425</v>
      </c>
      <c r="J21" s="16">
        <f>(I21*'WP_Rate Inputs'!$B$11)+'WP_Rate Inputs'!$B$10</f>
        <v>284.64328775013155</v>
      </c>
      <c r="K21" s="130">
        <f>(I21*'WP_Rate Inputs'!$F$13)+'WP_Rate Inputs'!$F$12</f>
        <v>225.00131925809055</v>
      </c>
      <c r="L21" s="17">
        <f t="shared" si="4"/>
        <v>-0.20953232013114087</v>
      </c>
      <c r="M21" s="17">
        <f t="shared" si="5"/>
        <v>-5.8251961873623248E-3</v>
      </c>
      <c r="N21" s="39"/>
      <c r="O21" s="15">
        <f>'Sch 2_HP Sales Conversion'!P22</f>
        <v>51.608283396096219</v>
      </c>
      <c r="P21" s="15">
        <f t="shared" si="6"/>
        <v>36.030718926926411</v>
      </c>
      <c r="Q21" s="18">
        <f t="shared" si="7"/>
        <v>15.577564469169806</v>
      </c>
    </row>
    <row r="22" spans="1:17">
      <c r="A22" s="29">
        <f t="shared" si="1"/>
        <v>22</v>
      </c>
      <c r="B22" s="20" t="s">
        <v>21</v>
      </c>
      <c r="C22" s="21">
        <f t="shared" ref="C22:K22" si="9">SUM(C10:C21)</f>
        <v>6325.8565606495249</v>
      </c>
      <c r="D22" s="21">
        <f t="shared" si="9"/>
        <v>765.96159589304921</v>
      </c>
      <c r="E22" s="22">
        <f t="shared" si="9"/>
        <v>2167.2369587230055</v>
      </c>
      <c r="F22" s="22">
        <f t="shared" ref="F22:G22" si="10">SUM(F10:F21)</f>
        <v>1795.2381113249539</v>
      </c>
      <c r="G22" s="22">
        <f t="shared" si="10"/>
        <v>3962.4750700479603</v>
      </c>
      <c r="H22" s="21">
        <f t="shared" si="9"/>
        <v>8335.7493609880676</v>
      </c>
      <c r="I22" s="23">
        <f t="shared" si="9"/>
        <v>13895.644325744543</v>
      </c>
      <c r="J22" s="22">
        <f t="shared" si="9"/>
        <v>4617.0473731407074</v>
      </c>
      <c r="K22" s="22">
        <f t="shared" si="9"/>
        <v>3823.6986128651502</v>
      </c>
      <c r="L22" s="129">
        <f>K22/J22-1</f>
        <v>-0.17183032708106882</v>
      </c>
      <c r="M22" s="24">
        <f t="shared" si="5"/>
        <v>-3.5022670106320763E-2</v>
      </c>
      <c r="N22" s="38"/>
      <c r="O22" s="23">
        <f t="shared" ref="O22:Q22" si="11">SUM(O10:O21)</f>
        <v>912.20970798288181</v>
      </c>
      <c r="P22" s="23">
        <f t="shared" si="11"/>
        <v>725.34149938002042</v>
      </c>
      <c r="Q22" s="21">
        <f t="shared" si="11"/>
        <v>186.86820860286113</v>
      </c>
    </row>
    <row r="23" spans="1:17">
      <c r="A23" s="29">
        <f t="shared" si="1"/>
        <v>23</v>
      </c>
      <c r="B23" s="20" t="s">
        <v>22</v>
      </c>
      <c r="C23" s="25">
        <f>C22/12</f>
        <v>527.15471338746045</v>
      </c>
      <c r="D23" s="25"/>
      <c r="E23" s="22">
        <f t="shared" ref="E23:K23" si="12">E22/12</f>
        <v>180.60307989358378</v>
      </c>
      <c r="F23" s="22">
        <f t="shared" si="12"/>
        <v>149.60317594374615</v>
      </c>
      <c r="G23" s="22">
        <f t="shared" si="12"/>
        <v>330.20625583733005</v>
      </c>
      <c r="H23" s="25">
        <f t="shared" si="12"/>
        <v>694.645780082339</v>
      </c>
      <c r="I23" s="25">
        <f t="shared" si="12"/>
        <v>1157.9703604787119</v>
      </c>
      <c r="J23" s="22">
        <f t="shared" si="12"/>
        <v>384.75394776172561</v>
      </c>
      <c r="K23" s="22">
        <f t="shared" si="12"/>
        <v>318.64155107209587</v>
      </c>
      <c r="L23" s="129">
        <f>K23/J23-1</f>
        <v>-0.17183032708106871</v>
      </c>
      <c r="M23" s="24">
        <f t="shared" si="5"/>
        <v>-3.5022670106320763E-2</v>
      </c>
      <c r="O23" s="23">
        <f>O22/12</f>
        <v>76.017475665240156</v>
      </c>
      <c r="P23" s="23">
        <f>P22/12</f>
        <v>60.445124948335035</v>
      </c>
      <c r="Q23" s="21">
        <f>Q22/12</f>
        <v>15.572350716905094</v>
      </c>
    </row>
    <row r="24" spans="1:17">
      <c r="A24" s="29">
        <f t="shared" si="1"/>
        <v>24</v>
      </c>
      <c r="B24" s="20"/>
      <c r="C24" s="26"/>
      <c r="D24" s="26"/>
      <c r="E24" s="22"/>
      <c r="F24" s="22"/>
      <c r="G24" s="22"/>
      <c r="H24" s="26"/>
      <c r="I24" s="26"/>
      <c r="O24" s="28"/>
      <c r="P24" s="27"/>
    </row>
    <row r="25" spans="1:17">
      <c r="A25" s="29">
        <f t="shared" si="1"/>
        <v>25</v>
      </c>
      <c r="B25" s="127" t="s">
        <v>201</v>
      </c>
      <c r="C25" s="34"/>
      <c r="D25" s="34"/>
      <c r="E25" s="3"/>
      <c r="F25" s="3"/>
      <c r="G25" s="3"/>
      <c r="H25" s="3"/>
      <c r="I25" s="35"/>
      <c r="J25" s="22"/>
      <c r="K25" s="22"/>
      <c r="L25" s="22"/>
      <c r="M25" s="22"/>
      <c r="O25" s="28"/>
    </row>
    <row r="26" spans="1:17">
      <c r="A26" s="29">
        <f t="shared" si="1"/>
        <v>26</v>
      </c>
      <c r="B26" s="126" t="s">
        <v>202</v>
      </c>
    </row>
  </sheetData>
  <mergeCells count="3">
    <mergeCell ref="O6:Q6"/>
    <mergeCell ref="H7:L7"/>
    <mergeCell ref="C6:M6"/>
  </mergeCells>
  <pageMargins left="0.7" right="0.7" top="0.75" bottom="0.75" header="0.3" footer="0.3"/>
  <pageSetup scale="50" orientation="landscape" r:id="rId1"/>
  <headerFooter>
    <oddHeader>&amp;RNSTAR Electric Company d/b/a Eversource Energy
D.P.U. 25-55
Attachment DOER-1-2(b)
Schedule 3
Page &amp;P of &amp;N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00C56-0F52-4A0E-89FC-77A489DEA668}">
  <sheetPr>
    <tabColor theme="1"/>
    <pageSetUpPr fitToPage="1"/>
  </sheetPr>
  <dimension ref="A1:S100"/>
  <sheetViews>
    <sheetView view="pageLayout" zoomScaleNormal="100" workbookViewId="0">
      <selection activeCell="I9" sqref="I9"/>
    </sheetView>
  </sheetViews>
  <sheetFormatPr defaultColWidth="9.1796875" defaultRowHeight="12.5"/>
  <cols>
    <col min="1" max="1" width="11.453125" style="48" customWidth="1"/>
    <col min="2" max="2" width="12.26953125" style="48" customWidth="1"/>
    <col min="3" max="4" width="14.81640625" style="48" bestFit="1" customWidth="1"/>
    <col min="5" max="5" width="16.453125" style="48" bestFit="1" customWidth="1"/>
    <col min="6" max="7" width="15" style="48" bestFit="1" customWidth="1"/>
    <col min="8" max="11" width="14.81640625" style="48" bestFit="1" customWidth="1"/>
    <col min="12" max="14" width="15" style="48" bestFit="1" customWidth="1"/>
    <col min="15" max="15" width="16.453125" style="48" bestFit="1" customWidth="1"/>
    <col min="16" max="16" width="3.26953125" style="48" customWidth="1"/>
    <col min="17" max="17" width="14.81640625" style="48" bestFit="1" customWidth="1"/>
    <col min="18" max="18" width="17.54296875" style="49" bestFit="1" customWidth="1"/>
    <col min="19" max="16384" width="9.1796875" style="48"/>
  </cols>
  <sheetData>
    <row r="1" spans="1:17" ht="13">
      <c r="A1" s="47" t="s">
        <v>41</v>
      </c>
      <c r="B1" s="47"/>
    </row>
    <row r="2" spans="1:17" ht="13">
      <c r="A2" s="47" t="s">
        <v>42</v>
      </c>
      <c r="B2" s="47"/>
    </row>
    <row r="3" spans="1:17" ht="13">
      <c r="A3" s="47"/>
      <c r="B3" s="47"/>
    </row>
    <row r="4" spans="1:17" ht="13">
      <c r="A4" s="47"/>
      <c r="B4" s="47"/>
    </row>
    <row r="5" spans="1:17">
      <c r="C5" s="55"/>
      <c r="D5" s="55"/>
      <c r="E5" s="55"/>
      <c r="F5" s="55"/>
      <c r="G5" s="55"/>
      <c r="H5" s="55"/>
      <c r="I5" s="55"/>
      <c r="J5" s="55"/>
      <c r="K5" s="55"/>
      <c r="L5" s="55"/>
      <c r="M5" s="55"/>
      <c r="N5" s="55"/>
    </row>
    <row r="7" spans="1:17" ht="13">
      <c r="A7" s="50" t="s">
        <v>43</v>
      </c>
      <c r="B7" s="50" t="s">
        <v>44</v>
      </c>
      <c r="C7" s="51" t="s">
        <v>45</v>
      </c>
      <c r="D7" s="51" t="s">
        <v>46</v>
      </c>
      <c r="E7" s="51" t="s">
        <v>47</v>
      </c>
      <c r="F7" s="51" t="s">
        <v>48</v>
      </c>
      <c r="G7" s="51" t="s">
        <v>15</v>
      </c>
      <c r="H7" s="51" t="s">
        <v>49</v>
      </c>
      <c r="I7" s="51" t="s">
        <v>50</v>
      </c>
      <c r="J7" s="51" t="s">
        <v>51</v>
      </c>
      <c r="K7" s="51" t="s">
        <v>52</v>
      </c>
      <c r="L7" s="51" t="s">
        <v>53</v>
      </c>
      <c r="M7" s="51" t="s">
        <v>54</v>
      </c>
      <c r="N7" s="51" t="s">
        <v>55</v>
      </c>
      <c r="O7" s="51" t="s">
        <v>21</v>
      </c>
    </row>
    <row r="8" spans="1:17" ht="13">
      <c r="A8" s="52" t="s">
        <v>56</v>
      </c>
      <c r="B8" s="50"/>
      <c r="C8" s="51"/>
      <c r="D8" s="51"/>
      <c r="E8" s="51"/>
      <c r="F8" s="51"/>
      <c r="G8" s="51"/>
      <c r="H8" s="51"/>
      <c r="I8" s="51"/>
      <c r="J8" s="51"/>
      <c r="K8" s="51"/>
      <c r="L8" s="51"/>
      <c r="M8" s="51"/>
      <c r="N8" s="51"/>
      <c r="O8" s="51"/>
    </row>
    <row r="9" spans="1:17">
      <c r="A9" s="48" t="s">
        <v>57</v>
      </c>
      <c r="B9" s="48" t="s">
        <v>58</v>
      </c>
      <c r="C9" s="49">
        <v>579745818.85971296</v>
      </c>
      <c r="D9" s="49">
        <v>543590869.89656055</v>
      </c>
      <c r="E9" s="49">
        <v>490533066.41025239</v>
      </c>
      <c r="F9" s="49">
        <v>443450006.79256368</v>
      </c>
      <c r="G9" s="49">
        <v>410084980.95081097</v>
      </c>
      <c r="H9" s="49">
        <v>529348758.11083925</v>
      </c>
      <c r="I9" s="49">
        <v>671257148.74700367</v>
      </c>
      <c r="J9" s="49">
        <v>663952824.22768044</v>
      </c>
      <c r="K9" s="49">
        <v>698000011.36743212</v>
      </c>
      <c r="L9" s="49">
        <v>463699747.20429277</v>
      </c>
      <c r="M9" s="49">
        <v>458337395.62002814</v>
      </c>
      <c r="N9" s="49">
        <v>505457430.71341181</v>
      </c>
      <c r="O9" s="49">
        <f>SUM(C9:N9)</f>
        <v>6457458058.900589</v>
      </c>
      <c r="P9" s="49"/>
      <c r="Q9" s="49"/>
    </row>
    <row r="10" spans="1:17">
      <c r="A10" s="48" t="s">
        <v>59</v>
      </c>
      <c r="B10" s="48" t="s">
        <v>58</v>
      </c>
      <c r="C10" s="49">
        <v>67159412.69049266</v>
      </c>
      <c r="D10" s="49">
        <v>64464537.69964835</v>
      </c>
      <c r="E10" s="49">
        <v>60661112.152971394</v>
      </c>
      <c r="F10" s="49">
        <v>53670228.259922683</v>
      </c>
      <c r="G10" s="49">
        <v>49197137.014841631</v>
      </c>
      <c r="H10" s="49">
        <v>62029492.678141832</v>
      </c>
      <c r="I10" s="49">
        <v>74251035.371006861</v>
      </c>
      <c r="J10" s="49">
        <v>75286873.760654956</v>
      </c>
      <c r="K10" s="49">
        <v>78108062.128701195</v>
      </c>
      <c r="L10" s="49">
        <v>53647586.577876523</v>
      </c>
      <c r="M10" s="49">
        <v>54687948.419725269</v>
      </c>
      <c r="N10" s="49">
        <v>62889783.478260562</v>
      </c>
      <c r="O10" s="49">
        <f t="shared" ref="O10:O37" si="0">SUM(C10:N10)</f>
        <v>756053210.2322439</v>
      </c>
      <c r="P10" s="49"/>
      <c r="Q10" s="49"/>
    </row>
    <row r="11" spans="1:17">
      <c r="A11" s="48" t="s">
        <v>0</v>
      </c>
      <c r="B11" s="48" t="s">
        <v>58</v>
      </c>
      <c r="C11" s="49">
        <v>103269764.60073331</v>
      </c>
      <c r="D11" s="49">
        <v>109443322.03845638</v>
      </c>
      <c r="E11" s="49">
        <v>92545706.314625859</v>
      </c>
      <c r="F11" s="49">
        <v>65914589.541432902</v>
      </c>
      <c r="G11" s="49">
        <v>48298587.712388664</v>
      </c>
      <c r="H11" s="49">
        <v>48034673.484431468</v>
      </c>
      <c r="I11" s="49">
        <v>54488187.960309103</v>
      </c>
      <c r="J11" s="49">
        <v>54300578.428884365</v>
      </c>
      <c r="K11" s="49">
        <v>55684073.147218958</v>
      </c>
      <c r="L11" s="49">
        <v>40961747.369073272</v>
      </c>
      <c r="M11" s="49">
        <v>55322513.195349932</v>
      </c>
      <c r="N11" s="49">
        <v>80550460.858102053</v>
      </c>
      <c r="O11" s="49">
        <f t="shared" si="0"/>
        <v>808814204.65100634</v>
      </c>
      <c r="P11" s="49"/>
      <c r="Q11" s="49"/>
    </row>
    <row r="12" spans="1:17">
      <c r="A12" s="48" t="s">
        <v>60</v>
      </c>
      <c r="B12" s="48" t="s">
        <v>58</v>
      </c>
      <c r="C12" s="49">
        <v>16393169.21818893</v>
      </c>
      <c r="D12" s="49">
        <v>17634579.085049938</v>
      </c>
      <c r="E12" s="49">
        <v>15604417.816503655</v>
      </c>
      <c r="F12" s="49">
        <v>10813763.949156791</v>
      </c>
      <c r="G12" s="49">
        <v>7982247.7169551365</v>
      </c>
      <c r="H12" s="49">
        <v>7525123.6970586181</v>
      </c>
      <c r="I12" s="49">
        <v>7919850.8630846487</v>
      </c>
      <c r="J12" s="49">
        <v>7894910.1559015494</v>
      </c>
      <c r="K12" s="49">
        <v>8067241.835226154</v>
      </c>
      <c r="L12" s="49">
        <v>6330519.1556992372</v>
      </c>
      <c r="M12" s="49">
        <v>9249696.7477823291</v>
      </c>
      <c r="N12" s="49">
        <v>14026580.967506904</v>
      </c>
      <c r="O12" s="49">
        <f t="shared" si="0"/>
        <v>129442101.20811389</v>
      </c>
      <c r="P12" s="49"/>
      <c r="Q12" s="49"/>
    </row>
    <row r="13" spans="1:17">
      <c r="A13" s="48" t="s">
        <v>61</v>
      </c>
      <c r="B13" s="48" t="s">
        <v>62</v>
      </c>
      <c r="C13" s="49">
        <v>228697407.89156738</v>
      </c>
      <c r="D13" s="49">
        <v>240240519.16677234</v>
      </c>
      <c r="E13" s="49">
        <v>215659481.4323439</v>
      </c>
      <c r="F13" s="49">
        <v>207196494.04374665</v>
      </c>
      <c r="G13" s="49">
        <v>192417736.75080463</v>
      </c>
      <c r="H13" s="49">
        <v>219185741.39250118</v>
      </c>
      <c r="I13" s="49">
        <v>235571013.20684749</v>
      </c>
      <c r="J13" s="49">
        <v>243634530.35566878</v>
      </c>
      <c r="K13" s="49">
        <v>248829668.03385609</v>
      </c>
      <c r="L13" s="49">
        <v>212172072.00782698</v>
      </c>
      <c r="M13" s="49">
        <v>210138318.21807471</v>
      </c>
      <c r="N13" s="49">
        <v>217114555.53267235</v>
      </c>
      <c r="O13" s="49">
        <f t="shared" si="0"/>
        <v>2670857538.0326824</v>
      </c>
      <c r="P13" s="49"/>
      <c r="Q13" s="49"/>
    </row>
    <row r="14" spans="1:17">
      <c r="A14" s="48" t="s">
        <v>63</v>
      </c>
      <c r="B14" s="48" t="s">
        <v>62</v>
      </c>
      <c r="C14" s="49">
        <v>1257422.2563798977</v>
      </c>
      <c r="D14" s="49">
        <v>1175048.9021642033</v>
      </c>
      <c r="E14" s="49">
        <v>1137746.2338995324</v>
      </c>
      <c r="F14" s="49">
        <v>1324775.8042463479</v>
      </c>
      <c r="G14" s="49">
        <v>1226771.1581119532</v>
      </c>
      <c r="H14" s="49">
        <v>1224937.6107180906</v>
      </c>
      <c r="I14" s="49">
        <v>1226774.2309037594</v>
      </c>
      <c r="J14" s="49">
        <v>1195358.0074760434</v>
      </c>
      <c r="K14" s="49">
        <v>1263518.6753236174</v>
      </c>
      <c r="L14" s="49">
        <v>1210847.0416571486</v>
      </c>
      <c r="M14" s="49">
        <v>1240439.9603303564</v>
      </c>
      <c r="N14" s="49">
        <v>1204432.9859440129</v>
      </c>
      <c r="O14" s="49">
        <f t="shared" si="0"/>
        <v>14688072.86715496</v>
      </c>
      <c r="P14" s="49"/>
      <c r="Q14" s="49"/>
    </row>
    <row r="15" spans="1:17">
      <c r="A15" s="48" t="s">
        <v>64</v>
      </c>
      <c r="B15" s="48" t="s">
        <v>62</v>
      </c>
      <c r="C15" s="49">
        <v>317061934.29413921</v>
      </c>
      <c r="D15" s="49">
        <v>314041813.28658479</v>
      </c>
      <c r="E15" s="49">
        <v>295702397.41131473</v>
      </c>
      <c r="F15" s="49">
        <v>280737270.85944259</v>
      </c>
      <c r="G15" s="49">
        <v>270165921.43265128</v>
      </c>
      <c r="H15" s="49">
        <v>326319289.72426027</v>
      </c>
      <c r="I15" s="49">
        <v>341217648.66798663</v>
      </c>
      <c r="J15" s="49">
        <v>348332185.54717785</v>
      </c>
      <c r="K15" s="49">
        <v>352326825.04193324</v>
      </c>
      <c r="L15" s="49">
        <v>302911509.02607119</v>
      </c>
      <c r="M15" s="49">
        <v>314846782.42873126</v>
      </c>
      <c r="N15" s="49">
        <v>310193429.84566593</v>
      </c>
      <c r="O15" s="49">
        <f t="shared" si="0"/>
        <v>3773857007.565959</v>
      </c>
      <c r="P15" s="49"/>
      <c r="Q15" s="49"/>
    </row>
    <row r="16" spans="1:17">
      <c r="A16" s="48" t="s">
        <v>65</v>
      </c>
      <c r="B16" s="48" t="s">
        <v>62</v>
      </c>
      <c r="C16" s="49">
        <v>212721554.17383298</v>
      </c>
      <c r="D16" s="49">
        <v>196514484.80749616</v>
      </c>
      <c r="E16" s="49">
        <v>199785825.62848181</v>
      </c>
      <c r="F16" s="49">
        <v>211550245.5600993</v>
      </c>
      <c r="G16" s="49">
        <v>191849502.15128973</v>
      </c>
      <c r="H16" s="49">
        <v>246941105.45241743</v>
      </c>
      <c r="I16" s="49">
        <v>235452659.78102303</v>
      </c>
      <c r="J16" s="49">
        <v>243100353.1681897</v>
      </c>
      <c r="K16" s="49">
        <v>261806723.46920353</v>
      </c>
      <c r="L16" s="49">
        <v>220810348.10691762</v>
      </c>
      <c r="M16" s="49">
        <v>211479497.13201413</v>
      </c>
      <c r="N16" s="49">
        <v>207029703.82334518</v>
      </c>
      <c r="O16" s="49">
        <f t="shared" si="0"/>
        <v>2639042003.2543106</v>
      </c>
      <c r="P16" s="49"/>
      <c r="Q16" s="49"/>
    </row>
    <row r="17" spans="1:17">
      <c r="A17" s="48" t="s">
        <v>66</v>
      </c>
      <c r="B17" s="48" t="s">
        <v>62</v>
      </c>
      <c r="C17" s="49">
        <v>9984033.0898030419</v>
      </c>
      <c r="D17" s="49">
        <v>9153630.3376223091</v>
      </c>
      <c r="E17" s="49">
        <v>8212827.2195447143</v>
      </c>
      <c r="F17" s="49">
        <v>8673628.7467663921</v>
      </c>
      <c r="G17" s="49">
        <v>8980829.7649141792</v>
      </c>
      <c r="H17" s="49">
        <v>8827229.2558402866</v>
      </c>
      <c r="I17" s="49">
        <v>7612825.2309748195</v>
      </c>
      <c r="J17" s="49">
        <v>9384031.1012331471</v>
      </c>
      <c r="K17" s="49">
        <v>8827229.2558402866</v>
      </c>
      <c r="L17" s="49">
        <v>9729632.2466494069</v>
      </c>
      <c r="M17" s="49">
        <v>9729632.2466494069</v>
      </c>
      <c r="N17" s="49">
        <v>8505628.189966822</v>
      </c>
      <c r="O17" s="49">
        <f t="shared" si="0"/>
        <v>107621156.68580481</v>
      </c>
      <c r="P17" s="49"/>
      <c r="Q17" s="49"/>
    </row>
    <row r="18" spans="1:17">
      <c r="A18" s="48" t="s">
        <v>61</v>
      </c>
      <c r="B18" s="48" t="s">
        <v>67</v>
      </c>
      <c r="C18" s="49">
        <v>20085495.156950668</v>
      </c>
      <c r="D18" s="49">
        <v>21730808.186137494</v>
      </c>
      <c r="E18" s="49">
        <v>18468194.55849608</v>
      </c>
      <c r="F18" s="49">
        <v>17684157.032742891</v>
      </c>
      <c r="G18" s="49">
        <v>16642046.398598926</v>
      </c>
      <c r="H18" s="49">
        <v>18888368.463011876</v>
      </c>
      <c r="I18" s="49">
        <v>20050807.798096661</v>
      </c>
      <c r="J18" s="49">
        <v>21367519.518205442</v>
      </c>
      <c r="K18" s="49">
        <v>20439430.774754606</v>
      </c>
      <c r="L18" s="49">
        <v>18649889.991334144</v>
      </c>
      <c r="M18" s="49">
        <v>17986598.599915668</v>
      </c>
      <c r="N18" s="49">
        <v>20104738.265258417</v>
      </c>
      <c r="O18" s="49">
        <f t="shared" si="0"/>
        <v>232098054.74350291</v>
      </c>
      <c r="P18" s="49"/>
      <c r="Q18" s="49"/>
    </row>
    <row r="19" spans="1:17">
      <c r="A19" s="48" t="s">
        <v>68</v>
      </c>
      <c r="B19" s="48" t="s">
        <v>67</v>
      </c>
      <c r="C19" s="49">
        <v>133.39571965732048</v>
      </c>
      <c r="D19" s="49">
        <v>100.81050569522694</v>
      </c>
      <c r="E19" s="49">
        <v>74.33501935102592</v>
      </c>
      <c r="F19" s="49">
        <v>0</v>
      </c>
      <c r="G19" s="49">
        <v>0</v>
      </c>
      <c r="H19" s="49">
        <v>0</v>
      </c>
      <c r="I19" s="49">
        <v>0</v>
      </c>
      <c r="J19" s="49">
        <v>0</v>
      </c>
      <c r="K19" s="49">
        <v>0</v>
      </c>
      <c r="L19" s="49">
        <v>0</v>
      </c>
      <c r="M19" s="49">
        <v>0</v>
      </c>
      <c r="N19" s="49">
        <v>0</v>
      </c>
      <c r="O19" s="49">
        <f t="shared" si="0"/>
        <v>308.54124470357334</v>
      </c>
      <c r="P19" s="49"/>
      <c r="Q19" s="49"/>
    </row>
    <row r="20" spans="1:17">
      <c r="A20" s="48" t="s">
        <v>64</v>
      </c>
      <c r="B20" s="48" t="s">
        <v>67</v>
      </c>
      <c r="C20" s="49">
        <v>44143086.946995661</v>
      </c>
      <c r="D20" s="49">
        <v>40886041.846172079</v>
      </c>
      <c r="E20" s="49">
        <v>41628850.507482134</v>
      </c>
      <c r="F20" s="49">
        <v>41768512.030721143</v>
      </c>
      <c r="G20" s="49">
        <v>39961480.714335442</v>
      </c>
      <c r="H20" s="49">
        <v>48116073.39736972</v>
      </c>
      <c r="I20" s="49">
        <v>57250206.25326784</v>
      </c>
      <c r="J20" s="49">
        <v>54366748.579708807</v>
      </c>
      <c r="K20" s="49">
        <v>51558336.070273668</v>
      </c>
      <c r="L20" s="49">
        <v>45380310.882324569</v>
      </c>
      <c r="M20" s="49">
        <v>40621290.346805595</v>
      </c>
      <c r="N20" s="49">
        <v>44014472.104056895</v>
      </c>
      <c r="O20" s="49">
        <f t="shared" si="0"/>
        <v>549695409.67951345</v>
      </c>
      <c r="P20" s="49"/>
      <c r="Q20" s="49"/>
    </row>
    <row r="21" spans="1:17">
      <c r="A21" s="48" t="s">
        <v>69</v>
      </c>
      <c r="B21" s="48" t="s">
        <v>67</v>
      </c>
      <c r="C21" s="49">
        <v>50554286.536171839</v>
      </c>
      <c r="D21" s="49">
        <v>49359065.282129779</v>
      </c>
      <c r="E21" s="49">
        <v>38184527.497388117</v>
      </c>
      <c r="F21" s="49">
        <v>49304584.657429978</v>
      </c>
      <c r="G21" s="49">
        <v>50267611.887205772</v>
      </c>
      <c r="H21" s="49">
        <v>60478758.697351515</v>
      </c>
      <c r="I21" s="49">
        <v>54769065.699429803</v>
      </c>
      <c r="J21" s="49">
        <v>55751315.214005545</v>
      </c>
      <c r="K21" s="49">
        <v>54226889.92031914</v>
      </c>
      <c r="L21" s="49">
        <v>49925688.16287709</v>
      </c>
      <c r="M21" s="49">
        <v>40265806.488376774</v>
      </c>
      <c r="N21" s="49">
        <v>38375136.494827218</v>
      </c>
      <c r="O21" s="49">
        <f t="shared" si="0"/>
        <v>591462736.53751266</v>
      </c>
      <c r="P21" s="49"/>
      <c r="Q21" s="49"/>
    </row>
    <row r="22" spans="1:17">
      <c r="A22" s="48" t="s">
        <v>70</v>
      </c>
      <c r="B22" s="48" t="s">
        <v>67</v>
      </c>
      <c r="C22" s="49">
        <v>527287.15108210489</v>
      </c>
      <c r="D22" s="49">
        <v>604848.1020764471</v>
      </c>
      <c r="E22" s="49">
        <v>401108.14763995033</v>
      </c>
      <c r="F22" s="49">
        <v>301259.97927449452</v>
      </c>
      <c r="G22" s="49">
        <v>264295.59519818611</v>
      </c>
      <c r="H22" s="49">
        <v>319237.59078348416</v>
      </c>
      <c r="I22" s="49">
        <v>368766.1794675382</v>
      </c>
      <c r="J22" s="49">
        <v>377669.3111341591</v>
      </c>
      <c r="K22" s="49">
        <v>356989.97722616798</v>
      </c>
      <c r="L22" s="49">
        <v>302768.24170520552</v>
      </c>
      <c r="M22" s="49">
        <v>339436.75131525157</v>
      </c>
      <c r="N22" s="49">
        <v>454515.97932611039</v>
      </c>
      <c r="O22" s="49">
        <f t="shared" si="0"/>
        <v>4618183.0062291007</v>
      </c>
      <c r="P22" s="49"/>
      <c r="Q22" s="49"/>
    </row>
    <row r="23" spans="1:17">
      <c r="A23" s="48" t="s">
        <v>61</v>
      </c>
      <c r="B23" s="48" t="s">
        <v>71</v>
      </c>
      <c r="C23" s="49">
        <v>72956777.262356341</v>
      </c>
      <c r="D23" s="49">
        <v>76376350.064009219</v>
      </c>
      <c r="E23" s="49">
        <v>68857037.758313835</v>
      </c>
      <c r="F23" s="49">
        <v>67928495.744108528</v>
      </c>
      <c r="G23" s="49">
        <v>64739570.635426626</v>
      </c>
      <c r="H23" s="49">
        <v>74928894.596253961</v>
      </c>
      <c r="I23" s="49">
        <v>89466697.87058869</v>
      </c>
      <c r="J23" s="49">
        <v>97403870.692441195</v>
      </c>
      <c r="K23" s="49">
        <v>98526546.148780257</v>
      </c>
      <c r="L23" s="49">
        <v>74549577.773153588</v>
      </c>
      <c r="M23" s="49">
        <v>70949690.824509904</v>
      </c>
      <c r="N23" s="49">
        <v>68105496.620093897</v>
      </c>
      <c r="O23" s="49">
        <f t="shared" si="0"/>
        <v>924789005.99003601</v>
      </c>
      <c r="P23" s="49"/>
      <c r="Q23" s="49"/>
    </row>
    <row r="24" spans="1:17">
      <c r="A24" s="48" t="s">
        <v>72</v>
      </c>
      <c r="B24" s="48" t="s">
        <v>71</v>
      </c>
      <c r="C24" s="49">
        <v>4966587.9743560851</v>
      </c>
      <c r="D24" s="49">
        <v>4630072.6801944394</v>
      </c>
      <c r="E24" s="49">
        <v>4578812.1118384665</v>
      </c>
      <c r="F24" s="49">
        <v>4961976.116609917</v>
      </c>
      <c r="G24" s="49">
        <v>4990872.8828225909</v>
      </c>
      <c r="H24" s="49">
        <v>5335428.3627072908</v>
      </c>
      <c r="I24" s="49">
        <v>6015207.3756422037</v>
      </c>
      <c r="J24" s="49">
        <v>5893028.2203407725</v>
      </c>
      <c r="K24" s="49">
        <v>6147779.7462164499</v>
      </c>
      <c r="L24" s="49">
        <v>5624306.8341909591</v>
      </c>
      <c r="M24" s="49">
        <v>5396258.385565252</v>
      </c>
      <c r="N24" s="49">
        <v>5189352.1279153991</v>
      </c>
      <c r="O24" s="49">
        <f t="shared" si="0"/>
        <v>63729682.818399824</v>
      </c>
      <c r="P24" s="49"/>
      <c r="Q24" s="49"/>
    </row>
    <row r="25" spans="1:17">
      <c r="A25" s="48" t="s">
        <v>64</v>
      </c>
      <c r="B25" s="48" t="s">
        <v>71</v>
      </c>
      <c r="C25" s="49">
        <v>33500446.69267974</v>
      </c>
      <c r="D25" s="49">
        <v>31566031.256056786</v>
      </c>
      <c r="E25" s="49">
        <v>30710828.715039305</v>
      </c>
      <c r="F25" s="49">
        <v>29855634.220298514</v>
      </c>
      <c r="G25" s="49">
        <v>31474208.152267709</v>
      </c>
      <c r="H25" s="49">
        <v>34807558.306083106</v>
      </c>
      <c r="I25" s="49">
        <v>38576306.572518781</v>
      </c>
      <c r="J25" s="49">
        <v>37786226.571882866</v>
      </c>
      <c r="K25" s="49">
        <v>39643632.100100994</v>
      </c>
      <c r="L25" s="49">
        <v>35443543.056065418</v>
      </c>
      <c r="M25" s="49">
        <v>30828665.431363575</v>
      </c>
      <c r="N25" s="49">
        <v>32982167.907025501</v>
      </c>
      <c r="O25" s="49">
        <f t="shared" si="0"/>
        <v>407175248.98138231</v>
      </c>
      <c r="P25" s="49"/>
      <c r="Q25" s="49"/>
    </row>
    <row r="26" spans="1:17">
      <c r="A26" s="48" t="s">
        <v>65</v>
      </c>
      <c r="B26" s="48" t="s">
        <v>71</v>
      </c>
      <c r="C26" s="49">
        <v>32773730.309848774</v>
      </c>
      <c r="D26" s="49">
        <v>29754899.461816218</v>
      </c>
      <c r="E26" s="49">
        <v>33393023.623018321</v>
      </c>
      <c r="F26" s="49">
        <v>32274211.751591966</v>
      </c>
      <c r="G26" s="49">
        <v>30700159.710168224</v>
      </c>
      <c r="H26" s="49">
        <v>37999786.375581071</v>
      </c>
      <c r="I26" s="49">
        <v>40015472.871877819</v>
      </c>
      <c r="J26" s="49">
        <v>37573002.766121879</v>
      </c>
      <c r="K26" s="49">
        <v>41877349.390514061</v>
      </c>
      <c r="L26" s="49">
        <v>35758786.126491085</v>
      </c>
      <c r="M26" s="49">
        <v>34654828.091183826</v>
      </c>
      <c r="N26" s="49">
        <v>34776680.389349721</v>
      </c>
      <c r="O26" s="49">
        <f t="shared" si="0"/>
        <v>421551930.86756295</v>
      </c>
      <c r="P26" s="49"/>
      <c r="Q26" s="49"/>
    </row>
    <row r="27" spans="1:17">
      <c r="A27" s="48" t="s">
        <v>73</v>
      </c>
      <c r="B27" s="48" t="s">
        <v>71</v>
      </c>
      <c r="C27" s="49">
        <v>206338.78244368584</v>
      </c>
      <c r="D27" s="49">
        <v>216841.73311756185</v>
      </c>
      <c r="E27" s="49">
        <v>219166.75294127877</v>
      </c>
      <c r="F27" s="49">
        <v>211647.56109818222</v>
      </c>
      <c r="G27" s="49">
        <v>193124.13912500325</v>
      </c>
      <c r="H27" s="49">
        <v>190617.74184397107</v>
      </c>
      <c r="I27" s="49">
        <v>173822.38861246596</v>
      </c>
      <c r="J27" s="49">
        <v>199703.5565601422</v>
      </c>
      <c r="K27" s="49">
        <v>194145.63304669628</v>
      </c>
      <c r="L27" s="49">
        <v>163198.85182685839</v>
      </c>
      <c r="M27" s="49">
        <v>222806.26104081338</v>
      </c>
      <c r="N27" s="49">
        <v>192590.96912685127</v>
      </c>
      <c r="O27" s="49">
        <f t="shared" si="0"/>
        <v>2384004.3707835106</v>
      </c>
      <c r="P27" s="49"/>
      <c r="Q27" s="49"/>
    </row>
    <row r="28" spans="1:17">
      <c r="A28" s="48" t="s">
        <v>68</v>
      </c>
      <c r="B28" s="48" t="s">
        <v>71</v>
      </c>
      <c r="C28" s="49">
        <v>434525.04005439853</v>
      </c>
      <c r="D28" s="49">
        <v>491017.05821044883</v>
      </c>
      <c r="E28" s="49">
        <v>456344.17119460274</v>
      </c>
      <c r="F28" s="49">
        <v>406796.6853331991</v>
      </c>
      <c r="G28" s="49">
        <v>336694.33954922331</v>
      </c>
      <c r="H28" s="49">
        <v>388300.49696815695</v>
      </c>
      <c r="I28" s="49">
        <v>384876.01429992524</v>
      </c>
      <c r="J28" s="49">
        <v>392700.55900117557</v>
      </c>
      <c r="K28" s="49">
        <v>485977.89214457991</v>
      </c>
      <c r="L28" s="49">
        <v>353936.21158811083</v>
      </c>
      <c r="M28" s="49">
        <v>434471.28364042047</v>
      </c>
      <c r="N28" s="49">
        <v>388021.76000678923</v>
      </c>
      <c r="O28" s="49">
        <f t="shared" si="0"/>
        <v>4953661.5119910305</v>
      </c>
      <c r="P28" s="49"/>
      <c r="Q28" s="49"/>
    </row>
    <row r="29" spans="1:17">
      <c r="A29" s="53">
        <v>23</v>
      </c>
      <c r="B29" s="48" t="s">
        <v>74</v>
      </c>
      <c r="C29" s="49">
        <v>5802.8047571214065</v>
      </c>
      <c r="D29" s="49">
        <v>4023.7793704665387</v>
      </c>
      <c r="E29" s="49">
        <v>4432.6177249064649</v>
      </c>
      <c r="F29" s="49">
        <v>3942.7830927001382</v>
      </c>
      <c r="G29" s="49">
        <v>4151.0592355280251</v>
      </c>
      <c r="H29" s="49">
        <v>4112.4895794487866</v>
      </c>
      <c r="I29" s="49">
        <v>5764.235101042168</v>
      </c>
      <c r="J29" s="49">
        <v>5899.2288973195027</v>
      </c>
      <c r="K29" s="49">
        <v>4209.8779610488637</v>
      </c>
      <c r="L29" s="49">
        <v>3215.7450756064954</v>
      </c>
      <c r="M29" s="49">
        <v>3140.5342462519807</v>
      </c>
      <c r="N29" s="49">
        <v>3809.7177792267657</v>
      </c>
      <c r="O29" s="49">
        <f t="shared" si="0"/>
        <v>52504.872820667137</v>
      </c>
      <c r="P29" s="49"/>
      <c r="Q29" s="49"/>
    </row>
    <row r="30" spans="1:17">
      <c r="A30" s="53">
        <v>24</v>
      </c>
      <c r="B30" s="48" t="s">
        <v>74</v>
      </c>
      <c r="C30" s="49">
        <v>430224.64269430243</v>
      </c>
      <c r="D30" s="49">
        <v>450165.38890984538</v>
      </c>
      <c r="E30" s="49">
        <v>442581.59965815209</v>
      </c>
      <c r="F30" s="49">
        <v>355085.16518541932</v>
      </c>
      <c r="G30" s="49">
        <v>287675.14634419407</v>
      </c>
      <c r="H30" s="49">
        <v>349416.0307915078</v>
      </c>
      <c r="I30" s="49">
        <v>422658.8126856733</v>
      </c>
      <c r="J30" s="49">
        <v>433096.12611311226</v>
      </c>
      <c r="K30" s="49">
        <v>471085.91160810937</v>
      </c>
      <c r="L30" s="49">
        <v>318634.88591530873</v>
      </c>
      <c r="M30" s="49">
        <v>334717.38807924028</v>
      </c>
      <c r="N30" s="49">
        <v>427816.10865225695</v>
      </c>
      <c r="O30" s="49">
        <f t="shared" si="0"/>
        <v>4723157.2066371217</v>
      </c>
      <c r="P30" s="49"/>
      <c r="Q30" s="49"/>
    </row>
    <row r="31" spans="1:17">
      <c r="A31" s="48" t="s">
        <v>61</v>
      </c>
      <c r="B31" s="48" t="s">
        <v>74</v>
      </c>
      <c r="C31" s="49">
        <v>50156801.30624678</v>
      </c>
      <c r="D31" s="49">
        <v>48811197.888490155</v>
      </c>
      <c r="E31" s="49">
        <v>50252619.307590045</v>
      </c>
      <c r="F31" s="49">
        <v>45371779.270633124</v>
      </c>
      <c r="G31" s="49">
        <v>40743346.576515347</v>
      </c>
      <c r="H31" s="49">
        <v>48286391.297829196</v>
      </c>
      <c r="I31" s="49">
        <v>52695884.213712312</v>
      </c>
      <c r="J31" s="49">
        <v>53027577.914027594</v>
      </c>
      <c r="K31" s="49">
        <v>55403700.729452208</v>
      </c>
      <c r="L31" s="49">
        <v>45678790.393541254</v>
      </c>
      <c r="M31" s="49">
        <v>42993751.094119743</v>
      </c>
      <c r="N31" s="49">
        <v>49798105.808065169</v>
      </c>
      <c r="O31" s="49">
        <f t="shared" si="0"/>
        <v>583219945.80022287</v>
      </c>
      <c r="P31" s="49"/>
      <c r="Q31" s="49"/>
    </row>
    <row r="32" spans="1:17">
      <c r="A32" s="48" t="s">
        <v>64</v>
      </c>
      <c r="B32" s="48" t="s">
        <v>74</v>
      </c>
      <c r="C32" s="49">
        <v>30164935.637004808</v>
      </c>
      <c r="D32" s="49">
        <v>29105670.783148825</v>
      </c>
      <c r="E32" s="49">
        <v>30432691.112189032</v>
      </c>
      <c r="F32" s="49">
        <v>27372911.215683967</v>
      </c>
      <c r="G32" s="49">
        <v>24304880.209363554</v>
      </c>
      <c r="H32" s="49">
        <v>28000199.990796588</v>
      </c>
      <c r="I32" s="49">
        <v>30535764.973109163</v>
      </c>
      <c r="J32" s="49">
        <v>30370010.92699986</v>
      </c>
      <c r="K32" s="49">
        <v>32253152.627176285</v>
      </c>
      <c r="L32" s="49">
        <v>26355973.401632179</v>
      </c>
      <c r="M32" s="49">
        <v>25296253.912972845</v>
      </c>
      <c r="N32" s="49">
        <v>29510785.591851056</v>
      </c>
      <c r="O32" s="49">
        <f t="shared" si="0"/>
        <v>343703230.38192821</v>
      </c>
      <c r="P32" s="49"/>
      <c r="Q32" s="49"/>
    </row>
    <row r="33" spans="1:17">
      <c r="A33" s="48" t="s">
        <v>75</v>
      </c>
      <c r="B33" s="48" t="s">
        <v>74</v>
      </c>
      <c r="C33" s="49">
        <v>791251.1080001595</v>
      </c>
      <c r="D33" s="49">
        <v>727173.36727081379</v>
      </c>
      <c r="E33" s="49">
        <v>843573.4538588241</v>
      </c>
      <c r="F33" s="49">
        <v>940143.58761834784</v>
      </c>
      <c r="G33" s="49">
        <v>897969.41228907474</v>
      </c>
      <c r="H33" s="49">
        <v>988445.28799292841</v>
      </c>
      <c r="I33" s="49">
        <v>1094209.2946422826</v>
      </c>
      <c r="J33" s="49">
        <v>1068083.4177797635</v>
      </c>
      <c r="K33" s="49">
        <v>1227726.2476473819</v>
      </c>
      <c r="L33" s="49">
        <v>1017647.9524289288</v>
      </c>
      <c r="M33" s="49">
        <v>1002851.9166318499</v>
      </c>
      <c r="N33" s="49">
        <v>1061441.089274788</v>
      </c>
      <c r="O33" s="49">
        <f t="shared" si="0"/>
        <v>11660516.135435143</v>
      </c>
      <c r="P33" s="49"/>
      <c r="Q33" s="49"/>
    </row>
    <row r="34" spans="1:17">
      <c r="A34" s="48" t="s">
        <v>65</v>
      </c>
      <c r="B34" s="48" t="s">
        <v>74</v>
      </c>
      <c r="C34" s="49">
        <v>49236543.208395377</v>
      </c>
      <c r="D34" s="49">
        <v>49683885.030533589</v>
      </c>
      <c r="E34" s="49">
        <v>53620977.371668145</v>
      </c>
      <c r="F34" s="49">
        <v>53222804.692001484</v>
      </c>
      <c r="G34" s="49">
        <v>49107026.070648573</v>
      </c>
      <c r="H34" s="49">
        <v>55338987.587650873</v>
      </c>
      <c r="I34" s="49">
        <v>56908033.580947667</v>
      </c>
      <c r="J34" s="49">
        <v>59367345.384021699</v>
      </c>
      <c r="K34" s="49">
        <v>61789352.789439902</v>
      </c>
      <c r="L34" s="49">
        <v>53504890.926089942</v>
      </c>
      <c r="M34" s="49">
        <v>50853727.622002214</v>
      </c>
      <c r="N34" s="49">
        <v>54172128.834905535</v>
      </c>
      <c r="O34" s="49">
        <f t="shared" si="0"/>
        <v>646805703.09830511</v>
      </c>
      <c r="P34" s="49"/>
      <c r="Q34" s="49"/>
    </row>
    <row r="35" spans="1:17">
      <c r="A35" s="48" t="s">
        <v>76</v>
      </c>
      <c r="B35" s="48" t="s">
        <v>74</v>
      </c>
      <c r="C35" s="49">
        <v>22635488.060988247</v>
      </c>
      <c r="D35" s="49">
        <v>35925372.114383191</v>
      </c>
      <c r="E35" s="49">
        <v>35975102.176910438</v>
      </c>
      <c r="F35" s="49">
        <v>20538339.288893126</v>
      </c>
      <c r="G35" s="49">
        <v>35364083.358186491</v>
      </c>
      <c r="H35" s="49">
        <v>32212062.99043994</v>
      </c>
      <c r="I35" s="49">
        <v>35356662.177979901</v>
      </c>
      <c r="J35" s="49">
        <v>35557697.008719206</v>
      </c>
      <c r="K35" s="49">
        <v>43686216.908716805</v>
      </c>
      <c r="L35" s="49">
        <v>31523535.772986874</v>
      </c>
      <c r="M35" s="49">
        <v>38455908.216257311</v>
      </c>
      <c r="N35" s="49">
        <v>23011319.269164994</v>
      </c>
      <c r="O35" s="49">
        <f t="shared" si="0"/>
        <v>390241787.34362656</v>
      </c>
      <c r="Q35" s="49"/>
    </row>
    <row r="36" spans="1:17">
      <c r="A36" s="48" t="s">
        <v>77</v>
      </c>
      <c r="B36" s="48" t="s">
        <v>58</v>
      </c>
      <c r="C36" s="49">
        <v>5308788.7556287441</v>
      </c>
      <c r="D36" s="49">
        <v>4467152.8162238784</v>
      </c>
      <c r="E36" s="49">
        <v>4431173.2844832186</v>
      </c>
      <c r="F36" s="49">
        <v>3777790.4986238992</v>
      </c>
      <c r="G36" s="49">
        <v>3432871.833944995</v>
      </c>
      <c r="H36" s="49">
        <v>3090197.7871330027</v>
      </c>
      <c r="I36" s="49">
        <v>3332075.9889460527</v>
      </c>
      <c r="J36" s="49">
        <v>3701939.8702602386</v>
      </c>
      <c r="K36" s="49">
        <v>4087764.3683743114</v>
      </c>
      <c r="L36" s="49">
        <v>4745852.7659726711</v>
      </c>
      <c r="M36" s="49">
        <v>5047429.3964139279</v>
      </c>
      <c r="N36" s="49">
        <v>5428388.133995058</v>
      </c>
      <c r="O36" s="49">
        <f t="shared" si="0"/>
        <v>50851425.500000007</v>
      </c>
      <c r="Q36" s="49"/>
    </row>
    <row r="37" spans="1:17" ht="14">
      <c r="A37" s="48" t="s">
        <v>78</v>
      </c>
      <c r="B37" s="48" t="s">
        <v>58</v>
      </c>
      <c r="C37" s="54">
        <v>6269449.5132596204</v>
      </c>
      <c r="D37" s="54">
        <v>5247220.1208460387</v>
      </c>
      <c r="E37" s="54">
        <v>5207183.5942487735</v>
      </c>
      <c r="F37" s="54">
        <v>4438671.9330307757</v>
      </c>
      <c r="G37" s="54">
        <v>4059038.3282036339</v>
      </c>
      <c r="H37" s="54">
        <v>3667879.5013259244</v>
      </c>
      <c r="I37" s="54">
        <v>3936728.7224164968</v>
      </c>
      <c r="J37" s="54">
        <v>4387840.4323533243</v>
      </c>
      <c r="K37" s="54">
        <v>4825737.2735531759</v>
      </c>
      <c r="L37" s="54">
        <v>5603021.4418559894</v>
      </c>
      <c r="M37" s="54">
        <v>5952087.4066435806</v>
      </c>
      <c r="N37" s="54">
        <v>6422348.8822626593</v>
      </c>
      <c r="O37" s="54">
        <f t="shared" si="0"/>
        <v>60017207.149999991</v>
      </c>
      <c r="Q37" s="49"/>
    </row>
    <row r="38" spans="1:17">
      <c r="C38" s="49">
        <f t="shared" ref="C38:O38" si="1">SUM(C9:C37)</f>
        <v>1961438497.3604846</v>
      </c>
      <c r="D38" s="49">
        <f t="shared" si="1"/>
        <v>1926296742.9899578</v>
      </c>
      <c r="E38" s="49">
        <f t="shared" si="1"/>
        <v>1797950883.3166411</v>
      </c>
      <c r="F38" s="49">
        <f t="shared" si="1"/>
        <v>1684049747.7713492</v>
      </c>
      <c r="G38" s="49">
        <f t="shared" si="1"/>
        <v>1577974821.1021974</v>
      </c>
      <c r="H38" s="49">
        <f t="shared" si="1"/>
        <v>1902827068.3977017</v>
      </c>
      <c r="I38" s="49">
        <f t="shared" si="1"/>
        <v>2120356155.0824821</v>
      </c>
      <c r="J38" s="49">
        <f t="shared" si="1"/>
        <v>2146112920.051441</v>
      </c>
      <c r="K38" s="49">
        <f t="shared" si="1"/>
        <v>2230119377.3420415</v>
      </c>
      <c r="L38" s="49">
        <f t="shared" si="1"/>
        <v>1746377578.1531196</v>
      </c>
      <c r="M38" s="49">
        <f t="shared" si="1"/>
        <v>1736671943.9197702</v>
      </c>
      <c r="N38" s="49">
        <f t="shared" si="1"/>
        <v>1821391322.4478135</v>
      </c>
      <c r="O38" s="49">
        <f t="shared" si="1"/>
        <v>22651567057.935005</v>
      </c>
      <c r="Q38" s="55"/>
    </row>
    <row r="39" spans="1:17">
      <c r="C39" s="49"/>
      <c r="D39" s="49"/>
      <c r="E39" s="49"/>
      <c r="F39" s="49"/>
      <c r="G39" s="49"/>
      <c r="H39" s="49"/>
      <c r="I39" s="49"/>
      <c r="J39" s="49"/>
      <c r="K39" s="49"/>
      <c r="L39" s="49"/>
      <c r="M39" s="49"/>
      <c r="N39" s="49"/>
      <c r="O39" s="49"/>
    </row>
    <row r="40" spans="1:17">
      <c r="C40" s="49"/>
      <c r="D40" s="49"/>
      <c r="E40" s="56"/>
      <c r="F40" s="49"/>
      <c r="G40" s="49"/>
      <c r="H40" s="49"/>
      <c r="I40" s="49"/>
      <c r="J40" s="49"/>
      <c r="K40" s="49"/>
      <c r="L40" s="49"/>
      <c r="M40" s="49"/>
      <c r="N40" s="49"/>
      <c r="O40" s="49"/>
    </row>
    <row r="41" spans="1:17" ht="13">
      <c r="A41" s="52" t="s">
        <v>79</v>
      </c>
      <c r="B41" s="50"/>
      <c r="C41" s="51"/>
      <c r="D41" s="51"/>
      <c r="E41" s="51"/>
      <c r="F41" s="51"/>
      <c r="G41" s="51"/>
      <c r="H41" s="51"/>
      <c r="I41" s="51"/>
      <c r="J41" s="51"/>
      <c r="K41" s="51"/>
      <c r="L41" s="51"/>
      <c r="M41" s="51"/>
      <c r="N41" s="51"/>
      <c r="O41" s="51"/>
    </row>
    <row r="42" spans="1:17">
      <c r="A42" s="48" t="s">
        <v>57</v>
      </c>
      <c r="B42" s="48" t="s">
        <v>58</v>
      </c>
      <c r="C42" s="49">
        <v>1013495.6832744199</v>
      </c>
      <c r="D42" s="49">
        <v>1012735.3218939495</v>
      </c>
      <c r="E42" s="49">
        <v>1013571.0913441966</v>
      </c>
      <c r="F42" s="49">
        <v>1017962.3353334798</v>
      </c>
      <c r="G42" s="49">
        <v>1015472.0446420603</v>
      </c>
      <c r="H42" s="49">
        <v>1017370.0669546628</v>
      </c>
      <c r="I42" s="49">
        <v>1016884.5801511209</v>
      </c>
      <c r="J42" s="49">
        <v>1011234.039341373</v>
      </c>
      <c r="K42" s="49">
        <v>1020332.754709326</v>
      </c>
      <c r="L42" s="49">
        <v>998410.95888572058</v>
      </c>
      <c r="M42" s="49">
        <v>1038357.9451991274</v>
      </c>
      <c r="N42" s="49">
        <v>1017468.0456048172</v>
      </c>
      <c r="O42" s="49">
        <f>SUM(C42:N42)</f>
        <v>12193294.867334256</v>
      </c>
      <c r="P42" s="49"/>
      <c r="Q42" s="49"/>
    </row>
    <row r="43" spans="1:17">
      <c r="A43" s="48" t="s">
        <v>59</v>
      </c>
      <c r="B43" s="48" t="s">
        <v>58</v>
      </c>
      <c r="C43" s="49">
        <v>122106.4653973456</v>
      </c>
      <c r="D43" s="49">
        <v>123581.80413412166</v>
      </c>
      <c r="E43" s="49">
        <v>124619.8175849495</v>
      </c>
      <c r="F43" s="49">
        <v>122742.91152831118</v>
      </c>
      <c r="G43" s="49">
        <v>124246.4833732351</v>
      </c>
      <c r="H43" s="49">
        <v>124676.27387399196</v>
      </c>
      <c r="I43" s="49">
        <v>124688.26599587753</v>
      </c>
      <c r="J43" s="49">
        <v>124895.03082587162</v>
      </c>
      <c r="K43" s="49">
        <v>125352.488581343</v>
      </c>
      <c r="L43" s="49">
        <v>123891.19690786835</v>
      </c>
      <c r="M43" s="49">
        <v>126407.95414332551</v>
      </c>
      <c r="N43" s="49">
        <v>124588.64600984957</v>
      </c>
      <c r="O43" s="49">
        <f t="shared" ref="O43:O70" si="2">SUM(C43:N43)</f>
        <v>1491797.3383560907</v>
      </c>
      <c r="P43" s="49"/>
      <c r="Q43" s="49"/>
    </row>
    <row r="44" spans="1:17">
      <c r="A44" s="48" t="s">
        <v>0</v>
      </c>
      <c r="B44" s="48" t="s">
        <v>58</v>
      </c>
      <c r="C44" s="49">
        <v>89058.015768889934</v>
      </c>
      <c r="D44" s="49">
        <v>88938.501788158406</v>
      </c>
      <c r="E44" s="49">
        <v>88837.971257774159</v>
      </c>
      <c r="F44" s="49">
        <v>89354.303160680953</v>
      </c>
      <c r="G44" s="49">
        <v>89018.822521350463</v>
      </c>
      <c r="H44" s="49">
        <v>88869.138414174158</v>
      </c>
      <c r="I44" s="49">
        <v>88707.589650530776</v>
      </c>
      <c r="J44" s="49">
        <v>88208.396692554117</v>
      </c>
      <c r="K44" s="49">
        <v>88773.722647460148</v>
      </c>
      <c r="L44" s="49">
        <v>86445.18909795591</v>
      </c>
      <c r="M44" s="49">
        <v>90890.347450283181</v>
      </c>
      <c r="N44" s="49">
        <v>88625.663699110824</v>
      </c>
      <c r="O44" s="49">
        <f t="shared" si="2"/>
        <v>1065727.6621489229</v>
      </c>
      <c r="P44" s="49"/>
      <c r="Q44" s="49"/>
    </row>
    <row r="45" spans="1:17">
      <c r="A45" s="48" t="s">
        <v>60</v>
      </c>
      <c r="B45" s="48" t="s">
        <v>58</v>
      </c>
      <c r="C45" s="49">
        <v>11790.242844687051</v>
      </c>
      <c r="D45" s="49">
        <v>12076.497403383466</v>
      </c>
      <c r="E45" s="49">
        <v>12222.278603504235</v>
      </c>
      <c r="F45" s="49">
        <v>11957.562814938832</v>
      </c>
      <c r="G45" s="49">
        <v>12046.44354382388</v>
      </c>
      <c r="H45" s="49">
        <v>12197.758015053474</v>
      </c>
      <c r="I45" s="49">
        <v>12205.463607412425</v>
      </c>
      <c r="J45" s="49">
        <v>12242.024183924053</v>
      </c>
      <c r="K45" s="49">
        <v>12304.826811009189</v>
      </c>
      <c r="L45" s="49">
        <v>12070.318583978613</v>
      </c>
      <c r="M45" s="49">
        <v>12301.92696707623</v>
      </c>
      <c r="N45" s="49">
        <v>12204.859046309795</v>
      </c>
      <c r="O45" s="49">
        <f t="shared" si="2"/>
        <v>145620.20242510125</v>
      </c>
      <c r="P45" s="49"/>
      <c r="Q45" s="49"/>
    </row>
    <row r="46" spans="1:17">
      <c r="A46" s="48" t="s">
        <v>61</v>
      </c>
      <c r="B46" s="48" t="s">
        <v>62</v>
      </c>
      <c r="C46" s="49">
        <v>103989.92608657278</v>
      </c>
      <c r="D46" s="49">
        <v>103669.60859175108</v>
      </c>
      <c r="E46" s="49">
        <v>104558.44046246028</v>
      </c>
      <c r="F46" s="49">
        <v>104475.64111014272</v>
      </c>
      <c r="G46" s="49">
        <v>103746.54315891967</v>
      </c>
      <c r="H46" s="49">
        <v>104456.29449539649</v>
      </c>
      <c r="I46" s="49">
        <v>103625.30139768014</v>
      </c>
      <c r="J46" s="49">
        <v>103509.98308670075</v>
      </c>
      <c r="K46" s="49">
        <v>104013.28772793786</v>
      </c>
      <c r="L46" s="49">
        <v>104031.78502368819</v>
      </c>
      <c r="M46" s="49">
        <v>104329.69219430508</v>
      </c>
      <c r="N46" s="49">
        <v>103550.87209144131</v>
      </c>
      <c r="O46" s="49">
        <f t="shared" si="2"/>
        <v>1247957.3754269965</v>
      </c>
      <c r="P46" s="49"/>
      <c r="Q46" s="49"/>
    </row>
    <row r="47" spans="1:17">
      <c r="A47" s="48" t="s">
        <v>63</v>
      </c>
      <c r="B47" s="48" t="s">
        <v>62</v>
      </c>
      <c r="C47" s="49">
        <v>2671.6900491932256</v>
      </c>
      <c r="D47" s="49">
        <v>2632.768019646629</v>
      </c>
      <c r="E47" s="49">
        <v>2673.0523202273566</v>
      </c>
      <c r="F47" s="49">
        <v>2651.9524831573594</v>
      </c>
      <c r="G47" s="49">
        <v>2640.962131130123</v>
      </c>
      <c r="H47" s="49">
        <v>2648.2344050717238</v>
      </c>
      <c r="I47" s="49">
        <v>2642.534376271019</v>
      </c>
      <c r="J47" s="49">
        <v>2611.8730353637193</v>
      </c>
      <c r="K47" s="49">
        <v>2690.2292264246307</v>
      </c>
      <c r="L47" s="49">
        <v>2649.2586690071607</v>
      </c>
      <c r="M47" s="49">
        <v>2647.7222731040056</v>
      </c>
      <c r="N47" s="49">
        <v>2601.9018259522427</v>
      </c>
      <c r="O47" s="49">
        <f t="shared" si="2"/>
        <v>31762.178814549196</v>
      </c>
      <c r="P47" s="49"/>
      <c r="Q47" s="49"/>
    </row>
    <row r="48" spans="1:17">
      <c r="A48" s="48" t="s">
        <v>64</v>
      </c>
      <c r="B48" s="48" t="s">
        <v>62</v>
      </c>
      <c r="C48" s="49">
        <v>3049.5335116306201</v>
      </c>
      <c r="D48" s="49">
        <v>3040.7447431493993</v>
      </c>
      <c r="E48" s="49">
        <v>3061.7087796819883</v>
      </c>
      <c r="F48" s="49">
        <v>2951.6119579657479</v>
      </c>
      <c r="G48" s="49">
        <v>3010.4870271205059</v>
      </c>
      <c r="H48" s="49">
        <v>3048.1495848474951</v>
      </c>
      <c r="I48" s="49">
        <v>3115.9923690253054</v>
      </c>
      <c r="J48" s="49">
        <v>3045.7122674394186</v>
      </c>
      <c r="K48" s="49">
        <v>3085.0221315520434</v>
      </c>
      <c r="L48" s="49">
        <v>3079.1153392675737</v>
      </c>
      <c r="M48" s="49">
        <v>3098.1876738653787</v>
      </c>
      <c r="N48" s="49">
        <v>3074.4781322052836</v>
      </c>
      <c r="O48" s="49">
        <f t="shared" si="2"/>
        <v>36660.743517750758</v>
      </c>
      <c r="P48" s="49"/>
      <c r="Q48" s="49"/>
    </row>
    <row r="49" spans="1:17">
      <c r="A49" s="48" t="s">
        <v>65</v>
      </c>
      <c r="B49" s="48" t="s">
        <v>62</v>
      </c>
      <c r="C49" s="49">
        <v>473.25792282838921</v>
      </c>
      <c r="D49" s="49">
        <v>470.16101201259113</v>
      </c>
      <c r="E49" s="49">
        <v>469.50166970987289</v>
      </c>
      <c r="F49" s="49">
        <v>457.04409620245298</v>
      </c>
      <c r="G49" s="49">
        <v>440.83026957651674</v>
      </c>
      <c r="H49" s="49">
        <v>480.12107679759328</v>
      </c>
      <c r="I49" s="49">
        <v>461.73941260059837</v>
      </c>
      <c r="J49" s="49">
        <v>455.81532191102343</v>
      </c>
      <c r="K49" s="49">
        <v>473.09808227015441</v>
      </c>
      <c r="L49" s="49">
        <v>466.10505784738467</v>
      </c>
      <c r="M49" s="49">
        <v>463.53761888073922</v>
      </c>
      <c r="N49" s="49">
        <v>458.47267119167594</v>
      </c>
      <c r="O49" s="49">
        <f t="shared" si="2"/>
        <v>5569.6842118289924</v>
      </c>
      <c r="P49" s="49"/>
      <c r="Q49" s="49"/>
    </row>
    <row r="50" spans="1:17">
      <c r="A50" s="48" t="s">
        <v>66</v>
      </c>
      <c r="B50" s="48" t="s">
        <v>62</v>
      </c>
      <c r="C50" s="49">
        <v>1.0000033142831573</v>
      </c>
      <c r="D50" s="49">
        <v>1.0000033142831573</v>
      </c>
      <c r="E50" s="49">
        <v>1.0000033142831573</v>
      </c>
      <c r="F50" s="49">
        <v>1.0000033142831573</v>
      </c>
      <c r="G50" s="49">
        <v>1.0000033142831573</v>
      </c>
      <c r="H50" s="49">
        <v>1.0000033142831573</v>
      </c>
      <c r="I50" s="49">
        <v>1.0000033142831573</v>
      </c>
      <c r="J50" s="49">
        <v>1.0000033142831573</v>
      </c>
      <c r="K50" s="49">
        <v>1.0000033142831573</v>
      </c>
      <c r="L50" s="49">
        <v>1.0000033142831573</v>
      </c>
      <c r="M50" s="49">
        <v>1.0000033142831573</v>
      </c>
      <c r="N50" s="49">
        <v>1.0000033142831573</v>
      </c>
      <c r="O50" s="49">
        <f t="shared" si="2"/>
        <v>12.000039771397887</v>
      </c>
      <c r="P50" s="49"/>
      <c r="Q50" s="49"/>
    </row>
    <row r="51" spans="1:17">
      <c r="A51" s="48" t="s">
        <v>61</v>
      </c>
      <c r="B51" s="48" t="s">
        <v>67</v>
      </c>
      <c r="C51" s="49">
        <v>7618.9124133994101</v>
      </c>
      <c r="D51" s="49">
        <v>7649.6131419945968</v>
      </c>
      <c r="E51" s="49">
        <v>7688.8018559166549</v>
      </c>
      <c r="F51" s="49">
        <v>7665.0197524507457</v>
      </c>
      <c r="G51" s="49">
        <v>7655.1025451033665</v>
      </c>
      <c r="H51" s="49">
        <v>7597.1541432247122</v>
      </c>
      <c r="I51" s="49">
        <v>7642.3807518532103</v>
      </c>
      <c r="J51" s="49">
        <v>7680.6036934659769</v>
      </c>
      <c r="K51" s="49">
        <v>7617.468975511003</v>
      </c>
      <c r="L51" s="49">
        <v>7607.9609928214359</v>
      </c>
      <c r="M51" s="49">
        <v>7652.5179012087356</v>
      </c>
      <c r="N51" s="49">
        <v>7704.8737153761476</v>
      </c>
      <c r="O51" s="49">
        <f t="shared" si="2"/>
        <v>91780.409882325999</v>
      </c>
      <c r="P51" s="49"/>
      <c r="Q51" s="49"/>
    </row>
    <row r="52" spans="1:17">
      <c r="A52" s="48" t="s">
        <v>68</v>
      </c>
      <c r="B52" s="48" t="s">
        <v>67</v>
      </c>
      <c r="C52" s="49">
        <v>11.20116729946966</v>
      </c>
      <c r="D52" s="49">
        <v>11.20116729946966</v>
      </c>
      <c r="E52" s="49">
        <v>12.219455235785084</v>
      </c>
      <c r="F52" s="49">
        <v>12.219455235785084</v>
      </c>
      <c r="G52" s="49">
        <v>11.20116729946966</v>
      </c>
      <c r="H52" s="49">
        <v>13.237743172100506</v>
      </c>
      <c r="I52" s="49">
        <v>11.20116729946966</v>
      </c>
      <c r="J52" s="49">
        <v>12.219455235785084</v>
      </c>
      <c r="K52" s="49">
        <v>12.219455235785084</v>
      </c>
      <c r="L52" s="49">
        <v>13.237743172100506</v>
      </c>
      <c r="M52" s="49">
        <v>5.0914396815771177</v>
      </c>
      <c r="N52" s="49">
        <v>19.347470789993046</v>
      </c>
      <c r="O52" s="49">
        <f t="shared" si="2"/>
        <v>144.59688695679017</v>
      </c>
      <c r="P52" s="49"/>
      <c r="Q52" s="49"/>
    </row>
    <row r="53" spans="1:17">
      <c r="A53" s="48" t="s">
        <v>64</v>
      </c>
      <c r="B53" s="48" t="s">
        <v>67</v>
      </c>
      <c r="C53" s="49">
        <v>497.74747635200742</v>
      </c>
      <c r="D53" s="49">
        <v>473.98424767346876</v>
      </c>
      <c r="E53" s="49">
        <v>498.82307485254955</v>
      </c>
      <c r="F53" s="49">
        <v>478.32178044718444</v>
      </c>
      <c r="G53" s="49">
        <v>487.64871720191462</v>
      </c>
      <c r="H53" s="49">
        <v>488.83495057378934</v>
      </c>
      <c r="I53" s="49">
        <v>496.89937261215999</v>
      </c>
      <c r="J53" s="49">
        <v>486.50435861070235</v>
      </c>
      <c r="K53" s="49">
        <v>485.61404089731474</v>
      </c>
      <c r="L53" s="49">
        <v>489.8947492684552</v>
      </c>
      <c r="M53" s="49">
        <v>480.6186266404348</v>
      </c>
      <c r="N53" s="49">
        <v>509.67780691203291</v>
      </c>
      <c r="O53" s="49">
        <f t="shared" si="2"/>
        <v>5874.5692020420138</v>
      </c>
      <c r="P53" s="49"/>
      <c r="Q53" s="49"/>
    </row>
    <row r="54" spans="1:17">
      <c r="A54" s="48" t="s">
        <v>69</v>
      </c>
      <c r="B54" s="48" t="s">
        <v>67</v>
      </c>
      <c r="C54" s="49">
        <v>86.160443521699108</v>
      </c>
      <c r="D54" s="49">
        <v>82.59007090176263</v>
      </c>
      <c r="E54" s="49">
        <v>88.860562048364756</v>
      </c>
      <c r="F54" s="49">
        <v>84.900251850510784</v>
      </c>
      <c r="G54" s="49">
        <v>83.51685147764762</v>
      </c>
      <c r="H54" s="49">
        <v>84.836954876932268</v>
      </c>
      <c r="I54" s="49">
        <v>85.823647180913611</v>
      </c>
      <c r="J54" s="49">
        <v>85.563688795635272</v>
      </c>
      <c r="K54" s="49">
        <v>85.497006576574606</v>
      </c>
      <c r="L54" s="49">
        <v>84.803613767401927</v>
      </c>
      <c r="M54" s="49">
        <v>81.870107474023968</v>
      </c>
      <c r="N54" s="49">
        <v>83.51685147764762</v>
      </c>
      <c r="O54" s="49">
        <f t="shared" si="2"/>
        <v>1017.9400499491139</v>
      </c>
      <c r="P54" s="49"/>
      <c r="Q54" s="49"/>
    </row>
    <row r="55" spans="1:17">
      <c r="A55" s="48" t="s">
        <v>70</v>
      </c>
      <c r="B55" s="48" t="s">
        <v>67</v>
      </c>
      <c r="C55" s="49">
        <v>40.14727606185766</v>
      </c>
      <c r="D55" s="49">
        <v>41.840833612854141</v>
      </c>
      <c r="E55" s="49">
        <v>40.844623288738568</v>
      </c>
      <c r="F55" s="49">
        <v>40.844623288738568</v>
      </c>
      <c r="G55" s="49">
        <v>40.844623288738568</v>
      </c>
      <c r="H55" s="49">
        <v>40.844623288738568</v>
      </c>
      <c r="I55" s="49">
        <v>40.844623288738568</v>
      </c>
      <c r="J55" s="49">
        <v>40.844623288738568</v>
      </c>
      <c r="K55" s="49">
        <v>40.844623288738568</v>
      </c>
      <c r="L55" s="49">
        <v>39.848412964622987</v>
      </c>
      <c r="M55" s="49">
        <v>41.840833612854141</v>
      </c>
      <c r="N55" s="49">
        <v>38.852202640507414</v>
      </c>
      <c r="O55" s="49">
        <f t="shared" si="2"/>
        <v>488.44192191386634</v>
      </c>
      <c r="P55" s="49"/>
      <c r="Q55" s="49"/>
    </row>
    <row r="56" spans="1:17">
      <c r="A56" s="48" t="s">
        <v>61</v>
      </c>
      <c r="B56" s="48" t="s">
        <v>71</v>
      </c>
      <c r="C56" s="49">
        <v>45539.058334650574</v>
      </c>
      <c r="D56" s="49">
        <v>45620.355688423813</v>
      </c>
      <c r="E56" s="49">
        <v>45446.443726659898</v>
      </c>
      <c r="F56" s="49">
        <v>45535.370439490092</v>
      </c>
      <c r="G56" s="49">
        <v>46559.978184045605</v>
      </c>
      <c r="H56" s="49">
        <v>46443.483851580808</v>
      </c>
      <c r="I56" s="49">
        <v>45655.927171456642</v>
      </c>
      <c r="J56" s="49">
        <v>45570.943818360349</v>
      </c>
      <c r="K56" s="49">
        <v>45886.241333270809</v>
      </c>
      <c r="L56" s="49">
        <v>42656.383224647747</v>
      </c>
      <c r="M56" s="49">
        <v>48588.036627602356</v>
      </c>
      <c r="N56" s="49">
        <v>45345.688823965989</v>
      </c>
      <c r="O56" s="49">
        <f t="shared" si="2"/>
        <v>548847.91122415464</v>
      </c>
      <c r="P56" s="49"/>
      <c r="Q56" s="49"/>
    </row>
    <row r="57" spans="1:17">
      <c r="A57" s="48" t="s">
        <v>72</v>
      </c>
      <c r="B57" s="48" t="s">
        <v>71</v>
      </c>
      <c r="C57" s="49">
        <v>1800.7189979041884</v>
      </c>
      <c r="D57" s="49">
        <v>1802.7232820181246</v>
      </c>
      <c r="E57" s="49">
        <v>1810.1691975013973</v>
      </c>
      <c r="F57" s="49">
        <v>1814.9794793748442</v>
      </c>
      <c r="G57" s="49">
        <v>1819.0882618084129</v>
      </c>
      <c r="H57" s="49">
        <v>1816.7833350773865</v>
      </c>
      <c r="I57" s="49">
        <v>1816.3524139928902</v>
      </c>
      <c r="J57" s="49">
        <v>1820.1906180710778</v>
      </c>
      <c r="K57" s="49">
        <v>1833.8498143075524</v>
      </c>
      <c r="L57" s="49">
        <v>1784.8150034601056</v>
      </c>
      <c r="M57" s="49">
        <v>1873.0435901555732</v>
      </c>
      <c r="N57" s="49">
        <v>1828.0774760594165</v>
      </c>
      <c r="O57" s="49">
        <f t="shared" si="2"/>
        <v>21820.791469730968</v>
      </c>
      <c r="P57" s="49"/>
      <c r="Q57" s="49"/>
    </row>
    <row r="58" spans="1:17">
      <c r="A58" s="48" t="s">
        <v>64</v>
      </c>
      <c r="B58" s="48" t="s">
        <v>71</v>
      </c>
      <c r="C58" s="49">
        <v>485.12007941930125</v>
      </c>
      <c r="D58" s="49">
        <v>473.18812161272842</v>
      </c>
      <c r="E58" s="49">
        <v>485.19048434032902</v>
      </c>
      <c r="F58" s="49">
        <v>464.70935755180597</v>
      </c>
      <c r="G58" s="49">
        <v>486.12586400541306</v>
      </c>
      <c r="H58" s="49">
        <v>477.74767840310182</v>
      </c>
      <c r="I58" s="49">
        <v>482.74307518079041</v>
      </c>
      <c r="J58" s="49">
        <v>474.41517880778474</v>
      </c>
      <c r="K58" s="49">
        <v>485.08990588171793</v>
      </c>
      <c r="L58" s="49">
        <v>484.02042160515242</v>
      </c>
      <c r="M58" s="49">
        <v>465.91629905514014</v>
      </c>
      <c r="N58" s="49">
        <v>477.91530916745381</v>
      </c>
      <c r="O58" s="49">
        <f t="shared" si="2"/>
        <v>5742.1817750307191</v>
      </c>
      <c r="P58" s="49"/>
      <c r="Q58" s="49"/>
    </row>
    <row r="59" spans="1:17">
      <c r="A59" s="48" t="s">
        <v>65</v>
      </c>
      <c r="B59" s="48" t="s">
        <v>71</v>
      </c>
      <c r="C59" s="49">
        <v>97.101553744028053</v>
      </c>
      <c r="D59" s="49">
        <v>91.219833401571265</v>
      </c>
      <c r="E59" s="49">
        <v>101.15229786688387</v>
      </c>
      <c r="F59" s="49">
        <v>90.053458350609503</v>
      </c>
      <c r="G59" s="49">
        <v>93.442924310669355</v>
      </c>
      <c r="H59" s="49">
        <v>94.705666531083793</v>
      </c>
      <c r="I59" s="49">
        <v>95.370267699722987</v>
      </c>
      <c r="J59" s="49">
        <v>102.68088055475401</v>
      </c>
      <c r="K59" s="49">
        <v>97.364071205640542</v>
      </c>
      <c r="L59" s="49">
        <v>96.699470037001348</v>
      </c>
      <c r="M59" s="49">
        <v>89.056556597650726</v>
      </c>
      <c r="N59" s="49">
        <v>109.99149340978504</v>
      </c>
      <c r="O59" s="49">
        <f t="shared" si="2"/>
        <v>1158.8384737094007</v>
      </c>
      <c r="P59" s="49"/>
      <c r="Q59" s="49"/>
    </row>
    <row r="60" spans="1:17">
      <c r="A60" s="48" t="s">
        <v>73</v>
      </c>
      <c r="B60" s="48" t="s">
        <v>71</v>
      </c>
      <c r="C60" s="49">
        <v>26.907644766548259</v>
      </c>
      <c r="D60" s="49">
        <v>26.907644766548259</v>
      </c>
      <c r="E60" s="49">
        <v>26.907644766548259</v>
      </c>
      <c r="F60" s="49">
        <v>26.907644766548259</v>
      </c>
      <c r="G60" s="49">
        <v>27.03720009320201</v>
      </c>
      <c r="H60" s="49">
        <v>25.911065330750176</v>
      </c>
      <c r="I60" s="49">
        <v>24.914485894952094</v>
      </c>
      <c r="J60" s="49">
        <v>27.13685803678182</v>
      </c>
      <c r="K60" s="49">
        <v>25.681852060516619</v>
      </c>
      <c r="L60" s="49">
        <v>24.88458851187815</v>
      </c>
      <c r="M60" s="49">
        <v>26.937542149622203</v>
      </c>
      <c r="N60" s="49">
        <v>25.911065330750176</v>
      </c>
      <c r="O60" s="49">
        <f t="shared" si="2"/>
        <v>316.04523647464634</v>
      </c>
      <c r="P60" s="49"/>
      <c r="Q60" s="49"/>
    </row>
    <row r="61" spans="1:17">
      <c r="A61" s="48" t="s">
        <v>68</v>
      </c>
      <c r="B61" s="48" t="s">
        <v>71</v>
      </c>
      <c r="C61" s="49">
        <v>6.9684240341924282</v>
      </c>
      <c r="D61" s="49">
        <v>6.9684240341924282</v>
      </c>
      <c r="E61" s="49">
        <v>6.9684240341924282</v>
      </c>
      <c r="F61" s="49">
        <v>5.9729348864506528</v>
      </c>
      <c r="G61" s="49">
        <v>5.9729348864506528</v>
      </c>
      <c r="H61" s="49">
        <v>5.9729348864506528</v>
      </c>
      <c r="I61" s="49">
        <v>5.9729348864506528</v>
      </c>
      <c r="J61" s="49">
        <v>5.9729348864506528</v>
      </c>
      <c r="K61" s="49">
        <v>5.9729348864506528</v>
      </c>
      <c r="L61" s="49">
        <v>4.9774457387088775</v>
      </c>
      <c r="M61" s="49">
        <v>6.9684240341924282</v>
      </c>
      <c r="N61" s="49">
        <v>5.9729348864506528</v>
      </c>
      <c r="O61" s="49">
        <f t="shared" si="2"/>
        <v>74.66168608063316</v>
      </c>
      <c r="P61" s="49"/>
      <c r="Q61" s="49"/>
    </row>
    <row r="62" spans="1:17">
      <c r="A62" s="53">
        <v>23</v>
      </c>
      <c r="B62" s="48" t="s">
        <v>74</v>
      </c>
      <c r="C62" s="49">
        <v>19.284828039619164</v>
      </c>
      <c r="D62" s="49">
        <v>18.320586637638208</v>
      </c>
      <c r="E62" s="49">
        <v>18.320586637638208</v>
      </c>
      <c r="F62" s="49">
        <v>18.320586637638208</v>
      </c>
      <c r="G62" s="49">
        <v>18.320586637638208</v>
      </c>
      <c r="H62" s="49">
        <v>17.356345235657248</v>
      </c>
      <c r="I62" s="49">
        <v>17.356345235657248</v>
      </c>
      <c r="J62" s="49">
        <v>17.356345235657248</v>
      </c>
      <c r="K62" s="49">
        <v>17.356345235657248</v>
      </c>
      <c r="L62" s="49">
        <v>17.356345235657248</v>
      </c>
      <c r="M62" s="49">
        <v>16.392103833676288</v>
      </c>
      <c r="N62" s="49">
        <v>16.392103833676288</v>
      </c>
      <c r="O62" s="49">
        <f t="shared" si="2"/>
        <v>212.13310843581078</v>
      </c>
      <c r="P62" s="49"/>
      <c r="Q62" s="49"/>
    </row>
    <row r="63" spans="1:17">
      <c r="A63" s="53">
        <v>24</v>
      </c>
      <c r="B63" s="48" t="s">
        <v>74</v>
      </c>
      <c r="C63" s="49">
        <v>189.5697878991873</v>
      </c>
      <c r="D63" s="49">
        <v>192.56299507654288</v>
      </c>
      <c r="E63" s="49">
        <v>194.55846652811329</v>
      </c>
      <c r="F63" s="49">
        <v>193.5607308023281</v>
      </c>
      <c r="G63" s="49">
        <v>190.56752362497249</v>
      </c>
      <c r="H63" s="49">
        <v>192.56299507654288</v>
      </c>
      <c r="I63" s="49">
        <v>191.56525935075769</v>
      </c>
      <c r="J63" s="49">
        <v>191.56525935075769</v>
      </c>
      <c r="K63" s="49">
        <v>191.56525935075769</v>
      </c>
      <c r="L63" s="49">
        <v>190.56752362497249</v>
      </c>
      <c r="M63" s="49">
        <v>189.5697878991873</v>
      </c>
      <c r="N63" s="49">
        <v>190.56752362497249</v>
      </c>
      <c r="O63" s="49">
        <f t="shared" si="2"/>
        <v>2298.7831122090925</v>
      </c>
      <c r="P63" s="49"/>
      <c r="Q63" s="49"/>
    </row>
    <row r="64" spans="1:17">
      <c r="A64" s="48" t="s">
        <v>61</v>
      </c>
      <c r="B64" s="48" t="s">
        <v>74</v>
      </c>
      <c r="C64" s="49">
        <v>22323.841324334015</v>
      </c>
      <c r="D64" s="49">
        <v>22333.905145135919</v>
      </c>
      <c r="E64" s="49">
        <v>22373.930151661181</v>
      </c>
      <c r="F64" s="49">
        <v>22372.791591043984</v>
      </c>
      <c r="G64" s="49">
        <v>22377.736619963402</v>
      </c>
      <c r="H64" s="49">
        <v>22450.831583682091</v>
      </c>
      <c r="I64" s="49">
        <v>22443.437423996987</v>
      </c>
      <c r="J64" s="49">
        <v>22502.6914062264</v>
      </c>
      <c r="K64" s="49">
        <v>22495.024280605536</v>
      </c>
      <c r="L64" s="49">
        <v>22482.250210943828</v>
      </c>
      <c r="M64" s="49">
        <v>22487.496945700364</v>
      </c>
      <c r="N64" s="49">
        <v>22535.735009977583</v>
      </c>
      <c r="O64" s="49">
        <f t="shared" si="2"/>
        <v>269179.67169327132</v>
      </c>
      <c r="P64" s="49"/>
      <c r="Q64" s="49"/>
    </row>
    <row r="65" spans="1:19">
      <c r="A65" s="48" t="s">
        <v>64</v>
      </c>
      <c r="B65" s="48" t="s">
        <v>74</v>
      </c>
      <c r="C65" s="49">
        <v>633.72298394407301</v>
      </c>
      <c r="D65" s="49">
        <v>634.64447336598982</v>
      </c>
      <c r="E65" s="49">
        <v>635.46496923705956</v>
      </c>
      <c r="F65" s="49">
        <v>635.4444120279104</v>
      </c>
      <c r="G65" s="49">
        <v>637.97247238844488</v>
      </c>
      <c r="H65" s="49">
        <v>633.76947584706829</v>
      </c>
      <c r="I65" s="49">
        <v>637.80132110047452</v>
      </c>
      <c r="J65" s="49">
        <v>641.30405640069796</v>
      </c>
      <c r="K65" s="49">
        <v>635.84886259611801</v>
      </c>
      <c r="L65" s="49">
        <v>638.62181697154415</v>
      </c>
      <c r="M65" s="49">
        <v>635.36756067601038</v>
      </c>
      <c r="N65" s="49">
        <v>635.64687549442374</v>
      </c>
      <c r="O65" s="49">
        <f t="shared" si="2"/>
        <v>7635.6092800498145</v>
      </c>
      <c r="P65" s="49"/>
      <c r="Q65" s="49"/>
    </row>
    <row r="66" spans="1:19">
      <c r="A66" s="48" t="s">
        <v>75</v>
      </c>
      <c r="B66" s="48" t="s">
        <v>74</v>
      </c>
      <c r="C66" s="49">
        <v>13.993225127796498</v>
      </c>
      <c r="D66" s="49">
        <v>14.146049382335868</v>
      </c>
      <c r="E66" s="49">
        <v>15.744208963304152</v>
      </c>
      <c r="F66" s="49">
        <v>15.897033217843521</v>
      </c>
      <c r="G66" s="49">
        <v>16.480694496346072</v>
      </c>
      <c r="H66" s="49">
        <v>16.480694496346072</v>
      </c>
      <c r="I66" s="49">
        <v>16.786343005424811</v>
      </c>
      <c r="J66" s="49">
        <v>16.786343005424811</v>
      </c>
      <c r="K66" s="49">
        <v>16.786343005424811</v>
      </c>
      <c r="L66" s="49">
        <v>16.63351875088544</v>
      </c>
      <c r="M66" s="49">
        <v>17.648017053351175</v>
      </c>
      <c r="N66" s="49">
        <v>16.786343005424811</v>
      </c>
      <c r="O66" s="49">
        <f t="shared" si="2"/>
        <v>194.16881350990803</v>
      </c>
      <c r="P66" s="49"/>
      <c r="Q66" s="49"/>
    </row>
    <row r="67" spans="1:19">
      <c r="A67" s="48" t="s">
        <v>65</v>
      </c>
      <c r="B67" s="48" t="s">
        <v>74</v>
      </c>
      <c r="C67" s="49">
        <v>255.3382641723918</v>
      </c>
      <c r="D67" s="49">
        <v>254.33299541580757</v>
      </c>
      <c r="E67" s="49">
        <v>261.36987671189718</v>
      </c>
      <c r="F67" s="49">
        <v>261.36987671189718</v>
      </c>
      <c r="G67" s="49">
        <v>259.35933919872872</v>
      </c>
      <c r="H67" s="49">
        <v>261.36987671189712</v>
      </c>
      <c r="I67" s="49">
        <v>261.36987671189712</v>
      </c>
      <c r="J67" s="49">
        <v>264.38568298164984</v>
      </c>
      <c r="K67" s="49">
        <v>261.36987671189718</v>
      </c>
      <c r="L67" s="49">
        <v>266.39622049481824</v>
      </c>
      <c r="M67" s="49">
        <v>264.38568298164984</v>
      </c>
      <c r="N67" s="49">
        <v>263.38041422506558</v>
      </c>
      <c r="O67" s="49">
        <f t="shared" si="2"/>
        <v>3134.4279830295982</v>
      </c>
      <c r="P67" s="49"/>
      <c r="Q67" s="49"/>
    </row>
    <row r="68" spans="1:19">
      <c r="A68" s="48" t="s">
        <v>76</v>
      </c>
      <c r="B68" s="48" t="s">
        <v>74</v>
      </c>
      <c r="C68" s="49">
        <v>20.148000560883943</v>
      </c>
      <c r="D68" s="49">
        <v>23.985714953433266</v>
      </c>
      <c r="E68" s="49">
        <v>23.026286355295937</v>
      </c>
      <c r="F68" s="49">
        <v>16.310286168334621</v>
      </c>
      <c r="G68" s="49">
        <v>18.229143364609286</v>
      </c>
      <c r="H68" s="49">
        <v>21.107429159021276</v>
      </c>
      <c r="I68" s="49">
        <v>21.107429159021276</v>
      </c>
      <c r="J68" s="49">
        <v>19.188571962746614</v>
      </c>
      <c r="K68" s="49">
        <v>23.026286355295937</v>
      </c>
      <c r="L68" s="49">
        <v>18.229143364609286</v>
      </c>
      <c r="M68" s="49">
        <v>22.066857757158608</v>
      </c>
      <c r="N68" s="49">
        <v>19.188571962746614</v>
      </c>
      <c r="O68" s="49">
        <f t="shared" si="2"/>
        <v>245.61372112315664</v>
      </c>
      <c r="Q68" s="49"/>
    </row>
    <row r="69" spans="1:19">
      <c r="A69" s="48" t="s">
        <v>77</v>
      </c>
      <c r="B69" s="48" t="s">
        <v>58</v>
      </c>
      <c r="C69" s="49">
        <v>11708.5</v>
      </c>
      <c r="D69" s="49">
        <v>11682.1</v>
      </c>
      <c r="E69" s="49">
        <v>11677.17</v>
      </c>
      <c r="F69" s="49">
        <v>11665.86</v>
      </c>
      <c r="G69" s="49">
        <v>11645.599999999999</v>
      </c>
      <c r="H69" s="49">
        <v>11642.34</v>
      </c>
      <c r="I69" s="49">
        <v>11625.4</v>
      </c>
      <c r="J69" s="49">
        <v>11616.73</v>
      </c>
      <c r="K69" s="49">
        <v>11611.2</v>
      </c>
      <c r="L69" s="49">
        <v>11579.039999999999</v>
      </c>
      <c r="M69" s="49">
        <v>11576.5</v>
      </c>
      <c r="N69" s="49">
        <v>11580.3</v>
      </c>
      <c r="O69" s="49">
        <f t="shared" si="2"/>
        <v>139610.73999999996</v>
      </c>
      <c r="Q69" s="49"/>
    </row>
    <row r="70" spans="1:19" ht="14">
      <c r="A70" s="48" t="s">
        <v>78</v>
      </c>
      <c r="B70" s="48" t="s">
        <v>58</v>
      </c>
      <c r="C70" s="54">
        <v>5959.6</v>
      </c>
      <c r="D70" s="54">
        <v>5939</v>
      </c>
      <c r="E70" s="54">
        <v>5979.07</v>
      </c>
      <c r="F70" s="54">
        <v>5968.83</v>
      </c>
      <c r="G70" s="54">
        <v>5972.27</v>
      </c>
      <c r="H70" s="54">
        <v>5929.9699999999993</v>
      </c>
      <c r="I70" s="54">
        <v>5951.46</v>
      </c>
      <c r="J70" s="54">
        <v>5895.37</v>
      </c>
      <c r="K70" s="54">
        <v>6037.63</v>
      </c>
      <c r="L70" s="54">
        <v>5969.63</v>
      </c>
      <c r="M70" s="54">
        <v>5971.2</v>
      </c>
      <c r="N70" s="54">
        <v>6003.63</v>
      </c>
      <c r="O70" s="54">
        <f t="shared" si="2"/>
        <v>71577.66</v>
      </c>
      <c r="Q70" s="49"/>
    </row>
    <row r="71" spans="1:19">
      <c r="C71" s="49">
        <f t="shared" ref="C71:O71" si="3">SUM(C42:C70)</f>
        <v>1443969.8570841132</v>
      </c>
      <c r="D71" s="49">
        <f t="shared" si="3"/>
        <v>1444519.9980051944</v>
      </c>
      <c r="E71" s="49">
        <f t="shared" si="3"/>
        <v>1447399.8979184243</v>
      </c>
      <c r="F71" s="49">
        <f t="shared" si="3"/>
        <v>1449922.0461824967</v>
      </c>
      <c r="G71" s="49">
        <f t="shared" si="3"/>
        <v>1449030.1123237258</v>
      </c>
      <c r="H71" s="49">
        <f t="shared" si="3"/>
        <v>1452002.3381704646</v>
      </c>
      <c r="I71" s="49">
        <f t="shared" si="3"/>
        <v>1449857.1808737388</v>
      </c>
      <c r="J71" s="49">
        <f t="shared" si="3"/>
        <v>1443676.3285317293</v>
      </c>
      <c r="K71" s="49">
        <f t="shared" si="3"/>
        <v>1454892.0811876201</v>
      </c>
      <c r="L71" s="49">
        <f t="shared" si="3"/>
        <v>1425511.1780140284</v>
      </c>
      <c r="M71" s="49">
        <f t="shared" si="3"/>
        <v>1478990.8384273951</v>
      </c>
      <c r="N71" s="49">
        <f t="shared" si="3"/>
        <v>1449985.3910763322</v>
      </c>
      <c r="O71" s="49">
        <f t="shared" si="3"/>
        <v>17389757.247795273</v>
      </c>
      <c r="Q71" s="55"/>
    </row>
    <row r="74" spans="1:19" ht="13">
      <c r="A74" s="52" t="s">
        <v>80</v>
      </c>
      <c r="B74" s="50"/>
      <c r="C74" s="51"/>
      <c r="D74" s="51"/>
      <c r="E74" s="51"/>
      <c r="F74" s="51"/>
      <c r="G74" s="51"/>
      <c r="H74" s="51"/>
      <c r="I74" s="51"/>
      <c r="J74" s="51"/>
      <c r="K74" s="51"/>
      <c r="L74" s="51"/>
      <c r="M74" s="51"/>
      <c r="N74" s="51"/>
      <c r="Q74" s="49"/>
    </row>
    <row r="75" spans="1:19">
      <c r="A75" s="48" t="s">
        <v>61</v>
      </c>
      <c r="B75" s="48" t="s">
        <v>62</v>
      </c>
      <c r="C75" s="49">
        <v>571401.49315023038</v>
      </c>
      <c r="D75" s="49">
        <v>582823.75931845093</v>
      </c>
      <c r="E75" s="49">
        <v>582724.2887259241</v>
      </c>
      <c r="F75" s="49">
        <v>577197.15636393381</v>
      </c>
      <c r="G75" s="49">
        <v>557094.31964031677</v>
      </c>
      <c r="H75" s="49">
        <v>655766.11808436294</v>
      </c>
      <c r="I75" s="49">
        <v>686924.87774621951</v>
      </c>
      <c r="J75" s="49">
        <v>669005.3155379931</v>
      </c>
      <c r="K75" s="49">
        <v>684338.45615902694</v>
      </c>
      <c r="L75" s="49">
        <v>632385.42420584429</v>
      </c>
      <c r="M75" s="49">
        <v>596121.7178214211</v>
      </c>
      <c r="N75" s="49">
        <v>584252.39577228529</v>
      </c>
      <c r="O75" s="49">
        <v>7380035.3225260098</v>
      </c>
      <c r="Q75" s="49"/>
      <c r="S75" s="55"/>
    </row>
    <row r="76" spans="1:19">
      <c r="A76" s="48" t="s">
        <v>63</v>
      </c>
      <c r="B76" s="48" t="s">
        <v>62</v>
      </c>
      <c r="C76" s="49">
        <v>0</v>
      </c>
      <c r="D76" s="49">
        <v>0</v>
      </c>
      <c r="E76" s="49">
        <v>0</v>
      </c>
      <c r="F76" s="49">
        <v>0</v>
      </c>
      <c r="G76" s="49">
        <v>0</v>
      </c>
      <c r="H76" s="49">
        <v>0</v>
      </c>
      <c r="I76" s="49">
        <v>0</v>
      </c>
      <c r="J76" s="49">
        <v>0</v>
      </c>
      <c r="K76" s="49">
        <v>0</v>
      </c>
      <c r="L76" s="49">
        <v>0</v>
      </c>
      <c r="M76" s="49">
        <v>0</v>
      </c>
      <c r="N76" s="49">
        <v>0</v>
      </c>
      <c r="O76" s="49">
        <v>0</v>
      </c>
      <c r="Q76" s="49"/>
      <c r="S76" s="55"/>
    </row>
    <row r="77" spans="1:19">
      <c r="A77" s="48" t="s">
        <v>64</v>
      </c>
      <c r="B77" s="48" t="s">
        <v>62</v>
      </c>
      <c r="C77" s="49">
        <v>705101.45072731492</v>
      </c>
      <c r="D77" s="49">
        <v>703886.08533655806</v>
      </c>
      <c r="E77" s="49">
        <v>735536.88677016459</v>
      </c>
      <c r="F77" s="49">
        <v>696871.66683119105</v>
      </c>
      <c r="G77" s="49">
        <v>709391.51904380741</v>
      </c>
      <c r="H77" s="49">
        <v>875696.75919785304</v>
      </c>
      <c r="I77" s="49">
        <v>897712.51795420703</v>
      </c>
      <c r="J77" s="49">
        <v>882912.82603237522</v>
      </c>
      <c r="K77" s="49">
        <v>890654.52249402925</v>
      </c>
      <c r="L77" s="49">
        <v>812658.25712794659</v>
      </c>
      <c r="M77" s="49">
        <v>763901.7802364314</v>
      </c>
      <c r="N77" s="49">
        <v>736496.74995030335</v>
      </c>
      <c r="O77" s="49">
        <v>9410821.0217021797</v>
      </c>
      <c r="Q77" s="49"/>
      <c r="S77" s="55"/>
    </row>
    <row r="78" spans="1:19">
      <c r="A78" s="48" t="s">
        <v>65</v>
      </c>
      <c r="B78" s="48" t="s">
        <v>62</v>
      </c>
      <c r="C78" s="49">
        <v>391129.20663817006</v>
      </c>
      <c r="D78" s="49">
        <v>398246.34725440916</v>
      </c>
      <c r="E78" s="49">
        <v>424345.88283566362</v>
      </c>
      <c r="F78" s="49">
        <v>418164.8983989007</v>
      </c>
      <c r="G78" s="49">
        <v>410308.44525065157</v>
      </c>
      <c r="H78" s="49">
        <v>543619.5721107733</v>
      </c>
      <c r="I78" s="49">
        <v>526517.66596523917</v>
      </c>
      <c r="J78" s="49">
        <v>536477.31116877589</v>
      </c>
      <c r="K78" s="49">
        <v>550991.71297956049</v>
      </c>
      <c r="L78" s="49">
        <v>487109.95996787288</v>
      </c>
      <c r="M78" s="49">
        <v>433641.5603503281</v>
      </c>
      <c r="N78" s="49">
        <v>420010.1177832323</v>
      </c>
      <c r="O78" s="49">
        <v>5540562.6807035767</v>
      </c>
      <c r="Q78" s="49"/>
      <c r="S78" s="55"/>
    </row>
    <row r="79" spans="1:19">
      <c r="A79" s="48" t="s">
        <v>66</v>
      </c>
      <c r="B79" s="48" t="s">
        <v>62</v>
      </c>
      <c r="C79" s="49">
        <v>17366.457557167025</v>
      </c>
      <c r="D79" s="49">
        <v>15177.650302864047</v>
      </c>
      <c r="E79" s="49">
        <v>20851.269106780968</v>
      </c>
      <c r="F79" s="49">
        <v>17236.857127635925</v>
      </c>
      <c r="G79" s="49">
        <v>24710.081895936815</v>
      </c>
      <c r="H79" s="49">
        <v>16315.254073192567</v>
      </c>
      <c r="I79" s="49">
        <v>21902.472590755424</v>
      </c>
      <c r="J79" s="49">
        <v>28440.094258212994</v>
      </c>
      <c r="K79" s="49">
        <v>26424.087576618149</v>
      </c>
      <c r="L79" s="49">
        <v>22003.272924835168</v>
      </c>
      <c r="M79" s="49">
        <v>24062.479749607046</v>
      </c>
      <c r="N79" s="49">
        <v>23644.878365562396</v>
      </c>
      <c r="O79" s="49">
        <v>258134.85552916853</v>
      </c>
      <c r="Q79" s="49"/>
      <c r="S79" s="55"/>
    </row>
    <row r="80" spans="1:19">
      <c r="A80" s="48" t="s">
        <v>61</v>
      </c>
      <c r="B80" s="48" t="s">
        <v>67</v>
      </c>
      <c r="C80" s="49">
        <v>0</v>
      </c>
      <c r="D80" s="49">
        <v>0</v>
      </c>
      <c r="E80" s="49">
        <v>0</v>
      </c>
      <c r="F80" s="49">
        <v>0</v>
      </c>
      <c r="G80" s="49">
        <v>0</v>
      </c>
      <c r="H80" s="49">
        <v>0</v>
      </c>
      <c r="I80" s="49">
        <v>0</v>
      </c>
      <c r="J80" s="49">
        <v>0</v>
      </c>
      <c r="K80" s="49">
        <v>0</v>
      </c>
      <c r="L80" s="49">
        <v>0</v>
      </c>
      <c r="M80" s="49">
        <v>0</v>
      </c>
      <c r="N80" s="49">
        <v>0</v>
      </c>
      <c r="O80" s="49">
        <v>0</v>
      </c>
      <c r="Q80" s="49"/>
      <c r="S80" s="55"/>
    </row>
    <row r="81" spans="1:19">
      <c r="A81" s="48" t="s">
        <v>68</v>
      </c>
      <c r="B81" s="48" t="s">
        <v>67</v>
      </c>
      <c r="C81" s="49">
        <v>0</v>
      </c>
      <c r="D81" s="49">
        <v>0</v>
      </c>
      <c r="E81" s="49">
        <v>0</v>
      </c>
      <c r="F81" s="49">
        <v>0</v>
      </c>
      <c r="G81" s="49">
        <v>0</v>
      </c>
      <c r="H81" s="49">
        <v>0</v>
      </c>
      <c r="I81" s="49">
        <v>0</v>
      </c>
      <c r="J81" s="49">
        <v>0</v>
      </c>
      <c r="K81" s="49">
        <v>0</v>
      </c>
      <c r="L81" s="49">
        <v>0</v>
      </c>
      <c r="M81" s="49">
        <v>0</v>
      </c>
      <c r="N81" s="49">
        <v>0</v>
      </c>
      <c r="O81" s="49">
        <v>0</v>
      </c>
      <c r="Q81" s="49"/>
      <c r="S81" s="55"/>
    </row>
    <row r="82" spans="1:19">
      <c r="A82" s="48" t="s">
        <v>64</v>
      </c>
      <c r="B82" s="48" t="s">
        <v>67</v>
      </c>
      <c r="C82" s="49">
        <v>83574.943728788436</v>
      </c>
      <c r="D82" s="49">
        <v>82236.558425839263</v>
      </c>
      <c r="E82" s="49">
        <v>101707.97699903279</v>
      </c>
      <c r="F82" s="49">
        <v>95557.544334238482</v>
      </c>
      <c r="G82" s="49">
        <v>111321.36223444788</v>
      </c>
      <c r="H82" s="49">
        <v>136357.05871294872</v>
      </c>
      <c r="I82" s="49">
        <v>147010.18209303013</v>
      </c>
      <c r="J82" s="49">
        <v>139998.82899431992</v>
      </c>
      <c r="K82" s="49">
        <v>138275.62454596226</v>
      </c>
      <c r="L82" s="49">
        <v>111799.23171008765</v>
      </c>
      <c r="M82" s="49">
        <v>93839.732817609329</v>
      </c>
      <c r="N82" s="49">
        <v>91142.795288861176</v>
      </c>
      <c r="O82" s="49">
        <v>1332821.8398851661</v>
      </c>
      <c r="Q82" s="49"/>
      <c r="S82" s="55"/>
    </row>
    <row r="83" spans="1:19">
      <c r="A83" s="48" t="s">
        <v>69</v>
      </c>
      <c r="B83" s="48" t="s">
        <v>67</v>
      </c>
      <c r="C83" s="49">
        <v>89488.116613219521</v>
      </c>
      <c r="D83" s="49">
        <v>89556.694686610892</v>
      </c>
      <c r="E83" s="49">
        <v>97466.307070009847</v>
      </c>
      <c r="F83" s="49">
        <v>105368.02298894398</v>
      </c>
      <c r="G83" s="49">
        <v>106666.22253530288</v>
      </c>
      <c r="H83" s="49">
        <v>142665.5570301612</v>
      </c>
      <c r="I83" s="49">
        <v>140413.02761732292</v>
      </c>
      <c r="J83" s="49">
        <v>153847.48474497045</v>
      </c>
      <c r="K83" s="49">
        <v>141697.65726712122</v>
      </c>
      <c r="L83" s="49">
        <v>133587.4084421944</v>
      </c>
      <c r="M83" s="49">
        <v>98814.707701712323</v>
      </c>
      <c r="N83" s="49">
        <v>88621.969865848601</v>
      </c>
      <c r="O83" s="49">
        <v>1388193.176563418</v>
      </c>
      <c r="Q83" s="49"/>
      <c r="S83" s="55"/>
    </row>
    <row r="84" spans="1:19">
      <c r="A84" s="48" t="s">
        <v>70</v>
      </c>
      <c r="B84" s="48" t="s">
        <v>67</v>
      </c>
      <c r="C84" s="49">
        <v>0</v>
      </c>
      <c r="D84" s="49">
        <v>0</v>
      </c>
      <c r="E84" s="49">
        <v>0</v>
      </c>
      <c r="F84" s="49">
        <v>0</v>
      </c>
      <c r="G84" s="49">
        <v>0</v>
      </c>
      <c r="H84" s="49">
        <v>0</v>
      </c>
      <c r="I84" s="49">
        <v>0</v>
      </c>
      <c r="J84" s="49">
        <v>0</v>
      </c>
      <c r="K84" s="49">
        <v>0</v>
      </c>
      <c r="L84" s="49">
        <v>0</v>
      </c>
      <c r="M84" s="49">
        <v>0</v>
      </c>
      <c r="N84" s="49">
        <v>0</v>
      </c>
      <c r="O84" s="49">
        <v>0</v>
      </c>
      <c r="Q84" s="49"/>
      <c r="S84" s="55"/>
    </row>
    <row r="85" spans="1:19">
      <c r="A85" s="48" t="s">
        <v>61</v>
      </c>
      <c r="B85" s="48" t="s">
        <v>71</v>
      </c>
      <c r="C85" s="49">
        <v>0</v>
      </c>
      <c r="D85" s="49">
        <v>0</v>
      </c>
      <c r="E85" s="49">
        <v>0</v>
      </c>
      <c r="F85" s="49">
        <v>0</v>
      </c>
      <c r="G85" s="49">
        <v>0</v>
      </c>
      <c r="H85" s="49">
        <v>0</v>
      </c>
      <c r="I85" s="49">
        <v>0</v>
      </c>
      <c r="J85" s="49">
        <v>0</v>
      </c>
      <c r="K85" s="49">
        <v>0</v>
      </c>
      <c r="L85" s="49">
        <v>0</v>
      </c>
      <c r="M85" s="49">
        <v>0</v>
      </c>
      <c r="N85" s="49">
        <v>0</v>
      </c>
      <c r="O85" s="49">
        <v>0</v>
      </c>
      <c r="Q85" s="49"/>
      <c r="S85" s="55"/>
    </row>
    <row r="86" spans="1:19">
      <c r="A86" s="48" t="s">
        <v>72</v>
      </c>
      <c r="B86" s="48" t="s">
        <v>71</v>
      </c>
      <c r="C86" s="49">
        <v>9318.6484093905601</v>
      </c>
      <c r="D86" s="49">
        <v>9585.3885606937474</v>
      </c>
      <c r="E86" s="49">
        <v>9803.7553149070864</v>
      </c>
      <c r="F86" s="49">
        <v>10640.844575092502</v>
      </c>
      <c r="G86" s="49">
        <v>11323.844472598512</v>
      </c>
      <c r="H86" s="49">
        <v>12986.49835931421</v>
      </c>
      <c r="I86" s="49">
        <v>13978.849488385687</v>
      </c>
      <c r="J86" s="49">
        <v>13419.353577980422</v>
      </c>
      <c r="K86" s="49">
        <v>13779.753925927842</v>
      </c>
      <c r="L86" s="49">
        <v>13450.850902830927</v>
      </c>
      <c r="M86" s="49">
        <v>13397.276388465418</v>
      </c>
      <c r="N86" s="49">
        <v>10749.406624123852</v>
      </c>
      <c r="O86" s="49">
        <v>142434.4705997108</v>
      </c>
      <c r="Q86" s="49"/>
      <c r="S86" s="55"/>
    </row>
    <row r="87" spans="1:19">
      <c r="A87" s="48" t="s">
        <v>64</v>
      </c>
      <c r="B87" s="48" t="s">
        <v>71</v>
      </c>
      <c r="C87" s="49">
        <v>75062.588751958916</v>
      </c>
      <c r="D87" s="49">
        <v>74812.802149998053</v>
      </c>
      <c r="E87" s="49">
        <v>81199.926527796517</v>
      </c>
      <c r="F87" s="49">
        <v>83635.614944291738</v>
      </c>
      <c r="G87" s="49">
        <v>91497.360335172154</v>
      </c>
      <c r="H87" s="49">
        <v>108047.51552610412</v>
      </c>
      <c r="I87" s="49">
        <v>114168.2276827333</v>
      </c>
      <c r="J87" s="49">
        <v>111733.64562928282</v>
      </c>
      <c r="K87" s="49">
        <v>117459.83878200964</v>
      </c>
      <c r="L87" s="49">
        <v>105028.08985152135</v>
      </c>
      <c r="M87" s="49">
        <v>91282.675615266577</v>
      </c>
      <c r="N87" s="49">
        <v>82872.013228669792</v>
      </c>
      <c r="O87" s="49">
        <v>1136800.299024805</v>
      </c>
      <c r="Q87" s="49"/>
      <c r="S87" s="55"/>
    </row>
    <row r="88" spans="1:19">
      <c r="A88" s="48" t="s">
        <v>65</v>
      </c>
      <c r="B88" s="48" t="s">
        <v>71</v>
      </c>
      <c r="C88" s="49">
        <v>75638.524843293053</v>
      </c>
      <c r="D88" s="49">
        <v>70653.707038955734</v>
      </c>
      <c r="E88" s="49">
        <v>83729.718416902484</v>
      </c>
      <c r="F88" s="49">
        <v>81626.205873071813</v>
      </c>
      <c r="G88" s="49">
        <v>82376.474132348594</v>
      </c>
      <c r="H88" s="49">
        <v>98949.876054130495</v>
      </c>
      <c r="I88" s="49">
        <v>101821.05279282706</v>
      </c>
      <c r="J88" s="49">
        <v>95680.935516003374</v>
      </c>
      <c r="K88" s="49">
        <v>109300.1088140497</v>
      </c>
      <c r="L88" s="49">
        <v>92856.712849871154</v>
      </c>
      <c r="M88" s="49">
        <v>92430.337970130684</v>
      </c>
      <c r="N88" s="49">
        <v>81322.459877962814</v>
      </c>
      <c r="O88" s="49">
        <v>1066386.1141795469</v>
      </c>
      <c r="Q88" s="49"/>
      <c r="S88" s="55"/>
    </row>
    <row r="89" spans="1:19">
      <c r="A89" s="48" t="s">
        <v>73</v>
      </c>
      <c r="B89" s="48" t="s">
        <v>71</v>
      </c>
      <c r="C89" s="49">
        <v>1197.4898500549773</v>
      </c>
      <c r="D89" s="49">
        <v>1201.6754836853293</v>
      </c>
      <c r="E89" s="49">
        <v>1207.9539341308571</v>
      </c>
      <c r="F89" s="49">
        <v>1191.9090052145082</v>
      </c>
      <c r="G89" s="49">
        <v>1149.4547212495099</v>
      </c>
      <c r="H89" s="49">
        <v>1162.9085436327839</v>
      </c>
      <c r="I89" s="49">
        <v>1033.2535590354532</v>
      </c>
      <c r="J89" s="49">
        <v>1335.6157598565919</v>
      </c>
      <c r="K89" s="49">
        <v>1259.5767489051982</v>
      </c>
      <c r="L89" s="49">
        <v>1011.9267591093742</v>
      </c>
      <c r="M89" s="49">
        <v>1207.555302356538</v>
      </c>
      <c r="N89" s="49">
        <v>1063.449915940135</v>
      </c>
      <c r="O89" s="49">
        <v>14022.769583171255</v>
      </c>
      <c r="Q89" s="49"/>
      <c r="S89" s="55"/>
    </row>
    <row r="90" spans="1:19">
      <c r="A90" s="48" t="s">
        <v>68</v>
      </c>
      <c r="B90" s="48" t="s">
        <v>71</v>
      </c>
      <c r="C90" s="49">
        <v>0</v>
      </c>
      <c r="D90" s="49">
        <v>0</v>
      </c>
      <c r="E90" s="49">
        <v>0</v>
      </c>
      <c r="F90" s="49">
        <v>0</v>
      </c>
      <c r="G90" s="49">
        <v>0</v>
      </c>
      <c r="H90" s="49">
        <v>0</v>
      </c>
      <c r="I90" s="49">
        <v>0</v>
      </c>
      <c r="J90" s="49">
        <v>0</v>
      </c>
      <c r="K90" s="49">
        <v>0</v>
      </c>
      <c r="L90" s="49">
        <v>0</v>
      </c>
      <c r="M90" s="49">
        <v>0</v>
      </c>
      <c r="N90" s="49">
        <v>0</v>
      </c>
      <c r="O90" s="49">
        <v>0</v>
      </c>
      <c r="Q90" s="49"/>
      <c r="S90" s="55"/>
    </row>
    <row r="91" spans="1:19">
      <c r="A91" s="53">
        <v>23</v>
      </c>
      <c r="B91" s="48" t="s">
        <v>74</v>
      </c>
      <c r="C91" s="49">
        <v>0</v>
      </c>
      <c r="D91" s="49">
        <v>0</v>
      </c>
      <c r="E91" s="49">
        <v>0</v>
      </c>
      <c r="F91" s="49">
        <v>0</v>
      </c>
      <c r="G91" s="49">
        <v>0</v>
      </c>
      <c r="H91" s="49">
        <v>0</v>
      </c>
      <c r="I91" s="49">
        <v>0</v>
      </c>
      <c r="J91" s="49">
        <v>0</v>
      </c>
      <c r="K91" s="49">
        <v>0</v>
      </c>
      <c r="L91" s="49">
        <v>0</v>
      </c>
      <c r="M91" s="49">
        <v>0</v>
      </c>
      <c r="N91" s="49">
        <v>0</v>
      </c>
      <c r="O91" s="49">
        <v>0</v>
      </c>
      <c r="Q91" s="49"/>
      <c r="S91" s="55"/>
    </row>
    <row r="92" spans="1:19">
      <c r="A92" s="53">
        <v>24</v>
      </c>
      <c r="B92" s="48" t="s">
        <v>74</v>
      </c>
      <c r="C92" s="49">
        <v>2098.6373256165816</v>
      </c>
      <c r="D92" s="49">
        <v>2203.0004825337132</v>
      </c>
      <c r="E92" s="49">
        <v>2163.4203062918145</v>
      </c>
      <c r="F92" s="49">
        <v>2013.3608531337213</v>
      </c>
      <c r="G92" s="49">
        <v>2186.597707201805</v>
      </c>
      <c r="H92" s="49">
        <v>2907.4019049380618</v>
      </c>
      <c r="I92" s="49">
        <v>3241.7431466486814</v>
      </c>
      <c r="J92" s="49">
        <v>3043.762446581125</v>
      </c>
      <c r="K92" s="49">
        <v>3063.8767988129543</v>
      </c>
      <c r="L92" s="49">
        <v>2535.246479220184</v>
      </c>
      <c r="M92" s="49">
        <v>2291.3000942657036</v>
      </c>
      <c r="N92" s="49">
        <v>2427.6606359087664</v>
      </c>
      <c r="O92" s="49">
        <v>30176.008181153113</v>
      </c>
      <c r="Q92" s="49"/>
      <c r="S92" s="55"/>
    </row>
    <row r="93" spans="1:19">
      <c r="A93" s="48" t="s">
        <v>61</v>
      </c>
      <c r="B93" s="48" t="s">
        <v>74</v>
      </c>
      <c r="C93" s="49">
        <v>159825.87515567883</v>
      </c>
      <c r="D93" s="49">
        <v>162840.8065941013</v>
      </c>
      <c r="E93" s="49">
        <v>163175.91748229074</v>
      </c>
      <c r="F93" s="49">
        <v>163258.15137663845</v>
      </c>
      <c r="G93" s="49">
        <v>164187.13023232427</v>
      </c>
      <c r="H93" s="49">
        <v>186608.9998376726</v>
      </c>
      <c r="I93" s="49">
        <v>194860.13517955595</v>
      </c>
      <c r="J93" s="49">
        <v>189924.94019639085</v>
      </c>
      <c r="K93" s="49">
        <v>194062.43736692058</v>
      </c>
      <c r="L93" s="49">
        <v>175667.34061876405</v>
      </c>
      <c r="M93" s="49">
        <v>166075.06208935735</v>
      </c>
      <c r="N93" s="49">
        <v>165359.58363662931</v>
      </c>
      <c r="O93" s="49">
        <v>2085846.3797663243</v>
      </c>
      <c r="Q93" s="49"/>
      <c r="S93" s="55"/>
    </row>
    <row r="94" spans="1:19">
      <c r="A94" s="48" t="s">
        <v>64</v>
      </c>
      <c r="B94" s="48" t="s">
        <v>74</v>
      </c>
      <c r="C94" s="49">
        <v>73418.011865566994</v>
      </c>
      <c r="D94" s="49">
        <v>75947.391230931738</v>
      </c>
      <c r="E94" s="49">
        <v>76223.433959744958</v>
      </c>
      <c r="F94" s="49">
        <v>76290.261678785013</v>
      </c>
      <c r="G94" s="49">
        <v>74742.746312281917</v>
      </c>
      <c r="H94" s="49">
        <v>88444.047070461398</v>
      </c>
      <c r="I94" s="49">
        <v>93911.194087943004</v>
      </c>
      <c r="J94" s="49">
        <v>89512.324718236952</v>
      </c>
      <c r="K94" s="49">
        <v>93227.0583666155</v>
      </c>
      <c r="L94" s="49">
        <v>82905.44586226024</v>
      </c>
      <c r="M94" s="49">
        <v>76095.820357258577</v>
      </c>
      <c r="N94" s="49">
        <v>75787.463846409213</v>
      </c>
      <c r="O94" s="49">
        <v>976505.19935649552</v>
      </c>
      <c r="Q94" s="49"/>
      <c r="S94" s="55"/>
    </row>
    <row r="95" spans="1:19">
      <c r="A95" s="48" t="s">
        <v>75</v>
      </c>
      <c r="B95" s="48" t="s">
        <v>74</v>
      </c>
      <c r="C95" s="49">
        <v>1753.8305510870662</v>
      </c>
      <c r="D95" s="49">
        <v>1841.5284172809434</v>
      </c>
      <c r="E95" s="49">
        <v>2218.4258360176245</v>
      </c>
      <c r="F95" s="49">
        <v>2134.0340608746606</v>
      </c>
      <c r="G95" s="49">
        <v>2538.0407093617459</v>
      </c>
      <c r="H95" s="49">
        <v>2994.5617042096587</v>
      </c>
      <c r="I95" s="49">
        <v>2997.1262433939423</v>
      </c>
      <c r="J95" s="49">
        <v>3008.8816281169193</v>
      </c>
      <c r="K95" s="49">
        <v>3373.6422101663397</v>
      </c>
      <c r="L95" s="49">
        <v>2982.3593584642049</v>
      </c>
      <c r="M95" s="49">
        <v>2959.0518951121644</v>
      </c>
      <c r="N95" s="49">
        <v>2637.4342406280775</v>
      </c>
      <c r="O95" s="49">
        <v>31438.916854713349</v>
      </c>
      <c r="Q95" s="49"/>
      <c r="S95" s="55"/>
    </row>
    <row r="96" spans="1:19">
      <c r="A96" s="48" t="s">
        <v>65</v>
      </c>
      <c r="B96" s="48" t="s">
        <v>74</v>
      </c>
      <c r="C96" s="49">
        <v>114357.46373838333</v>
      </c>
      <c r="D96" s="49">
        <v>113171.95029374356</v>
      </c>
      <c r="E96" s="49">
        <v>113178.28348691005</v>
      </c>
      <c r="F96" s="49">
        <v>124347.1209531877</v>
      </c>
      <c r="G96" s="49">
        <v>123315.41362830532</v>
      </c>
      <c r="H96" s="49">
        <v>138933.57061122471</v>
      </c>
      <c r="I96" s="49">
        <v>146271.22831928427</v>
      </c>
      <c r="J96" s="49">
        <v>141725.10142138344</v>
      </c>
      <c r="K96" s="49">
        <v>144520.05014531457</v>
      </c>
      <c r="L96" s="49">
        <v>133757.8438910752</v>
      </c>
      <c r="M96" s="49">
        <v>127563.77992050588</v>
      </c>
      <c r="N96" s="49">
        <v>120568.41622406327</v>
      </c>
      <c r="O96" s="49">
        <v>1541710.2226333814</v>
      </c>
      <c r="Q96" s="49"/>
      <c r="S96" s="55"/>
    </row>
    <row r="97" spans="1:19" ht="14">
      <c r="A97" s="48" t="s">
        <v>76</v>
      </c>
      <c r="B97" s="48" t="s">
        <v>74</v>
      </c>
      <c r="C97" s="54">
        <v>53931.400358495637</v>
      </c>
      <c r="D97" s="54">
        <v>60810.023692841227</v>
      </c>
      <c r="E97" s="54">
        <v>57382.465025995611</v>
      </c>
      <c r="F97" s="54">
        <v>63850.932634637495</v>
      </c>
      <c r="G97" s="54">
        <v>56008.563273462954</v>
      </c>
      <c r="H97" s="54">
        <v>75578.028389670086</v>
      </c>
      <c r="I97" s="54">
        <v>64255.811503051453</v>
      </c>
      <c r="J97" s="54">
        <v>70553.021106925822</v>
      </c>
      <c r="K97" s="54">
        <v>77049.312144913682</v>
      </c>
      <c r="L97" s="54">
        <v>67543.773308868083</v>
      </c>
      <c r="M97" s="54">
        <v>73796.369482929062</v>
      </c>
      <c r="N97" s="54">
        <v>62851.687749677469</v>
      </c>
      <c r="O97" s="54">
        <v>783611.38867146859</v>
      </c>
      <c r="Q97" s="49"/>
      <c r="S97" s="55"/>
    </row>
    <row r="98" spans="1:19">
      <c r="C98" s="49">
        <f t="shared" ref="C98:O98" si="4">SUM(C75:C97)</f>
        <v>2424664.1392644159</v>
      </c>
      <c r="D98" s="49">
        <f t="shared" si="4"/>
        <v>2444995.3692694977</v>
      </c>
      <c r="E98" s="49">
        <f t="shared" si="4"/>
        <v>2552915.9117985638</v>
      </c>
      <c r="F98" s="49">
        <f t="shared" si="4"/>
        <v>2519384.5819997718</v>
      </c>
      <c r="G98" s="49">
        <f t="shared" si="4"/>
        <v>2528817.5761247706</v>
      </c>
      <c r="H98" s="49">
        <f t="shared" si="4"/>
        <v>3087033.7272106502</v>
      </c>
      <c r="I98" s="49">
        <f t="shared" si="4"/>
        <v>3157019.3659696323</v>
      </c>
      <c r="J98" s="49">
        <f t="shared" si="4"/>
        <v>3130619.4427374061</v>
      </c>
      <c r="K98" s="49">
        <f t="shared" si="4"/>
        <v>3189477.7163259531</v>
      </c>
      <c r="L98" s="49">
        <f t="shared" si="4"/>
        <v>2877283.144260766</v>
      </c>
      <c r="M98" s="49">
        <f t="shared" si="4"/>
        <v>2657481.2077927571</v>
      </c>
      <c r="N98" s="49">
        <f t="shared" si="4"/>
        <v>2549808.4830061053</v>
      </c>
      <c r="O98" s="49">
        <f t="shared" si="4"/>
        <v>33119500.665760294</v>
      </c>
      <c r="Q98" s="49"/>
    </row>
    <row r="99" spans="1:19">
      <c r="Q99" s="49"/>
    </row>
    <row r="100" spans="1:19">
      <c r="Q100" s="49"/>
    </row>
  </sheetData>
  <pageMargins left="0.7" right="0.7" top="0.75" bottom="0.75" header="0.3" footer="0.3"/>
  <pageSetup scale="40" orientation="landscape" r:id="rId1"/>
  <headerFooter>
    <oddHeader>&amp;RNSTAR Electric Company d/b/a Eversource Energy
D.P.U. 25-55
Attachment DOER-1-2(b)
Workpapers
Page &amp;P of &amp;N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5EFA-17A6-4484-B356-7B7B4A8B31B1}">
  <sheetPr>
    <tabColor theme="1"/>
    <pageSetUpPr fitToPage="1"/>
  </sheetPr>
  <dimension ref="A1:Q50"/>
  <sheetViews>
    <sheetView view="pageLayout" zoomScaleNormal="100" workbookViewId="0">
      <selection activeCell="L13" sqref="L13"/>
    </sheetView>
  </sheetViews>
  <sheetFormatPr defaultRowHeight="14.5"/>
  <cols>
    <col min="1" max="1" width="7.7265625" style="58" customWidth="1"/>
    <col min="2" max="14" width="13.81640625" style="58" customWidth="1"/>
    <col min="15" max="15" width="11.1796875" style="58" bestFit="1" customWidth="1"/>
    <col min="16" max="16" width="13.453125" style="58" bestFit="1" customWidth="1"/>
    <col min="17" max="17" width="9.1796875" style="58"/>
    <col min="18" max="18" width="12.1796875" style="58" bestFit="1" customWidth="1"/>
    <col min="19" max="249" width="9.1796875" style="58"/>
    <col min="250" max="250" width="7.81640625" style="58" bestFit="1" customWidth="1"/>
    <col min="251" max="251" width="2.54296875" style="58" customWidth="1"/>
    <col min="252" max="252" width="7.7265625" style="58" customWidth="1"/>
    <col min="253" max="253" width="15.453125" style="58" bestFit="1" customWidth="1"/>
    <col min="254" max="254" width="16.81640625" style="58" customWidth="1"/>
    <col min="255" max="265" width="15.81640625" style="58" customWidth="1"/>
    <col min="266" max="505" width="9.1796875" style="58"/>
    <col min="506" max="506" width="7.81640625" style="58" bestFit="1" customWidth="1"/>
    <col min="507" max="507" width="2.54296875" style="58" customWidth="1"/>
    <col min="508" max="508" width="7.7265625" style="58" customWidth="1"/>
    <col min="509" max="509" width="15.453125" style="58" bestFit="1" customWidth="1"/>
    <col min="510" max="510" width="16.81640625" style="58" customWidth="1"/>
    <col min="511" max="521" width="15.81640625" style="58" customWidth="1"/>
    <col min="522" max="761" width="9.1796875" style="58"/>
    <col min="762" max="762" width="7.81640625" style="58" bestFit="1" customWidth="1"/>
    <col min="763" max="763" width="2.54296875" style="58" customWidth="1"/>
    <col min="764" max="764" width="7.7265625" style="58" customWidth="1"/>
    <col min="765" max="765" width="15.453125" style="58" bestFit="1" customWidth="1"/>
    <col min="766" max="766" width="16.81640625" style="58" customWidth="1"/>
    <col min="767" max="777" width="15.81640625" style="58" customWidth="1"/>
    <col min="778" max="1017" width="9.1796875" style="58"/>
    <col min="1018" max="1018" width="7.81640625" style="58" bestFit="1" customWidth="1"/>
    <col min="1019" max="1019" width="2.54296875" style="58" customWidth="1"/>
    <col min="1020" max="1020" width="7.7265625" style="58" customWidth="1"/>
    <col min="1021" max="1021" width="15.453125" style="58" bestFit="1" customWidth="1"/>
    <col min="1022" max="1022" width="16.81640625" style="58" customWidth="1"/>
    <col min="1023" max="1033" width="15.81640625" style="58" customWidth="1"/>
    <col min="1034" max="1273" width="9.1796875" style="58"/>
    <col min="1274" max="1274" width="7.81640625" style="58" bestFit="1" customWidth="1"/>
    <col min="1275" max="1275" width="2.54296875" style="58" customWidth="1"/>
    <col min="1276" max="1276" width="7.7265625" style="58" customWidth="1"/>
    <col min="1277" max="1277" width="15.453125" style="58" bestFit="1" customWidth="1"/>
    <col min="1278" max="1278" width="16.81640625" style="58" customWidth="1"/>
    <col min="1279" max="1289" width="15.81640625" style="58" customWidth="1"/>
    <col min="1290" max="1529" width="9.1796875" style="58"/>
    <col min="1530" max="1530" width="7.81640625" style="58" bestFit="1" customWidth="1"/>
    <col min="1531" max="1531" width="2.54296875" style="58" customWidth="1"/>
    <col min="1532" max="1532" width="7.7265625" style="58" customWidth="1"/>
    <col min="1533" max="1533" width="15.453125" style="58" bestFit="1" customWidth="1"/>
    <col min="1534" max="1534" width="16.81640625" style="58" customWidth="1"/>
    <col min="1535" max="1545" width="15.81640625" style="58" customWidth="1"/>
    <col min="1546" max="1785" width="9.1796875" style="58"/>
    <col min="1786" max="1786" width="7.81640625" style="58" bestFit="1" customWidth="1"/>
    <col min="1787" max="1787" width="2.54296875" style="58" customWidth="1"/>
    <col min="1788" max="1788" width="7.7265625" style="58" customWidth="1"/>
    <col min="1789" max="1789" width="15.453125" style="58" bestFit="1" customWidth="1"/>
    <col min="1790" max="1790" width="16.81640625" style="58" customWidth="1"/>
    <col min="1791" max="1801" width="15.81640625" style="58" customWidth="1"/>
    <col min="1802" max="2041" width="9.1796875" style="58"/>
    <col min="2042" max="2042" width="7.81640625" style="58" bestFit="1" customWidth="1"/>
    <col min="2043" max="2043" width="2.54296875" style="58" customWidth="1"/>
    <col min="2044" max="2044" width="7.7265625" style="58" customWidth="1"/>
    <col min="2045" max="2045" width="15.453125" style="58" bestFit="1" customWidth="1"/>
    <col min="2046" max="2046" width="16.81640625" style="58" customWidth="1"/>
    <col min="2047" max="2057" width="15.81640625" style="58" customWidth="1"/>
    <col min="2058" max="2297" width="9.1796875" style="58"/>
    <col min="2298" max="2298" width="7.81640625" style="58" bestFit="1" customWidth="1"/>
    <col min="2299" max="2299" width="2.54296875" style="58" customWidth="1"/>
    <col min="2300" max="2300" width="7.7265625" style="58" customWidth="1"/>
    <col min="2301" max="2301" width="15.453125" style="58" bestFit="1" customWidth="1"/>
    <col min="2302" max="2302" width="16.81640625" style="58" customWidth="1"/>
    <col min="2303" max="2313" width="15.81640625" style="58" customWidth="1"/>
    <col min="2314" max="2553" width="9.1796875" style="58"/>
    <col min="2554" max="2554" width="7.81640625" style="58" bestFit="1" customWidth="1"/>
    <col min="2555" max="2555" width="2.54296875" style="58" customWidth="1"/>
    <col min="2556" max="2556" width="7.7265625" style="58" customWidth="1"/>
    <col min="2557" max="2557" width="15.453125" style="58" bestFit="1" customWidth="1"/>
    <col min="2558" max="2558" width="16.81640625" style="58" customWidth="1"/>
    <col min="2559" max="2569" width="15.81640625" style="58" customWidth="1"/>
    <col min="2570" max="2809" width="9.1796875" style="58"/>
    <col min="2810" max="2810" width="7.81640625" style="58" bestFit="1" customWidth="1"/>
    <col min="2811" max="2811" width="2.54296875" style="58" customWidth="1"/>
    <col min="2812" max="2812" width="7.7265625" style="58" customWidth="1"/>
    <col min="2813" max="2813" width="15.453125" style="58" bestFit="1" customWidth="1"/>
    <col min="2814" max="2814" width="16.81640625" style="58" customWidth="1"/>
    <col min="2815" max="2825" width="15.81640625" style="58" customWidth="1"/>
    <col min="2826" max="3065" width="9.1796875" style="58"/>
    <col min="3066" max="3066" width="7.81640625" style="58" bestFit="1" customWidth="1"/>
    <col min="3067" max="3067" width="2.54296875" style="58" customWidth="1"/>
    <col min="3068" max="3068" width="7.7265625" style="58" customWidth="1"/>
    <col min="3069" max="3069" width="15.453125" style="58" bestFit="1" customWidth="1"/>
    <col min="3070" max="3070" width="16.81640625" style="58" customWidth="1"/>
    <col min="3071" max="3081" width="15.81640625" style="58" customWidth="1"/>
    <col min="3082" max="3321" width="9.1796875" style="58"/>
    <col min="3322" max="3322" width="7.81640625" style="58" bestFit="1" customWidth="1"/>
    <col min="3323" max="3323" width="2.54296875" style="58" customWidth="1"/>
    <col min="3324" max="3324" width="7.7265625" style="58" customWidth="1"/>
    <col min="3325" max="3325" width="15.453125" style="58" bestFit="1" customWidth="1"/>
    <col min="3326" max="3326" width="16.81640625" style="58" customWidth="1"/>
    <col min="3327" max="3337" width="15.81640625" style="58" customWidth="1"/>
    <col min="3338" max="3577" width="9.1796875" style="58"/>
    <col min="3578" max="3578" width="7.81640625" style="58" bestFit="1" customWidth="1"/>
    <col min="3579" max="3579" width="2.54296875" style="58" customWidth="1"/>
    <col min="3580" max="3580" width="7.7265625" style="58" customWidth="1"/>
    <col min="3581" max="3581" width="15.453125" style="58" bestFit="1" customWidth="1"/>
    <col min="3582" max="3582" width="16.81640625" style="58" customWidth="1"/>
    <col min="3583" max="3593" width="15.81640625" style="58" customWidth="1"/>
    <col min="3594" max="3833" width="9.1796875" style="58"/>
    <col min="3834" max="3834" width="7.81640625" style="58" bestFit="1" customWidth="1"/>
    <col min="3835" max="3835" width="2.54296875" style="58" customWidth="1"/>
    <col min="3836" max="3836" width="7.7265625" style="58" customWidth="1"/>
    <col min="3837" max="3837" width="15.453125" style="58" bestFit="1" customWidth="1"/>
    <col min="3838" max="3838" width="16.81640625" style="58" customWidth="1"/>
    <col min="3839" max="3849" width="15.81640625" style="58" customWidth="1"/>
    <col min="3850" max="4089" width="9.1796875" style="58"/>
    <col min="4090" max="4090" width="7.81640625" style="58" bestFit="1" customWidth="1"/>
    <col min="4091" max="4091" width="2.54296875" style="58" customWidth="1"/>
    <col min="4092" max="4092" width="7.7265625" style="58" customWidth="1"/>
    <col min="4093" max="4093" width="15.453125" style="58" bestFit="1" customWidth="1"/>
    <col min="4094" max="4094" width="16.81640625" style="58" customWidth="1"/>
    <col min="4095" max="4105" width="15.81640625" style="58" customWidth="1"/>
    <col min="4106" max="4345" width="9.1796875" style="58"/>
    <col min="4346" max="4346" width="7.81640625" style="58" bestFit="1" customWidth="1"/>
    <col min="4347" max="4347" width="2.54296875" style="58" customWidth="1"/>
    <col min="4348" max="4348" width="7.7265625" style="58" customWidth="1"/>
    <col min="4349" max="4349" width="15.453125" style="58" bestFit="1" customWidth="1"/>
    <col min="4350" max="4350" width="16.81640625" style="58" customWidth="1"/>
    <col min="4351" max="4361" width="15.81640625" style="58" customWidth="1"/>
    <col min="4362" max="4601" width="9.1796875" style="58"/>
    <col min="4602" max="4602" width="7.81640625" style="58" bestFit="1" customWidth="1"/>
    <col min="4603" max="4603" width="2.54296875" style="58" customWidth="1"/>
    <col min="4604" max="4604" width="7.7265625" style="58" customWidth="1"/>
    <col min="4605" max="4605" width="15.453125" style="58" bestFit="1" customWidth="1"/>
    <col min="4606" max="4606" width="16.81640625" style="58" customWidth="1"/>
    <col min="4607" max="4617" width="15.81640625" style="58" customWidth="1"/>
    <col min="4618" max="4857" width="9.1796875" style="58"/>
    <col min="4858" max="4858" width="7.81640625" style="58" bestFit="1" customWidth="1"/>
    <col min="4859" max="4859" width="2.54296875" style="58" customWidth="1"/>
    <col min="4860" max="4860" width="7.7265625" style="58" customWidth="1"/>
    <col min="4861" max="4861" width="15.453125" style="58" bestFit="1" customWidth="1"/>
    <col min="4862" max="4862" width="16.81640625" style="58" customWidth="1"/>
    <col min="4863" max="4873" width="15.81640625" style="58" customWidth="1"/>
    <col min="4874" max="5113" width="9.1796875" style="58"/>
    <col min="5114" max="5114" width="7.81640625" style="58" bestFit="1" customWidth="1"/>
    <col min="5115" max="5115" width="2.54296875" style="58" customWidth="1"/>
    <col min="5116" max="5116" width="7.7265625" style="58" customWidth="1"/>
    <col min="5117" max="5117" width="15.453125" style="58" bestFit="1" customWidth="1"/>
    <col min="5118" max="5118" width="16.81640625" style="58" customWidth="1"/>
    <col min="5119" max="5129" width="15.81640625" style="58" customWidth="1"/>
    <col min="5130" max="5369" width="9.1796875" style="58"/>
    <col min="5370" max="5370" width="7.81640625" style="58" bestFit="1" customWidth="1"/>
    <col min="5371" max="5371" width="2.54296875" style="58" customWidth="1"/>
    <col min="5372" max="5372" width="7.7265625" style="58" customWidth="1"/>
    <col min="5373" max="5373" width="15.453125" style="58" bestFit="1" customWidth="1"/>
    <col min="5374" max="5374" width="16.81640625" style="58" customWidth="1"/>
    <col min="5375" max="5385" width="15.81640625" style="58" customWidth="1"/>
    <col min="5386" max="5625" width="9.1796875" style="58"/>
    <col min="5626" max="5626" width="7.81640625" style="58" bestFit="1" customWidth="1"/>
    <col min="5627" max="5627" width="2.54296875" style="58" customWidth="1"/>
    <col min="5628" max="5628" width="7.7265625" style="58" customWidth="1"/>
    <col min="5629" max="5629" width="15.453125" style="58" bestFit="1" customWidth="1"/>
    <col min="5630" max="5630" width="16.81640625" style="58" customWidth="1"/>
    <col min="5631" max="5641" width="15.81640625" style="58" customWidth="1"/>
    <col min="5642" max="5881" width="9.1796875" style="58"/>
    <col min="5882" max="5882" width="7.81640625" style="58" bestFit="1" customWidth="1"/>
    <col min="5883" max="5883" width="2.54296875" style="58" customWidth="1"/>
    <col min="5884" max="5884" width="7.7265625" style="58" customWidth="1"/>
    <col min="5885" max="5885" width="15.453125" style="58" bestFit="1" customWidth="1"/>
    <col min="5886" max="5886" width="16.81640625" style="58" customWidth="1"/>
    <col min="5887" max="5897" width="15.81640625" style="58" customWidth="1"/>
    <col min="5898" max="6137" width="9.1796875" style="58"/>
    <col min="6138" max="6138" width="7.81640625" style="58" bestFit="1" customWidth="1"/>
    <col min="6139" max="6139" width="2.54296875" style="58" customWidth="1"/>
    <col min="6140" max="6140" width="7.7265625" style="58" customWidth="1"/>
    <col min="6141" max="6141" width="15.453125" style="58" bestFit="1" customWidth="1"/>
    <col min="6142" max="6142" width="16.81640625" style="58" customWidth="1"/>
    <col min="6143" max="6153" width="15.81640625" style="58" customWidth="1"/>
    <col min="6154" max="6393" width="9.1796875" style="58"/>
    <col min="6394" max="6394" width="7.81640625" style="58" bestFit="1" customWidth="1"/>
    <col min="6395" max="6395" width="2.54296875" style="58" customWidth="1"/>
    <col min="6396" max="6396" width="7.7265625" style="58" customWidth="1"/>
    <col min="6397" max="6397" width="15.453125" style="58" bestFit="1" customWidth="1"/>
    <col min="6398" max="6398" width="16.81640625" style="58" customWidth="1"/>
    <col min="6399" max="6409" width="15.81640625" style="58" customWidth="1"/>
    <col min="6410" max="6649" width="9.1796875" style="58"/>
    <col min="6650" max="6650" width="7.81640625" style="58" bestFit="1" customWidth="1"/>
    <col min="6651" max="6651" width="2.54296875" style="58" customWidth="1"/>
    <col min="6652" max="6652" width="7.7265625" style="58" customWidth="1"/>
    <col min="6653" max="6653" width="15.453125" style="58" bestFit="1" customWidth="1"/>
    <col min="6654" max="6654" width="16.81640625" style="58" customWidth="1"/>
    <col min="6655" max="6665" width="15.81640625" style="58" customWidth="1"/>
    <col min="6666" max="6905" width="9.1796875" style="58"/>
    <col min="6906" max="6906" width="7.81640625" style="58" bestFit="1" customWidth="1"/>
    <col min="6907" max="6907" width="2.54296875" style="58" customWidth="1"/>
    <col min="6908" max="6908" width="7.7265625" style="58" customWidth="1"/>
    <col min="6909" max="6909" width="15.453125" style="58" bestFit="1" customWidth="1"/>
    <col min="6910" max="6910" width="16.81640625" style="58" customWidth="1"/>
    <col min="6911" max="6921" width="15.81640625" style="58" customWidth="1"/>
    <col min="6922" max="7161" width="9.1796875" style="58"/>
    <col min="7162" max="7162" width="7.81640625" style="58" bestFit="1" customWidth="1"/>
    <col min="7163" max="7163" width="2.54296875" style="58" customWidth="1"/>
    <col min="7164" max="7164" width="7.7265625" style="58" customWidth="1"/>
    <col min="7165" max="7165" width="15.453125" style="58" bestFit="1" customWidth="1"/>
    <col min="7166" max="7166" width="16.81640625" style="58" customWidth="1"/>
    <col min="7167" max="7177" width="15.81640625" style="58" customWidth="1"/>
    <col min="7178" max="7417" width="9.1796875" style="58"/>
    <col min="7418" max="7418" width="7.81640625" style="58" bestFit="1" customWidth="1"/>
    <col min="7419" max="7419" width="2.54296875" style="58" customWidth="1"/>
    <col min="7420" max="7420" width="7.7265625" style="58" customWidth="1"/>
    <col min="7421" max="7421" width="15.453125" style="58" bestFit="1" customWidth="1"/>
    <col min="7422" max="7422" width="16.81640625" style="58" customWidth="1"/>
    <col min="7423" max="7433" width="15.81640625" style="58" customWidth="1"/>
    <col min="7434" max="7673" width="9.1796875" style="58"/>
    <col min="7674" max="7674" width="7.81640625" style="58" bestFit="1" customWidth="1"/>
    <col min="7675" max="7675" width="2.54296875" style="58" customWidth="1"/>
    <col min="7676" max="7676" width="7.7265625" style="58" customWidth="1"/>
    <col min="7677" max="7677" width="15.453125" style="58" bestFit="1" customWidth="1"/>
    <col min="7678" max="7678" width="16.81640625" style="58" customWidth="1"/>
    <col min="7679" max="7689" width="15.81640625" style="58" customWidth="1"/>
    <col min="7690" max="7929" width="9.1796875" style="58"/>
    <col min="7930" max="7930" width="7.81640625" style="58" bestFit="1" customWidth="1"/>
    <col min="7931" max="7931" width="2.54296875" style="58" customWidth="1"/>
    <col min="7932" max="7932" width="7.7265625" style="58" customWidth="1"/>
    <col min="7933" max="7933" width="15.453125" style="58" bestFit="1" customWidth="1"/>
    <col min="7934" max="7934" width="16.81640625" style="58" customWidth="1"/>
    <col min="7935" max="7945" width="15.81640625" style="58" customWidth="1"/>
    <col min="7946" max="8185" width="9.1796875" style="58"/>
    <col min="8186" max="8186" width="7.81640625" style="58" bestFit="1" customWidth="1"/>
    <col min="8187" max="8187" width="2.54296875" style="58" customWidth="1"/>
    <col min="8188" max="8188" width="7.7265625" style="58" customWidth="1"/>
    <col min="8189" max="8189" width="15.453125" style="58" bestFit="1" customWidth="1"/>
    <col min="8190" max="8190" width="16.81640625" style="58" customWidth="1"/>
    <col min="8191" max="8201" width="15.81640625" style="58" customWidth="1"/>
    <col min="8202" max="8441" width="9.1796875" style="58"/>
    <col min="8442" max="8442" width="7.81640625" style="58" bestFit="1" customWidth="1"/>
    <col min="8443" max="8443" width="2.54296875" style="58" customWidth="1"/>
    <col min="8444" max="8444" width="7.7265625" style="58" customWidth="1"/>
    <col min="8445" max="8445" width="15.453125" style="58" bestFit="1" customWidth="1"/>
    <col min="8446" max="8446" width="16.81640625" style="58" customWidth="1"/>
    <col min="8447" max="8457" width="15.81640625" style="58" customWidth="1"/>
    <col min="8458" max="8697" width="9.1796875" style="58"/>
    <col min="8698" max="8698" width="7.81640625" style="58" bestFit="1" customWidth="1"/>
    <col min="8699" max="8699" width="2.54296875" style="58" customWidth="1"/>
    <col min="8700" max="8700" width="7.7265625" style="58" customWidth="1"/>
    <col min="8701" max="8701" width="15.453125" style="58" bestFit="1" customWidth="1"/>
    <col min="8702" max="8702" width="16.81640625" style="58" customWidth="1"/>
    <col min="8703" max="8713" width="15.81640625" style="58" customWidth="1"/>
    <col min="8714" max="8953" width="9.1796875" style="58"/>
    <col min="8954" max="8954" width="7.81640625" style="58" bestFit="1" customWidth="1"/>
    <col min="8955" max="8955" width="2.54296875" style="58" customWidth="1"/>
    <col min="8956" max="8956" width="7.7265625" style="58" customWidth="1"/>
    <col min="8957" max="8957" width="15.453125" style="58" bestFit="1" customWidth="1"/>
    <col min="8958" max="8958" width="16.81640625" style="58" customWidth="1"/>
    <col min="8959" max="8969" width="15.81640625" style="58" customWidth="1"/>
    <col min="8970" max="9209" width="9.1796875" style="58"/>
    <col min="9210" max="9210" width="7.81640625" style="58" bestFit="1" customWidth="1"/>
    <col min="9211" max="9211" width="2.54296875" style="58" customWidth="1"/>
    <col min="9212" max="9212" width="7.7265625" style="58" customWidth="1"/>
    <col min="9213" max="9213" width="15.453125" style="58" bestFit="1" customWidth="1"/>
    <col min="9214" max="9214" width="16.81640625" style="58" customWidth="1"/>
    <col min="9215" max="9225" width="15.81640625" style="58" customWidth="1"/>
    <col min="9226" max="9465" width="9.1796875" style="58"/>
    <col min="9466" max="9466" width="7.81640625" style="58" bestFit="1" customWidth="1"/>
    <col min="9467" max="9467" width="2.54296875" style="58" customWidth="1"/>
    <col min="9468" max="9468" width="7.7265625" style="58" customWidth="1"/>
    <col min="9469" max="9469" width="15.453125" style="58" bestFit="1" customWidth="1"/>
    <col min="9470" max="9470" width="16.81640625" style="58" customWidth="1"/>
    <col min="9471" max="9481" width="15.81640625" style="58" customWidth="1"/>
    <col min="9482" max="9721" width="9.1796875" style="58"/>
    <col min="9722" max="9722" width="7.81640625" style="58" bestFit="1" customWidth="1"/>
    <col min="9723" max="9723" width="2.54296875" style="58" customWidth="1"/>
    <col min="9724" max="9724" width="7.7265625" style="58" customWidth="1"/>
    <col min="9725" max="9725" width="15.453125" style="58" bestFit="1" customWidth="1"/>
    <col min="9726" max="9726" width="16.81640625" style="58" customWidth="1"/>
    <col min="9727" max="9737" width="15.81640625" style="58" customWidth="1"/>
    <col min="9738" max="9977" width="9.1796875" style="58"/>
    <col min="9978" max="9978" width="7.81640625" style="58" bestFit="1" customWidth="1"/>
    <col min="9979" max="9979" width="2.54296875" style="58" customWidth="1"/>
    <col min="9980" max="9980" width="7.7265625" style="58" customWidth="1"/>
    <col min="9981" max="9981" width="15.453125" style="58" bestFit="1" customWidth="1"/>
    <col min="9982" max="9982" width="16.81640625" style="58" customWidth="1"/>
    <col min="9983" max="9993" width="15.81640625" style="58" customWidth="1"/>
    <col min="9994" max="10233" width="9.1796875" style="58"/>
    <col min="10234" max="10234" width="7.81640625" style="58" bestFit="1" customWidth="1"/>
    <col min="10235" max="10235" width="2.54296875" style="58" customWidth="1"/>
    <col min="10236" max="10236" width="7.7265625" style="58" customWidth="1"/>
    <col min="10237" max="10237" width="15.453125" style="58" bestFit="1" customWidth="1"/>
    <col min="10238" max="10238" width="16.81640625" style="58" customWidth="1"/>
    <col min="10239" max="10249" width="15.81640625" style="58" customWidth="1"/>
    <col min="10250" max="10489" width="9.1796875" style="58"/>
    <col min="10490" max="10490" width="7.81640625" style="58" bestFit="1" customWidth="1"/>
    <col min="10491" max="10491" width="2.54296875" style="58" customWidth="1"/>
    <col min="10492" max="10492" width="7.7265625" style="58" customWidth="1"/>
    <col min="10493" max="10493" width="15.453125" style="58" bestFit="1" customWidth="1"/>
    <col min="10494" max="10494" width="16.81640625" style="58" customWidth="1"/>
    <col min="10495" max="10505" width="15.81640625" style="58" customWidth="1"/>
    <col min="10506" max="10745" width="9.1796875" style="58"/>
    <col min="10746" max="10746" width="7.81640625" style="58" bestFit="1" customWidth="1"/>
    <col min="10747" max="10747" width="2.54296875" style="58" customWidth="1"/>
    <col min="10748" max="10748" width="7.7265625" style="58" customWidth="1"/>
    <col min="10749" max="10749" width="15.453125" style="58" bestFit="1" customWidth="1"/>
    <col min="10750" max="10750" width="16.81640625" style="58" customWidth="1"/>
    <col min="10751" max="10761" width="15.81640625" style="58" customWidth="1"/>
    <col min="10762" max="11001" width="9.1796875" style="58"/>
    <col min="11002" max="11002" width="7.81640625" style="58" bestFit="1" customWidth="1"/>
    <col min="11003" max="11003" width="2.54296875" style="58" customWidth="1"/>
    <col min="11004" max="11004" width="7.7265625" style="58" customWidth="1"/>
    <col min="11005" max="11005" width="15.453125" style="58" bestFit="1" customWidth="1"/>
    <col min="11006" max="11006" width="16.81640625" style="58" customWidth="1"/>
    <col min="11007" max="11017" width="15.81640625" style="58" customWidth="1"/>
    <col min="11018" max="11257" width="9.1796875" style="58"/>
    <col min="11258" max="11258" width="7.81640625" style="58" bestFit="1" customWidth="1"/>
    <col min="11259" max="11259" width="2.54296875" style="58" customWidth="1"/>
    <col min="11260" max="11260" width="7.7265625" style="58" customWidth="1"/>
    <col min="11261" max="11261" width="15.453125" style="58" bestFit="1" customWidth="1"/>
    <col min="11262" max="11262" width="16.81640625" style="58" customWidth="1"/>
    <col min="11263" max="11273" width="15.81640625" style="58" customWidth="1"/>
    <col min="11274" max="11513" width="9.1796875" style="58"/>
    <col min="11514" max="11514" width="7.81640625" style="58" bestFit="1" customWidth="1"/>
    <col min="11515" max="11515" width="2.54296875" style="58" customWidth="1"/>
    <col min="11516" max="11516" width="7.7265625" style="58" customWidth="1"/>
    <col min="11517" max="11517" width="15.453125" style="58" bestFit="1" customWidth="1"/>
    <col min="11518" max="11518" width="16.81640625" style="58" customWidth="1"/>
    <col min="11519" max="11529" width="15.81640625" style="58" customWidth="1"/>
    <col min="11530" max="11769" width="9.1796875" style="58"/>
    <col min="11770" max="11770" width="7.81640625" style="58" bestFit="1" customWidth="1"/>
    <col min="11771" max="11771" width="2.54296875" style="58" customWidth="1"/>
    <col min="11772" max="11772" width="7.7265625" style="58" customWidth="1"/>
    <col min="11773" max="11773" width="15.453125" style="58" bestFit="1" customWidth="1"/>
    <col min="11774" max="11774" width="16.81640625" style="58" customWidth="1"/>
    <col min="11775" max="11785" width="15.81640625" style="58" customWidth="1"/>
    <col min="11786" max="12025" width="9.1796875" style="58"/>
    <col min="12026" max="12026" width="7.81640625" style="58" bestFit="1" customWidth="1"/>
    <col min="12027" max="12027" width="2.54296875" style="58" customWidth="1"/>
    <col min="12028" max="12028" width="7.7265625" style="58" customWidth="1"/>
    <col min="12029" max="12029" width="15.453125" style="58" bestFit="1" customWidth="1"/>
    <col min="12030" max="12030" width="16.81640625" style="58" customWidth="1"/>
    <col min="12031" max="12041" width="15.81640625" style="58" customWidth="1"/>
    <col min="12042" max="12281" width="9.1796875" style="58"/>
    <col min="12282" max="12282" width="7.81640625" style="58" bestFit="1" customWidth="1"/>
    <col min="12283" max="12283" width="2.54296875" style="58" customWidth="1"/>
    <col min="12284" max="12284" width="7.7265625" style="58" customWidth="1"/>
    <col min="12285" max="12285" width="15.453125" style="58" bestFit="1" customWidth="1"/>
    <col min="12286" max="12286" width="16.81640625" style="58" customWidth="1"/>
    <col min="12287" max="12297" width="15.81640625" style="58" customWidth="1"/>
    <col min="12298" max="12537" width="9.1796875" style="58"/>
    <col min="12538" max="12538" width="7.81640625" style="58" bestFit="1" customWidth="1"/>
    <col min="12539" max="12539" width="2.54296875" style="58" customWidth="1"/>
    <col min="12540" max="12540" width="7.7265625" style="58" customWidth="1"/>
    <col min="12541" max="12541" width="15.453125" style="58" bestFit="1" customWidth="1"/>
    <col min="12542" max="12542" width="16.81640625" style="58" customWidth="1"/>
    <col min="12543" max="12553" width="15.81640625" style="58" customWidth="1"/>
    <col min="12554" max="12793" width="9.1796875" style="58"/>
    <col min="12794" max="12794" width="7.81640625" style="58" bestFit="1" customWidth="1"/>
    <col min="12795" max="12795" width="2.54296875" style="58" customWidth="1"/>
    <col min="12796" max="12796" width="7.7265625" style="58" customWidth="1"/>
    <col min="12797" max="12797" width="15.453125" style="58" bestFit="1" customWidth="1"/>
    <col min="12798" max="12798" width="16.81640625" style="58" customWidth="1"/>
    <col min="12799" max="12809" width="15.81640625" style="58" customWidth="1"/>
    <col min="12810" max="13049" width="9.1796875" style="58"/>
    <col min="13050" max="13050" width="7.81640625" style="58" bestFit="1" customWidth="1"/>
    <col min="13051" max="13051" width="2.54296875" style="58" customWidth="1"/>
    <col min="13052" max="13052" width="7.7265625" style="58" customWidth="1"/>
    <col min="13053" max="13053" width="15.453125" style="58" bestFit="1" customWidth="1"/>
    <col min="13054" max="13054" width="16.81640625" style="58" customWidth="1"/>
    <col min="13055" max="13065" width="15.81640625" style="58" customWidth="1"/>
    <col min="13066" max="13305" width="9.1796875" style="58"/>
    <col min="13306" max="13306" width="7.81640625" style="58" bestFit="1" customWidth="1"/>
    <col min="13307" max="13307" width="2.54296875" style="58" customWidth="1"/>
    <col min="13308" max="13308" width="7.7265625" style="58" customWidth="1"/>
    <col min="13309" max="13309" width="15.453125" style="58" bestFit="1" customWidth="1"/>
    <col min="13310" max="13310" width="16.81640625" style="58" customWidth="1"/>
    <col min="13311" max="13321" width="15.81640625" style="58" customWidth="1"/>
    <col min="13322" max="13561" width="9.1796875" style="58"/>
    <col min="13562" max="13562" width="7.81640625" style="58" bestFit="1" customWidth="1"/>
    <col min="13563" max="13563" width="2.54296875" style="58" customWidth="1"/>
    <col min="13564" max="13564" width="7.7265625" style="58" customWidth="1"/>
    <col min="13565" max="13565" width="15.453125" style="58" bestFit="1" customWidth="1"/>
    <col min="13566" max="13566" width="16.81640625" style="58" customWidth="1"/>
    <col min="13567" max="13577" width="15.81640625" style="58" customWidth="1"/>
    <col min="13578" max="13817" width="9.1796875" style="58"/>
    <col min="13818" max="13818" width="7.81640625" style="58" bestFit="1" customWidth="1"/>
    <col min="13819" max="13819" width="2.54296875" style="58" customWidth="1"/>
    <col min="13820" max="13820" width="7.7265625" style="58" customWidth="1"/>
    <col min="13821" max="13821" width="15.453125" style="58" bestFit="1" customWidth="1"/>
    <col min="13822" max="13822" width="16.81640625" style="58" customWidth="1"/>
    <col min="13823" max="13833" width="15.81640625" style="58" customWidth="1"/>
    <col min="13834" max="14073" width="9.1796875" style="58"/>
    <col min="14074" max="14074" width="7.81640625" style="58" bestFit="1" customWidth="1"/>
    <col min="14075" max="14075" width="2.54296875" style="58" customWidth="1"/>
    <col min="14076" max="14076" width="7.7265625" style="58" customWidth="1"/>
    <col min="14077" max="14077" width="15.453125" style="58" bestFit="1" customWidth="1"/>
    <col min="14078" max="14078" width="16.81640625" style="58" customWidth="1"/>
    <col min="14079" max="14089" width="15.81640625" style="58" customWidth="1"/>
    <col min="14090" max="14329" width="9.1796875" style="58"/>
    <col min="14330" max="14330" width="7.81640625" style="58" bestFit="1" customWidth="1"/>
    <col min="14331" max="14331" width="2.54296875" style="58" customWidth="1"/>
    <col min="14332" max="14332" width="7.7265625" style="58" customWidth="1"/>
    <col min="14333" max="14333" width="15.453125" style="58" bestFit="1" customWidth="1"/>
    <col min="14334" max="14334" width="16.81640625" style="58" customWidth="1"/>
    <col min="14335" max="14345" width="15.81640625" style="58" customWidth="1"/>
    <col min="14346" max="14585" width="9.1796875" style="58"/>
    <col min="14586" max="14586" width="7.81640625" style="58" bestFit="1" customWidth="1"/>
    <col min="14587" max="14587" width="2.54296875" style="58" customWidth="1"/>
    <col min="14588" max="14588" width="7.7265625" style="58" customWidth="1"/>
    <col min="14589" max="14589" width="15.453125" style="58" bestFit="1" customWidth="1"/>
    <col min="14590" max="14590" width="16.81640625" style="58" customWidth="1"/>
    <col min="14591" max="14601" width="15.81640625" style="58" customWidth="1"/>
    <col min="14602" max="14841" width="9.1796875" style="58"/>
    <col min="14842" max="14842" width="7.81640625" style="58" bestFit="1" customWidth="1"/>
    <col min="14843" max="14843" width="2.54296875" style="58" customWidth="1"/>
    <col min="14844" max="14844" width="7.7265625" style="58" customWidth="1"/>
    <col min="14845" max="14845" width="15.453125" style="58" bestFit="1" customWidth="1"/>
    <col min="14846" max="14846" width="16.81640625" style="58" customWidth="1"/>
    <col min="14847" max="14857" width="15.81640625" style="58" customWidth="1"/>
    <col min="14858" max="15097" width="9.1796875" style="58"/>
    <col min="15098" max="15098" width="7.81640625" style="58" bestFit="1" customWidth="1"/>
    <col min="15099" max="15099" width="2.54296875" style="58" customWidth="1"/>
    <col min="15100" max="15100" width="7.7265625" style="58" customWidth="1"/>
    <col min="15101" max="15101" width="15.453125" style="58" bestFit="1" customWidth="1"/>
    <col min="15102" max="15102" width="16.81640625" style="58" customWidth="1"/>
    <col min="15103" max="15113" width="15.81640625" style="58" customWidth="1"/>
    <col min="15114" max="15353" width="9.1796875" style="58"/>
    <col min="15354" max="15354" width="7.81640625" style="58" bestFit="1" customWidth="1"/>
    <col min="15355" max="15355" width="2.54296875" style="58" customWidth="1"/>
    <col min="15356" max="15356" width="7.7265625" style="58" customWidth="1"/>
    <col min="15357" max="15357" width="15.453125" style="58" bestFit="1" customWidth="1"/>
    <col min="15358" max="15358" width="16.81640625" style="58" customWidth="1"/>
    <col min="15359" max="15369" width="15.81640625" style="58" customWidth="1"/>
    <col min="15370" max="15609" width="9.1796875" style="58"/>
    <col min="15610" max="15610" width="7.81640625" style="58" bestFit="1" customWidth="1"/>
    <col min="15611" max="15611" width="2.54296875" style="58" customWidth="1"/>
    <col min="15612" max="15612" width="7.7265625" style="58" customWidth="1"/>
    <col min="15613" max="15613" width="15.453125" style="58" bestFit="1" customWidth="1"/>
    <col min="15614" max="15614" width="16.81640625" style="58" customWidth="1"/>
    <col min="15615" max="15625" width="15.81640625" style="58" customWidth="1"/>
    <col min="15626" max="15865" width="9.1796875" style="58"/>
    <col min="15866" max="15866" width="7.81640625" style="58" bestFit="1" customWidth="1"/>
    <col min="15867" max="15867" width="2.54296875" style="58" customWidth="1"/>
    <col min="15868" max="15868" width="7.7265625" style="58" customWidth="1"/>
    <col min="15869" max="15869" width="15.453125" style="58" bestFit="1" customWidth="1"/>
    <col min="15870" max="15870" width="16.81640625" style="58" customWidth="1"/>
    <col min="15871" max="15881" width="15.81640625" style="58" customWidth="1"/>
    <col min="15882" max="16121" width="9.1796875" style="58"/>
    <col min="16122" max="16122" width="7.81640625" style="58" bestFit="1" customWidth="1"/>
    <col min="16123" max="16123" width="2.54296875" style="58" customWidth="1"/>
    <col min="16124" max="16124" width="7.7265625" style="58" customWidth="1"/>
    <col min="16125" max="16125" width="15.453125" style="58" bestFit="1" customWidth="1"/>
    <col min="16126" max="16126" width="16.81640625" style="58" customWidth="1"/>
    <col min="16127" max="16137" width="15.81640625" style="58" customWidth="1"/>
    <col min="16138" max="16384" width="9.1796875" style="58"/>
  </cols>
  <sheetData>
    <row r="1" spans="1:17">
      <c r="A1" s="47" t="s">
        <v>195</v>
      </c>
    </row>
    <row r="2" spans="1:17">
      <c r="A2" s="47" t="s">
        <v>42</v>
      </c>
      <c r="B2" s="59"/>
      <c r="C2" s="59"/>
      <c r="D2" s="59"/>
      <c r="E2" s="59"/>
      <c r="F2" s="59"/>
      <c r="G2" s="59"/>
      <c r="H2" s="59"/>
      <c r="I2" s="59"/>
      <c r="J2" s="59"/>
      <c r="K2" s="59"/>
      <c r="L2" s="59"/>
      <c r="M2" s="59"/>
      <c r="N2" s="59"/>
    </row>
    <row r="3" spans="1:17">
      <c r="B3" s="59"/>
      <c r="C3" s="59"/>
      <c r="D3" s="59"/>
      <c r="E3" s="59"/>
      <c r="F3" s="59"/>
      <c r="G3" s="59"/>
      <c r="H3" s="59"/>
      <c r="I3" s="59"/>
      <c r="J3" s="59"/>
      <c r="K3" s="59"/>
      <c r="L3" s="59"/>
      <c r="M3" s="59"/>
      <c r="N3" s="59"/>
    </row>
    <row r="4" spans="1:17">
      <c r="B4" s="60"/>
      <c r="C4" s="60"/>
      <c r="D4" s="60"/>
      <c r="E4" s="60"/>
      <c r="F4" s="60"/>
      <c r="G4" s="60"/>
      <c r="H4" s="60"/>
      <c r="I4" s="60"/>
      <c r="J4" s="60"/>
      <c r="K4" s="60"/>
      <c r="L4" s="60"/>
      <c r="M4" s="60"/>
      <c r="N4" s="60"/>
    </row>
    <row r="5" spans="1:17">
      <c r="A5" s="61"/>
      <c r="B5" s="61"/>
      <c r="C5" s="61"/>
      <c r="D5" s="61"/>
      <c r="E5" s="61"/>
      <c r="F5" s="61"/>
      <c r="G5" s="61"/>
      <c r="H5" s="61"/>
      <c r="I5" s="61"/>
      <c r="J5" s="61"/>
      <c r="K5" s="61"/>
      <c r="L5" s="61"/>
      <c r="M5" s="61"/>
      <c r="N5" s="61"/>
    </row>
    <row r="6" spans="1:17">
      <c r="A6" s="136" t="s">
        <v>106</v>
      </c>
      <c r="B6" s="136"/>
      <c r="C6" s="136"/>
      <c r="D6" s="136"/>
      <c r="E6" s="136"/>
      <c r="F6" s="136"/>
      <c r="G6" s="136"/>
      <c r="H6" s="136"/>
      <c r="I6" s="136"/>
      <c r="J6" s="136"/>
      <c r="K6" s="136"/>
      <c r="L6" s="136"/>
      <c r="M6" s="136"/>
      <c r="N6" s="136"/>
    </row>
    <row r="7" spans="1:17">
      <c r="A7" s="61"/>
      <c r="B7" s="61"/>
      <c r="C7" s="61"/>
      <c r="D7" s="61"/>
      <c r="E7" s="61"/>
      <c r="F7" s="61"/>
      <c r="G7" s="61"/>
      <c r="H7" s="61"/>
      <c r="I7" s="61"/>
      <c r="J7" s="61"/>
      <c r="K7" s="61"/>
      <c r="L7" s="61"/>
      <c r="M7" s="61"/>
      <c r="N7" s="61"/>
    </row>
    <row r="9" spans="1:17">
      <c r="A9" s="62" t="s">
        <v>92</v>
      </c>
      <c r="B9" s="63" t="s">
        <v>11</v>
      </c>
      <c r="C9" s="63" t="s">
        <v>12</v>
      </c>
      <c r="D9" s="63" t="s">
        <v>13</v>
      </c>
      <c r="E9" s="63" t="s">
        <v>14</v>
      </c>
      <c r="F9" s="63" t="s">
        <v>15</v>
      </c>
      <c r="G9" s="63" t="s">
        <v>16</v>
      </c>
      <c r="H9" s="63" t="s">
        <v>17</v>
      </c>
      <c r="I9" s="63" t="s">
        <v>18</v>
      </c>
      <c r="J9" s="63" t="s">
        <v>19</v>
      </c>
      <c r="K9" s="63" t="s">
        <v>20</v>
      </c>
      <c r="L9" s="63" t="s">
        <v>9</v>
      </c>
      <c r="M9" s="63" t="s">
        <v>10</v>
      </c>
      <c r="N9" s="64" t="s">
        <v>21</v>
      </c>
    </row>
    <row r="10" spans="1:17">
      <c r="B10" s="60"/>
    </row>
    <row r="11" spans="1:17">
      <c r="A11" s="62" t="s">
        <v>99</v>
      </c>
      <c r="P11" s="65"/>
    </row>
    <row r="12" spans="1:17">
      <c r="A12" s="58" t="s">
        <v>57</v>
      </c>
      <c r="B12" s="66">
        <v>253948.79416983886</v>
      </c>
      <c r="C12" s="66">
        <v>223386.0350865479</v>
      </c>
      <c r="D12" s="66">
        <v>214810.37013093464</v>
      </c>
      <c r="E12" s="66">
        <v>161383.24377628585</v>
      </c>
      <c r="F12" s="66">
        <v>125802.58087492904</v>
      </c>
      <c r="G12" s="66">
        <v>96802.065720749408</v>
      </c>
      <c r="H12" s="66">
        <v>91387.435635880378</v>
      </c>
      <c r="I12" s="66">
        <v>90603.682299120468</v>
      </c>
      <c r="J12" s="66">
        <v>90167.90019793353</v>
      </c>
      <c r="K12" s="66">
        <v>143900.95245918768</v>
      </c>
      <c r="L12" s="66">
        <v>179244.90368240431</v>
      </c>
      <c r="M12" s="66">
        <v>227963.90353332533</v>
      </c>
      <c r="N12" s="66">
        <f>SUM(B12:M12)</f>
        <v>1899401.8675671371</v>
      </c>
      <c r="O12" s="66"/>
      <c r="P12" s="67"/>
      <c r="Q12" s="68"/>
    </row>
    <row r="13" spans="1:17">
      <c r="A13" s="58" t="s">
        <v>59</v>
      </c>
      <c r="B13" s="66">
        <v>52152.818592139258</v>
      </c>
      <c r="C13" s="66">
        <v>45786.699918858889</v>
      </c>
      <c r="D13" s="66">
        <v>43389.699180045362</v>
      </c>
      <c r="E13" s="66">
        <v>31674.295174115086</v>
      </c>
      <c r="F13" s="66">
        <v>23596.522717910411</v>
      </c>
      <c r="G13" s="66">
        <v>17322.08349142678</v>
      </c>
      <c r="H13" s="66">
        <v>16133.598064259841</v>
      </c>
      <c r="I13" s="66">
        <v>15948.088511070478</v>
      </c>
      <c r="J13" s="66">
        <v>15433.634042971429</v>
      </c>
      <c r="K13" s="66">
        <v>27785.876089304023</v>
      </c>
      <c r="L13" s="66">
        <v>35751.748303151908</v>
      </c>
      <c r="M13" s="66">
        <v>46392.127949426693</v>
      </c>
      <c r="N13" s="66">
        <f t="shared" ref="N13:N21" si="0">SUM(B13:M13)</f>
        <v>371367.19203468016</v>
      </c>
      <c r="O13" s="66"/>
      <c r="P13" s="67"/>
      <c r="Q13" s="68"/>
    </row>
    <row r="14" spans="1:17">
      <c r="A14" s="58" t="s">
        <v>0</v>
      </c>
      <c r="B14" s="66">
        <v>38458426.074565507</v>
      </c>
      <c r="C14" s="66">
        <v>32690357.008151326</v>
      </c>
      <c r="D14" s="66">
        <v>27736762.522215366</v>
      </c>
      <c r="E14" s="66">
        <v>16026499.176726587</v>
      </c>
      <c r="F14" s="66">
        <v>8496482.5147369318</v>
      </c>
      <c r="G14" s="66">
        <v>4655244.5934199281</v>
      </c>
      <c r="H14" s="66">
        <v>3408638.4754508338</v>
      </c>
      <c r="I14" s="66">
        <v>3408638.4754508338</v>
      </c>
      <c r="J14" s="66">
        <v>3612556.3616213975</v>
      </c>
      <c r="K14" s="66">
        <v>11320803.397235963</v>
      </c>
      <c r="L14" s="66">
        <v>20260513.221977346</v>
      </c>
      <c r="M14" s="66">
        <v>32070719.40788193</v>
      </c>
      <c r="N14" s="66">
        <f t="shared" si="0"/>
        <v>202145641.22943395</v>
      </c>
      <c r="O14" s="66"/>
      <c r="P14" s="67"/>
      <c r="Q14" s="68"/>
    </row>
    <row r="15" spans="1:17">
      <c r="A15" s="58" t="s">
        <v>60</v>
      </c>
      <c r="B15" s="66">
        <v>4689397.3033331353</v>
      </c>
      <c r="C15" s="66">
        <v>4085937.5397900306</v>
      </c>
      <c r="D15" s="66">
        <v>3495859.5387305892</v>
      </c>
      <c r="E15" s="66">
        <v>2121966.0294334213</v>
      </c>
      <c r="F15" s="66">
        <v>1207937.4234593923</v>
      </c>
      <c r="G15" s="66">
        <v>645932.55117876956</v>
      </c>
      <c r="H15" s="66">
        <v>464286.75800310151</v>
      </c>
      <c r="I15" s="66">
        <v>464286.75800310157</v>
      </c>
      <c r="J15" s="66">
        <v>460002.09692312696</v>
      </c>
      <c r="K15" s="66">
        <v>1358629.3172173323</v>
      </c>
      <c r="L15" s="66">
        <v>2427544.1101779565</v>
      </c>
      <c r="M15" s="66">
        <v>3862832.2767750286</v>
      </c>
      <c r="N15" s="66">
        <f t="shared" si="0"/>
        <v>25284611.703024987</v>
      </c>
      <c r="O15" s="66"/>
      <c r="P15" s="67"/>
      <c r="Q15" s="68"/>
    </row>
    <row r="16" spans="1:17">
      <c r="A16" s="58" t="s">
        <v>93</v>
      </c>
      <c r="B16" s="66">
        <v>9942815.8493343554</v>
      </c>
      <c r="C16" s="66">
        <v>8373364.9583614841</v>
      </c>
      <c r="D16" s="66">
        <v>6787552.2075831853</v>
      </c>
      <c r="E16" s="66">
        <v>3647780.7631102582</v>
      </c>
      <c r="F16" s="66">
        <v>1645559.6534933685</v>
      </c>
      <c r="G16" s="66">
        <v>683775.7070042186</v>
      </c>
      <c r="H16" s="66">
        <v>489970.40636821499</v>
      </c>
      <c r="I16" s="66">
        <v>489970.40636821493</v>
      </c>
      <c r="J16" s="66">
        <v>597446.28265743656</v>
      </c>
      <c r="K16" s="66">
        <v>2334389.3308122121</v>
      </c>
      <c r="L16" s="66">
        <v>4673102.1956986599</v>
      </c>
      <c r="M16" s="66">
        <v>7969656.2082606275</v>
      </c>
      <c r="N16" s="66">
        <f t="shared" si="0"/>
        <v>47635383.96905224</v>
      </c>
      <c r="O16" s="66"/>
      <c r="P16" s="67"/>
      <c r="Q16" s="68"/>
    </row>
    <row r="17" spans="1:17">
      <c r="A17" s="58" t="s">
        <v>94</v>
      </c>
      <c r="B17" s="66">
        <v>13897193.468835998</v>
      </c>
      <c r="C17" s="66">
        <v>12121746.532064442</v>
      </c>
      <c r="D17" s="66">
        <v>10340355.140153736</v>
      </c>
      <c r="E17" s="66">
        <v>5775332.9447719501</v>
      </c>
      <c r="F17" s="66">
        <v>3305683.3411596636</v>
      </c>
      <c r="G17" s="66">
        <v>1506720.1174999704</v>
      </c>
      <c r="H17" s="66">
        <v>961036.57118026598</v>
      </c>
      <c r="I17" s="66">
        <v>1312433.6504047776</v>
      </c>
      <c r="J17" s="66">
        <v>1242315.4891983068</v>
      </c>
      <c r="K17" s="66">
        <v>4581710.0090356739</v>
      </c>
      <c r="L17" s="66">
        <v>7545290.5437102821</v>
      </c>
      <c r="M17" s="66">
        <v>11378147.294222999</v>
      </c>
      <c r="N17" s="66">
        <f t="shared" si="0"/>
        <v>73967965.102238074</v>
      </c>
      <c r="O17" s="66"/>
      <c r="P17" s="67"/>
      <c r="Q17" s="68"/>
    </row>
    <row r="18" spans="1:17">
      <c r="A18" s="58" t="s">
        <v>95</v>
      </c>
      <c r="B18" s="66">
        <v>5834051.9598380178</v>
      </c>
      <c r="C18" s="66">
        <v>5432999.4196535787</v>
      </c>
      <c r="D18" s="66">
        <v>4683988.4526757905</v>
      </c>
      <c r="E18" s="66">
        <v>3425153.8796441164</v>
      </c>
      <c r="F18" s="66">
        <v>2112332.9049834344</v>
      </c>
      <c r="G18" s="66">
        <v>1085158.5261177786</v>
      </c>
      <c r="H18" s="66">
        <v>901915.23337820056</v>
      </c>
      <c r="I18" s="66">
        <v>1098190.667668741</v>
      </c>
      <c r="J18" s="66">
        <v>1198896.2166535277</v>
      </c>
      <c r="K18" s="66">
        <v>2202008.9700828162</v>
      </c>
      <c r="L18" s="66">
        <v>3283582.3534758948</v>
      </c>
      <c r="M18" s="66">
        <v>4495946.7380524725</v>
      </c>
      <c r="N18" s="66">
        <f t="shared" si="0"/>
        <v>35754225.322224371</v>
      </c>
      <c r="O18" s="66"/>
      <c r="P18" s="67"/>
      <c r="Q18" s="68"/>
    </row>
    <row r="19" spans="1:17">
      <c r="A19" s="58" t="s">
        <v>96</v>
      </c>
      <c r="B19" s="66">
        <v>1491407.2781716008</v>
      </c>
      <c r="C19" s="66">
        <v>1321371.5602850586</v>
      </c>
      <c r="D19" s="66">
        <v>1307719.7321031382</v>
      </c>
      <c r="E19" s="66">
        <v>1047352.3491648491</v>
      </c>
      <c r="F19" s="66">
        <v>891303.95292110951</v>
      </c>
      <c r="G19" s="66">
        <v>746953.08829038101</v>
      </c>
      <c r="H19" s="66">
        <v>728696.63133868552</v>
      </c>
      <c r="I19" s="66">
        <v>725673.98061115434</v>
      </c>
      <c r="J19" s="66">
        <v>727403.83652880928</v>
      </c>
      <c r="K19" s="66">
        <v>981865.16081253591</v>
      </c>
      <c r="L19" s="66">
        <v>1135101.9854179947</v>
      </c>
      <c r="M19" s="66">
        <v>1372014.9979855237</v>
      </c>
      <c r="N19" s="66">
        <f t="shared" si="0"/>
        <v>12476864.55363084</v>
      </c>
      <c r="O19" s="66"/>
      <c r="P19" s="67"/>
      <c r="Q19" s="68"/>
    </row>
    <row r="20" spans="1:17">
      <c r="A20" s="58" t="s">
        <v>97</v>
      </c>
      <c r="B20" s="66">
        <v>4035891.0811840836</v>
      </c>
      <c r="C20" s="66">
        <v>3573999.9240941461</v>
      </c>
      <c r="D20" s="66">
        <v>3531318.6814680956</v>
      </c>
      <c r="E20" s="66">
        <v>2818085.4683402972</v>
      </c>
      <c r="F20" s="66">
        <v>2384539.9682961125</v>
      </c>
      <c r="G20" s="66">
        <v>1986989.9020999058</v>
      </c>
      <c r="H20" s="66">
        <v>1926840.4665402439</v>
      </c>
      <c r="I20" s="66">
        <v>1929465.4665402439</v>
      </c>
      <c r="J20" s="66">
        <v>2029249.5188453605</v>
      </c>
      <c r="K20" s="66">
        <v>2627949.7580281319</v>
      </c>
      <c r="L20" s="66">
        <v>3053635.8942715898</v>
      </c>
      <c r="M20" s="66">
        <v>3704644.2766996995</v>
      </c>
      <c r="N20" s="66">
        <f t="shared" si="0"/>
        <v>33602610.406407908</v>
      </c>
      <c r="O20" s="66"/>
      <c r="P20" s="67"/>
      <c r="Q20" s="68"/>
    </row>
    <row r="21" spans="1:17">
      <c r="A21" s="58" t="s">
        <v>98</v>
      </c>
      <c r="B21" s="69">
        <v>9015280.5</v>
      </c>
      <c r="C21" s="69">
        <v>7504433.4151785718</v>
      </c>
      <c r="D21" s="69">
        <v>8150075</v>
      </c>
      <c r="E21" s="69">
        <v>7640152</v>
      </c>
      <c r="F21" s="69">
        <v>6746236</v>
      </c>
      <c r="G21" s="69">
        <v>5658370</v>
      </c>
      <c r="H21" s="69">
        <v>5250441</v>
      </c>
      <c r="I21" s="69">
        <v>5772606</v>
      </c>
      <c r="J21" s="69">
        <v>5742406</v>
      </c>
      <c r="K21" s="69">
        <v>6951750</v>
      </c>
      <c r="L21" s="69">
        <v>7686628</v>
      </c>
      <c r="M21" s="69">
        <v>8160212</v>
      </c>
      <c r="N21" s="69">
        <f t="shared" si="0"/>
        <v>84278589.915178567</v>
      </c>
      <c r="O21" s="69"/>
      <c r="P21" s="70"/>
      <c r="Q21" s="68"/>
    </row>
    <row r="22" spans="1:17">
      <c r="A22" s="58" t="s">
        <v>21</v>
      </c>
      <c r="B22" s="71">
        <f>SUM(B12:B21)</f>
        <v>87670565.128024682</v>
      </c>
      <c r="C22" s="71">
        <f t="shared" ref="C22:N22" si="1">SUM(C12:C21)</f>
        <v>75373383.092584044</v>
      </c>
      <c r="D22" s="71">
        <f t="shared" si="1"/>
        <v>66291831.344240889</v>
      </c>
      <c r="E22" s="71">
        <f t="shared" si="1"/>
        <v>42695380.15014188</v>
      </c>
      <c r="F22" s="71">
        <f t="shared" si="1"/>
        <v>26939474.862642854</v>
      </c>
      <c r="G22" s="71">
        <f t="shared" si="1"/>
        <v>17083268.634823129</v>
      </c>
      <c r="H22" s="71">
        <f t="shared" si="1"/>
        <v>14239346.575959688</v>
      </c>
      <c r="I22" s="71">
        <f t="shared" si="1"/>
        <v>15307817.175857257</v>
      </c>
      <c r="J22" s="71">
        <f t="shared" si="1"/>
        <v>15715877.336668871</v>
      </c>
      <c r="K22" s="71">
        <f t="shared" si="1"/>
        <v>32530792.771773152</v>
      </c>
      <c r="L22" s="71">
        <f t="shared" si="1"/>
        <v>50280394.956715278</v>
      </c>
      <c r="M22" s="71">
        <f t="shared" si="1"/>
        <v>73288529.231361032</v>
      </c>
      <c r="N22" s="71">
        <f t="shared" si="1"/>
        <v>517416661.26079273</v>
      </c>
      <c r="O22" s="71"/>
      <c r="P22" s="72"/>
      <c r="Q22" s="68"/>
    </row>
    <row r="23" spans="1:17">
      <c r="B23" s="66"/>
      <c r="C23" s="66"/>
      <c r="D23" s="66"/>
      <c r="E23" s="66"/>
      <c r="F23" s="66"/>
      <c r="G23" s="66"/>
      <c r="H23" s="66"/>
      <c r="I23" s="66"/>
      <c r="J23" s="66"/>
      <c r="K23" s="66"/>
      <c r="L23" s="66"/>
      <c r="M23" s="66"/>
      <c r="N23" s="66"/>
      <c r="P23" s="73"/>
    </row>
    <row r="24" spans="1:17">
      <c r="A24" s="62" t="s">
        <v>100</v>
      </c>
      <c r="B24" s="66"/>
      <c r="C24" s="66"/>
      <c r="D24" s="66"/>
      <c r="E24" s="66"/>
      <c r="F24" s="66"/>
      <c r="G24" s="66"/>
      <c r="H24" s="66"/>
      <c r="I24" s="66"/>
      <c r="J24" s="66"/>
      <c r="K24" s="66"/>
      <c r="L24" s="66"/>
      <c r="M24" s="66"/>
      <c r="N24" s="66"/>
    </row>
    <row r="25" spans="1:17">
      <c r="A25" s="58" t="s">
        <v>57</v>
      </c>
      <c r="B25" s="66">
        <v>15647</v>
      </c>
      <c r="C25" s="66">
        <v>15556</v>
      </c>
      <c r="D25" s="66">
        <v>15554</v>
      </c>
      <c r="E25" s="66">
        <v>15405</v>
      </c>
      <c r="F25" s="66">
        <v>15321</v>
      </c>
      <c r="G25" s="66">
        <v>15232</v>
      </c>
      <c r="H25" s="66">
        <v>15103</v>
      </c>
      <c r="I25" s="66">
        <v>15040</v>
      </c>
      <c r="J25" s="66">
        <v>15055</v>
      </c>
      <c r="K25" s="66">
        <v>14979</v>
      </c>
      <c r="L25" s="66">
        <v>15123</v>
      </c>
      <c r="M25" s="66">
        <v>15019</v>
      </c>
      <c r="N25" s="66">
        <f>SUM(B25:M25)</f>
        <v>183034</v>
      </c>
      <c r="O25" s="66"/>
      <c r="P25" s="67"/>
      <c r="Q25" s="68"/>
    </row>
    <row r="26" spans="1:17">
      <c r="A26" s="58" t="s">
        <v>59</v>
      </c>
      <c r="B26" s="66">
        <v>1828</v>
      </c>
      <c r="C26" s="66">
        <v>1920</v>
      </c>
      <c r="D26" s="66">
        <v>1829</v>
      </c>
      <c r="E26" s="66">
        <v>1849</v>
      </c>
      <c r="F26" s="66">
        <v>1768</v>
      </c>
      <c r="G26" s="66">
        <v>1781</v>
      </c>
      <c r="H26" s="66">
        <v>1772</v>
      </c>
      <c r="I26" s="66">
        <v>1726</v>
      </c>
      <c r="J26" s="66">
        <v>1718</v>
      </c>
      <c r="K26" s="66">
        <v>1695</v>
      </c>
      <c r="L26" s="66">
        <v>1698</v>
      </c>
      <c r="M26" s="66">
        <v>1740</v>
      </c>
      <c r="N26" s="66">
        <f t="shared" ref="N26:N34" si="2">SUM(B26:M26)</f>
        <v>21324</v>
      </c>
      <c r="O26" s="66"/>
      <c r="P26" s="67"/>
      <c r="Q26" s="68"/>
    </row>
    <row r="27" spans="1:17">
      <c r="A27" s="58" t="s">
        <v>0</v>
      </c>
      <c r="B27" s="66">
        <v>220385</v>
      </c>
      <c r="C27" s="66">
        <v>219095</v>
      </c>
      <c r="D27" s="66">
        <v>221315</v>
      </c>
      <c r="E27" s="66">
        <v>220346</v>
      </c>
      <c r="F27" s="66">
        <v>219884</v>
      </c>
      <c r="G27" s="66">
        <v>219850</v>
      </c>
      <c r="H27" s="66">
        <v>219907</v>
      </c>
      <c r="I27" s="66">
        <v>219644</v>
      </c>
      <c r="J27" s="66">
        <v>220072</v>
      </c>
      <c r="K27" s="66">
        <v>217893</v>
      </c>
      <c r="L27" s="66">
        <v>225985</v>
      </c>
      <c r="M27" s="66">
        <v>223126</v>
      </c>
      <c r="N27" s="66">
        <f t="shared" si="2"/>
        <v>2647502</v>
      </c>
      <c r="O27" s="66"/>
      <c r="P27" s="67"/>
      <c r="Q27" s="68"/>
    </row>
    <row r="28" spans="1:17">
      <c r="A28" s="58" t="s">
        <v>60</v>
      </c>
      <c r="B28" s="66">
        <v>27579</v>
      </c>
      <c r="C28" s="66">
        <v>28905</v>
      </c>
      <c r="D28" s="66">
        <v>28043</v>
      </c>
      <c r="E28" s="66">
        <v>28700</v>
      </c>
      <c r="F28" s="66">
        <v>29223</v>
      </c>
      <c r="G28" s="66">
        <v>29065</v>
      </c>
      <c r="H28" s="66">
        <v>28826</v>
      </c>
      <c r="I28" s="66">
        <v>28978</v>
      </c>
      <c r="J28" s="66">
        <v>28603</v>
      </c>
      <c r="K28" s="66">
        <v>27793</v>
      </c>
      <c r="L28" s="66">
        <v>28243</v>
      </c>
      <c r="M28" s="66">
        <v>27885</v>
      </c>
      <c r="N28" s="66">
        <f t="shared" si="2"/>
        <v>341843</v>
      </c>
      <c r="O28" s="66"/>
      <c r="P28" s="67"/>
      <c r="Q28" s="68"/>
    </row>
    <row r="29" spans="1:17">
      <c r="A29" s="58" t="s">
        <v>93</v>
      </c>
      <c r="B29" s="66">
        <v>20974</v>
      </c>
      <c r="C29" s="66">
        <v>21171</v>
      </c>
      <c r="D29" s="66">
        <v>21269</v>
      </c>
      <c r="E29" s="66">
        <v>21050</v>
      </c>
      <c r="F29" s="66">
        <v>20961</v>
      </c>
      <c r="G29" s="66">
        <v>20812</v>
      </c>
      <c r="H29" s="66">
        <v>20777</v>
      </c>
      <c r="I29" s="66">
        <v>20625</v>
      </c>
      <c r="J29" s="66">
        <v>20596</v>
      </c>
      <c r="K29" s="66">
        <v>20546</v>
      </c>
      <c r="L29" s="66">
        <v>21080</v>
      </c>
      <c r="M29" s="66">
        <v>20893</v>
      </c>
      <c r="N29" s="66">
        <f t="shared" si="2"/>
        <v>250754</v>
      </c>
      <c r="O29" s="66"/>
      <c r="P29" s="67"/>
      <c r="Q29" s="68"/>
    </row>
    <row r="30" spans="1:17">
      <c r="A30" s="58" t="s">
        <v>94</v>
      </c>
      <c r="B30" s="66">
        <v>2727</v>
      </c>
      <c r="C30" s="66">
        <v>2711</v>
      </c>
      <c r="D30" s="66">
        <v>2734</v>
      </c>
      <c r="E30" s="66">
        <v>2740</v>
      </c>
      <c r="F30" s="66">
        <v>2715</v>
      </c>
      <c r="G30" s="66">
        <v>2724</v>
      </c>
      <c r="H30" s="66">
        <v>2710</v>
      </c>
      <c r="I30" s="66">
        <v>2694</v>
      </c>
      <c r="J30" s="66">
        <v>2730</v>
      </c>
      <c r="K30" s="66">
        <v>2706</v>
      </c>
      <c r="L30" s="66">
        <v>2751</v>
      </c>
      <c r="M30" s="66">
        <v>2711</v>
      </c>
      <c r="N30" s="66">
        <f t="shared" si="2"/>
        <v>32653</v>
      </c>
      <c r="O30" s="66"/>
      <c r="P30" s="67"/>
      <c r="Q30" s="68"/>
    </row>
    <row r="31" spans="1:17">
      <c r="A31" s="58" t="s">
        <v>95</v>
      </c>
      <c r="B31" s="66">
        <v>171</v>
      </c>
      <c r="C31" s="66">
        <v>165</v>
      </c>
      <c r="D31" s="66">
        <v>172</v>
      </c>
      <c r="E31" s="66">
        <v>173</v>
      </c>
      <c r="F31" s="66">
        <v>167</v>
      </c>
      <c r="G31" s="66">
        <v>176</v>
      </c>
      <c r="H31" s="66">
        <v>169</v>
      </c>
      <c r="I31" s="66">
        <v>159</v>
      </c>
      <c r="J31" s="66">
        <v>175</v>
      </c>
      <c r="K31" s="66">
        <v>175</v>
      </c>
      <c r="L31" s="66">
        <v>177</v>
      </c>
      <c r="M31" s="66">
        <v>165</v>
      </c>
      <c r="N31" s="66">
        <f t="shared" si="2"/>
        <v>2044</v>
      </c>
      <c r="O31" s="66"/>
      <c r="P31" s="67"/>
      <c r="Q31" s="68"/>
    </row>
    <row r="32" spans="1:17">
      <c r="A32" s="58" t="s">
        <v>96</v>
      </c>
      <c r="B32" s="66">
        <v>3661</v>
      </c>
      <c r="C32" s="66">
        <v>3653</v>
      </c>
      <c r="D32" s="66">
        <v>3685</v>
      </c>
      <c r="E32" s="66">
        <v>3664</v>
      </c>
      <c r="F32" s="66">
        <v>3649</v>
      </c>
      <c r="G32" s="66">
        <v>3648</v>
      </c>
      <c r="H32" s="66">
        <v>3639</v>
      </c>
      <c r="I32" s="66">
        <v>3628</v>
      </c>
      <c r="J32" s="66">
        <v>3612</v>
      </c>
      <c r="K32" s="66">
        <v>3629</v>
      </c>
      <c r="L32" s="66">
        <v>3658</v>
      </c>
      <c r="M32" s="66">
        <v>3638</v>
      </c>
      <c r="N32" s="66">
        <f t="shared" si="2"/>
        <v>43764</v>
      </c>
      <c r="O32" s="66"/>
      <c r="P32" s="67"/>
      <c r="Q32" s="68"/>
    </row>
    <row r="33" spans="1:17">
      <c r="A33" s="58" t="s">
        <v>97</v>
      </c>
      <c r="B33" s="66">
        <v>1134</v>
      </c>
      <c r="C33" s="66">
        <v>1118</v>
      </c>
      <c r="D33" s="66">
        <v>1121</v>
      </c>
      <c r="E33" s="66">
        <v>1139</v>
      </c>
      <c r="F33" s="66">
        <v>1123</v>
      </c>
      <c r="G33" s="66">
        <v>1127</v>
      </c>
      <c r="H33" s="66">
        <v>1137</v>
      </c>
      <c r="I33" s="66">
        <v>1117</v>
      </c>
      <c r="J33" s="66">
        <v>1127</v>
      </c>
      <c r="K33" s="66">
        <v>1132</v>
      </c>
      <c r="L33" s="66">
        <v>1124</v>
      </c>
      <c r="M33" s="66">
        <v>1133</v>
      </c>
      <c r="N33" s="66">
        <f t="shared" si="2"/>
        <v>13532</v>
      </c>
      <c r="O33" s="66"/>
      <c r="P33" s="67"/>
      <c r="Q33" s="68"/>
    </row>
    <row r="34" spans="1:17" ht="16">
      <c r="A34" s="58" t="s">
        <v>98</v>
      </c>
      <c r="B34" s="69">
        <v>144</v>
      </c>
      <c r="C34" s="69">
        <v>145</v>
      </c>
      <c r="D34" s="69">
        <v>144</v>
      </c>
      <c r="E34" s="69">
        <v>145</v>
      </c>
      <c r="F34" s="69">
        <v>148</v>
      </c>
      <c r="G34" s="69">
        <v>148</v>
      </c>
      <c r="H34" s="69">
        <v>149</v>
      </c>
      <c r="I34" s="69">
        <v>149</v>
      </c>
      <c r="J34" s="69">
        <v>148</v>
      </c>
      <c r="K34" s="69">
        <v>148</v>
      </c>
      <c r="L34" s="69">
        <v>149</v>
      </c>
      <c r="M34" s="69">
        <v>151</v>
      </c>
      <c r="N34" s="69">
        <f t="shared" si="2"/>
        <v>1768</v>
      </c>
      <c r="O34" s="69"/>
      <c r="P34" s="74"/>
      <c r="Q34" s="68"/>
    </row>
    <row r="35" spans="1:17">
      <c r="A35" s="58" t="s">
        <v>21</v>
      </c>
      <c r="B35" s="71">
        <f>SUM(B25:B34)</f>
        <v>294250</v>
      </c>
      <c r="C35" s="71">
        <f t="shared" ref="C35:N35" si="3">SUM(C25:C34)</f>
        <v>294439</v>
      </c>
      <c r="D35" s="71">
        <f t="shared" si="3"/>
        <v>295866</v>
      </c>
      <c r="E35" s="71">
        <f t="shared" si="3"/>
        <v>295211</v>
      </c>
      <c r="F35" s="71">
        <f t="shared" si="3"/>
        <v>294959</v>
      </c>
      <c r="G35" s="71">
        <f t="shared" si="3"/>
        <v>294563</v>
      </c>
      <c r="H35" s="71">
        <f t="shared" si="3"/>
        <v>294189</v>
      </c>
      <c r="I35" s="71">
        <f t="shared" si="3"/>
        <v>293760</v>
      </c>
      <c r="J35" s="71">
        <f t="shared" si="3"/>
        <v>293836</v>
      </c>
      <c r="K35" s="71">
        <f t="shared" si="3"/>
        <v>290696</v>
      </c>
      <c r="L35" s="71">
        <f t="shared" si="3"/>
        <v>299988</v>
      </c>
      <c r="M35" s="71">
        <f t="shared" si="3"/>
        <v>296461</v>
      </c>
      <c r="N35" s="71">
        <f t="shared" si="3"/>
        <v>3538218</v>
      </c>
      <c r="O35" s="71"/>
      <c r="P35" s="67"/>
      <c r="Q35" s="68"/>
    </row>
    <row r="36" spans="1:17">
      <c r="B36" s="66"/>
      <c r="C36" s="66"/>
      <c r="D36" s="66"/>
      <c r="E36" s="66"/>
      <c r="F36" s="66"/>
      <c r="G36" s="66"/>
      <c r="H36" s="66"/>
      <c r="I36" s="66"/>
      <c r="J36" s="66"/>
      <c r="K36" s="66"/>
      <c r="L36" s="66"/>
      <c r="M36" s="66"/>
      <c r="N36" s="66"/>
    </row>
    <row r="37" spans="1:17">
      <c r="A37" s="62" t="s">
        <v>101</v>
      </c>
      <c r="B37" s="66"/>
      <c r="C37" s="66"/>
      <c r="D37" s="66"/>
      <c r="E37" s="66"/>
      <c r="F37" s="66"/>
      <c r="G37" s="66"/>
      <c r="H37" s="66"/>
      <c r="I37" s="66"/>
      <c r="J37" s="66"/>
      <c r="K37" s="66"/>
      <c r="L37" s="66"/>
      <c r="M37" s="66"/>
      <c r="N37" s="66"/>
    </row>
    <row r="38" spans="1:17">
      <c r="A38" s="58" t="s">
        <v>57</v>
      </c>
      <c r="B38" s="66">
        <v>0</v>
      </c>
      <c r="C38" s="66">
        <v>0</v>
      </c>
      <c r="D38" s="66">
        <v>0</v>
      </c>
      <c r="E38" s="66">
        <v>0</v>
      </c>
      <c r="F38" s="66">
        <v>0</v>
      </c>
      <c r="G38" s="66">
        <v>0</v>
      </c>
      <c r="H38" s="66">
        <v>0</v>
      </c>
      <c r="I38" s="66">
        <v>0</v>
      </c>
      <c r="J38" s="66">
        <v>0</v>
      </c>
      <c r="K38" s="66">
        <v>0</v>
      </c>
      <c r="L38" s="66">
        <v>0</v>
      </c>
      <c r="M38" s="66">
        <v>0</v>
      </c>
      <c r="N38" s="66">
        <f>SUM(B38:M38)</f>
        <v>0</v>
      </c>
    </row>
    <row r="39" spans="1:17">
      <c r="A39" s="58" t="s">
        <v>59</v>
      </c>
      <c r="B39" s="66">
        <v>0</v>
      </c>
      <c r="C39" s="66">
        <v>0</v>
      </c>
      <c r="D39" s="66">
        <v>0</v>
      </c>
      <c r="E39" s="66">
        <v>0</v>
      </c>
      <c r="F39" s="66">
        <v>0</v>
      </c>
      <c r="G39" s="66">
        <v>0</v>
      </c>
      <c r="H39" s="66">
        <v>0</v>
      </c>
      <c r="I39" s="66">
        <v>0</v>
      </c>
      <c r="J39" s="66">
        <v>0</v>
      </c>
      <c r="K39" s="66">
        <v>0</v>
      </c>
      <c r="L39" s="66">
        <v>0</v>
      </c>
      <c r="M39" s="66">
        <v>0</v>
      </c>
      <c r="N39" s="66">
        <f t="shared" ref="N39:N46" si="4">SUM(B39:M39)</f>
        <v>0</v>
      </c>
    </row>
    <row r="40" spans="1:17">
      <c r="A40" s="58" t="s">
        <v>0</v>
      </c>
      <c r="B40" s="66">
        <v>0</v>
      </c>
      <c r="C40" s="66">
        <v>0</v>
      </c>
      <c r="D40" s="66">
        <v>0</v>
      </c>
      <c r="E40" s="66">
        <v>0</v>
      </c>
      <c r="F40" s="66">
        <v>0</v>
      </c>
      <c r="G40" s="66">
        <v>0</v>
      </c>
      <c r="H40" s="66">
        <v>0</v>
      </c>
      <c r="I40" s="66">
        <v>0</v>
      </c>
      <c r="J40" s="66">
        <v>0</v>
      </c>
      <c r="K40" s="66">
        <v>0</v>
      </c>
      <c r="L40" s="66">
        <v>0</v>
      </c>
      <c r="M40" s="66">
        <v>0</v>
      </c>
      <c r="N40" s="66">
        <f t="shared" si="4"/>
        <v>0</v>
      </c>
    </row>
    <row r="41" spans="1:17">
      <c r="A41" s="58" t="s">
        <v>60</v>
      </c>
      <c r="B41" s="66">
        <v>0</v>
      </c>
      <c r="C41" s="66">
        <v>0</v>
      </c>
      <c r="D41" s="66">
        <v>0</v>
      </c>
      <c r="E41" s="66">
        <v>0</v>
      </c>
      <c r="F41" s="66">
        <v>0</v>
      </c>
      <c r="G41" s="66">
        <v>0</v>
      </c>
      <c r="H41" s="66">
        <v>0</v>
      </c>
      <c r="I41" s="66">
        <v>0</v>
      </c>
      <c r="J41" s="66">
        <v>0</v>
      </c>
      <c r="K41" s="66">
        <v>0</v>
      </c>
      <c r="L41" s="66">
        <v>0</v>
      </c>
      <c r="M41" s="66">
        <v>0</v>
      </c>
      <c r="N41" s="66">
        <f t="shared" si="4"/>
        <v>0</v>
      </c>
    </row>
    <row r="42" spans="1:17">
      <c r="A42" s="58" t="s">
        <v>93</v>
      </c>
      <c r="B42" s="66">
        <v>0</v>
      </c>
      <c r="C42" s="66">
        <v>0</v>
      </c>
      <c r="D42" s="66">
        <v>0</v>
      </c>
      <c r="E42" s="66">
        <v>0</v>
      </c>
      <c r="F42" s="66">
        <v>0</v>
      </c>
      <c r="G42" s="66">
        <v>0</v>
      </c>
      <c r="H42" s="66">
        <v>0</v>
      </c>
      <c r="I42" s="66">
        <v>0</v>
      </c>
      <c r="J42" s="66">
        <v>0</v>
      </c>
      <c r="K42" s="66">
        <v>0</v>
      </c>
      <c r="L42" s="66">
        <v>0</v>
      </c>
      <c r="M42" s="66">
        <v>0</v>
      </c>
      <c r="N42" s="66">
        <f t="shared" si="4"/>
        <v>0</v>
      </c>
    </row>
    <row r="43" spans="1:17">
      <c r="A43" s="58" t="s">
        <v>94</v>
      </c>
      <c r="B43" s="66">
        <v>0</v>
      </c>
      <c r="C43" s="66">
        <v>0</v>
      </c>
      <c r="D43" s="66">
        <v>0</v>
      </c>
      <c r="E43" s="66">
        <v>0</v>
      </c>
      <c r="F43" s="66">
        <v>0</v>
      </c>
      <c r="G43" s="66">
        <v>0</v>
      </c>
      <c r="H43" s="66">
        <v>0</v>
      </c>
      <c r="I43" s="66">
        <v>0</v>
      </c>
      <c r="J43" s="66">
        <v>0</v>
      </c>
      <c r="K43" s="66">
        <v>0</v>
      </c>
      <c r="L43" s="66">
        <v>0</v>
      </c>
      <c r="M43" s="66">
        <v>0</v>
      </c>
      <c r="N43" s="66">
        <f t="shared" si="4"/>
        <v>0</v>
      </c>
    </row>
    <row r="44" spans="1:17">
      <c r="A44" s="58" t="s">
        <v>95</v>
      </c>
      <c r="B44" s="66">
        <v>0</v>
      </c>
      <c r="C44" s="66">
        <v>0</v>
      </c>
      <c r="D44" s="66">
        <v>0</v>
      </c>
      <c r="E44" s="66">
        <v>0</v>
      </c>
      <c r="F44" s="66">
        <v>0</v>
      </c>
      <c r="G44" s="66">
        <v>0</v>
      </c>
      <c r="H44" s="66">
        <v>0</v>
      </c>
      <c r="I44" s="66">
        <v>0</v>
      </c>
      <c r="J44" s="66">
        <v>0</v>
      </c>
      <c r="K44" s="66">
        <v>0</v>
      </c>
      <c r="L44" s="66">
        <v>0</v>
      </c>
      <c r="M44" s="66">
        <v>0</v>
      </c>
      <c r="N44" s="66">
        <f t="shared" si="4"/>
        <v>0</v>
      </c>
    </row>
    <row r="45" spans="1:17">
      <c r="A45" s="58" t="s">
        <v>96</v>
      </c>
      <c r="B45" s="66">
        <v>0</v>
      </c>
      <c r="C45" s="66">
        <v>0</v>
      </c>
      <c r="D45" s="66">
        <v>0</v>
      </c>
      <c r="E45" s="66">
        <v>0</v>
      </c>
      <c r="F45" s="66">
        <v>0</v>
      </c>
      <c r="G45" s="66">
        <v>0</v>
      </c>
      <c r="H45" s="66">
        <v>0</v>
      </c>
      <c r="I45" s="66">
        <v>0</v>
      </c>
      <c r="J45" s="66">
        <v>0</v>
      </c>
      <c r="K45" s="66">
        <v>0</v>
      </c>
      <c r="L45" s="66">
        <v>0</v>
      </c>
      <c r="M45" s="66">
        <v>0</v>
      </c>
      <c r="N45" s="66">
        <f t="shared" si="4"/>
        <v>0</v>
      </c>
    </row>
    <row r="46" spans="1:17">
      <c r="A46" s="58" t="s">
        <v>97</v>
      </c>
      <c r="B46" s="66">
        <v>0</v>
      </c>
      <c r="C46" s="66">
        <v>0</v>
      </c>
      <c r="D46" s="66">
        <v>0</v>
      </c>
      <c r="E46" s="66">
        <v>0</v>
      </c>
      <c r="F46" s="66">
        <v>0</v>
      </c>
      <c r="G46" s="66">
        <v>0</v>
      </c>
      <c r="H46" s="66">
        <v>0</v>
      </c>
      <c r="I46" s="66">
        <v>0</v>
      </c>
      <c r="J46" s="66">
        <v>0</v>
      </c>
      <c r="K46" s="66">
        <v>0</v>
      </c>
      <c r="L46" s="66">
        <v>0</v>
      </c>
      <c r="M46" s="66">
        <v>0</v>
      </c>
      <c r="N46" s="66">
        <f t="shared" si="4"/>
        <v>0</v>
      </c>
    </row>
    <row r="47" spans="1:17">
      <c r="A47" s="58" t="s">
        <v>98</v>
      </c>
      <c r="B47" s="69">
        <v>457732</v>
      </c>
      <c r="C47" s="69">
        <v>457732</v>
      </c>
      <c r="D47" s="69">
        <v>457732</v>
      </c>
      <c r="E47" s="69">
        <v>458379</v>
      </c>
      <c r="F47" s="69">
        <v>360834</v>
      </c>
      <c r="G47" s="69">
        <v>360834</v>
      </c>
      <c r="H47" s="69">
        <v>362915</v>
      </c>
      <c r="I47" s="69">
        <v>361285</v>
      </c>
      <c r="J47" s="69">
        <v>360834</v>
      </c>
      <c r="K47" s="69">
        <v>360834</v>
      </c>
      <c r="L47" s="69">
        <v>466992</v>
      </c>
      <c r="M47" s="69">
        <v>467772</v>
      </c>
      <c r="N47" s="69">
        <f>SUM(B47:M47)</f>
        <v>4933875</v>
      </c>
    </row>
    <row r="48" spans="1:17">
      <c r="A48" s="58" t="s">
        <v>21</v>
      </c>
      <c r="B48" s="71">
        <f>SUM(B38:B47)</f>
        <v>457732</v>
      </c>
      <c r="C48" s="71">
        <f t="shared" ref="C48:N48" si="5">SUM(C38:C47)</f>
        <v>457732</v>
      </c>
      <c r="D48" s="71">
        <f t="shared" si="5"/>
        <v>457732</v>
      </c>
      <c r="E48" s="71">
        <f t="shared" si="5"/>
        <v>458379</v>
      </c>
      <c r="F48" s="71">
        <f t="shared" si="5"/>
        <v>360834</v>
      </c>
      <c r="G48" s="71">
        <f t="shared" si="5"/>
        <v>360834</v>
      </c>
      <c r="H48" s="71">
        <f t="shared" si="5"/>
        <v>362915</v>
      </c>
      <c r="I48" s="71">
        <f t="shared" si="5"/>
        <v>361285</v>
      </c>
      <c r="J48" s="71">
        <f t="shared" si="5"/>
        <v>360834</v>
      </c>
      <c r="K48" s="71">
        <f t="shared" si="5"/>
        <v>360834</v>
      </c>
      <c r="L48" s="71">
        <f t="shared" si="5"/>
        <v>466992</v>
      </c>
      <c r="M48" s="71">
        <f t="shared" si="5"/>
        <v>467772</v>
      </c>
      <c r="N48" s="71">
        <f t="shared" si="5"/>
        <v>4933875</v>
      </c>
    </row>
    <row r="50" spans="1:1">
      <c r="A50" s="62"/>
    </row>
  </sheetData>
  <mergeCells count="1">
    <mergeCell ref="A6:N6"/>
  </mergeCells>
  <pageMargins left="0.75" right="0.75" top="1" bottom="1" header="0.5" footer="0.5"/>
  <pageSetup scale="64" orientation="landscape" horizontalDpi="1200" verticalDpi="1200" r:id="rId1"/>
  <headerFooter alignWithMargins="0">
    <oddHeader>&amp;RNSTAR Electric Company d/b/a Eversource Energy
D.P.U. 25-55
Attachment DOER-1-2(b)
Workpapers
Page &amp;P of &amp;N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22A6D-5921-47F1-A359-C2718FFA7AB9}">
  <sheetPr>
    <tabColor theme="1"/>
    <pageSetUpPr fitToPage="1"/>
  </sheetPr>
  <dimension ref="A1:Q123"/>
  <sheetViews>
    <sheetView view="pageLayout" topLeftCell="D1" zoomScaleNormal="100" workbookViewId="0">
      <selection activeCell="Q3" sqref="Q3"/>
    </sheetView>
  </sheetViews>
  <sheetFormatPr defaultRowHeight="14.5"/>
  <cols>
    <col min="1" max="1" width="11.7265625" customWidth="1"/>
    <col min="2" max="2" width="33.54296875" bestFit="1" customWidth="1"/>
    <col min="3" max="3" width="17.54296875" style="102" customWidth="1"/>
    <col min="4" max="4" width="18.81640625" customWidth="1"/>
    <col min="5" max="5" width="17.81640625" customWidth="1"/>
    <col min="6" max="7" width="17.453125" customWidth="1"/>
    <col min="8" max="8" width="17.54296875" customWidth="1"/>
    <col min="9" max="11" width="17.81640625" customWidth="1"/>
    <col min="12" max="13" width="17.54296875" customWidth="1"/>
    <col min="14" max="14" width="18.1796875" customWidth="1"/>
    <col min="15" max="15" width="19" customWidth="1"/>
    <col min="16" max="16" width="14.54296875" bestFit="1" customWidth="1"/>
  </cols>
  <sheetData>
    <row r="1" spans="1:16">
      <c r="A1" s="3" t="s">
        <v>133</v>
      </c>
    </row>
    <row r="2" spans="1:16">
      <c r="A2" s="3" t="s">
        <v>134</v>
      </c>
    </row>
    <row r="3" spans="1:16">
      <c r="D3" s="34"/>
    </row>
    <row r="4" spans="1:16">
      <c r="A4" s="32" t="s">
        <v>135</v>
      </c>
    </row>
    <row r="5" spans="1:16" ht="16">
      <c r="A5" s="19" t="s">
        <v>44</v>
      </c>
      <c r="B5" s="19" t="s">
        <v>136</v>
      </c>
      <c r="C5" s="103" t="s">
        <v>45</v>
      </c>
      <c r="D5" s="104" t="s">
        <v>46</v>
      </c>
      <c r="E5" s="104" t="s">
        <v>47</v>
      </c>
      <c r="F5" s="104" t="s">
        <v>48</v>
      </c>
      <c r="G5" s="104" t="s">
        <v>15</v>
      </c>
      <c r="H5" s="104" t="s">
        <v>49</v>
      </c>
      <c r="I5" s="104" t="s">
        <v>50</v>
      </c>
      <c r="J5" s="104" t="s">
        <v>51</v>
      </c>
      <c r="K5" s="104" t="s">
        <v>52</v>
      </c>
      <c r="L5" s="104" t="s">
        <v>53</v>
      </c>
      <c r="M5" s="104" t="s">
        <v>54</v>
      </c>
      <c r="N5" s="104" t="s">
        <v>55</v>
      </c>
      <c r="O5" s="104" t="s">
        <v>21</v>
      </c>
    </row>
    <row r="6" spans="1:16">
      <c r="A6" t="s">
        <v>58</v>
      </c>
      <c r="B6" t="s">
        <v>137</v>
      </c>
      <c r="C6" s="102">
        <f>SUM(C15:C16)</f>
        <v>783912136.91293216</v>
      </c>
      <c r="D6" s="102">
        <f t="shared" ref="D6:N6" si="0">SUM(D15:D16)</f>
        <v>671841063.51612532</v>
      </c>
      <c r="E6" s="102">
        <f t="shared" si="0"/>
        <v>651682103.07717919</v>
      </c>
      <c r="F6" s="102">
        <f t="shared" si="0"/>
        <v>567434894.45394337</v>
      </c>
      <c r="G6" s="102">
        <f t="shared" si="0"/>
        <v>551856323.43976057</v>
      </c>
      <c r="H6" s="102">
        <f t="shared" si="0"/>
        <v>647237702.06936324</v>
      </c>
      <c r="I6" s="102">
        <f t="shared" si="0"/>
        <v>836716751.07296348</v>
      </c>
      <c r="J6" s="102">
        <f t="shared" si="0"/>
        <v>824721087.71227241</v>
      </c>
      <c r="K6" s="102">
        <f t="shared" si="0"/>
        <v>647417077.39293528</v>
      </c>
      <c r="L6" s="102">
        <f t="shared" si="0"/>
        <v>556949923.44824815</v>
      </c>
      <c r="M6" s="102">
        <f t="shared" si="0"/>
        <v>617091846.42233539</v>
      </c>
      <c r="N6" s="102">
        <f t="shared" si="0"/>
        <v>734019919.50540304</v>
      </c>
      <c r="O6" s="34">
        <f>SUM(C6:N6)</f>
        <v>8090880829.0234623</v>
      </c>
      <c r="P6" s="34"/>
    </row>
    <row r="7" spans="1:16">
      <c r="A7" t="s">
        <v>58</v>
      </c>
      <c r="B7" t="s">
        <v>138</v>
      </c>
      <c r="C7" s="102">
        <f t="shared" ref="C7:F7" si="1">SUM(C17,C20,C23:C24,C27:C31,C35:C36)</f>
        <v>389624161.46803677</v>
      </c>
      <c r="D7" s="102">
        <f t="shared" si="1"/>
        <v>362049935.21391994</v>
      </c>
      <c r="E7" s="102">
        <f t="shared" si="1"/>
        <v>362862622.45729208</v>
      </c>
      <c r="F7" s="102">
        <f t="shared" si="1"/>
        <v>329497746.10926771</v>
      </c>
      <c r="G7" s="102">
        <f>SUM(G17,G20,G23:G24,G27:G31,G35:G36)</f>
        <v>347448526.50120145</v>
      </c>
      <c r="H7" s="102">
        <f t="shared" ref="H7:N7" si="2">SUM(H17,H20,H23:H24,H27:H31,H35:H36)</f>
        <v>383766052.25935608</v>
      </c>
      <c r="I7" s="102">
        <f t="shared" si="2"/>
        <v>448743162.43000442</v>
      </c>
      <c r="J7" s="102">
        <f t="shared" si="2"/>
        <v>439699392.14552188</v>
      </c>
      <c r="K7" s="102">
        <f t="shared" si="2"/>
        <v>368596249.38280112</v>
      </c>
      <c r="L7" s="102">
        <f t="shared" si="2"/>
        <v>351535409.29465216</v>
      </c>
      <c r="M7" s="102">
        <f t="shared" si="2"/>
        <v>344744221.70085669</v>
      </c>
      <c r="N7" s="102">
        <f t="shared" si="2"/>
        <v>374764534.73994523</v>
      </c>
      <c r="O7" s="34">
        <f t="shared" ref="O7:O9" si="3">SUM(C7:N7)</f>
        <v>4503332013.7028551</v>
      </c>
      <c r="P7" s="34"/>
    </row>
    <row r="8" spans="1:16">
      <c r="A8" t="s">
        <v>58</v>
      </c>
      <c r="B8" t="s">
        <v>139</v>
      </c>
      <c r="C8" s="102">
        <f>SUM(C18,C21,C25,C32,C37)</f>
        <v>437456750.08370435</v>
      </c>
      <c r="D8" s="102">
        <f t="shared" ref="D8:N8" si="4">SUM(D18,D21,D25,D32,D37)</f>
        <v>411077410.25628901</v>
      </c>
      <c r="E8" s="102">
        <f t="shared" si="4"/>
        <v>406926642.03122813</v>
      </c>
      <c r="F8" s="102">
        <f t="shared" si="4"/>
        <v>373428128.4944334</v>
      </c>
      <c r="G8" s="102">
        <f t="shared" si="4"/>
        <v>393845698.25293875</v>
      </c>
      <c r="H8" s="102">
        <f t="shared" si="4"/>
        <v>435544044.39275348</v>
      </c>
      <c r="I8" s="102">
        <f t="shared" si="4"/>
        <v>502397823.33715993</v>
      </c>
      <c r="J8" s="102">
        <f t="shared" si="4"/>
        <v>487554395.91705948</v>
      </c>
      <c r="K8" s="102">
        <f t="shared" si="4"/>
        <v>409616679.9689557</v>
      </c>
      <c r="L8" s="102">
        <f t="shared" si="4"/>
        <v>392005224.80073553</v>
      </c>
      <c r="M8" s="102">
        <f t="shared" si="4"/>
        <v>388437406.74357516</v>
      </c>
      <c r="N8" s="102">
        <f t="shared" si="4"/>
        <v>419873067.36131078</v>
      </c>
      <c r="O8" s="34">
        <f t="shared" si="3"/>
        <v>5058163271.6401443</v>
      </c>
      <c r="P8" s="34"/>
    </row>
    <row r="9" spans="1:16" ht="16">
      <c r="A9" t="s">
        <v>58</v>
      </c>
      <c r="B9" t="s">
        <v>140</v>
      </c>
      <c r="C9" s="105">
        <f>SUM(C19,C22,C26,C33:C34)</f>
        <v>397992057.5304656</v>
      </c>
      <c r="D9" s="105">
        <f t="shared" ref="D9:N9" si="5">SUM(D19,D22,D26,D33:D34)</f>
        <v>373937175.06836849</v>
      </c>
      <c r="E9" s="105">
        <f t="shared" si="5"/>
        <v>383482170.25719863</v>
      </c>
      <c r="F9" s="105">
        <f t="shared" si="5"/>
        <v>361710173.00320089</v>
      </c>
      <c r="G9" s="105">
        <f t="shared" si="5"/>
        <v>384882005.15326077</v>
      </c>
      <c r="H9" s="105">
        <f t="shared" si="5"/>
        <v>418960313.17821223</v>
      </c>
      <c r="I9" s="105">
        <f t="shared" si="5"/>
        <v>466842508.43871629</v>
      </c>
      <c r="J9" s="105">
        <f t="shared" si="5"/>
        <v>450128819.54815471</v>
      </c>
      <c r="K9" s="105">
        <f t="shared" si="5"/>
        <v>396770495.00190592</v>
      </c>
      <c r="L9" s="105">
        <f t="shared" si="5"/>
        <v>383089249.69082355</v>
      </c>
      <c r="M9" s="105">
        <f t="shared" si="5"/>
        <v>376837226.64441448</v>
      </c>
      <c r="N9" s="105">
        <f t="shared" si="5"/>
        <v>389281194.0581454</v>
      </c>
      <c r="O9" s="106">
        <f t="shared" si="3"/>
        <v>4783913387.5728674</v>
      </c>
      <c r="P9" s="34"/>
    </row>
    <row r="10" spans="1:16">
      <c r="B10" t="s">
        <v>21</v>
      </c>
      <c r="C10" s="102">
        <f>SUM(C6:C9)</f>
        <v>2008985105.9951391</v>
      </c>
      <c r="D10" s="102">
        <f t="shared" ref="D10:O10" si="6">SUM(D6:D9)</f>
        <v>1818905584.0547028</v>
      </c>
      <c r="E10" s="102">
        <f t="shared" si="6"/>
        <v>1804953537.8228979</v>
      </c>
      <c r="F10" s="102">
        <f t="shared" si="6"/>
        <v>1632070942.0608454</v>
      </c>
      <c r="G10" s="102">
        <f t="shared" si="6"/>
        <v>1678032553.3471615</v>
      </c>
      <c r="H10" s="102">
        <f t="shared" si="6"/>
        <v>1885508111.8996849</v>
      </c>
      <c r="I10" s="102">
        <f t="shared" si="6"/>
        <v>2254700245.2788439</v>
      </c>
      <c r="J10" s="102">
        <f t="shared" si="6"/>
        <v>2202103695.3230085</v>
      </c>
      <c r="K10" s="102">
        <f t="shared" si="6"/>
        <v>1822400501.746598</v>
      </c>
      <c r="L10" s="102">
        <f t="shared" si="6"/>
        <v>1683579807.2344594</v>
      </c>
      <c r="M10" s="102">
        <f t="shared" si="6"/>
        <v>1727110701.5111816</v>
      </c>
      <c r="N10" s="102">
        <f t="shared" si="6"/>
        <v>1917938715.6648045</v>
      </c>
      <c r="O10" s="102">
        <f t="shared" si="6"/>
        <v>22436289501.939331</v>
      </c>
      <c r="P10" s="34"/>
    </row>
    <row r="11" spans="1:16">
      <c r="C11" s="102">
        <f>+C10-C38</f>
        <v>0</v>
      </c>
      <c r="D11" s="102">
        <f t="shared" ref="D11:O11" si="7">+D10-D38</f>
        <v>0</v>
      </c>
      <c r="E11" s="102">
        <f t="shared" si="7"/>
        <v>0</v>
      </c>
      <c r="F11" s="102">
        <f t="shared" si="7"/>
        <v>0</v>
      </c>
      <c r="G11" s="102">
        <f t="shared" si="7"/>
        <v>0</v>
      </c>
      <c r="H11" s="102">
        <f t="shared" si="7"/>
        <v>0</v>
      </c>
      <c r="I11" s="102">
        <f t="shared" si="7"/>
        <v>0</v>
      </c>
      <c r="J11" s="102">
        <f t="shared" si="7"/>
        <v>0</v>
      </c>
      <c r="K11" s="102">
        <f t="shared" si="7"/>
        <v>0</v>
      </c>
      <c r="L11" s="102">
        <f t="shared" si="7"/>
        <v>0</v>
      </c>
      <c r="M11" s="102">
        <f t="shared" si="7"/>
        <v>0</v>
      </c>
      <c r="N11" s="102">
        <f t="shared" si="7"/>
        <v>0</v>
      </c>
      <c r="O11" s="102">
        <f t="shared" si="7"/>
        <v>0</v>
      </c>
    </row>
    <row r="13" spans="1:16">
      <c r="A13" s="32" t="s">
        <v>135</v>
      </c>
    </row>
    <row r="14" spans="1:16" ht="16">
      <c r="A14" s="19" t="s">
        <v>44</v>
      </c>
      <c r="B14" s="19" t="s">
        <v>141</v>
      </c>
      <c r="C14" s="103" t="s">
        <v>45</v>
      </c>
      <c r="D14" s="104" t="s">
        <v>46</v>
      </c>
      <c r="E14" s="104" t="s">
        <v>47</v>
      </c>
      <c r="F14" s="104" t="s">
        <v>48</v>
      </c>
      <c r="G14" s="104" t="s">
        <v>15</v>
      </c>
      <c r="H14" s="104" t="s">
        <v>49</v>
      </c>
      <c r="I14" s="104" t="s">
        <v>50</v>
      </c>
      <c r="J14" s="104" t="s">
        <v>51</v>
      </c>
      <c r="K14" s="104" t="s">
        <v>52</v>
      </c>
      <c r="L14" s="104" t="s">
        <v>53</v>
      </c>
      <c r="M14" s="104" t="s">
        <v>54</v>
      </c>
      <c r="N14" s="104" t="s">
        <v>55</v>
      </c>
      <c r="O14" s="104" t="s">
        <v>21</v>
      </c>
    </row>
    <row r="15" spans="1:16">
      <c r="A15" t="s">
        <v>58</v>
      </c>
      <c r="B15" t="s">
        <v>137</v>
      </c>
      <c r="C15" s="107">
        <f t="shared" ref="C15:N15" si="8">+C79+C80+C104+C105</f>
        <v>694463108.75558591</v>
      </c>
      <c r="D15" s="107">
        <f t="shared" si="8"/>
        <v>595679278.46389377</v>
      </c>
      <c r="E15" s="107">
        <f t="shared" si="8"/>
        <v>578092207.21633017</v>
      </c>
      <c r="F15" s="107">
        <f t="shared" si="8"/>
        <v>503771996.8992821</v>
      </c>
      <c r="G15" s="107">
        <f t="shared" si="8"/>
        <v>490277700.36233139</v>
      </c>
      <c r="H15" s="107">
        <f t="shared" si="8"/>
        <v>574864639.1409452</v>
      </c>
      <c r="I15" s="107">
        <f t="shared" si="8"/>
        <v>742817615.63577139</v>
      </c>
      <c r="J15" s="107">
        <f t="shared" si="8"/>
        <v>732171754.36699545</v>
      </c>
      <c r="K15" s="107">
        <f t="shared" si="8"/>
        <v>575144164.2339946</v>
      </c>
      <c r="L15" s="107">
        <f t="shared" si="8"/>
        <v>494631355.05069029</v>
      </c>
      <c r="M15" s="107">
        <f t="shared" si="8"/>
        <v>547650706.95513141</v>
      </c>
      <c r="N15" s="107">
        <f t="shared" si="8"/>
        <v>650561708.35136151</v>
      </c>
      <c r="O15" s="107">
        <f>SUM(C15:N15)</f>
        <v>7180126235.432313</v>
      </c>
    </row>
    <row r="16" spans="1:16">
      <c r="A16" t="s">
        <v>58</v>
      </c>
      <c r="B16" t="s">
        <v>142</v>
      </c>
      <c r="C16" s="107">
        <f t="shared" ref="C16:N16" si="9">+C81+C82+C106+C107</f>
        <v>89449028.157346264</v>
      </c>
      <c r="D16" s="107">
        <f t="shared" si="9"/>
        <v>76161785.05223152</v>
      </c>
      <c r="E16" s="107">
        <f t="shared" si="9"/>
        <v>73589895.860849008</v>
      </c>
      <c r="F16" s="107">
        <f t="shared" si="9"/>
        <v>63662897.554661237</v>
      </c>
      <c r="G16" s="107">
        <f t="shared" si="9"/>
        <v>61578623.077429213</v>
      </c>
      <c r="H16" s="107">
        <f t="shared" si="9"/>
        <v>72373062.928418055</v>
      </c>
      <c r="I16" s="107">
        <f t="shared" si="9"/>
        <v>93899135.437192068</v>
      </c>
      <c r="J16" s="107">
        <f t="shared" si="9"/>
        <v>92549333.345276922</v>
      </c>
      <c r="K16" s="107">
        <f t="shared" si="9"/>
        <v>72272913.158940613</v>
      </c>
      <c r="L16" s="107">
        <f t="shared" si="9"/>
        <v>62318568.397557892</v>
      </c>
      <c r="M16" s="107">
        <f t="shared" si="9"/>
        <v>69441139.467203945</v>
      </c>
      <c r="N16" s="107">
        <f t="shared" si="9"/>
        <v>83458211.154041544</v>
      </c>
      <c r="O16" s="107">
        <f t="shared" ref="O16:O38" si="10">SUM(C16:N16)</f>
        <v>910754593.59114838</v>
      </c>
    </row>
    <row r="17" spans="1:15">
      <c r="A17" t="s">
        <v>143</v>
      </c>
      <c r="B17" t="s">
        <v>144</v>
      </c>
      <c r="C17" s="107">
        <f>+C83+C84+C87</f>
        <v>240681409.45000005</v>
      </c>
      <c r="D17" s="107">
        <f t="shared" ref="D17:N17" si="11">+D83+D84+D87</f>
        <v>227047507.27999997</v>
      </c>
      <c r="E17" s="107">
        <f t="shared" si="11"/>
        <v>220200591.59</v>
      </c>
      <c r="F17" s="107">
        <f t="shared" si="11"/>
        <v>200223533.96000004</v>
      </c>
      <c r="G17" s="107">
        <f t="shared" si="11"/>
        <v>211411737.09000003</v>
      </c>
      <c r="H17" s="107">
        <f t="shared" si="11"/>
        <v>231788221.83999997</v>
      </c>
      <c r="I17" s="107">
        <f t="shared" si="11"/>
        <v>267339264.70000002</v>
      </c>
      <c r="J17" s="107">
        <f t="shared" si="11"/>
        <v>260682605.50999999</v>
      </c>
      <c r="K17" s="107">
        <f t="shared" si="11"/>
        <v>216365904.57999998</v>
      </c>
      <c r="L17" s="107">
        <f t="shared" si="11"/>
        <v>208433027.06</v>
      </c>
      <c r="M17" s="107">
        <f t="shared" si="11"/>
        <v>207340835.90000001</v>
      </c>
      <c r="N17" s="107">
        <f t="shared" si="11"/>
        <v>228740145.88</v>
      </c>
      <c r="O17" s="107">
        <f t="shared" si="10"/>
        <v>2720254784.8400002</v>
      </c>
    </row>
    <row r="18" spans="1:15">
      <c r="A18" t="s">
        <v>143</v>
      </c>
      <c r="B18" t="s">
        <v>64</v>
      </c>
      <c r="C18" s="107">
        <f>+C85</f>
        <v>337158456.35000002</v>
      </c>
      <c r="D18" s="107">
        <f t="shared" ref="D18:N18" si="12">+D85</f>
        <v>317815054.75</v>
      </c>
      <c r="E18" s="107">
        <f t="shared" si="12"/>
        <v>308909820.83999997</v>
      </c>
      <c r="F18" s="107">
        <f t="shared" si="12"/>
        <v>281306877.83999997</v>
      </c>
      <c r="G18" s="107">
        <f t="shared" si="12"/>
        <v>297176032.01999998</v>
      </c>
      <c r="H18" s="107">
        <f t="shared" si="12"/>
        <v>325395331.29000002</v>
      </c>
      <c r="I18" s="107">
        <f t="shared" si="12"/>
        <v>374351097.11000001</v>
      </c>
      <c r="J18" s="107">
        <f t="shared" si="12"/>
        <v>365015396.5</v>
      </c>
      <c r="K18" s="107">
        <f t="shared" si="12"/>
        <v>304076281.18000001</v>
      </c>
      <c r="L18" s="107">
        <f t="shared" si="12"/>
        <v>292939575.59000003</v>
      </c>
      <c r="M18" s="107">
        <f t="shared" si="12"/>
        <v>291505710.53000003</v>
      </c>
      <c r="N18" s="107">
        <f t="shared" si="12"/>
        <v>320589022.30000001</v>
      </c>
      <c r="O18" s="107">
        <f t="shared" si="10"/>
        <v>3816238656.3000002</v>
      </c>
    </row>
    <row r="19" spans="1:15">
      <c r="A19" t="s">
        <v>143</v>
      </c>
      <c r="B19" t="s">
        <v>145</v>
      </c>
      <c r="C19" s="107">
        <f t="shared" ref="C19:N19" si="13">+C86+C88</f>
        <v>242020707.09</v>
      </c>
      <c r="D19" s="107">
        <f t="shared" si="13"/>
        <v>224826175.04999998</v>
      </c>
      <c r="E19" s="107">
        <f t="shared" si="13"/>
        <v>226255658.93000001</v>
      </c>
      <c r="F19" s="107">
        <f t="shared" si="13"/>
        <v>209480165.83999997</v>
      </c>
      <c r="G19" s="107">
        <f t="shared" si="13"/>
        <v>223857877.15000001</v>
      </c>
      <c r="H19" s="107">
        <f t="shared" si="13"/>
        <v>241175408.5</v>
      </c>
      <c r="I19" s="107">
        <f t="shared" si="13"/>
        <v>269578002.19999999</v>
      </c>
      <c r="J19" s="107">
        <f t="shared" si="13"/>
        <v>261474508.84999999</v>
      </c>
      <c r="K19" s="107">
        <f t="shared" si="13"/>
        <v>229148232.34</v>
      </c>
      <c r="L19" s="107">
        <f t="shared" si="13"/>
        <v>219961149.84</v>
      </c>
      <c r="M19" s="107">
        <f t="shared" si="13"/>
        <v>219819482.28</v>
      </c>
      <c r="N19" s="107">
        <f t="shared" si="13"/>
        <v>231766803.41</v>
      </c>
      <c r="O19" s="107">
        <f t="shared" si="10"/>
        <v>2799364171.48</v>
      </c>
    </row>
    <row r="20" spans="1:15">
      <c r="A20" t="s">
        <v>67</v>
      </c>
      <c r="B20" t="s">
        <v>146</v>
      </c>
      <c r="C20" s="107">
        <f>C89+C93</f>
        <v>13236010.189999999</v>
      </c>
      <c r="D20" s="107">
        <f t="shared" ref="D20:N20" si="14">D89+D93</f>
        <v>12495220.870000001</v>
      </c>
      <c r="E20" s="107">
        <f t="shared" si="14"/>
        <v>13042787</v>
      </c>
      <c r="F20" s="107">
        <f t="shared" si="14"/>
        <v>12749368.43</v>
      </c>
      <c r="G20" s="107">
        <f t="shared" si="14"/>
        <v>13101978.68</v>
      </c>
      <c r="H20" s="107">
        <f t="shared" si="14"/>
        <v>15449337.699999999</v>
      </c>
      <c r="I20" s="107">
        <f t="shared" si="14"/>
        <v>17624361.32</v>
      </c>
      <c r="J20" s="107">
        <f t="shared" si="14"/>
        <v>16259765.789999999</v>
      </c>
      <c r="K20" s="107">
        <f t="shared" si="14"/>
        <v>14347911.91</v>
      </c>
      <c r="L20" s="107">
        <f t="shared" si="14"/>
        <v>13526205.469999999</v>
      </c>
      <c r="M20" s="107">
        <f t="shared" si="14"/>
        <v>13643383.209999999</v>
      </c>
      <c r="N20" s="107">
        <f t="shared" si="14"/>
        <v>13144677.609999999</v>
      </c>
      <c r="O20" s="107">
        <f t="shared" si="10"/>
        <v>168621008.18000001</v>
      </c>
    </row>
    <row r="21" spans="1:15">
      <c r="A21" t="s">
        <v>67</v>
      </c>
      <c r="B21" t="s">
        <v>64</v>
      </c>
      <c r="C21" s="107">
        <f>+C90</f>
        <v>40187268.039999999</v>
      </c>
      <c r="D21" s="107">
        <f t="shared" ref="D21:N21" si="15">+D90</f>
        <v>37947311.969999999</v>
      </c>
      <c r="E21" s="107">
        <f t="shared" si="15"/>
        <v>39609337.68</v>
      </c>
      <c r="F21" s="107">
        <f t="shared" si="15"/>
        <v>38775765.120000005</v>
      </c>
      <c r="G21" s="107">
        <f t="shared" si="15"/>
        <v>39914875.129999995</v>
      </c>
      <c r="H21" s="107">
        <f t="shared" si="15"/>
        <v>47158702.859999999</v>
      </c>
      <c r="I21" s="107">
        <f t="shared" si="15"/>
        <v>53919707.600000001</v>
      </c>
      <c r="J21" s="107">
        <f t="shared" si="15"/>
        <v>49705994.589999996</v>
      </c>
      <c r="K21" s="107">
        <f t="shared" si="15"/>
        <v>43591640.109999999</v>
      </c>
      <c r="L21" s="107">
        <f t="shared" si="15"/>
        <v>41068953.719999999</v>
      </c>
      <c r="M21" s="107">
        <f t="shared" si="15"/>
        <v>41434245.18</v>
      </c>
      <c r="N21" s="107">
        <f t="shared" si="15"/>
        <v>39924260.559999995</v>
      </c>
      <c r="O21" s="107">
        <f t="shared" si="10"/>
        <v>513238062.56000006</v>
      </c>
    </row>
    <row r="22" spans="1:15">
      <c r="A22" t="s">
        <v>67</v>
      </c>
      <c r="B22" t="s">
        <v>147</v>
      </c>
      <c r="C22" s="107">
        <f t="shared" ref="C22" si="16">+C91+SUM(C103:C103)</f>
        <v>51522601.469999999</v>
      </c>
      <c r="D22" s="107">
        <f t="shared" ref="D22:N22" si="17">+D91+SUM(D103:D103)</f>
        <v>48461466.780000001</v>
      </c>
      <c r="E22" s="107">
        <f t="shared" si="17"/>
        <v>50720426.109999999</v>
      </c>
      <c r="F22" s="107">
        <f t="shared" si="17"/>
        <v>49626623.899999999</v>
      </c>
      <c r="G22" s="107">
        <f t="shared" si="17"/>
        <v>51087341.930000007</v>
      </c>
      <c r="H22" s="107">
        <f t="shared" si="17"/>
        <v>60017213.330000006</v>
      </c>
      <c r="I22" s="107">
        <f t="shared" si="17"/>
        <v>68605576.549999997</v>
      </c>
      <c r="J22" s="107">
        <f t="shared" si="17"/>
        <v>63355615.680000007</v>
      </c>
      <c r="K22" s="107">
        <f t="shared" si="17"/>
        <v>55221631.68</v>
      </c>
      <c r="L22" s="107">
        <f t="shared" si="17"/>
        <v>52507872.280000001</v>
      </c>
      <c r="M22" s="107">
        <f t="shared" si="17"/>
        <v>52943683.25</v>
      </c>
      <c r="N22" s="107">
        <f t="shared" si="17"/>
        <v>51026417.75</v>
      </c>
      <c r="O22" s="107">
        <f t="shared" si="10"/>
        <v>655096470.71000004</v>
      </c>
    </row>
    <row r="23" spans="1:15">
      <c r="A23" t="s">
        <v>67</v>
      </c>
      <c r="B23" t="s">
        <v>70</v>
      </c>
      <c r="C23" s="107">
        <f t="shared" ref="C23:N23" si="18">+C92</f>
        <v>403689.47</v>
      </c>
      <c r="D23" s="107">
        <f t="shared" si="18"/>
        <v>381049.79</v>
      </c>
      <c r="E23" s="107">
        <f t="shared" si="18"/>
        <v>397712.04</v>
      </c>
      <c r="F23" s="107">
        <f t="shared" si="18"/>
        <v>389508.13</v>
      </c>
      <c r="G23" s="107">
        <f t="shared" si="18"/>
        <v>400822.9</v>
      </c>
      <c r="H23" s="107">
        <f t="shared" si="18"/>
        <v>473088.17</v>
      </c>
      <c r="I23" s="107">
        <f t="shared" si="18"/>
        <v>540554.09</v>
      </c>
      <c r="J23" s="107">
        <f t="shared" si="18"/>
        <v>498350.17</v>
      </c>
      <c r="K23" s="107">
        <f t="shared" si="18"/>
        <v>437533.05</v>
      </c>
      <c r="L23" s="107">
        <f t="shared" si="18"/>
        <v>412604.91</v>
      </c>
      <c r="M23" s="107">
        <f t="shared" si="18"/>
        <v>416246.11</v>
      </c>
      <c r="N23" s="107">
        <f t="shared" si="18"/>
        <v>400978.71</v>
      </c>
      <c r="O23" s="107">
        <f t="shared" si="10"/>
        <v>5152137.54</v>
      </c>
    </row>
    <row r="24" spans="1:15">
      <c r="A24" t="s">
        <v>71</v>
      </c>
      <c r="B24" t="s">
        <v>148</v>
      </c>
      <c r="C24" s="107">
        <f>+C94+C99</f>
        <v>75872593.330000013</v>
      </c>
      <c r="D24" s="107">
        <f t="shared" ref="D24:N24" si="19">+D94+D99</f>
        <v>68942813.5</v>
      </c>
      <c r="E24" s="107">
        <f t="shared" si="19"/>
        <v>73182762.249999985</v>
      </c>
      <c r="F24" s="107">
        <f t="shared" si="19"/>
        <v>66632464.119999997</v>
      </c>
      <c r="G24" s="107">
        <f t="shared" si="19"/>
        <v>69742395.600000009</v>
      </c>
      <c r="H24" s="107">
        <f t="shared" si="19"/>
        <v>77902348.180000007</v>
      </c>
      <c r="I24" s="107">
        <f t="shared" si="19"/>
        <v>99509790.010000005</v>
      </c>
      <c r="J24" s="107">
        <f t="shared" si="19"/>
        <v>99589542.829999998</v>
      </c>
      <c r="K24" s="107">
        <f t="shared" si="19"/>
        <v>80299922.469999999</v>
      </c>
      <c r="L24" s="107">
        <f t="shared" si="19"/>
        <v>74752924.829999998</v>
      </c>
      <c r="M24" s="107">
        <f t="shared" si="19"/>
        <v>69539810.120000005</v>
      </c>
      <c r="N24" s="107">
        <f t="shared" si="19"/>
        <v>74061096.86999999</v>
      </c>
      <c r="O24" s="107">
        <f t="shared" si="10"/>
        <v>930028464.11000013</v>
      </c>
    </row>
    <row r="25" spans="1:15">
      <c r="A25" t="s">
        <v>71</v>
      </c>
      <c r="B25" t="s">
        <v>64</v>
      </c>
      <c r="C25" s="107">
        <f>+C95</f>
        <v>30860676.25</v>
      </c>
      <c r="D25" s="107">
        <f t="shared" ref="D25:N28" si="20">+D95</f>
        <v>28594121.07</v>
      </c>
      <c r="E25" s="107">
        <f t="shared" si="20"/>
        <v>30412138.939999998</v>
      </c>
      <c r="F25" s="107">
        <f t="shared" si="20"/>
        <v>28054961.949999999</v>
      </c>
      <c r="G25" s="107">
        <f t="shared" si="20"/>
        <v>29376083.640000001</v>
      </c>
      <c r="H25" s="107">
        <f t="shared" si="20"/>
        <v>32543876.580000002</v>
      </c>
      <c r="I25" s="107">
        <f t="shared" si="20"/>
        <v>40674118.219999999</v>
      </c>
      <c r="J25" s="107">
        <f t="shared" si="20"/>
        <v>40364991.329999998</v>
      </c>
      <c r="K25" s="107">
        <f t="shared" si="20"/>
        <v>33048415.190000001</v>
      </c>
      <c r="L25" s="107">
        <f t="shared" si="20"/>
        <v>30948862.050000001</v>
      </c>
      <c r="M25" s="107">
        <f t="shared" si="20"/>
        <v>29089786.960000001</v>
      </c>
      <c r="N25" s="107">
        <f t="shared" si="20"/>
        <v>30666000.459999997</v>
      </c>
      <c r="O25" s="107">
        <f t="shared" si="10"/>
        <v>384634032.63999999</v>
      </c>
    </row>
    <row r="26" spans="1:15">
      <c r="A26" t="s">
        <v>71</v>
      </c>
      <c r="B26" t="s">
        <v>65</v>
      </c>
      <c r="C26" s="107">
        <f t="shared" ref="C26:C28" si="21">+C96</f>
        <v>30239869.75</v>
      </c>
      <c r="D26" s="107">
        <f t="shared" si="20"/>
        <v>30035963.710000001</v>
      </c>
      <c r="E26" s="107">
        <f t="shared" si="20"/>
        <v>32196081.689999998</v>
      </c>
      <c r="F26" s="107">
        <f t="shared" si="20"/>
        <v>30980224.719999999</v>
      </c>
      <c r="G26" s="107">
        <f t="shared" si="20"/>
        <v>32495992.509999998</v>
      </c>
      <c r="H26" s="107">
        <f t="shared" si="20"/>
        <v>35058786.870000005</v>
      </c>
      <c r="I26" s="107">
        <f t="shared" si="20"/>
        <v>40663389.07</v>
      </c>
      <c r="J26" s="107">
        <f t="shared" si="20"/>
        <v>39142101.5</v>
      </c>
      <c r="K26" s="107">
        <f t="shared" si="20"/>
        <v>33799116.130000003</v>
      </c>
      <c r="L26" s="107">
        <f t="shared" si="20"/>
        <v>32310504.75</v>
      </c>
      <c r="M26" s="107">
        <f t="shared" si="20"/>
        <v>31476909.280000001</v>
      </c>
      <c r="N26" s="107">
        <f t="shared" si="20"/>
        <v>32051095.57</v>
      </c>
      <c r="O26" s="107">
        <f t="shared" si="10"/>
        <v>400450035.55000001</v>
      </c>
    </row>
    <row r="27" spans="1:15">
      <c r="A27" t="s">
        <v>71</v>
      </c>
      <c r="B27" t="s">
        <v>73</v>
      </c>
      <c r="C27" s="107">
        <f t="shared" si="21"/>
        <v>169307.56</v>
      </c>
      <c r="D27" s="107">
        <f t="shared" si="20"/>
        <v>171428.1</v>
      </c>
      <c r="E27" s="107">
        <f t="shared" si="20"/>
        <v>183895.66</v>
      </c>
      <c r="F27" s="107">
        <f t="shared" si="20"/>
        <v>178301.11</v>
      </c>
      <c r="G27" s="107">
        <f t="shared" si="20"/>
        <v>186954.26</v>
      </c>
      <c r="H27" s="107">
        <f t="shared" si="20"/>
        <v>200667.03</v>
      </c>
      <c r="I27" s="107">
        <f t="shared" si="20"/>
        <v>228536.15999999997</v>
      </c>
      <c r="J27" s="107">
        <f t="shared" si="20"/>
        <v>218422.26</v>
      </c>
      <c r="K27" s="107">
        <f t="shared" si="20"/>
        <v>190983.81</v>
      </c>
      <c r="L27" s="107">
        <f t="shared" si="20"/>
        <v>183454.19</v>
      </c>
      <c r="M27" s="107">
        <f t="shared" si="20"/>
        <v>180280.5</v>
      </c>
      <c r="N27" s="107">
        <f t="shared" si="20"/>
        <v>182004.8</v>
      </c>
      <c r="O27" s="107">
        <f t="shared" si="10"/>
        <v>2274235.44</v>
      </c>
    </row>
    <row r="28" spans="1:15">
      <c r="A28" t="s">
        <v>71</v>
      </c>
      <c r="B28" t="s">
        <v>68</v>
      </c>
      <c r="C28" s="107">
        <f t="shared" si="21"/>
        <v>375434.83</v>
      </c>
      <c r="D28" s="107">
        <f t="shared" si="20"/>
        <v>340759.6</v>
      </c>
      <c r="E28" s="107">
        <f t="shared" si="20"/>
        <v>361509.27</v>
      </c>
      <c r="F28" s="107">
        <f t="shared" si="20"/>
        <v>328995.11</v>
      </c>
      <c r="G28" s="107">
        <f t="shared" si="20"/>
        <v>344244.95</v>
      </c>
      <c r="H28" s="107">
        <f t="shared" si="20"/>
        <v>384642.72</v>
      </c>
      <c r="I28" s="107">
        <f t="shared" si="20"/>
        <v>491796.43</v>
      </c>
      <c r="J28" s="107">
        <f t="shared" si="20"/>
        <v>492506.97</v>
      </c>
      <c r="K28" s="107">
        <f t="shared" si="20"/>
        <v>396865.52</v>
      </c>
      <c r="L28" s="107">
        <f t="shared" si="20"/>
        <v>369320.82</v>
      </c>
      <c r="M28" s="107">
        <f t="shared" si="20"/>
        <v>343317.25</v>
      </c>
      <c r="N28" s="107">
        <f t="shared" si="20"/>
        <v>365810.08</v>
      </c>
      <c r="O28" s="107">
        <f t="shared" si="10"/>
        <v>4595203.55</v>
      </c>
    </row>
    <row r="29" spans="1:15">
      <c r="A29" t="s">
        <v>149</v>
      </c>
      <c r="B29" s="5">
        <v>23</v>
      </c>
      <c r="C29" s="107">
        <f>+C108</f>
        <v>5240.9056656877901</v>
      </c>
      <c r="D29" s="107">
        <f t="shared" ref="D29:N30" si="22">+D108</f>
        <v>4425.0996303663705</v>
      </c>
      <c r="E29" s="107">
        <f t="shared" si="22"/>
        <v>4267.1531060405505</v>
      </c>
      <c r="F29" s="107">
        <f t="shared" si="22"/>
        <v>3596.0886937239798</v>
      </c>
      <c r="G29" s="107">
        <f t="shared" si="22"/>
        <v>3513.4037713216799</v>
      </c>
      <c r="H29" s="107">
        <f t="shared" si="22"/>
        <v>4133.6051909112703</v>
      </c>
      <c r="I29" s="107">
        <f t="shared" si="22"/>
        <v>5063.0532490262003</v>
      </c>
      <c r="J29" s="107">
        <f t="shared" si="22"/>
        <v>4834.9828484745303</v>
      </c>
      <c r="K29" s="107">
        <f t="shared" si="22"/>
        <v>3849.5199279701001</v>
      </c>
      <c r="L29" s="107">
        <f t="shared" si="22"/>
        <v>3576.4540334969397</v>
      </c>
      <c r="M29" s="107">
        <f t="shared" si="22"/>
        <v>3943.4072477536201</v>
      </c>
      <c r="N29" s="107">
        <f t="shared" si="22"/>
        <v>4873.6633581527894</v>
      </c>
      <c r="O29" s="107">
        <f t="shared" si="10"/>
        <v>51317.336722925829</v>
      </c>
    </row>
    <row r="30" spans="1:15">
      <c r="A30" t="s">
        <v>149</v>
      </c>
      <c r="B30" s="5">
        <v>24</v>
      </c>
      <c r="C30" s="107">
        <f>+C109</f>
        <v>403630.03653099202</v>
      </c>
      <c r="D30" s="107">
        <f t="shared" si="22"/>
        <v>368498.27706575801</v>
      </c>
      <c r="E30" s="107">
        <f t="shared" si="22"/>
        <v>397502.86272583198</v>
      </c>
      <c r="F30" s="107">
        <f t="shared" si="22"/>
        <v>351624.65177593898</v>
      </c>
      <c r="G30" s="107">
        <f t="shared" si="22"/>
        <v>393434.78359712602</v>
      </c>
      <c r="H30" s="107">
        <f t="shared" si="22"/>
        <v>443951.36712286097</v>
      </c>
      <c r="I30" s="107">
        <f t="shared" si="22"/>
        <v>483936.40272388997</v>
      </c>
      <c r="J30" s="107">
        <f t="shared" si="22"/>
        <v>468871.458143642</v>
      </c>
      <c r="K30" s="107">
        <f t="shared" si="22"/>
        <v>421847.88154907699</v>
      </c>
      <c r="L30" s="107">
        <f t="shared" si="22"/>
        <v>380772.22236500698</v>
      </c>
      <c r="M30" s="107">
        <f t="shared" si="22"/>
        <v>368672.35270523402</v>
      </c>
      <c r="N30" s="107">
        <f t="shared" si="22"/>
        <v>398455.78479146498</v>
      </c>
      <c r="O30" s="107">
        <f t="shared" si="10"/>
        <v>4881198.0810968224</v>
      </c>
    </row>
    <row r="31" spans="1:15">
      <c r="A31" t="s">
        <v>149</v>
      </c>
      <c r="B31" t="s">
        <v>61</v>
      </c>
      <c r="C31" s="107">
        <f>SUM(C110:C112)</f>
        <v>47400099.388096295</v>
      </c>
      <c r="D31" s="107">
        <f t="shared" ref="D31:N31" si="23">SUM(D110:D112)</f>
        <v>42969355.609561257</v>
      </c>
      <c r="E31" s="107">
        <f t="shared" si="23"/>
        <v>45738112.496221609</v>
      </c>
      <c r="F31" s="107">
        <f t="shared" si="23"/>
        <v>40718711.049036853</v>
      </c>
      <c r="G31" s="107">
        <f t="shared" si="23"/>
        <v>44617473.107840389</v>
      </c>
      <c r="H31" s="107">
        <f t="shared" si="23"/>
        <v>50364258.085545346</v>
      </c>
      <c r="I31" s="107">
        <f t="shared" si="23"/>
        <v>55283873.118526846</v>
      </c>
      <c r="J31" s="107">
        <f t="shared" si="23"/>
        <v>53603689.064901769</v>
      </c>
      <c r="K31" s="107">
        <f t="shared" si="23"/>
        <v>47806814.327331953</v>
      </c>
      <c r="L31" s="107">
        <f t="shared" si="23"/>
        <v>43930004.653177589</v>
      </c>
      <c r="M31" s="107">
        <f t="shared" si="23"/>
        <v>42753002.809513725</v>
      </c>
      <c r="N31" s="107">
        <f t="shared" si="23"/>
        <v>46526979.629570514</v>
      </c>
      <c r="O31" s="107">
        <f t="shared" si="10"/>
        <v>561712373.33932424</v>
      </c>
    </row>
    <row r="32" spans="1:15">
      <c r="A32" t="s">
        <v>149</v>
      </c>
      <c r="B32" t="s">
        <v>150</v>
      </c>
      <c r="C32" s="107">
        <f t="shared" ref="C32:N32" si="24">+C113+C115</f>
        <v>28051716.961945686</v>
      </c>
      <c r="D32" s="107">
        <f t="shared" si="24"/>
        <v>25520173.40195113</v>
      </c>
      <c r="E32" s="107">
        <f t="shared" si="24"/>
        <v>26803183.587778468</v>
      </c>
      <c r="F32" s="107">
        <f t="shared" si="24"/>
        <v>24104188.325532015</v>
      </c>
      <c r="G32" s="107">
        <f t="shared" si="24"/>
        <v>26197966.065883122</v>
      </c>
      <c r="H32" s="107">
        <f t="shared" si="24"/>
        <v>29260459.710591093</v>
      </c>
      <c r="I32" s="107">
        <f t="shared" si="24"/>
        <v>32260505.193623871</v>
      </c>
      <c r="J32" s="107">
        <f t="shared" si="24"/>
        <v>31282975.429716516</v>
      </c>
      <c r="K32" s="107">
        <f t="shared" si="24"/>
        <v>27718727.14232707</v>
      </c>
      <c r="L32" s="107">
        <f t="shared" si="24"/>
        <v>25862083.478051696</v>
      </c>
      <c r="M32" s="107">
        <f t="shared" si="24"/>
        <v>25220797.474669252</v>
      </c>
      <c r="N32" s="107">
        <f t="shared" si="24"/>
        <v>27505314.540970445</v>
      </c>
      <c r="O32" s="107">
        <f t="shared" si="10"/>
        <v>329788091.31304038</v>
      </c>
    </row>
    <row r="33" spans="1:15">
      <c r="A33" t="s">
        <v>149</v>
      </c>
      <c r="B33" t="s">
        <v>65</v>
      </c>
      <c r="C33" s="107">
        <f>+C114</f>
        <v>47912586.791106828</v>
      </c>
      <c r="D33" s="107">
        <f t="shared" ref="D33:N33" si="25">+D114</f>
        <v>45190184.386308514</v>
      </c>
      <c r="E33" s="107">
        <f t="shared" si="25"/>
        <v>47800055.875708625</v>
      </c>
      <c r="F33" s="107">
        <f t="shared" si="25"/>
        <v>45179560.633901767</v>
      </c>
      <c r="G33" s="107">
        <f t="shared" si="25"/>
        <v>49281062.998818755</v>
      </c>
      <c r="H33" s="107">
        <f t="shared" si="25"/>
        <v>53246688.492558703</v>
      </c>
      <c r="I33" s="107">
        <f t="shared" si="25"/>
        <v>56980254.435601093</v>
      </c>
      <c r="J33" s="107">
        <f t="shared" si="25"/>
        <v>55648958.107598349</v>
      </c>
      <c r="K33" s="107">
        <f t="shared" si="25"/>
        <v>50593385.141209334</v>
      </c>
      <c r="L33" s="107">
        <f t="shared" si="25"/>
        <v>49270357.5072079</v>
      </c>
      <c r="M33" s="107">
        <f t="shared" si="25"/>
        <v>46138632.848406114</v>
      </c>
      <c r="N33" s="107">
        <f t="shared" si="25"/>
        <v>47892160.92959661</v>
      </c>
      <c r="O33" s="107">
        <f t="shared" si="10"/>
        <v>595133888.14802265</v>
      </c>
    </row>
    <row r="34" spans="1:15">
      <c r="A34" t="s">
        <v>149</v>
      </c>
      <c r="B34" t="s">
        <v>76</v>
      </c>
      <c r="C34" s="107">
        <f>+C116</f>
        <v>26296292.429358773</v>
      </c>
      <c r="D34" s="107">
        <f t="shared" ref="D34:N34" si="26">+D116</f>
        <v>25423385.14206006</v>
      </c>
      <c r="E34" s="107">
        <f t="shared" si="26"/>
        <v>26509947.651489969</v>
      </c>
      <c r="F34" s="107">
        <f t="shared" si="26"/>
        <v>26443597.909299158</v>
      </c>
      <c r="G34" s="107">
        <f t="shared" si="26"/>
        <v>28159730.564442001</v>
      </c>
      <c r="H34" s="107">
        <f t="shared" si="26"/>
        <v>29462215.985653497</v>
      </c>
      <c r="I34" s="107">
        <f t="shared" si="26"/>
        <v>31015286.183115199</v>
      </c>
      <c r="J34" s="107">
        <f t="shared" si="26"/>
        <v>30507635.410556398</v>
      </c>
      <c r="K34" s="107">
        <f t="shared" si="26"/>
        <v>28008129.710696597</v>
      </c>
      <c r="L34" s="107">
        <f t="shared" si="26"/>
        <v>29039365.313615691</v>
      </c>
      <c r="M34" s="107">
        <f t="shared" si="26"/>
        <v>26458518.986008391</v>
      </c>
      <c r="N34" s="107">
        <f t="shared" si="26"/>
        <v>26544716.398548827</v>
      </c>
      <c r="O34" s="107">
        <f t="shared" si="10"/>
        <v>333868821.68484461</v>
      </c>
    </row>
    <row r="35" spans="1:15">
      <c r="A35" t="s">
        <v>58</v>
      </c>
      <c r="B35" t="s">
        <v>77</v>
      </c>
      <c r="C35" s="107">
        <f t="shared" ref="C35:N36" si="27">+C100+C117</f>
        <v>5057971.9977438096</v>
      </c>
      <c r="D35" s="107">
        <f t="shared" si="27"/>
        <v>4280115.3476625709</v>
      </c>
      <c r="E35" s="107">
        <f t="shared" si="27"/>
        <v>4324434.3552386099</v>
      </c>
      <c r="F35" s="107">
        <f t="shared" si="27"/>
        <v>3687327.3497610581</v>
      </c>
      <c r="G35" s="107">
        <f t="shared" si="27"/>
        <v>3456801.8759926204</v>
      </c>
      <c r="H35" s="107">
        <f t="shared" si="27"/>
        <v>3330452.4014969086</v>
      </c>
      <c r="I35" s="107">
        <f t="shared" si="27"/>
        <v>3693090.925504637</v>
      </c>
      <c r="J35" s="107">
        <f t="shared" si="27"/>
        <v>3955383.959628013</v>
      </c>
      <c r="K35" s="107">
        <f t="shared" si="27"/>
        <v>3954583.1639921693</v>
      </c>
      <c r="L35" s="107">
        <f t="shared" si="27"/>
        <v>4436990.9250760721</v>
      </c>
      <c r="M35" s="107">
        <f t="shared" si="27"/>
        <v>4642240.6613898948</v>
      </c>
      <c r="N35" s="107">
        <f t="shared" si="27"/>
        <v>5018151.6522251293</v>
      </c>
      <c r="O35" s="107">
        <f t="shared" si="10"/>
        <v>49837544.615711488</v>
      </c>
    </row>
    <row r="36" spans="1:15">
      <c r="A36" t="s">
        <v>58</v>
      </c>
      <c r="B36" t="s">
        <v>78</v>
      </c>
      <c r="C36" s="108">
        <f t="shared" si="27"/>
        <v>6018774.3099999996</v>
      </c>
      <c r="D36" s="108">
        <f t="shared" si="27"/>
        <v>5048761.74</v>
      </c>
      <c r="E36" s="108">
        <f t="shared" si="27"/>
        <v>5029047.78</v>
      </c>
      <c r="F36" s="108">
        <f t="shared" si="27"/>
        <v>4234316.1100000003</v>
      </c>
      <c r="G36" s="108">
        <f t="shared" si="27"/>
        <v>3789169.85</v>
      </c>
      <c r="H36" s="108">
        <f t="shared" si="27"/>
        <v>3424951.1599999997</v>
      </c>
      <c r="I36" s="108">
        <f t="shared" si="27"/>
        <v>3542896.2199999997</v>
      </c>
      <c r="J36" s="108">
        <f t="shared" si="27"/>
        <v>3925419.15</v>
      </c>
      <c r="K36" s="108">
        <f t="shared" si="27"/>
        <v>4370033.1499999994</v>
      </c>
      <c r="L36" s="108">
        <f t="shared" si="27"/>
        <v>5106527.76</v>
      </c>
      <c r="M36" s="108">
        <f t="shared" si="27"/>
        <v>5512489.3799999999</v>
      </c>
      <c r="N36" s="108">
        <f t="shared" si="27"/>
        <v>5921360.0599999996</v>
      </c>
      <c r="O36" s="108">
        <f t="shared" si="10"/>
        <v>55923746.670000002</v>
      </c>
    </row>
    <row r="37" spans="1:15" ht="16">
      <c r="A37" t="s">
        <v>58</v>
      </c>
      <c r="B37" t="s">
        <v>151</v>
      </c>
      <c r="C37" s="103">
        <f>C57+C70</f>
        <v>1198632.4817585708</v>
      </c>
      <c r="D37" s="103">
        <f t="shared" ref="D37:N37" si="28">D57+D70</f>
        <v>1200749.0643378231</v>
      </c>
      <c r="E37" s="103">
        <f t="shared" si="28"/>
        <v>1192160.9834497201</v>
      </c>
      <c r="F37" s="103">
        <f t="shared" si="28"/>
        <v>1186335.2589014461</v>
      </c>
      <c r="G37" s="103">
        <f t="shared" si="28"/>
        <v>1180741.3970556981</v>
      </c>
      <c r="H37" s="103">
        <f t="shared" si="28"/>
        <v>1185673.9521623799</v>
      </c>
      <c r="I37" s="103">
        <f t="shared" si="28"/>
        <v>1192395.2135359449</v>
      </c>
      <c r="J37" s="103">
        <f t="shared" si="28"/>
        <v>1185038.0673429889</v>
      </c>
      <c r="K37" s="103">
        <f t="shared" si="28"/>
        <v>1181616.3466286059</v>
      </c>
      <c r="L37" s="103">
        <f t="shared" si="28"/>
        <v>1185749.9626837571</v>
      </c>
      <c r="M37" s="103">
        <f t="shared" si="28"/>
        <v>1186866.5989058549</v>
      </c>
      <c r="N37" s="103">
        <f t="shared" si="28"/>
        <v>1188469.5003403139</v>
      </c>
      <c r="O37" s="108">
        <f t="shared" si="10"/>
        <v>14264428.827103103</v>
      </c>
    </row>
    <row r="38" spans="1:15">
      <c r="C38" s="107">
        <f>SUM(C15:C37)</f>
        <v>2008985105.9951386</v>
      </c>
      <c r="D38" s="107">
        <f t="shared" ref="D38:N38" si="29">SUM(D15:D37)</f>
        <v>1818905584.0547023</v>
      </c>
      <c r="E38" s="107">
        <f t="shared" si="29"/>
        <v>1804953537.8228981</v>
      </c>
      <c r="F38" s="107">
        <f t="shared" si="29"/>
        <v>1632070942.0608447</v>
      </c>
      <c r="G38" s="107">
        <f t="shared" si="29"/>
        <v>1678032553.3471618</v>
      </c>
      <c r="H38" s="107">
        <f t="shared" si="29"/>
        <v>1885508111.8996849</v>
      </c>
      <c r="I38" s="107">
        <f t="shared" si="29"/>
        <v>2254700245.2788439</v>
      </c>
      <c r="J38" s="107">
        <f t="shared" si="29"/>
        <v>2202103695.3230085</v>
      </c>
      <c r="K38" s="107">
        <f t="shared" si="29"/>
        <v>1822400501.7465985</v>
      </c>
      <c r="L38" s="107">
        <f t="shared" si="29"/>
        <v>1683579807.2344592</v>
      </c>
      <c r="M38" s="107">
        <f t="shared" si="29"/>
        <v>1727110701.5111818</v>
      </c>
      <c r="N38" s="107">
        <f t="shared" si="29"/>
        <v>1917938715.6648042</v>
      </c>
      <c r="O38" s="108">
        <f t="shared" si="10"/>
        <v>22436289501.939327</v>
      </c>
    </row>
    <row r="39" spans="1:15">
      <c r="C39" s="107">
        <f>+C38-C120</f>
        <v>0</v>
      </c>
      <c r="D39" s="107">
        <f t="shared" ref="D39:N39" si="30">+D38-D120</f>
        <v>0</v>
      </c>
      <c r="E39" s="107">
        <f t="shared" si="30"/>
        <v>0</v>
      </c>
      <c r="F39" s="107">
        <f t="shared" si="30"/>
        <v>0</v>
      </c>
      <c r="G39" s="107">
        <f t="shared" si="30"/>
        <v>0</v>
      </c>
      <c r="H39" s="107">
        <f t="shared" si="30"/>
        <v>0</v>
      </c>
      <c r="I39" s="107">
        <f t="shared" si="30"/>
        <v>0</v>
      </c>
      <c r="J39" s="107">
        <f t="shared" si="30"/>
        <v>0</v>
      </c>
      <c r="K39" s="107">
        <f t="shared" si="30"/>
        <v>0</v>
      </c>
      <c r="L39" s="107">
        <f t="shared" si="30"/>
        <v>0</v>
      </c>
      <c r="M39" s="107">
        <f t="shared" si="30"/>
        <v>0</v>
      </c>
      <c r="N39" s="107">
        <f t="shared" si="30"/>
        <v>0</v>
      </c>
      <c r="O39" s="107">
        <f>+O38-O120</f>
        <v>0</v>
      </c>
    </row>
    <row r="40" spans="1:15">
      <c r="A40" s="32" t="s">
        <v>152</v>
      </c>
      <c r="D40" s="107"/>
      <c r="E40" s="107"/>
    </row>
    <row r="41" spans="1:15" ht="16">
      <c r="A41" s="19" t="s">
        <v>44</v>
      </c>
      <c r="B41" s="19" t="s">
        <v>141</v>
      </c>
      <c r="C41" s="103" t="str">
        <f t="shared" ref="C41:O41" si="31">+C14</f>
        <v>Jan</v>
      </c>
      <c r="D41" s="103" t="str">
        <f t="shared" si="31"/>
        <v>Feb</v>
      </c>
      <c r="E41" s="103" t="str">
        <f t="shared" si="31"/>
        <v>Mar</v>
      </c>
      <c r="F41" s="103" t="str">
        <f t="shared" si="31"/>
        <v>Apr</v>
      </c>
      <c r="G41" s="103" t="str">
        <f t="shared" si="31"/>
        <v>May</v>
      </c>
      <c r="H41" s="103" t="str">
        <f t="shared" si="31"/>
        <v>Jun</v>
      </c>
      <c r="I41" s="103" t="str">
        <f t="shared" si="31"/>
        <v>Jul</v>
      </c>
      <c r="J41" s="103" t="str">
        <f t="shared" si="31"/>
        <v>Aug</v>
      </c>
      <c r="K41" s="103" t="str">
        <f t="shared" si="31"/>
        <v>Sep</v>
      </c>
      <c r="L41" s="103" t="str">
        <f t="shared" si="31"/>
        <v>Oct</v>
      </c>
      <c r="M41" s="103" t="str">
        <f t="shared" si="31"/>
        <v>Nov</v>
      </c>
      <c r="N41" s="103" t="str">
        <f t="shared" si="31"/>
        <v>Dec</v>
      </c>
      <c r="O41" s="103" t="str">
        <f t="shared" si="31"/>
        <v>Total</v>
      </c>
    </row>
    <row r="42" spans="1:15">
      <c r="A42" t="s">
        <v>153</v>
      </c>
      <c r="B42" t="s">
        <v>137</v>
      </c>
      <c r="C42" s="107">
        <f>+C79+C80</f>
        <v>570474835.25</v>
      </c>
      <c r="D42" s="107">
        <f t="shared" ref="D42:N42" si="32">+D79+D80</f>
        <v>493925004.04000008</v>
      </c>
      <c r="E42" s="107">
        <f t="shared" si="32"/>
        <v>484862194.93000001</v>
      </c>
      <c r="F42" s="107">
        <f t="shared" si="32"/>
        <v>427020772.78999996</v>
      </c>
      <c r="G42" s="107">
        <f t="shared" si="32"/>
        <v>421047746.44</v>
      </c>
      <c r="H42" s="107">
        <f t="shared" si="32"/>
        <v>491209133.44999993</v>
      </c>
      <c r="I42" s="107">
        <f t="shared" si="32"/>
        <v>633676519.3900001</v>
      </c>
      <c r="J42" s="107">
        <f t="shared" si="32"/>
        <v>628766338.91999996</v>
      </c>
      <c r="K42" s="107">
        <f t="shared" si="32"/>
        <v>498158952.18999994</v>
      </c>
      <c r="L42" s="107">
        <f t="shared" si="32"/>
        <v>421875964.86000001</v>
      </c>
      <c r="M42" s="107">
        <f t="shared" si="32"/>
        <v>461644823.60000002</v>
      </c>
      <c r="N42" s="107">
        <f t="shared" si="32"/>
        <v>537915775.49000001</v>
      </c>
      <c r="O42" s="107">
        <f>SUM(C42:N42)</f>
        <v>6070578061.3499994</v>
      </c>
    </row>
    <row r="43" spans="1:15">
      <c r="A43" t="s">
        <v>153</v>
      </c>
      <c r="B43" t="s">
        <v>142</v>
      </c>
      <c r="C43" s="107">
        <f>+C81+C82</f>
        <v>64261086.229999997</v>
      </c>
      <c r="D43" s="107">
        <f t="shared" ref="D43:N43" si="33">+D81+D82</f>
        <v>55490630.579999998</v>
      </c>
      <c r="E43" s="107">
        <f t="shared" si="33"/>
        <v>54650426.280000001</v>
      </c>
      <c r="F43" s="107">
        <f t="shared" si="33"/>
        <v>48071057.130000003</v>
      </c>
      <c r="G43" s="107">
        <f t="shared" si="33"/>
        <v>47514711.960000001</v>
      </c>
      <c r="H43" s="107">
        <f t="shared" si="33"/>
        <v>55378633.060000002</v>
      </c>
      <c r="I43" s="107">
        <f t="shared" si="33"/>
        <v>71727364.539999992</v>
      </c>
      <c r="J43" s="107">
        <f t="shared" si="33"/>
        <v>71542753.239999995</v>
      </c>
      <c r="K43" s="107">
        <f t="shared" si="33"/>
        <v>56633538.599999994</v>
      </c>
      <c r="L43" s="107">
        <f t="shared" si="33"/>
        <v>47538472.740000002</v>
      </c>
      <c r="M43" s="107">
        <f t="shared" si="33"/>
        <v>51969235.609999999</v>
      </c>
      <c r="N43" s="107">
        <f t="shared" si="33"/>
        <v>60574440.5</v>
      </c>
      <c r="O43" s="107">
        <f t="shared" ref="O43:O58" si="34">SUM(C43:N43)</f>
        <v>685352350.47000003</v>
      </c>
    </row>
    <row r="44" spans="1:15">
      <c r="A44" t="s">
        <v>143</v>
      </c>
      <c r="B44" t="s">
        <v>144</v>
      </c>
      <c r="C44" s="107">
        <f>+C83+C84+C87</f>
        <v>240681409.45000005</v>
      </c>
      <c r="D44" s="107">
        <f t="shared" ref="D44:N44" si="35">+D83+D84+D87</f>
        <v>227047507.27999997</v>
      </c>
      <c r="E44" s="107">
        <f t="shared" si="35"/>
        <v>220200591.59</v>
      </c>
      <c r="F44" s="107">
        <f t="shared" si="35"/>
        <v>200223533.96000004</v>
      </c>
      <c r="G44" s="107">
        <f t="shared" si="35"/>
        <v>211411737.09000003</v>
      </c>
      <c r="H44" s="107">
        <f t="shared" si="35"/>
        <v>231788221.83999997</v>
      </c>
      <c r="I44" s="107">
        <f t="shared" si="35"/>
        <v>267339264.70000002</v>
      </c>
      <c r="J44" s="107">
        <f t="shared" si="35"/>
        <v>260682605.50999999</v>
      </c>
      <c r="K44" s="107">
        <f t="shared" si="35"/>
        <v>216365904.57999998</v>
      </c>
      <c r="L44" s="107">
        <f t="shared" si="35"/>
        <v>208433027.06</v>
      </c>
      <c r="M44" s="107">
        <f t="shared" si="35"/>
        <v>207340835.90000001</v>
      </c>
      <c r="N44" s="107">
        <f t="shared" si="35"/>
        <v>228740145.88</v>
      </c>
      <c r="O44" s="107">
        <f t="shared" si="34"/>
        <v>2720254784.8400002</v>
      </c>
    </row>
    <row r="45" spans="1:15">
      <c r="A45" t="s">
        <v>143</v>
      </c>
      <c r="B45" t="s">
        <v>64</v>
      </c>
      <c r="C45" s="107">
        <f>+C85</f>
        <v>337158456.35000002</v>
      </c>
      <c r="D45" s="107">
        <f t="shared" ref="D45:N45" si="36">+D85</f>
        <v>317815054.75</v>
      </c>
      <c r="E45" s="107">
        <f t="shared" si="36"/>
        <v>308909820.83999997</v>
      </c>
      <c r="F45" s="107">
        <f t="shared" si="36"/>
        <v>281306877.83999997</v>
      </c>
      <c r="G45" s="107">
        <f t="shared" si="36"/>
        <v>297176032.01999998</v>
      </c>
      <c r="H45" s="107">
        <f t="shared" si="36"/>
        <v>325395331.29000002</v>
      </c>
      <c r="I45" s="107">
        <f t="shared" si="36"/>
        <v>374351097.11000001</v>
      </c>
      <c r="J45" s="107">
        <f t="shared" si="36"/>
        <v>365015396.5</v>
      </c>
      <c r="K45" s="107">
        <f t="shared" si="36"/>
        <v>304076281.18000001</v>
      </c>
      <c r="L45" s="107">
        <f t="shared" si="36"/>
        <v>292939575.59000003</v>
      </c>
      <c r="M45" s="107">
        <f t="shared" si="36"/>
        <v>291505710.53000003</v>
      </c>
      <c r="N45" s="107">
        <f t="shared" si="36"/>
        <v>320589022.30000001</v>
      </c>
      <c r="O45" s="107">
        <f t="shared" si="34"/>
        <v>3816238656.3000002</v>
      </c>
    </row>
    <row r="46" spans="1:15">
      <c r="A46" t="s">
        <v>143</v>
      </c>
      <c r="B46" t="s">
        <v>145</v>
      </c>
      <c r="C46" s="107">
        <f>+C86+C88</f>
        <v>242020707.09</v>
      </c>
      <c r="D46" s="107">
        <f t="shared" ref="D46:N46" si="37">+D86+D88</f>
        <v>224826175.04999998</v>
      </c>
      <c r="E46" s="107">
        <f t="shared" si="37"/>
        <v>226255658.93000001</v>
      </c>
      <c r="F46" s="107">
        <f t="shared" si="37"/>
        <v>209480165.83999997</v>
      </c>
      <c r="G46" s="107">
        <f t="shared" si="37"/>
        <v>223857877.15000001</v>
      </c>
      <c r="H46" s="107">
        <f t="shared" si="37"/>
        <v>241175408.5</v>
      </c>
      <c r="I46" s="107">
        <f t="shared" si="37"/>
        <v>269578002.19999999</v>
      </c>
      <c r="J46" s="107">
        <f t="shared" si="37"/>
        <v>261474508.84999999</v>
      </c>
      <c r="K46" s="107">
        <f t="shared" si="37"/>
        <v>229148232.34</v>
      </c>
      <c r="L46" s="107">
        <f t="shared" si="37"/>
        <v>219961149.84</v>
      </c>
      <c r="M46" s="107">
        <f t="shared" si="37"/>
        <v>219819482.28</v>
      </c>
      <c r="N46" s="107">
        <f t="shared" si="37"/>
        <v>231766803.41</v>
      </c>
      <c r="O46" s="107">
        <f t="shared" si="34"/>
        <v>2799364171.48</v>
      </c>
    </row>
    <row r="47" spans="1:15">
      <c r="A47" t="s">
        <v>67</v>
      </c>
      <c r="B47" t="s">
        <v>146</v>
      </c>
      <c r="C47" s="107">
        <f>+C89+C93</f>
        <v>13236010.189999999</v>
      </c>
      <c r="D47" s="107">
        <f t="shared" ref="D47:N47" si="38">+D89+D93</f>
        <v>12495220.870000001</v>
      </c>
      <c r="E47" s="107">
        <f t="shared" si="38"/>
        <v>13042787</v>
      </c>
      <c r="F47" s="107">
        <f t="shared" si="38"/>
        <v>12749368.43</v>
      </c>
      <c r="G47" s="107">
        <f t="shared" si="38"/>
        <v>13101978.68</v>
      </c>
      <c r="H47" s="107">
        <f t="shared" si="38"/>
        <v>15449337.699999999</v>
      </c>
      <c r="I47" s="107">
        <f t="shared" si="38"/>
        <v>17624361.32</v>
      </c>
      <c r="J47" s="107">
        <f t="shared" si="38"/>
        <v>16259765.789999999</v>
      </c>
      <c r="K47" s="107">
        <f t="shared" si="38"/>
        <v>14347911.91</v>
      </c>
      <c r="L47" s="107">
        <f t="shared" si="38"/>
        <v>13526205.469999999</v>
      </c>
      <c r="M47" s="107">
        <f t="shared" si="38"/>
        <v>13643383.209999999</v>
      </c>
      <c r="N47" s="107">
        <f t="shared" si="38"/>
        <v>13144677.609999999</v>
      </c>
      <c r="O47" s="107">
        <f t="shared" si="34"/>
        <v>168621008.18000001</v>
      </c>
    </row>
    <row r="48" spans="1:15">
      <c r="A48" t="s">
        <v>67</v>
      </c>
      <c r="B48" t="s">
        <v>64</v>
      </c>
      <c r="C48" s="107">
        <f>+C90</f>
        <v>40187268.039999999</v>
      </c>
      <c r="D48" s="107">
        <f t="shared" ref="D48:N48" si="39">+D90</f>
        <v>37947311.969999999</v>
      </c>
      <c r="E48" s="107">
        <f t="shared" si="39"/>
        <v>39609337.68</v>
      </c>
      <c r="F48" s="107">
        <f t="shared" si="39"/>
        <v>38775765.120000005</v>
      </c>
      <c r="G48" s="107">
        <f t="shared" si="39"/>
        <v>39914875.129999995</v>
      </c>
      <c r="H48" s="107">
        <f t="shared" si="39"/>
        <v>47158702.859999999</v>
      </c>
      <c r="I48" s="107">
        <f t="shared" si="39"/>
        <v>53919707.600000001</v>
      </c>
      <c r="J48" s="107">
        <f t="shared" si="39"/>
        <v>49705994.589999996</v>
      </c>
      <c r="K48" s="107">
        <f t="shared" si="39"/>
        <v>43591640.109999999</v>
      </c>
      <c r="L48" s="107">
        <f t="shared" si="39"/>
        <v>41068953.719999999</v>
      </c>
      <c r="M48" s="107">
        <f t="shared" si="39"/>
        <v>41434245.18</v>
      </c>
      <c r="N48" s="107">
        <f t="shared" si="39"/>
        <v>39924260.559999995</v>
      </c>
      <c r="O48" s="107">
        <f t="shared" si="34"/>
        <v>513238062.56000006</v>
      </c>
    </row>
    <row r="49" spans="1:15">
      <c r="A49" t="s">
        <v>67</v>
      </c>
      <c r="B49" t="s">
        <v>147</v>
      </c>
      <c r="C49" s="107">
        <f>+C91+C103</f>
        <v>51522601.469999999</v>
      </c>
      <c r="D49" s="107">
        <f t="shared" ref="D49:N49" si="40">+D91+D103</f>
        <v>48461466.780000001</v>
      </c>
      <c r="E49" s="107">
        <f t="shared" si="40"/>
        <v>50720426.109999999</v>
      </c>
      <c r="F49" s="107">
        <f t="shared" si="40"/>
        <v>49626623.899999999</v>
      </c>
      <c r="G49" s="107">
        <f t="shared" si="40"/>
        <v>51087341.930000007</v>
      </c>
      <c r="H49" s="107">
        <f t="shared" si="40"/>
        <v>60017213.330000006</v>
      </c>
      <c r="I49" s="107">
        <f t="shared" si="40"/>
        <v>68605576.549999997</v>
      </c>
      <c r="J49" s="107">
        <f t="shared" si="40"/>
        <v>63355615.680000007</v>
      </c>
      <c r="K49" s="107">
        <f t="shared" si="40"/>
        <v>55221631.68</v>
      </c>
      <c r="L49" s="107">
        <f t="shared" si="40"/>
        <v>52507872.280000001</v>
      </c>
      <c r="M49" s="107">
        <f t="shared" si="40"/>
        <v>52943683.25</v>
      </c>
      <c r="N49" s="107">
        <f t="shared" si="40"/>
        <v>51026417.75</v>
      </c>
      <c r="O49" s="107">
        <f t="shared" si="34"/>
        <v>655096470.71000004</v>
      </c>
    </row>
    <row r="50" spans="1:15">
      <c r="A50" t="s">
        <v>67</v>
      </c>
      <c r="B50" t="s">
        <v>70</v>
      </c>
      <c r="C50" s="107">
        <f t="shared" ref="C50:N50" si="41">+C92</f>
        <v>403689.47</v>
      </c>
      <c r="D50" s="107">
        <f t="shared" si="41"/>
        <v>381049.79</v>
      </c>
      <c r="E50" s="107">
        <f t="shared" si="41"/>
        <v>397712.04</v>
      </c>
      <c r="F50" s="107">
        <f t="shared" si="41"/>
        <v>389508.13</v>
      </c>
      <c r="G50" s="107">
        <f t="shared" si="41"/>
        <v>400822.9</v>
      </c>
      <c r="H50" s="107">
        <f t="shared" si="41"/>
        <v>473088.17</v>
      </c>
      <c r="I50" s="107">
        <f t="shared" si="41"/>
        <v>540554.09</v>
      </c>
      <c r="J50" s="107">
        <f t="shared" si="41"/>
        <v>498350.17</v>
      </c>
      <c r="K50" s="107">
        <f t="shared" si="41"/>
        <v>437533.05</v>
      </c>
      <c r="L50" s="107">
        <f t="shared" si="41"/>
        <v>412604.91</v>
      </c>
      <c r="M50" s="107">
        <f t="shared" si="41"/>
        <v>416246.11</v>
      </c>
      <c r="N50" s="107">
        <f t="shared" si="41"/>
        <v>400978.71</v>
      </c>
      <c r="O50" s="107">
        <f t="shared" si="34"/>
        <v>5152137.54</v>
      </c>
    </row>
    <row r="51" spans="1:15">
      <c r="A51" t="s">
        <v>71</v>
      </c>
      <c r="B51" t="s">
        <v>148</v>
      </c>
      <c r="C51" s="107">
        <f>+C94+C99</f>
        <v>75872593.330000013</v>
      </c>
      <c r="D51" s="107">
        <f t="shared" ref="D51:N51" si="42">+D94+D99</f>
        <v>68942813.5</v>
      </c>
      <c r="E51" s="107">
        <f t="shared" si="42"/>
        <v>73182762.249999985</v>
      </c>
      <c r="F51" s="107">
        <f t="shared" si="42"/>
        <v>66632464.119999997</v>
      </c>
      <c r="G51" s="107">
        <f t="shared" si="42"/>
        <v>69742395.600000009</v>
      </c>
      <c r="H51" s="107">
        <f t="shared" si="42"/>
        <v>77902348.180000007</v>
      </c>
      <c r="I51" s="107">
        <f t="shared" si="42"/>
        <v>99509790.010000005</v>
      </c>
      <c r="J51" s="107">
        <f t="shared" si="42"/>
        <v>99589542.829999998</v>
      </c>
      <c r="K51" s="107">
        <f t="shared" si="42"/>
        <v>80299922.469999999</v>
      </c>
      <c r="L51" s="107">
        <f t="shared" si="42"/>
        <v>74752924.829999998</v>
      </c>
      <c r="M51" s="107">
        <f t="shared" si="42"/>
        <v>69539810.120000005</v>
      </c>
      <c r="N51" s="107">
        <f t="shared" si="42"/>
        <v>74061096.86999999</v>
      </c>
      <c r="O51" s="107">
        <f t="shared" si="34"/>
        <v>930028464.11000013</v>
      </c>
    </row>
    <row r="52" spans="1:15">
      <c r="A52" t="s">
        <v>71</v>
      </c>
      <c r="B52" t="s">
        <v>64</v>
      </c>
      <c r="C52" s="107">
        <f>+C95</f>
        <v>30860676.25</v>
      </c>
      <c r="D52" s="107">
        <f t="shared" ref="D52:N52" si="43">+D95</f>
        <v>28594121.07</v>
      </c>
      <c r="E52" s="107">
        <f t="shared" si="43"/>
        <v>30412138.939999998</v>
      </c>
      <c r="F52" s="107">
        <f t="shared" si="43"/>
        <v>28054961.949999999</v>
      </c>
      <c r="G52" s="107">
        <f t="shared" si="43"/>
        <v>29376083.640000001</v>
      </c>
      <c r="H52" s="107">
        <f t="shared" si="43"/>
        <v>32543876.580000002</v>
      </c>
      <c r="I52" s="107">
        <f t="shared" si="43"/>
        <v>40674118.219999999</v>
      </c>
      <c r="J52" s="107">
        <f t="shared" si="43"/>
        <v>40364991.329999998</v>
      </c>
      <c r="K52" s="107">
        <f t="shared" si="43"/>
        <v>33048415.190000001</v>
      </c>
      <c r="L52" s="107">
        <f t="shared" si="43"/>
        <v>30948862.050000001</v>
      </c>
      <c r="M52" s="107">
        <f t="shared" si="43"/>
        <v>29089786.960000001</v>
      </c>
      <c r="N52" s="107">
        <f t="shared" si="43"/>
        <v>30666000.459999997</v>
      </c>
      <c r="O52" s="107">
        <f t="shared" si="34"/>
        <v>384634032.63999999</v>
      </c>
    </row>
    <row r="53" spans="1:15">
      <c r="A53" t="s">
        <v>71</v>
      </c>
      <c r="B53" t="s">
        <v>65</v>
      </c>
      <c r="C53" s="107">
        <f t="shared" ref="C53:N55" si="44">+C96</f>
        <v>30239869.75</v>
      </c>
      <c r="D53" s="107">
        <f t="shared" si="44"/>
        <v>30035963.710000001</v>
      </c>
      <c r="E53" s="107">
        <f t="shared" si="44"/>
        <v>32196081.689999998</v>
      </c>
      <c r="F53" s="107">
        <f t="shared" si="44"/>
        <v>30980224.719999999</v>
      </c>
      <c r="G53" s="107">
        <f t="shared" si="44"/>
        <v>32495992.509999998</v>
      </c>
      <c r="H53" s="107">
        <f t="shared" si="44"/>
        <v>35058786.870000005</v>
      </c>
      <c r="I53" s="107">
        <f t="shared" si="44"/>
        <v>40663389.07</v>
      </c>
      <c r="J53" s="107">
        <f t="shared" si="44"/>
        <v>39142101.5</v>
      </c>
      <c r="K53" s="107">
        <f t="shared" si="44"/>
        <v>33799116.130000003</v>
      </c>
      <c r="L53" s="107">
        <f t="shared" si="44"/>
        <v>32310504.75</v>
      </c>
      <c r="M53" s="107">
        <f t="shared" si="44"/>
        <v>31476909.280000001</v>
      </c>
      <c r="N53" s="107">
        <f t="shared" si="44"/>
        <v>32051095.57</v>
      </c>
      <c r="O53" s="107">
        <f t="shared" si="34"/>
        <v>400450035.55000001</v>
      </c>
    </row>
    <row r="54" spans="1:15">
      <c r="A54" t="s">
        <v>71</v>
      </c>
      <c r="B54" t="s">
        <v>73</v>
      </c>
      <c r="C54" s="107">
        <f t="shared" si="44"/>
        <v>169307.56</v>
      </c>
      <c r="D54" s="107">
        <f t="shared" si="44"/>
        <v>171428.1</v>
      </c>
      <c r="E54" s="107">
        <f t="shared" si="44"/>
        <v>183895.66</v>
      </c>
      <c r="F54" s="107">
        <f t="shared" si="44"/>
        <v>178301.11</v>
      </c>
      <c r="G54" s="107">
        <f t="shared" si="44"/>
        <v>186954.26</v>
      </c>
      <c r="H54" s="107">
        <f t="shared" si="44"/>
        <v>200667.03</v>
      </c>
      <c r="I54" s="107">
        <f t="shared" si="44"/>
        <v>228536.15999999997</v>
      </c>
      <c r="J54" s="107">
        <f t="shared" si="44"/>
        <v>218422.26</v>
      </c>
      <c r="K54" s="107">
        <f t="shared" si="44"/>
        <v>190983.81</v>
      </c>
      <c r="L54" s="107">
        <f t="shared" si="44"/>
        <v>183454.19</v>
      </c>
      <c r="M54" s="107">
        <f t="shared" si="44"/>
        <v>180280.5</v>
      </c>
      <c r="N54" s="107">
        <f t="shared" si="44"/>
        <v>182004.8</v>
      </c>
      <c r="O54" s="107">
        <f t="shared" si="34"/>
        <v>2274235.44</v>
      </c>
    </row>
    <row r="55" spans="1:15">
      <c r="A55" t="s">
        <v>71</v>
      </c>
      <c r="B55" t="s">
        <v>68</v>
      </c>
      <c r="C55" s="107">
        <f t="shared" si="44"/>
        <v>375434.83</v>
      </c>
      <c r="D55" s="107">
        <f t="shared" si="44"/>
        <v>340759.6</v>
      </c>
      <c r="E55" s="107">
        <f t="shared" si="44"/>
        <v>361509.27</v>
      </c>
      <c r="F55" s="107">
        <f t="shared" si="44"/>
        <v>328995.11</v>
      </c>
      <c r="G55" s="107">
        <f t="shared" si="44"/>
        <v>344244.95</v>
      </c>
      <c r="H55" s="107">
        <f t="shared" si="44"/>
        <v>384642.72</v>
      </c>
      <c r="I55" s="107">
        <f t="shared" si="44"/>
        <v>491796.43</v>
      </c>
      <c r="J55" s="107">
        <f t="shared" si="44"/>
        <v>492506.97</v>
      </c>
      <c r="K55" s="107">
        <f t="shared" si="44"/>
        <v>396865.52</v>
      </c>
      <c r="L55" s="107">
        <f t="shared" si="44"/>
        <v>369320.82</v>
      </c>
      <c r="M55" s="107">
        <f t="shared" si="44"/>
        <v>343317.25</v>
      </c>
      <c r="N55" s="107">
        <f t="shared" si="44"/>
        <v>365810.08</v>
      </c>
      <c r="O55" s="107">
        <f t="shared" si="34"/>
        <v>4595203.55</v>
      </c>
    </row>
    <row r="56" spans="1:15">
      <c r="A56" t="s">
        <v>153</v>
      </c>
      <c r="B56" t="s">
        <v>154</v>
      </c>
      <c r="C56" s="108">
        <f>+SUM(C100:C101)</f>
        <v>8317898.5099999998</v>
      </c>
      <c r="D56" s="108">
        <f t="shared" ref="D56:N56" si="45">+SUM(D100:D101)</f>
        <v>7052998.6799999997</v>
      </c>
      <c r="E56" s="108">
        <f t="shared" si="45"/>
        <v>7031854.5199999996</v>
      </c>
      <c r="F56" s="108">
        <f t="shared" si="45"/>
        <v>5984178.3000000007</v>
      </c>
      <c r="G56" s="108">
        <f t="shared" si="45"/>
        <v>5439878.8799999999</v>
      </c>
      <c r="H56" s="108">
        <f t="shared" si="45"/>
        <v>5070197.5199999996</v>
      </c>
      <c r="I56" s="108">
        <f t="shared" si="45"/>
        <v>5352091.6199999992</v>
      </c>
      <c r="J56" s="108">
        <f t="shared" si="45"/>
        <v>5806610.5800000001</v>
      </c>
      <c r="K56" s="108">
        <f t="shared" si="45"/>
        <v>6259697.6699999999</v>
      </c>
      <c r="L56" s="108">
        <f t="shared" si="45"/>
        <v>7083891.2300000004</v>
      </c>
      <c r="M56" s="108">
        <f t="shared" si="45"/>
        <v>7574552.6300000008</v>
      </c>
      <c r="N56" s="108">
        <f t="shared" si="45"/>
        <v>8136177.2399999993</v>
      </c>
      <c r="O56" s="108">
        <f t="shared" si="34"/>
        <v>79110027.37999998</v>
      </c>
    </row>
    <row r="57" spans="1:15" ht="16">
      <c r="A57" t="s">
        <v>153</v>
      </c>
      <c r="B57" t="s">
        <v>151</v>
      </c>
      <c r="C57" s="103">
        <f>+C102</f>
        <v>1087779.8599999999</v>
      </c>
      <c r="D57" s="103">
        <f t="shared" ref="D57:N57" si="46">+D102</f>
        <v>1091011.48</v>
      </c>
      <c r="E57" s="103">
        <f t="shared" si="46"/>
        <v>1081997.72</v>
      </c>
      <c r="F57" s="103">
        <f t="shared" si="46"/>
        <v>1079590.1400000001</v>
      </c>
      <c r="G57" s="103">
        <f t="shared" si="46"/>
        <v>1070959.77</v>
      </c>
      <c r="H57" s="103">
        <f t="shared" si="46"/>
        <v>1073789.17</v>
      </c>
      <c r="I57" s="103">
        <f t="shared" si="46"/>
        <v>1081181.5699999998</v>
      </c>
      <c r="J57" s="103">
        <f t="shared" si="46"/>
        <v>1073215.19</v>
      </c>
      <c r="K57" s="103">
        <f t="shared" si="46"/>
        <v>1069162.43</v>
      </c>
      <c r="L57" s="103">
        <f t="shared" si="46"/>
        <v>1076564.9100000001</v>
      </c>
      <c r="M57" s="103">
        <f t="shared" si="46"/>
        <v>1078000.0899999999</v>
      </c>
      <c r="N57" s="103">
        <f t="shared" si="46"/>
        <v>1077878.2799999998</v>
      </c>
      <c r="O57" s="103">
        <f t="shared" si="34"/>
        <v>12941130.609999998</v>
      </c>
    </row>
    <row r="58" spans="1:15">
      <c r="C58" s="107">
        <f>SUM(C42:C57)</f>
        <v>1706869623.6299999</v>
      </c>
      <c r="D58" s="107">
        <f t="shared" ref="D58:N58" si="47">SUM(D42:D57)</f>
        <v>1554618517.2499998</v>
      </c>
      <c r="E58" s="107">
        <f t="shared" si="47"/>
        <v>1543099195.4500003</v>
      </c>
      <c r="F58" s="107">
        <f t="shared" si="47"/>
        <v>1400882388.5900002</v>
      </c>
      <c r="G58" s="107">
        <f t="shared" si="47"/>
        <v>1444169632.9100006</v>
      </c>
      <c r="H58" s="107">
        <f t="shared" si="47"/>
        <v>1620279378.27</v>
      </c>
      <c r="I58" s="107">
        <f t="shared" si="47"/>
        <v>1945363350.5799999</v>
      </c>
      <c r="J58" s="107">
        <f t="shared" si="47"/>
        <v>1903988719.9099998</v>
      </c>
      <c r="K58" s="107">
        <f t="shared" si="47"/>
        <v>1573045788.8600001</v>
      </c>
      <c r="L58" s="107">
        <f t="shared" si="47"/>
        <v>1444989349.2500002</v>
      </c>
      <c r="M58" s="107">
        <f t="shared" si="47"/>
        <v>1480000302.5</v>
      </c>
      <c r="N58" s="107">
        <f t="shared" si="47"/>
        <v>1630622585.5099998</v>
      </c>
      <c r="O58" s="108">
        <f t="shared" si="34"/>
        <v>19247928832.709999</v>
      </c>
    </row>
    <row r="59" spans="1:15">
      <c r="C59" s="107">
        <f t="shared" ref="C59:O59" si="48">+C58-SUM(C79:C103)</f>
        <v>0</v>
      </c>
      <c r="D59" s="107">
        <f t="shared" si="48"/>
        <v>0</v>
      </c>
      <c r="E59" s="107">
        <f t="shared" si="48"/>
        <v>0</v>
      </c>
      <c r="F59" s="107">
        <f t="shared" si="48"/>
        <v>0</v>
      </c>
      <c r="G59" s="107">
        <f t="shared" si="48"/>
        <v>0</v>
      </c>
      <c r="H59" s="107">
        <f t="shared" si="48"/>
        <v>0</v>
      </c>
      <c r="I59" s="107">
        <f t="shared" si="48"/>
        <v>0</v>
      </c>
      <c r="J59" s="107">
        <f t="shared" si="48"/>
        <v>0</v>
      </c>
      <c r="K59" s="107">
        <f t="shared" si="48"/>
        <v>0</v>
      </c>
      <c r="L59" s="107">
        <f t="shared" si="48"/>
        <v>0</v>
      </c>
      <c r="M59" s="107">
        <f t="shared" si="48"/>
        <v>0</v>
      </c>
      <c r="N59" s="107">
        <f t="shared" si="48"/>
        <v>0</v>
      </c>
      <c r="O59" s="107">
        <f t="shared" si="48"/>
        <v>0</v>
      </c>
    </row>
    <row r="60" spans="1:15">
      <c r="C60" s="107"/>
      <c r="D60" s="107"/>
      <c r="E60" s="107"/>
    </row>
    <row r="61" spans="1:15">
      <c r="A61" s="32" t="s">
        <v>155</v>
      </c>
      <c r="E61" s="107"/>
    </row>
    <row r="62" spans="1:15" ht="16">
      <c r="A62" s="19" t="s">
        <v>44</v>
      </c>
      <c r="B62" s="19" t="s">
        <v>141</v>
      </c>
      <c r="C62" s="103" t="str">
        <f t="shared" ref="C62:O62" si="49">+C41</f>
        <v>Jan</v>
      </c>
      <c r="D62" s="103" t="str">
        <f t="shared" si="49"/>
        <v>Feb</v>
      </c>
      <c r="E62" s="103" t="str">
        <f t="shared" si="49"/>
        <v>Mar</v>
      </c>
      <c r="F62" s="103" t="str">
        <f t="shared" si="49"/>
        <v>Apr</v>
      </c>
      <c r="G62" s="103" t="str">
        <f t="shared" si="49"/>
        <v>May</v>
      </c>
      <c r="H62" s="103" t="str">
        <f t="shared" si="49"/>
        <v>Jun</v>
      </c>
      <c r="I62" s="103" t="str">
        <f t="shared" si="49"/>
        <v>Jul</v>
      </c>
      <c r="J62" s="103" t="str">
        <f t="shared" si="49"/>
        <v>Aug</v>
      </c>
      <c r="K62" s="103" t="str">
        <f t="shared" si="49"/>
        <v>Sep</v>
      </c>
      <c r="L62" s="103" t="str">
        <f t="shared" si="49"/>
        <v>Oct</v>
      </c>
      <c r="M62" s="103" t="str">
        <f t="shared" si="49"/>
        <v>Nov</v>
      </c>
      <c r="N62" s="103" t="str">
        <f t="shared" si="49"/>
        <v>Dec</v>
      </c>
      <c r="O62" s="103" t="str">
        <f t="shared" si="49"/>
        <v>Total</v>
      </c>
    </row>
    <row r="63" spans="1:15">
      <c r="A63" t="s">
        <v>149</v>
      </c>
      <c r="B63" t="s">
        <v>137</v>
      </c>
      <c r="C63" s="108">
        <f>+C104+C105</f>
        <v>123988273.50558591</v>
      </c>
      <c r="D63" s="108">
        <f t="shared" ref="D63:N63" si="50">+D104+D105</f>
        <v>101754274.42389371</v>
      </c>
      <c r="E63" s="108">
        <f t="shared" si="50"/>
        <v>93230012.286330208</v>
      </c>
      <c r="F63" s="108">
        <f t="shared" si="50"/>
        <v>76751224.109282106</v>
      </c>
      <c r="G63" s="108">
        <f t="shared" si="50"/>
        <v>69229953.922331408</v>
      </c>
      <c r="H63" s="108">
        <f t="shared" si="50"/>
        <v>83655505.690945193</v>
      </c>
      <c r="I63" s="108">
        <f t="shared" si="50"/>
        <v>109141096.24577129</v>
      </c>
      <c r="J63" s="108">
        <f t="shared" si="50"/>
        <v>103405415.44699539</v>
      </c>
      <c r="K63" s="108">
        <f t="shared" si="50"/>
        <v>76985212.043994606</v>
      </c>
      <c r="L63" s="108">
        <f t="shared" si="50"/>
        <v>72755390.190690294</v>
      </c>
      <c r="M63" s="108">
        <f t="shared" si="50"/>
        <v>86005883.355131403</v>
      </c>
      <c r="N63" s="108">
        <f t="shared" si="50"/>
        <v>112645932.8613615</v>
      </c>
      <c r="O63" s="108">
        <f>SUM(C63:N63)</f>
        <v>1109548174.0823131</v>
      </c>
    </row>
    <row r="64" spans="1:15">
      <c r="A64" t="s">
        <v>149</v>
      </c>
      <c r="B64" t="s">
        <v>142</v>
      </c>
      <c r="C64" s="108">
        <f>+C106+C107</f>
        <v>25187941.927346267</v>
      </c>
      <c r="D64" s="108">
        <f t="shared" ref="D64:N64" si="51">+D106+D107</f>
        <v>20671154.472231522</v>
      </c>
      <c r="E64" s="108">
        <f t="shared" si="51"/>
        <v>18939469.580848999</v>
      </c>
      <c r="F64" s="108">
        <f t="shared" si="51"/>
        <v>15591840.42466123</v>
      </c>
      <c r="G64" s="108">
        <f t="shared" si="51"/>
        <v>14063911.11742921</v>
      </c>
      <c r="H64" s="108">
        <f t="shared" si="51"/>
        <v>16994429.868418049</v>
      </c>
      <c r="I64" s="108">
        <f t="shared" si="51"/>
        <v>22171770.89719208</v>
      </c>
      <c r="J64" s="108">
        <f t="shared" si="51"/>
        <v>21006580.10527692</v>
      </c>
      <c r="K64" s="108">
        <f t="shared" si="51"/>
        <v>15639374.55894063</v>
      </c>
      <c r="L64" s="108">
        <f t="shared" si="51"/>
        <v>14780095.65755789</v>
      </c>
      <c r="M64" s="108">
        <f t="shared" si="51"/>
        <v>17471903.857203953</v>
      </c>
      <c r="N64" s="108">
        <f t="shared" si="51"/>
        <v>22883770.65404154</v>
      </c>
      <c r="O64" s="108">
        <f t="shared" ref="O64:O71" si="52">SUM(C64:N64)</f>
        <v>225402243.12114829</v>
      </c>
    </row>
    <row r="65" spans="1:17">
      <c r="A65" t="s">
        <v>149</v>
      </c>
      <c r="B65" t="s">
        <v>156</v>
      </c>
      <c r="C65" s="107">
        <f>SUM(C108:C112)</f>
        <v>47808970.330292977</v>
      </c>
      <c r="D65" s="107">
        <f t="shared" ref="D65:N65" si="53">SUM(D108:D112)</f>
        <v>43342278.986257382</v>
      </c>
      <c r="E65" s="107">
        <f t="shared" si="53"/>
        <v>46139882.512053482</v>
      </c>
      <c r="F65" s="107">
        <f t="shared" si="53"/>
        <v>41073931.789506517</v>
      </c>
      <c r="G65" s="107">
        <f t="shared" si="53"/>
        <v>45014421.295208834</v>
      </c>
      <c r="H65" s="107">
        <f t="shared" si="53"/>
        <v>50812343.057859115</v>
      </c>
      <c r="I65" s="107">
        <f t="shared" si="53"/>
        <v>55772872.574499764</v>
      </c>
      <c r="J65" s="107">
        <f t="shared" si="53"/>
        <v>54077395.505893886</v>
      </c>
      <c r="K65" s="107">
        <f t="shared" si="53"/>
        <v>48232511.728808999</v>
      </c>
      <c r="L65" s="107">
        <f t="shared" si="53"/>
        <v>44314353.32957609</v>
      </c>
      <c r="M65" s="107">
        <f t="shared" si="53"/>
        <v>43125618.56946671</v>
      </c>
      <c r="N65" s="107">
        <f t="shared" si="53"/>
        <v>46930309.077720135</v>
      </c>
      <c r="O65" s="107">
        <f t="shared" si="52"/>
        <v>566644888.75714386</v>
      </c>
    </row>
    <row r="66" spans="1:17">
      <c r="A66" t="s">
        <v>149</v>
      </c>
      <c r="B66" t="s">
        <v>150</v>
      </c>
      <c r="C66" s="107">
        <f>+C113+C115</f>
        <v>28051716.961945686</v>
      </c>
      <c r="D66" s="107">
        <f t="shared" ref="D66:N66" si="54">+D113+D115</f>
        <v>25520173.40195113</v>
      </c>
      <c r="E66" s="107">
        <f t="shared" si="54"/>
        <v>26803183.587778468</v>
      </c>
      <c r="F66" s="107">
        <f t="shared" si="54"/>
        <v>24104188.325532015</v>
      </c>
      <c r="G66" s="107">
        <f t="shared" si="54"/>
        <v>26197966.065883122</v>
      </c>
      <c r="H66" s="107">
        <f t="shared" si="54"/>
        <v>29260459.710591093</v>
      </c>
      <c r="I66" s="107">
        <f t="shared" si="54"/>
        <v>32260505.193623871</v>
      </c>
      <c r="J66" s="107">
        <f t="shared" si="54"/>
        <v>31282975.429716516</v>
      </c>
      <c r="K66" s="107">
        <f t="shared" si="54"/>
        <v>27718727.14232707</v>
      </c>
      <c r="L66" s="107">
        <f t="shared" si="54"/>
        <v>25862083.478051696</v>
      </c>
      <c r="M66" s="107">
        <f t="shared" si="54"/>
        <v>25220797.474669252</v>
      </c>
      <c r="N66" s="107">
        <f t="shared" si="54"/>
        <v>27505314.540970445</v>
      </c>
      <c r="O66" s="107">
        <f t="shared" si="52"/>
        <v>329788091.31304038</v>
      </c>
    </row>
    <row r="67" spans="1:17">
      <c r="A67" t="s">
        <v>149</v>
      </c>
      <c r="B67" t="s">
        <v>65</v>
      </c>
      <c r="C67" s="107">
        <f>+C114</f>
        <v>47912586.791106828</v>
      </c>
      <c r="D67" s="107">
        <f t="shared" ref="D67:N67" si="55">+D114</f>
        <v>45190184.386308514</v>
      </c>
      <c r="E67" s="107">
        <f t="shared" si="55"/>
        <v>47800055.875708625</v>
      </c>
      <c r="F67" s="107">
        <f t="shared" si="55"/>
        <v>45179560.633901767</v>
      </c>
      <c r="G67" s="107">
        <f t="shared" si="55"/>
        <v>49281062.998818755</v>
      </c>
      <c r="H67" s="107">
        <f t="shared" si="55"/>
        <v>53246688.492558703</v>
      </c>
      <c r="I67" s="107">
        <f t="shared" si="55"/>
        <v>56980254.435601093</v>
      </c>
      <c r="J67" s="107">
        <f t="shared" si="55"/>
        <v>55648958.107598349</v>
      </c>
      <c r="K67" s="107">
        <f t="shared" si="55"/>
        <v>50593385.141209334</v>
      </c>
      <c r="L67" s="107">
        <f t="shared" si="55"/>
        <v>49270357.5072079</v>
      </c>
      <c r="M67" s="107">
        <f t="shared" si="55"/>
        <v>46138632.848406114</v>
      </c>
      <c r="N67" s="107">
        <f t="shared" si="55"/>
        <v>47892160.92959661</v>
      </c>
      <c r="O67" s="107">
        <f t="shared" si="52"/>
        <v>595133888.14802265</v>
      </c>
    </row>
    <row r="68" spans="1:17">
      <c r="A68" t="s">
        <v>149</v>
      </c>
      <c r="B68" t="s">
        <v>76</v>
      </c>
      <c r="C68" s="107">
        <f>+C116</f>
        <v>26296292.429358773</v>
      </c>
      <c r="D68" s="107">
        <f t="shared" ref="D68:N68" si="56">+D116</f>
        <v>25423385.14206006</v>
      </c>
      <c r="E68" s="107">
        <f t="shared" si="56"/>
        <v>26509947.651489969</v>
      </c>
      <c r="F68" s="107">
        <f t="shared" si="56"/>
        <v>26443597.909299158</v>
      </c>
      <c r="G68" s="107">
        <f t="shared" si="56"/>
        <v>28159730.564442001</v>
      </c>
      <c r="H68" s="107">
        <f t="shared" si="56"/>
        <v>29462215.985653497</v>
      </c>
      <c r="I68" s="107">
        <f t="shared" si="56"/>
        <v>31015286.183115199</v>
      </c>
      <c r="J68" s="107">
        <f t="shared" si="56"/>
        <v>30507635.410556398</v>
      </c>
      <c r="K68" s="107">
        <f t="shared" si="56"/>
        <v>28008129.710696597</v>
      </c>
      <c r="L68" s="107">
        <f t="shared" si="56"/>
        <v>29039365.313615691</v>
      </c>
      <c r="M68" s="107">
        <f t="shared" si="56"/>
        <v>26458518.986008391</v>
      </c>
      <c r="N68" s="107">
        <f t="shared" si="56"/>
        <v>26544716.398548827</v>
      </c>
      <c r="O68" s="107">
        <f t="shared" si="52"/>
        <v>333868821.68484461</v>
      </c>
    </row>
    <row r="69" spans="1:17">
      <c r="A69" t="s">
        <v>149</v>
      </c>
      <c r="B69" t="s">
        <v>154</v>
      </c>
      <c r="C69" s="108">
        <f>+SUM(C117:C118)</f>
        <v>2758847.7977438089</v>
      </c>
      <c r="D69" s="108">
        <f t="shared" ref="D69:N69" si="57">+SUM(D117:D118)</f>
        <v>2275878.4076625709</v>
      </c>
      <c r="E69" s="108">
        <f t="shared" si="57"/>
        <v>2321627.6152386097</v>
      </c>
      <c r="F69" s="108">
        <f t="shared" si="57"/>
        <v>1937465.1597610582</v>
      </c>
      <c r="G69" s="108">
        <f t="shared" si="57"/>
        <v>1806092.8459926206</v>
      </c>
      <c r="H69" s="108">
        <f t="shared" si="57"/>
        <v>1685206.0414969083</v>
      </c>
      <c r="I69" s="108">
        <f t="shared" si="57"/>
        <v>1883895.525504637</v>
      </c>
      <c r="J69" s="108">
        <f t="shared" si="57"/>
        <v>2074192.529628013</v>
      </c>
      <c r="K69" s="108">
        <f t="shared" si="57"/>
        <v>2064918.6439921691</v>
      </c>
      <c r="L69" s="108">
        <f t="shared" si="57"/>
        <v>2459627.4550760719</v>
      </c>
      <c r="M69" s="108">
        <f t="shared" si="57"/>
        <v>2580177.4113898952</v>
      </c>
      <c r="N69" s="108">
        <f t="shared" si="57"/>
        <v>2803334.4722251301</v>
      </c>
      <c r="O69" s="108">
        <f t="shared" si="52"/>
        <v>26651263.905711494</v>
      </c>
    </row>
    <row r="70" spans="1:17" ht="16">
      <c r="A70" t="s">
        <v>149</v>
      </c>
      <c r="B70" t="s">
        <v>151</v>
      </c>
      <c r="C70" s="103">
        <f>+C119</f>
        <v>110852.621758571</v>
      </c>
      <c r="D70" s="103">
        <f t="shared" ref="D70:N70" si="58">+D119</f>
        <v>109737.58433782301</v>
      </c>
      <c r="E70" s="103">
        <f t="shared" si="58"/>
        <v>110163.26344972001</v>
      </c>
      <c r="F70" s="103">
        <f t="shared" si="58"/>
        <v>106745.118901446</v>
      </c>
      <c r="G70" s="103">
        <f t="shared" si="58"/>
        <v>109781.627055698</v>
      </c>
      <c r="H70" s="103">
        <f t="shared" si="58"/>
        <v>111884.78216238</v>
      </c>
      <c r="I70" s="103">
        <f t="shared" si="58"/>
        <v>111213.643535945</v>
      </c>
      <c r="J70" s="103">
        <f t="shared" si="58"/>
        <v>111822.877342989</v>
      </c>
      <c r="K70" s="103">
        <f t="shared" si="58"/>
        <v>112453.91662860601</v>
      </c>
      <c r="L70" s="103">
        <f t="shared" si="58"/>
        <v>109185.05268375701</v>
      </c>
      <c r="M70" s="103">
        <f t="shared" si="58"/>
        <v>108866.50890585499</v>
      </c>
      <c r="N70" s="103">
        <f t="shared" si="58"/>
        <v>110591.220340314</v>
      </c>
      <c r="O70" s="103">
        <f t="shared" si="52"/>
        <v>1323298.2171031039</v>
      </c>
    </row>
    <row r="71" spans="1:17">
      <c r="C71" s="107">
        <f>SUM(C63:C70)</f>
        <v>302115482.36513883</v>
      </c>
      <c r="D71" s="107">
        <f t="shared" ref="D71:N71" si="59">SUM(D63:D70)</f>
        <v>264287066.80470273</v>
      </c>
      <c r="E71" s="107">
        <f t="shared" si="59"/>
        <v>261854342.3728981</v>
      </c>
      <c r="F71" s="107">
        <f t="shared" si="59"/>
        <v>231188553.47084531</v>
      </c>
      <c r="G71" s="107">
        <f t="shared" si="59"/>
        <v>233862920.43716168</v>
      </c>
      <c r="H71" s="107">
        <f t="shared" si="59"/>
        <v>265228733.62968493</v>
      </c>
      <c r="I71" s="107">
        <f t="shared" si="59"/>
        <v>309336894.6988439</v>
      </c>
      <c r="J71" s="107">
        <f t="shared" si="59"/>
        <v>298114975.41300851</v>
      </c>
      <c r="K71" s="107">
        <f t="shared" si="59"/>
        <v>249354712.88659802</v>
      </c>
      <c r="L71" s="107">
        <f t="shared" si="59"/>
        <v>238590457.9844594</v>
      </c>
      <c r="M71" s="107">
        <f t="shared" si="59"/>
        <v>247110399.01118156</v>
      </c>
      <c r="N71" s="107">
        <f t="shared" si="59"/>
        <v>287316130.15480447</v>
      </c>
      <c r="O71" s="108">
        <f t="shared" si="52"/>
        <v>3188360669.2293272</v>
      </c>
    </row>
    <row r="72" spans="1:17">
      <c r="C72" s="107">
        <f>+C71-SUM(C104:C119)</f>
        <v>0</v>
      </c>
      <c r="D72" s="107">
        <f t="shared" ref="D72:O72" si="60">+D71-SUM(D104:D119)</f>
        <v>0</v>
      </c>
      <c r="E72" s="107">
        <f t="shared" si="60"/>
        <v>0</v>
      </c>
      <c r="F72" s="107">
        <f t="shared" si="60"/>
        <v>0</v>
      </c>
      <c r="G72" s="107">
        <f t="shared" si="60"/>
        <v>0</v>
      </c>
      <c r="H72" s="107">
        <f t="shared" si="60"/>
        <v>0</v>
      </c>
      <c r="I72" s="107">
        <f t="shared" si="60"/>
        <v>0</v>
      </c>
      <c r="J72" s="107">
        <f t="shared" si="60"/>
        <v>0</v>
      </c>
      <c r="K72" s="107">
        <f t="shared" si="60"/>
        <v>0</v>
      </c>
      <c r="L72" s="107">
        <f t="shared" si="60"/>
        <v>0</v>
      </c>
      <c r="M72" s="107">
        <f t="shared" si="60"/>
        <v>0</v>
      </c>
      <c r="N72" s="107">
        <f t="shared" si="60"/>
        <v>0</v>
      </c>
      <c r="O72" s="107">
        <f t="shared" si="60"/>
        <v>0</v>
      </c>
    </row>
    <row r="73" spans="1:17">
      <c r="C73" s="107"/>
      <c r="D73" s="107"/>
      <c r="E73" s="107"/>
      <c r="F73" s="107"/>
      <c r="G73" s="107"/>
      <c r="H73" s="107"/>
      <c r="I73" s="107"/>
      <c r="J73" s="107"/>
      <c r="K73" s="107"/>
      <c r="L73" s="107"/>
      <c r="M73" s="107"/>
      <c r="N73" s="107"/>
      <c r="O73" s="107"/>
    </row>
    <row r="74" spans="1:17">
      <c r="A74" t="s">
        <v>157</v>
      </c>
    </row>
    <row r="77" spans="1:17">
      <c r="C77" s="107"/>
    </row>
    <row r="78" spans="1:17" ht="16">
      <c r="A78" s="19" t="s">
        <v>158</v>
      </c>
      <c r="C78" s="103" t="s">
        <v>45</v>
      </c>
      <c r="D78" s="104" t="s">
        <v>46</v>
      </c>
      <c r="E78" s="104" t="s">
        <v>47</v>
      </c>
      <c r="F78" s="104" t="s">
        <v>48</v>
      </c>
      <c r="G78" s="104" t="s">
        <v>15</v>
      </c>
      <c r="H78" s="104" t="s">
        <v>49</v>
      </c>
      <c r="I78" s="104" t="s">
        <v>50</v>
      </c>
      <c r="J78" s="104" t="s">
        <v>51</v>
      </c>
      <c r="K78" s="104" t="s">
        <v>52</v>
      </c>
      <c r="L78" s="104" t="s">
        <v>53</v>
      </c>
      <c r="M78" s="104" t="s">
        <v>54</v>
      </c>
      <c r="N78" s="104" t="s">
        <v>55</v>
      </c>
      <c r="O78" s="104" t="s">
        <v>21</v>
      </c>
    </row>
    <row r="79" spans="1:17">
      <c r="A79" s="109" t="s">
        <v>159</v>
      </c>
      <c r="B79" s="109" t="s">
        <v>160</v>
      </c>
      <c r="C79" s="102">
        <v>518508555.28000003</v>
      </c>
      <c r="D79" s="102">
        <v>449057872.44000006</v>
      </c>
      <c r="E79" s="102">
        <v>440693860.06999999</v>
      </c>
      <c r="F79" s="102">
        <v>388152554.31999999</v>
      </c>
      <c r="G79" s="102">
        <v>382637831.31999999</v>
      </c>
      <c r="H79" s="102">
        <v>446417369.55999994</v>
      </c>
      <c r="I79" s="102">
        <v>575606048.20000005</v>
      </c>
      <c r="J79" s="102">
        <v>570885618.32999992</v>
      </c>
      <c r="K79" s="102">
        <v>452347768.15999997</v>
      </c>
      <c r="L79" s="102">
        <v>383420952.72000003</v>
      </c>
      <c r="M79" s="102">
        <v>419614723.27000004</v>
      </c>
      <c r="N79" s="102">
        <v>488942297.42999995</v>
      </c>
      <c r="O79" s="34">
        <f>SUM(C79:N79)</f>
        <v>5516285451.1000004</v>
      </c>
      <c r="P79" s="34"/>
      <c r="Q79" s="34"/>
    </row>
    <row r="80" spans="1:17">
      <c r="A80" s="109" t="s">
        <v>159</v>
      </c>
      <c r="B80" s="109" t="s">
        <v>161</v>
      </c>
      <c r="C80" s="102">
        <v>51966279.969999999</v>
      </c>
      <c r="D80" s="102">
        <v>44867131.600000001</v>
      </c>
      <c r="E80" s="102">
        <v>44168334.859999999</v>
      </c>
      <c r="F80" s="102">
        <v>38868218.469999999</v>
      </c>
      <c r="G80" s="102">
        <v>38409915.120000005</v>
      </c>
      <c r="H80" s="102">
        <v>44791763.890000001</v>
      </c>
      <c r="I80" s="102">
        <v>58070471.189999998</v>
      </c>
      <c r="J80" s="102">
        <v>57880720.590000004</v>
      </c>
      <c r="K80" s="102">
        <v>45811184.030000001</v>
      </c>
      <c r="L80" s="102">
        <v>38455012.140000001</v>
      </c>
      <c r="M80" s="102">
        <v>42030100.329999998</v>
      </c>
      <c r="N80" s="102">
        <v>48973478.060000002</v>
      </c>
      <c r="O80" s="34">
        <f t="shared" ref="O80:O120" si="61">SUM(C80:N80)</f>
        <v>554292610.25</v>
      </c>
      <c r="P80" s="34"/>
      <c r="Q80" s="34"/>
    </row>
    <row r="81" spans="1:17">
      <c r="A81" s="109" t="s">
        <v>159</v>
      </c>
      <c r="B81" s="109" t="s">
        <v>162</v>
      </c>
      <c r="C81" s="102">
        <v>56433370.479999997</v>
      </c>
      <c r="D81" s="102">
        <v>48746634.659999996</v>
      </c>
      <c r="E81" s="102">
        <v>47998930</v>
      </c>
      <c r="F81" s="102">
        <v>42220216.170000002</v>
      </c>
      <c r="G81" s="102">
        <v>41723750.160000004</v>
      </c>
      <c r="H81" s="102">
        <v>48626187.93</v>
      </c>
      <c r="I81" s="102">
        <v>62937892.909999996</v>
      </c>
      <c r="J81" s="102">
        <v>62755319.239999995</v>
      </c>
      <c r="K81" s="102">
        <v>49684140.209999993</v>
      </c>
      <c r="L81" s="102">
        <v>41742852.600000001</v>
      </c>
      <c r="M81" s="102">
        <v>45640748.769999996</v>
      </c>
      <c r="N81" s="102">
        <v>53201457.619999997</v>
      </c>
      <c r="O81" s="34">
        <f t="shared" si="61"/>
        <v>601711500.75</v>
      </c>
      <c r="P81" s="34"/>
      <c r="Q81" s="34"/>
    </row>
    <row r="82" spans="1:17">
      <c r="A82" s="109" t="s">
        <v>159</v>
      </c>
      <c r="B82" s="109" t="s">
        <v>163</v>
      </c>
      <c r="C82" s="102">
        <v>7827715.75</v>
      </c>
      <c r="D82" s="102">
        <v>6743995.9199999999</v>
      </c>
      <c r="E82" s="102">
        <v>6651496.2800000003</v>
      </c>
      <c r="F82" s="102">
        <v>5850840.959999999</v>
      </c>
      <c r="G82" s="102">
        <v>5790961.7999999998</v>
      </c>
      <c r="H82" s="102">
        <v>6752445.1299999999</v>
      </c>
      <c r="I82" s="102">
        <v>8789471.6300000008</v>
      </c>
      <c r="J82" s="102">
        <v>8787434</v>
      </c>
      <c r="K82" s="102">
        <v>6949398.3900000006</v>
      </c>
      <c r="L82" s="102">
        <v>5795620.1400000006</v>
      </c>
      <c r="M82" s="102">
        <v>6328486.8399999999</v>
      </c>
      <c r="N82" s="102">
        <v>7372982.8800000008</v>
      </c>
      <c r="O82" s="34">
        <f t="shared" si="61"/>
        <v>83640849.719999999</v>
      </c>
      <c r="P82" s="34"/>
      <c r="Q82" s="34"/>
    </row>
    <row r="83" spans="1:17">
      <c r="A83" s="110" t="s">
        <v>62</v>
      </c>
      <c r="B83" s="110" t="s">
        <v>164</v>
      </c>
      <c r="C83" s="102">
        <v>196485157.14000002</v>
      </c>
      <c r="D83" s="102">
        <v>185352652.48999998</v>
      </c>
      <c r="E83" s="102">
        <v>179765768.33000001</v>
      </c>
      <c r="F83" s="102">
        <v>163454171.61000001</v>
      </c>
      <c r="G83" s="102">
        <v>172590792.84</v>
      </c>
      <c r="H83" s="102">
        <v>189226946.22</v>
      </c>
      <c r="I83" s="102">
        <v>218254617.15000001</v>
      </c>
      <c r="J83" s="102">
        <v>212817778.35999998</v>
      </c>
      <c r="K83" s="102">
        <v>176637148.32999998</v>
      </c>
      <c r="L83" s="102">
        <v>170158281.09999999</v>
      </c>
      <c r="M83" s="102">
        <v>169266391.28999999</v>
      </c>
      <c r="N83" s="102">
        <v>186737394.83000001</v>
      </c>
      <c r="O83" s="34">
        <f t="shared" si="61"/>
        <v>2220747099.6900001</v>
      </c>
      <c r="P83" s="102"/>
      <c r="Q83" s="34"/>
    </row>
    <row r="84" spans="1:17">
      <c r="A84" s="110" t="s">
        <v>62</v>
      </c>
      <c r="B84" s="110" t="s">
        <v>165</v>
      </c>
      <c r="C84" s="102">
        <v>42938796.700000003</v>
      </c>
      <c r="D84" s="102">
        <v>40505959.729999997</v>
      </c>
      <c r="E84" s="102">
        <v>39285032.479999997</v>
      </c>
      <c r="F84" s="102">
        <v>35720384.920000002</v>
      </c>
      <c r="G84" s="102">
        <v>37717052.390000001</v>
      </c>
      <c r="H84" s="102">
        <v>41352626.799999997</v>
      </c>
      <c r="I84" s="102">
        <v>47696176</v>
      </c>
      <c r="J84" s="102">
        <v>46508038.840000004</v>
      </c>
      <c r="K84" s="102">
        <v>38601320.890000001</v>
      </c>
      <c r="L84" s="102">
        <v>37185464.519999996</v>
      </c>
      <c r="M84" s="102">
        <v>36990555.780000001</v>
      </c>
      <c r="N84" s="102">
        <v>40808573.789999999</v>
      </c>
      <c r="O84" s="34">
        <f t="shared" si="61"/>
        <v>485309982.83999997</v>
      </c>
      <c r="P84" s="102"/>
      <c r="Q84" s="34"/>
    </row>
    <row r="85" spans="1:17">
      <c r="A85" s="110" t="s">
        <v>62</v>
      </c>
      <c r="B85" s="110" t="s">
        <v>166</v>
      </c>
      <c r="C85" s="102">
        <v>337158456.35000002</v>
      </c>
      <c r="D85" s="102">
        <v>317815054.75</v>
      </c>
      <c r="E85" s="102">
        <v>308909820.83999997</v>
      </c>
      <c r="F85" s="102">
        <v>281306877.83999997</v>
      </c>
      <c r="G85" s="102">
        <v>297176032.01999998</v>
      </c>
      <c r="H85" s="102">
        <v>325395331.29000002</v>
      </c>
      <c r="I85" s="102">
        <v>374351097.11000001</v>
      </c>
      <c r="J85" s="102">
        <v>365015396.5</v>
      </c>
      <c r="K85" s="102">
        <v>304076281.18000001</v>
      </c>
      <c r="L85" s="102">
        <v>292939575.59000003</v>
      </c>
      <c r="M85" s="102">
        <v>291505710.53000003</v>
      </c>
      <c r="N85" s="102">
        <v>320589022.30000001</v>
      </c>
      <c r="O85" s="34">
        <f t="shared" si="61"/>
        <v>3816238656.3000002</v>
      </c>
      <c r="P85" s="102"/>
      <c r="Q85" s="34"/>
    </row>
    <row r="86" spans="1:17">
      <c r="A86" s="110" t="s">
        <v>62</v>
      </c>
      <c r="B86" s="110" t="s">
        <v>167</v>
      </c>
      <c r="C86" s="102">
        <v>232989507.09</v>
      </c>
      <c r="D86" s="102">
        <v>215725375.04999998</v>
      </c>
      <c r="E86" s="102">
        <v>217550858.93000001</v>
      </c>
      <c r="F86" s="102">
        <v>200033765.83999997</v>
      </c>
      <c r="G86" s="102">
        <v>214730677.15000001</v>
      </c>
      <c r="H86" s="102">
        <v>232117808.5</v>
      </c>
      <c r="I86" s="102">
        <v>261857202.19999999</v>
      </c>
      <c r="J86" s="102">
        <v>253199308.84999999</v>
      </c>
      <c r="K86" s="102">
        <v>220342632.34</v>
      </c>
      <c r="L86" s="102">
        <v>210653949.84</v>
      </c>
      <c r="M86" s="102">
        <v>210404282.28</v>
      </c>
      <c r="N86" s="102">
        <v>223206003.41</v>
      </c>
      <c r="O86" s="34">
        <f t="shared" si="61"/>
        <v>2692811371.48</v>
      </c>
      <c r="P86" s="102"/>
      <c r="Q86" s="34"/>
    </row>
    <row r="87" spans="1:17">
      <c r="A87" s="110" t="s">
        <v>62</v>
      </c>
      <c r="B87" s="110" t="s">
        <v>168</v>
      </c>
      <c r="C87" s="102">
        <v>1257455.6099999999</v>
      </c>
      <c r="D87" s="102">
        <v>1188895.06</v>
      </c>
      <c r="E87" s="102">
        <v>1149790.78</v>
      </c>
      <c r="F87" s="102">
        <v>1048977.43</v>
      </c>
      <c r="G87" s="102">
        <v>1103891.8600000001</v>
      </c>
      <c r="H87" s="102">
        <v>1208648.82</v>
      </c>
      <c r="I87" s="102">
        <v>1388471.55</v>
      </c>
      <c r="J87" s="102">
        <v>1356788.31</v>
      </c>
      <c r="K87" s="102">
        <v>1127435.3600000001</v>
      </c>
      <c r="L87" s="102">
        <v>1089281.44</v>
      </c>
      <c r="M87" s="102">
        <v>1083888.83</v>
      </c>
      <c r="N87" s="102">
        <v>1194177.26</v>
      </c>
      <c r="O87" s="34">
        <f t="shared" si="61"/>
        <v>14197702.309999999</v>
      </c>
      <c r="P87" s="102"/>
      <c r="Q87" s="34"/>
    </row>
    <row r="88" spans="1:17">
      <c r="A88" s="110" t="s">
        <v>62</v>
      </c>
      <c r="B88" s="110" t="s">
        <v>66</v>
      </c>
      <c r="C88" s="102">
        <v>9031200</v>
      </c>
      <c r="D88" s="102">
        <v>9100800</v>
      </c>
      <c r="E88" s="102">
        <v>8704800</v>
      </c>
      <c r="F88" s="102">
        <v>9446400</v>
      </c>
      <c r="G88" s="102">
        <v>9127200</v>
      </c>
      <c r="H88" s="102">
        <v>9057600</v>
      </c>
      <c r="I88" s="102">
        <v>7720800</v>
      </c>
      <c r="J88" s="102">
        <v>8275200</v>
      </c>
      <c r="K88" s="102">
        <v>8805600</v>
      </c>
      <c r="L88" s="102">
        <v>9307200</v>
      </c>
      <c r="M88" s="102">
        <v>9415200</v>
      </c>
      <c r="N88" s="102">
        <v>8560800</v>
      </c>
      <c r="O88" s="34">
        <f t="shared" si="61"/>
        <v>106552800</v>
      </c>
      <c r="P88" s="102"/>
      <c r="Q88" s="34"/>
    </row>
    <row r="89" spans="1:17">
      <c r="A89" s="110" t="s">
        <v>67</v>
      </c>
      <c r="B89" s="110" t="s">
        <v>169</v>
      </c>
      <c r="C89" s="102">
        <v>13236010.189999999</v>
      </c>
      <c r="D89" s="102">
        <v>12495220.870000001</v>
      </c>
      <c r="E89" s="102">
        <v>13042787</v>
      </c>
      <c r="F89" s="102">
        <v>12749368.43</v>
      </c>
      <c r="G89" s="102">
        <v>13101978.68</v>
      </c>
      <c r="H89" s="102">
        <v>15449337.699999999</v>
      </c>
      <c r="I89" s="102">
        <v>17624361.32</v>
      </c>
      <c r="J89" s="102">
        <v>16259765.789999999</v>
      </c>
      <c r="K89" s="102">
        <v>14347911.91</v>
      </c>
      <c r="L89" s="102">
        <v>13526205.469999999</v>
      </c>
      <c r="M89" s="102">
        <v>13643383.209999999</v>
      </c>
      <c r="N89" s="102">
        <v>13144677.609999999</v>
      </c>
      <c r="O89" s="34">
        <f t="shared" si="61"/>
        <v>168621008.18000001</v>
      </c>
      <c r="P89" s="102"/>
      <c r="Q89" s="34"/>
    </row>
    <row r="90" spans="1:17">
      <c r="A90" s="110" t="s">
        <v>67</v>
      </c>
      <c r="B90" s="110" t="s">
        <v>166</v>
      </c>
      <c r="C90" s="102">
        <v>40187268.039999999</v>
      </c>
      <c r="D90" s="102">
        <v>37947311.969999999</v>
      </c>
      <c r="E90" s="102">
        <v>39609337.68</v>
      </c>
      <c r="F90" s="102">
        <v>38775765.120000005</v>
      </c>
      <c r="G90" s="102">
        <v>39914875.129999995</v>
      </c>
      <c r="H90" s="102">
        <v>47158702.859999999</v>
      </c>
      <c r="I90" s="102">
        <v>53919707.600000001</v>
      </c>
      <c r="J90" s="102">
        <v>49705994.589999996</v>
      </c>
      <c r="K90" s="102">
        <v>43591640.109999999</v>
      </c>
      <c r="L90" s="102">
        <v>41068953.719999999</v>
      </c>
      <c r="M90" s="102">
        <v>41434245.18</v>
      </c>
      <c r="N90" s="102">
        <v>39924260.559999995</v>
      </c>
      <c r="O90" s="34">
        <f t="shared" si="61"/>
        <v>513238062.56000006</v>
      </c>
      <c r="P90" s="102"/>
      <c r="Q90" s="34"/>
    </row>
    <row r="91" spans="1:17">
      <c r="A91" s="110" t="s">
        <v>67</v>
      </c>
      <c r="B91" s="110" t="s">
        <v>170</v>
      </c>
      <c r="C91" s="102">
        <v>51474057.009999998</v>
      </c>
      <c r="D91" s="102">
        <v>48415686.270000003</v>
      </c>
      <c r="E91" s="102">
        <v>50662496.829999998</v>
      </c>
      <c r="F91" s="102">
        <v>49595166.490000002</v>
      </c>
      <c r="G91" s="102">
        <v>51067224.160000004</v>
      </c>
      <c r="H91" s="102">
        <v>59986770.250000007</v>
      </c>
      <c r="I91" s="102">
        <v>68548828.480000004</v>
      </c>
      <c r="J91" s="102">
        <v>63340030.080000006</v>
      </c>
      <c r="K91" s="102">
        <v>55192119.880000003</v>
      </c>
      <c r="L91" s="102">
        <v>52452436.240000002</v>
      </c>
      <c r="M91" s="102">
        <v>52893285.729999997</v>
      </c>
      <c r="N91" s="102">
        <v>50973646.719999999</v>
      </c>
      <c r="O91" s="34">
        <f t="shared" si="61"/>
        <v>654601748.1400001</v>
      </c>
      <c r="P91" s="102"/>
      <c r="Q91" s="34"/>
    </row>
    <row r="92" spans="1:17">
      <c r="A92" s="110" t="s">
        <v>67</v>
      </c>
      <c r="B92" s="110" t="s">
        <v>171</v>
      </c>
      <c r="C92" s="102">
        <v>403689.47</v>
      </c>
      <c r="D92" s="102">
        <v>381049.79</v>
      </c>
      <c r="E92" s="102">
        <v>397712.04</v>
      </c>
      <c r="F92" s="102">
        <v>389508.13</v>
      </c>
      <c r="G92" s="102">
        <v>400822.9</v>
      </c>
      <c r="H92" s="102">
        <v>473088.17</v>
      </c>
      <c r="I92" s="102">
        <v>540554.09</v>
      </c>
      <c r="J92" s="102">
        <v>498350.17</v>
      </c>
      <c r="K92" s="102">
        <v>437533.05</v>
      </c>
      <c r="L92" s="102">
        <v>412604.91</v>
      </c>
      <c r="M92" s="102">
        <v>416246.11</v>
      </c>
      <c r="N92" s="102">
        <v>400978.71</v>
      </c>
      <c r="O92" s="34">
        <f t="shared" si="61"/>
        <v>5152137.54</v>
      </c>
      <c r="P92" s="102"/>
      <c r="Q92" s="34"/>
    </row>
    <row r="93" spans="1:17">
      <c r="A93" s="110" t="s">
        <v>67</v>
      </c>
      <c r="B93" s="110" t="s">
        <v>172</v>
      </c>
      <c r="C93" s="102">
        <v>0</v>
      </c>
      <c r="D93" s="102">
        <v>0</v>
      </c>
      <c r="E93" s="102">
        <v>0</v>
      </c>
      <c r="F93" s="102">
        <v>0</v>
      </c>
      <c r="G93" s="102">
        <v>0</v>
      </c>
      <c r="H93" s="102">
        <v>0</v>
      </c>
      <c r="I93" s="102">
        <v>0</v>
      </c>
      <c r="J93" s="102">
        <v>0</v>
      </c>
      <c r="K93" s="102">
        <v>0</v>
      </c>
      <c r="L93" s="102">
        <v>0</v>
      </c>
      <c r="M93" s="102">
        <v>0</v>
      </c>
      <c r="N93" s="102">
        <v>0</v>
      </c>
      <c r="O93" s="34">
        <f t="shared" si="61"/>
        <v>0</v>
      </c>
      <c r="P93" s="102"/>
      <c r="Q93" s="34"/>
    </row>
    <row r="94" spans="1:17">
      <c r="A94" s="110" t="s">
        <v>71</v>
      </c>
      <c r="B94" s="110" t="s">
        <v>169</v>
      </c>
      <c r="C94" s="102">
        <v>71246008.790000007</v>
      </c>
      <c r="D94" s="102">
        <v>64742123.840000004</v>
      </c>
      <c r="E94" s="102">
        <v>68726108.639999986</v>
      </c>
      <c r="F94" s="102">
        <v>62575761.009999998</v>
      </c>
      <c r="G94" s="102">
        <v>65497610.550000004</v>
      </c>
      <c r="H94" s="102">
        <v>73160083.760000005</v>
      </c>
      <c r="I94" s="102">
        <v>93448663.859999999</v>
      </c>
      <c r="J94" s="102">
        <v>93520540.870000005</v>
      </c>
      <c r="K94" s="102">
        <v>75408229.25</v>
      </c>
      <c r="L94" s="102">
        <v>70200279.25</v>
      </c>
      <c r="M94" s="102">
        <v>65306949.729999997</v>
      </c>
      <c r="N94" s="102">
        <v>69551702.879999995</v>
      </c>
      <c r="O94" s="34">
        <f t="shared" si="61"/>
        <v>873384062.42999995</v>
      </c>
      <c r="P94" s="102"/>
      <c r="Q94" s="34"/>
    </row>
    <row r="95" spans="1:17">
      <c r="A95" s="110" t="s">
        <v>71</v>
      </c>
      <c r="B95" s="110" t="s">
        <v>166</v>
      </c>
      <c r="C95" s="102">
        <v>30860676.25</v>
      </c>
      <c r="D95" s="102">
        <v>28594121.07</v>
      </c>
      <c r="E95" s="102">
        <v>30412138.939999998</v>
      </c>
      <c r="F95" s="102">
        <v>28054961.949999999</v>
      </c>
      <c r="G95" s="102">
        <v>29376083.640000001</v>
      </c>
      <c r="H95" s="102">
        <v>32543876.580000002</v>
      </c>
      <c r="I95" s="102">
        <v>40674118.219999999</v>
      </c>
      <c r="J95" s="102">
        <v>40364991.329999998</v>
      </c>
      <c r="K95" s="102">
        <v>33048415.190000001</v>
      </c>
      <c r="L95" s="102">
        <v>30948862.050000001</v>
      </c>
      <c r="M95" s="102">
        <v>29089786.960000001</v>
      </c>
      <c r="N95" s="102">
        <v>30666000.459999997</v>
      </c>
      <c r="O95" s="34">
        <f t="shared" si="61"/>
        <v>384634032.63999999</v>
      </c>
      <c r="P95" s="102"/>
      <c r="Q95" s="34"/>
    </row>
    <row r="96" spans="1:17">
      <c r="A96" s="110" t="s">
        <v>71</v>
      </c>
      <c r="B96" s="110" t="s">
        <v>167</v>
      </c>
      <c r="C96" s="102">
        <v>30239869.75</v>
      </c>
      <c r="D96" s="102">
        <v>30035963.710000001</v>
      </c>
      <c r="E96" s="102">
        <v>32196081.689999998</v>
      </c>
      <c r="F96" s="102">
        <v>30980224.719999999</v>
      </c>
      <c r="G96" s="102">
        <v>32495992.509999998</v>
      </c>
      <c r="H96" s="102">
        <v>35058786.870000005</v>
      </c>
      <c r="I96" s="102">
        <v>40663389.07</v>
      </c>
      <c r="J96" s="102">
        <v>39142101.5</v>
      </c>
      <c r="K96" s="102">
        <v>33799116.130000003</v>
      </c>
      <c r="L96" s="102">
        <v>32310504.75</v>
      </c>
      <c r="M96" s="102">
        <v>31476909.280000001</v>
      </c>
      <c r="N96" s="102">
        <v>32051095.57</v>
      </c>
      <c r="O96" s="34">
        <f t="shared" si="61"/>
        <v>400450035.55000001</v>
      </c>
      <c r="P96" s="102"/>
      <c r="Q96" s="34"/>
    </row>
    <row r="97" spans="1:17">
      <c r="A97" s="110" t="s">
        <v>71</v>
      </c>
      <c r="B97" s="110" t="s">
        <v>173</v>
      </c>
      <c r="C97" s="102">
        <v>169307.56</v>
      </c>
      <c r="D97" s="102">
        <v>171428.1</v>
      </c>
      <c r="E97" s="102">
        <v>183895.66</v>
      </c>
      <c r="F97" s="102">
        <v>178301.11</v>
      </c>
      <c r="G97" s="102">
        <v>186954.26</v>
      </c>
      <c r="H97" s="102">
        <v>200667.03</v>
      </c>
      <c r="I97" s="102">
        <v>228536.15999999997</v>
      </c>
      <c r="J97" s="102">
        <v>218422.26</v>
      </c>
      <c r="K97" s="102">
        <v>190983.81</v>
      </c>
      <c r="L97" s="102">
        <v>183454.19</v>
      </c>
      <c r="M97" s="102">
        <v>180280.5</v>
      </c>
      <c r="N97" s="102">
        <v>182004.8</v>
      </c>
      <c r="O97" s="34">
        <f t="shared" si="61"/>
        <v>2274235.44</v>
      </c>
      <c r="P97" s="102"/>
      <c r="Q97" s="34"/>
    </row>
    <row r="98" spans="1:17">
      <c r="A98" s="110" t="s">
        <v>71</v>
      </c>
      <c r="B98" s="110" t="s">
        <v>172</v>
      </c>
      <c r="C98" s="102">
        <v>375434.83</v>
      </c>
      <c r="D98" s="102">
        <v>340759.6</v>
      </c>
      <c r="E98" s="102">
        <v>361509.27</v>
      </c>
      <c r="F98" s="102">
        <v>328995.11</v>
      </c>
      <c r="G98" s="102">
        <v>344244.95</v>
      </c>
      <c r="H98" s="102">
        <v>384642.72</v>
      </c>
      <c r="I98" s="102">
        <v>491796.43</v>
      </c>
      <c r="J98" s="102">
        <v>492506.97</v>
      </c>
      <c r="K98" s="102">
        <v>396865.52</v>
      </c>
      <c r="L98" s="102">
        <v>369320.82</v>
      </c>
      <c r="M98" s="102">
        <v>343317.25</v>
      </c>
      <c r="N98" s="102">
        <v>365810.08</v>
      </c>
      <c r="O98" s="34">
        <f t="shared" si="61"/>
        <v>4595203.55</v>
      </c>
      <c r="P98" s="102"/>
      <c r="Q98" s="34"/>
    </row>
    <row r="99" spans="1:17">
      <c r="A99" s="110" t="s">
        <v>71</v>
      </c>
      <c r="B99" s="110" t="s">
        <v>174</v>
      </c>
      <c r="C99" s="102">
        <v>4626584.54</v>
      </c>
      <c r="D99" s="102">
        <v>4200689.66</v>
      </c>
      <c r="E99" s="102">
        <v>4456653.6099999994</v>
      </c>
      <c r="F99" s="102">
        <v>4056703.11</v>
      </c>
      <c r="G99" s="102">
        <v>4244785.0500000007</v>
      </c>
      <c r="H99" s="102">
        <v>4742264.42</v>
      </c>
      <c r="I99" s="102">
        <v>6061126.1500000004</v>
      </c>
      <c r="J99" s="102">
        <v>6069001.96</v>
      </c>
      <c r="K99" s="102">
        <v>4891693.2200000007</v>
      </c>
      <c r="L99" s="102">
        <v>4552645.58</v>
      </c>
      <c r="M99" s="102">
        <v>4232860.3900000006</v>
      </c>
      <c r="N99" s="102">
        <v>4509393.99</v>
      </c>
      <c r="O99" s="34">
        <f t="shared" si="61"/>
        <v>56644401.68</v>
      </c>
      <c r="P99" s="102"/>
      <c r="Q99" s="34"/>
    </row>
    <row r="100" spans="1:17">
      <c r="A100" s="110" t="s">
        <v>159</v>
      </c>
      <c r="B100" s="110" t="s">
        <v>175</v>
      </c>
      <c r="C100" s="102">
        <v>2751615.62</v>
      </c>
      <c r="D100" s="102">
        <v>2354098.9700000002</v>
      </c>
      <c r="E100" s="102">
        <v>2351732.23</v>
      </c>
      <c r="F100" s="102">
        <v>2025349.52</v>
      </c>
      <c r="G100" s="102">
        <v>1874232.66</v>
      </c>
      <c r="H100" s="102">
        <v>1815058.0300000003</v>
      </c>
      <c r="I100" s="102">
        <v>2000967.42</v>
      </c>
      <c r="J100" s="102">
        <v>2126092.52</v>
      </c>
      <c r="K100" s="102">
        <v>2163633.08</v>
      </c>
      <c r="L100" s="102">
        <v>2376405.6</v>
      </c>
      <c r="M100" s="102">
        <v>2499863.6800000002</v>
      </c>
      <c r="N100" s="102">
        <v>2687361.13</v>
      </c>
      <c r="O100" s="34">
        <f t="shared" si="61"/>
        <v>27026410.460000005</v>
      </c>
      <c r="P100" s="102"/>
      <c r="Q100" s="34"/>
    </row>
    <row r="101" spans="1:17">
      <c r="A101" s="110" t="s">
        <v>159</v>
      </c>
      <c r="B101" s="110" t="s">
        <v>176</v>
      </c>
      <c r="C101" s="102">
        <v>5566282.8899999997</v>
      </c>
      <c r="D101" s="102">
        <v>4698899.71</v>
      </c>
      <c r="E101" s="102">
        <v>4680122.29</v>
      </c>
      <c r="F101" s="102">
        <v>3958828.7800000003</v>
      </c>
      <c r="G101" s="102">
        <v>3565646.22</v>
      </c>
      <c r="H101" s="102">
        <v>3255139.4899999998</v>
      </c>
      <c r="I101" s="102">
        <v>3351124.1999999997</v>
      </c>
      <c r="J101" s="102">
        <v>3680518.06</v>
      </c>
      <c r="K101" s="102">
        <v>4096064.59</v>
      </c>
      <c r="L101" s="102">
        <v>4707485.63</v>
      </c>
      <c r="M101" s="102">
        <v>5074688.95</v>
      </c>
      <c r="N101" s="102">
        <v>5448816.1099999994</v>
      </c>
      <c r="O101" s="34">
        <f t="shared" si="61"/>
        <v>52083616.920000002</v>
      </c>
      <c r="P101" s="102"/>
      <c r="Q101" s="34"/>
    </row>
    <row r="102" spans="1:17">
      <c r="A102" s="110" t="s">
        <v>159</v>
      </c>
      <c r="B102" s="110" t="s">
        <v>151</v>
      </c>
      <c r="C102" s="102">
        <v>1087779.8599999999</v>
      </c>
      <c r="D102" s="102">
        <v>1091011.48</v>
      </c>
      <c r="E102" s="102">
        <v>1081997.72</v>
      </c>
      <c r="F102" s="102">
        <v>1079590.1400000001</v>
      </c>
      <c r="G102" s="102">
        <v>1070959.77</v>
      </c>
      <c r="H102" s="102">
        <v>1073789.17</v>
      </c>
      <c r="I102" s="102">
        <v>1081181.5699999998</v>
      </c>
      <c r="J102" s="102">
        <v>1073215.19</v>
      </c>
      <c r="K102" s="102">
        <v>1069162.43</v>
      </c>
      <c r="L102" s="102">
        <v>1076564.9100000001</v>
      </c>
      <c r="M102" s="102">
        <v>1078000.0899999999</v>
      </c>
      <c r="N102" s="102">
        <v>1077878.2799999998</v>
      </c>
      <c r="O102" s="34">
        <f t="shared" si="61"/>
        <v>12941130.609999998</v>
      </c>
      <c r="P102" s="102"/>
      <c r="Q102" s="34"/>
    </row>
    <row r="103" spans="1:17">
      <c r="A103" s="110" t="s">
        <v>67</v>
      </c>
      <c r="B103" s="110" t="s">
        <v>177</v>
      </c>
      <c r="C103" s="102">
        <v>48544.46</v>
      </c>
      <c r="D103" s="102">
        <v>45780.51</v>
      </c>
      <c r="E103" s="102">
        <v>57929.279999999999</v>
      </c>
      <c r="F103" s="102">
        <v>31457.41</v>
      </c>
      <c r="G103" s="102">
        <v>20117.77</v>
      </c>
      <c r="H103" s="102">
        <v>30443.08</v>
      </c>
      <c r="I103" s="102">
        <v>56748.07</v>
      </c>
      <c r="J103" s="102">
        <v>15585.6</v>
      </c>
      <c r="K103" s="102">
        <v>29511.8</v>
      </c>
      <c r="L103" s="102">
        <v>55436.04</v>
      </c>
      <c r="M103" s="102">
        <v>50397.52</v>
      </c>
      <c r="N103" s="102">
        <v>52771.03</v>
      </c>
      <c r="O103" s="34">
        <f t="shared" si="61"/>
        <v>494722.56999999995</v>
      </c>
      <c r="P103" s="102"/>
      <c r="Q103" s="34"/>
    </row>
    <row r="104" spans="1:17">
      <c r="A104" s="109" t="s">
        <v>74</v>
      </c>
      <c r="B104" s="109" t="s">
        <v>160</v>
      </c>
      <c r="C104" s="102">
        <v>93979188.207952201</v>
      </c>
      <c r="D104" s="102">
        <v>77126520.404368401</v>
      </c>
      <c r="E104" s="102">
        <v>70665399.427674606</v>
      </c>
      <c r="F104" s="102">
        <v>58174999.387790002</v>
      </c>
      <c r="G104" s="102">
        <v>52474114.566385403</v>
      </c>
      <c r="H104" s="102">
        <v>63408226.369425997</v>
      </c>
      <c r="I104" s="102">
        <v>82725497.625485197</v>
      </c>
      <c r="J104" s="102">
        <v>78378033.059927896</v>
      </c>
      <c r="K104" s="102">
        <v>58352354.841025099</v>
      </c>
      <c r="L104" s="102">
        <v>55146283.710946999</v>
      </c>
      <c r="M104" s="102">
        <v>65189738.270842202</v>
      </c>
      <c r="N104" s="102">
        <v>85382052.878950998</v>
      </c>
      <c r="O104" s="34">
        <f t="shared" si="61"/>
        <v>841002408.75077498</v>
      </c>
      <c r="P104" s="102"/>
      <c r="Q104" s="34"/>
    </row>
    <row r="105" spans="1:17">
      <c r="A105" s="109" t="s">
        <v>74</v>
      </c>
      <c r="B105" s="109" t="s">
        <v>161</v>
      </c>
      <c r="C105" s="102">
        <v>30009085.2976337</v>
      </c>
      <c r="D105" s="102">
        <v>24627754.019525301</v>
      </c>
      <c r="E105" s="102">
        <v>22564612.858655602</v>
      </c>
      <c r="F105" s="102">
        <v>18576224.721492101</v>
      </c>
      <c r="G105" s="102">
        <v>16755839.355946001</v>
      </c>
      <c r="H105" s="102">
        <v>20247279.3215192</v>
      </c>
      <c r="I105" s="102">
        <v>26415598.6202861</v>
      </c>
      <c r="J105" s="102">
        <v>25027382.387067501</v>
      </c>
      <c r="K105" s="102">
        <v>18632857.202969499</v>
      </c>
      <c r="L105" s="102">
        <v>17609106.479743298</v>
      </c>
      <c r="M105" s="102">
        <v>20816145.084289201</v>
      </c>
      <c r="N105" s="102">
        <v>27263879.982410502</v>
      </c>
      <c r="O105" s="34">
        <f t="shared" si="61"/>
        <v>268545765.33153796</v>
      </c>
      <c r="P105" s="102"/>
      <c r="Q105" s="34"/>
    </row>
    <row r="106" spans="1:17">
      <c r="A106" s="109" t="s">
        <v>74</v>
      </c>
      <c r="B106" s="109" t="s">
        <v>162</v>
      </c>
      <c r="C106" s="102">
        <v>18733840.529059399</v>
      </c>
      <c r="D106" s="102">
        <v>15374424.5035646</v>
      </c>
      <c r="E106" s="102">
        <v>14086462.634591401</v>
      </c>
      <c r="F106" s="102">
        <v>11596622.4183593</v>
      </c>
      <c r="G106" s="102">
        <v>10460206.268877</v>
      </c>
      <c r="H106" s="102">
        <v>12639815.510192599</v>
      </c>
      <c r="I106" s="102">
        <v>16490526.356486101</v>
      </c>
      <c r="J106" s="102">
        <v>15623901.423404301</v>
      </c>
      <c r="K106" s="102">
        <v>11631976.515851799</v>
      </c>
      <c r="L106" s="102">
        <v>10992877.302832</v>
      </c>
      <c r="M106" s="102">
        <v>12994942.643694701</v>
      </c>
      <c r="N106" s="102">
        <v>17020084.905428201</v>
      </c>
      <c r="O106" s="34">
        <f t="shared" si="61"/>
        <v>167645681.01234141</v>
      </c>
      <c r="P106" s="102"/>
      <c r="Q106" s="34"/>
    </row>
    <row r="107" spans="1:17">
      <c r="A107" s="109" t="s">
        <v>74</v>
      </c>
      <c r="B107" s="109" t="s">
        <v>163</v>
      </c>
      <c r="C107" s="102">
        <v>6454101.3982868697</v>
      </c>
      <c r="D107" s="102">
        <v>5296729.9686669204</v>
      </c>
      <c r="E107" s="102">
        <v>4853006.9462575996</v>
      </c>
      <c r="F107" s="102">
        <v>3995218.0063019302</v>
      </c>
      <c r="G107" s="102">
        <v>3603704.8485522098</v>
      </c>
      <c r="H107" s="102">
        <v>4354614.3582254499</v>
      </c>
      <c r="I107" s="102">
        <v>5681244.5407059798</v>
      </c>
      <c r="J107" s="102">
        <v>5382678.6818726202</v>
      </c>
      <c r="K107" s="102">
        <v>4007398.0430888301</v>
      </c>
      <c r="L107" s="102">
        <v>3787218.3547258899</v>
      </c>
      <c r="M107" s="102">
        <v>4476961.2135092504</v>
      </c>
      <c r="N107" s="102">
        <v>5863685.7486133398</v>
      </c>
      <c r="O107" s="34">
        <f t="shared" si="61"/>
        <v>57756562.108806893</v>
      </c>
      <c r="P107" s="102"/>
      <c r="Q107" s="34"/>
    </row>
    <row r="108" spans="1:17">
      <c r="A108" s="109" t="s">
        <v>74</v>
      </c>
      <c r="B108" s="111">
        <v>23</v>
      </c>
      <c r="C108" s="102">
        <v>5240.9056656877901</v>
      </c>
      <c r="D108" s="102">
        <v>4425.0996303663705</v>
      </c>
      <c r="E108" s="102">
        <v>4267.1531060405505</v>
      </c>
      <c r="F108" s="102">
        <v>3596.0886937239798</v>
      </c>
      <c r="G108" s="102">
        <v>3513.4037713216799</v>
      </c>
      <c r="H108" s="102">
        <v>4133.6051909112703</v>
      </c>
      <c r="I108" s="102">
        <v>5063.0532490262003</v>
      </c>
      <c r="J108" s="102">
        <v>4834.9828484745303</v>
      </c>
      <c r="K108" s="102">
        <v>3849.5199279701001</v>
      </c>
      <c r="L108" s="102">
        <v>3576.4540334969397</v>
      </c>
      <c r="M108" s="102">
        <v>3943.4072477536201</v>
      </c>
      <c r="N108" s="102">
        <v>4873.6633581527894</v>
      </c>
      <c r="O108" s="34">
        <f t="shared" si="61"/>
        <v>51317.336722925829</v>
      </c>
      <c r="P108" s="102"/>
      <c r="Q108" s="34"/>
    </row>
    <row r="109" spans="1:17">
      <c r="A109" s="109" t="s">
        <v>74</v>
      </c>
      <c r="B109" s="111">
        <v>24</v>
      </c>
      <c r="C109" s="102">
        <v>403630.03653099202</v>
      </c>
      <c r="D109" s="102">
        <v>368498.27706575801</v>
      </c>
      <c r="E109" s="102">
        <v>397502.86272583198</v>
      </c>
      <c r="F109" s="102">
        <v>351624.65177593898</v>
      </c>
      <c r="G109" s="102">
        <v>393434.78359712602</v>
      </c>
      <c r="H109" s="102">
        <v>443951.36712286097</v>
      </c>
      <c r="I109" s="102">
        <v>483936.40272388997</v>
      </c>
      <c r="J109" s="102">
        <v>468871.458143642</v>
      </c>
      <c r="K109" s="102">
        <v>421847.88154907699</v>
      </c>
      <c r="L109" s="102">
        <v>380772.22236500698</v>
      </c>
      <c r="M109" s="102">
        <v>368672.35270523402</v>
      </c>
      <c r="N109" s="102">
        <v>398455.78479146498</v>
      </c>
      <c r="O109" s="34">
        <f t="shared" si="61"/>
        <v>4881198.0810968224</v>
      </c>
      <c r="P109" s="102"/>
      <c r="Q109" s="34"/>
    </row>
    <row r="110" spans="1:17">
      <c r="A110" s="109" t="s">
        <v>74</v>
      </c>
      <c r="B110" s="110" t="s">
        <v>164</v>
      </c>
      <c r="C110" s="102">
        <v>46855861.163714603</v>
      </c>
      <c r="D110" s="102">
        <v>42474973.257472515</v>
      </c>
      <c r="E110" s="102">
        <v>45212940.850124545</v>
      </c>
      <c r="F110" s="102">
        <v>40253434.207329676</v>
      </c>
      <c r="G110" s="102">
        <v>44107088.909215294</v>
      </c>
      <c r="H110" s="102">
        <v>49795911.645953596</v>
      </c>
      <c r="I110" s="102">
        <v>54659147.794657812</v>
      </c>
      <c r="J110" s="102">
        <v>52993262.459626749</v>
      </c>
      <c r="K110" s="102">
        <v>47262323.755642191</v>
      </c>
      <c r="L110" s="102">
        <v>43424517.375293717</v>
      </c>
      <c r="M110" s="102">
        <v>42258853.348647095</v>
      </c>
      <c r="N110" s="102">
        <v>45989581.4835096</v>
      </c>
      <c r="O110" s="34">
        <f t="shared" si="61"/>
        <v>555287896.25118744</v>
      </c>
      <c r="P110" s="102"/>
      <c r="Q110" s="34"/>
    </row>
    <row r="111" spans="1:17">
      <c r="A111" s="109" t="s">
        <v>74</v>
      </c>
      <c r="B111" s="110" t="s">
        <v>165</v>
      </c>
      <c r="C111" s="102">
        <v>239666.34222645455</v>
      </c>
      <c r="D111" s="102">
        <v>218077.38876064125</v>
      </c>
      <c r="E111" s="102">
        <v>232705.19394316585</v>
      </c>
      <c r="F111" s="102">
        <v>206627.00750764331</v>
      </c>
      <c r="G111" s="102">
        <v>228472.46849200007</v>
      </c>
      <c r="H111" s="102">
        <v>257151.91016026822</v>
      </c>
      <c r="I111" s="102">
        <v>282123.51973460329</v>
      </c>
      <c r="J111" s="102">
        <v>273247.31863146648</v>
      </c>
      <c r="K111" s="102">
        <v>243997.82851488818</v>
      </c>
      <c r="L111" s="102">
        <v>222492.31385052501</v>
      </c>
      <c r="M111" s="102">
        <v>216661.84747385315</v>
      </c>
      <c r="N111" s="102">
        <v>235668.41742294969</v>
      </c>
      <c r="O111" s="34">
        <f t="shared" si="61"/>
        <v>2856891.5567184589</v>
      </c>
      <c r="P111" s="102"/>
      <c r="Q111" s="34"/>
    </row>
    <row r="112" spans="1:17">
      <c r="A112" s="109" t="s">
        <v>74</v>
      </c>
      <c r="B112" s="109" t="s">
        <v>178</v>
      </c>
      <c r="C112" s="102">
        <v>304571.8821552372</v>
      </c>
      <c r="D112" s="102">
        <v>276304.9633281022</v>
      </c>
      <c r="E112" s="102">
        <v>292466.45215390221</v>
      </c>
      <c r="F112" s="102">
        <v>258649.83419953569</v>
      </c>
      <c r="G112" s="102">
        <v>281911.73013309634</v>
      </c>
      <c r="H112" s="102">
        <v>311194.52943148284</v>
      </c>
      <c r="I112" s="102">
        <v>342601.80413442501</v>
      </c>
      <c r="J112" s="102">
        <v>337179.28664355108</v>
      </c>
      <c r="K112" s="102">
        <v>300492.74317487422</v>
      </c>
      <c r="L112" s="102">
        <v>282994.96403335256</v>
      </c>
      <c r="M112" s="102">
        <v>277487.61339277559</v>
      </c>
      <c r="N112" s="102">
        <v>301729.72863796621</v>
      </c>
      <c r="O112" s="34">
        <f t="shared" si="61"/>
        <v>3567585.5314183012</v>
      </c>
      <c r="P112" s="102"/>
      <c r="Q112" s="34"/>
    </row>
    <row r="113" spans="1:17">
      <c r="A113" s="109" t="s">
        <v>74</v>
      </c>
      <c r="B113" s="109" t="s">
        <v>166</v>
      </c>
      <c r="C113" s="102">
        <v>27226346.400202412</v>
      </c>
      <c r="D113" s="102">
        <v>24758764.299667448</v>
      </c>
      <c r="E113" s="102">
        <v>25986873.333081897</v>
      </c>
      <c r="F113" s="102">
        <v>23365277.439671308</v>
      </c>
      <c r="G113" s="102">
        <v>25379420.179822609</v>
      </c>
      <c r="H113" s="102">
        <v>28349761.824181549</v>
      </c>
      <c r="I113" s="102">
        <v>31274147.681161691</v>
      </c>
      <c r="J113" s="102">
        <v>30324683.885461673</v>
      </c>
      <c r="K113" s="102">
        <v>26853272.105904091</v>
      </c>
      <c r="L113" s="102">
        <v>25059759.175924908</v>
      </c>
      <c r="M113" s="102">
        <v>24453100.706896249</v>
      </c>
      <c r="N113" s="102">
        <v>26687280.460469369</v>
      </c>
      <c r="O113" s="34">
        <f t="shared" si="61"/>
        <v>319718687.49244523</v>
      </c>
      <c r="P113" s="102"/>
      <c r="Q113" s="34"/>
    </row>
    <row r="114" spans="1:17">
      <c r="A114" s="109" t="s">
        <v>74</v>
      </c>
      <c r="B114" s="109" t="s">
        <v>167</v>
      </c>
      <c r="C114" s="102">
        <v>47912586.791106828</v>
      </c>
      <c r="D114" s="102">
        <v>45190184.386308514</v>
      </c>
      <c r="E114" s="102">
        <v>47800055.875708625</v>
      </c>
      <c r="F114" s="102">
        <v>45179560.633901767</v>
      </c>
      <c r="G114" s="102">
        <v>49281062.998818755</v>
      </c>
      <c r="H114" s="102">
        <v>53246688.492558703</v>
      </c>
      <c r="I114" s="102">
        <v>56980254.435601093</v>
      </c>
      <c r="J114" s="102">
        <v>55648958.107598349</v>
      </c>
      <c r="K114" s="102">
        <v>50593385.141209334</v>
      </c>
      <c r="L114" s="102">
        <v>49270357.5072079</v>
      </c>
      <c r="M114" s="102">
        <v>46138632.848406114</v>
      </c>
      <c r="N114" s="102">
        <v>47892160.92959661</v>
      </c>
      <c r="O114" s="34">
        <f t="shared" si="61"/>
        <v>595133888.14802265</v>
      </c>
      <c r="P114" s="102"/>
      <c r="Q114" s="34"/>
    </row>
    <row r="115" spans="1:17">
      <c r="A115" s="109" t="s">
        <v>74</v>
      </c>
      <c r="B115" s="109" t="s">
        <v>179</v>
      </c>
      <c r="C115" s="102">
        <v>825370.56174327387</v>
      </c>
      <c r="D115" s="102">
        <v>761409.10228368291</v>
      </c>
      <c r="E115" s="102">
        <v>816310.25469656882</v>
      </c>
      <c r="F115" s="102">
        <v>738910.88586070598</v>
      </c>
      <c r="G115" s="102">
        <v>818545.88606051297</v>
      </c>
      <c r="H115" s="102">
        <v>910697.88640954299</v>
      </c>
      <c r="I115" s="102">
        <v>986357.51246217906</v>
      </c>
      <c r="J115" s="102">
        <v>958291.54425484198</v>
      </c>
      <c r="K115" s="102">
        <v>865455.03642297909</v>
      </c>
      <c r="L115" s="102">
        <v>802324.30212678912</v>
      </c>
      <c r="M115" s="102">
        <v>767696.76777300111</v>
      </c>
      <c r="N115" s="102">
        <v>818034.08050107607</v>
      </c>
      <c r="O115" s="34">
        <f t="shared" si="61"/>
        <v>10069403.820595153</v>
      </c>
      <c r="P115" s="102"/>
      <c r="Q115" s="34"/>
    </row>
    <row r="116" spans="1:17">
      <c r="A116" s="109" t="s">
        <v>74</v>
      </c>
      <c r="B116" s="109" t="s">
        <v>180</v>
      </c>
      <c r="C116" s="102">
        <v>26296292.429358773</v>
      </c>
      <c r="D116" s="102">
        <v>25423385.14206006</v>
      </c>
      <c r="E116" s="102">
        <v>26509947.651489969</v>
      </c>
      <c r="F116" s="102">
        <v>26443597.909299158</v>
      </c>
      <c r="G116" s="102">
        <v>28159730.564442001</v>
      </c>
      <c r="H116" s="102">
        <v>29462215.985653497</v>
      </c>
      <c r="I116" s="102">
        <v>31015286.183115199</v>
      </c>
      <c r="J116" s="102">
        <v>30507635.410556398</v>
      </c>
      <c r="K116" s="102">
        <v>28008129.710696597</v>
      </c>
      <c r="L116" s="102">
        <v>29039365.313615691</v>
      </c>
      <c r="M116" s="102">
        <v>26458518.986008391</v>
      </c>
      <c r="N116" s="102">
        <v>26544716.398548827</v>
      </c>
      <c r="O116" s="34">
        <f t="shared" si="61"/>
        <v>333868821.68484461</v>
      </c>
      <c r="P116" s="102"/>
      <c r="Q116" s="34"/>
    </row>
    <row r="117" spans="1:17">
      <c r="A117" s="109" t="s">
        <v>74</v>
      </c>
      <c r="B117" s="109" t="s">
        <v>175</v>
      </c>
      <c r="C117" s="102">
        <v>2306356.377743809</v>
      </c>
      <c r="D117" s="102">
        <v>1926016.3776625709</v>
      </c>
      <c r="E117" s="102">
        <v>1972702.12523861</v>
      </c>
      <c r="F117" s="102">
        <v>1661977.8297610581</v>
      </c>
      <c r="G117" s="102">
        <v>1582569.2159926207</v>
      </c>
      <c r="H117" s="102">
        <v>1515394.3714969084</v>
      </c>
      <c r="I117" s="102">
        <v>1692123.505504637</v>
      </c>
      <c r="J117" s="102">
        <v>1829291.4396280129</v>
      </c>
      <c r="K117" s="102">
        <v>1790950.083992169</v>
      </c>
      <c r="L117" s="102">
        <v>2060585.325076072</v>
      </c>
      <c r="M117" s="102">
        <v>2142376.9813898951</v>
      </c>
      <c r="N117" s="102">
        <v>2330790.5222251299</v>
      </c>
      <c r="O117" s="34">
        <f t="shared" si="61"/>
        <v>22811134.155711494</v>
      </c>
      <c r="P117" s="102"/>
      <c r="Q117" s="34"/>
    </row>
    <row r="118" spans="1:17">
      <c r="A118" s="109" t="s">
        <v>74</v>
      </c>
      <c r="B118" s="109" t="s">
        <v>176</v>
      </c>
      <c r="C118" s="112">
        <v>452491.42</v>
      </c>
      <c r="D118" s="112">
        <v>349862.03</v>
      </c>
      <c r="E118" s="112">
        <v>348925.49</v>
      </c>
      <c r="F118" s="112">
        <v>275487.33</v>
      </c>
      <c r="G118" s="112">
        <v>223523.63</v>
      </c>
      <c r="H118" s="112">
        <v>169811.67</v>
      </c>
      <c r="I118" s="112">
        <v>191772.02</v>
      </c>
      <c r="J118" s="112">
        <v>244901.09</v>
      </c>
      <c r="K118" s="112">
        <v>273968.56</v>
      </c>
      <c r="L118" s="112">
        <v>399042.13</v>
      </c>
      <c r="M118" s="112">
        <v>437800.43</v>
      </c>
      <c r="N118" s="112">
        <v>472543.95</v>
      </c>
      <c r="O118" s="113">
        <f t="shared" si="61"/>
        <v>3840129.75</v>
      </c>
      <c r="P118" s="102"/>
      <c r="Q118" s="34"/>
    </row>
    <row r="119" spans="1:17" ht="16">
      <c r="A119" s="109" t="s">
        <v>74</v>
      </c>
      <c r="B119" s="109" t="s">
        <v>151</v>
      </c>
      <c r="C119" s="105">
        <v>110852.621758571</v>
      </c>
      <c r="D119" s="105">
        <v>109737.58433782301</v>
      </c>
      <c r="E119" s="105">
        <v>110163.26344972001</v>
      </c>
      <c r="F119" s="105">
        <v>106745.118901446</v>
      </c>
      <c r="G119" s="105">
        <v>109781.627055698</v>
      </c>
      <c r="H119" s="105">
        <v>111884.78216238</v>
      </c>
      <c r="I119" s="105">
        <v>111213.643535945</v>
      </c>
      <c r="J119" s="105">
        <v>111822.877342989</v>
      </c>
      <c r="K119" s="105">
        <v>112453.91662860601</v>
      </c>
      <c r="L119" s="105">
        <v>109185.05268375701</v>
      </c>
      <c r="M119" s="105">
        <v>108866.50890585499</v>
      </c>
      <c r="N119" s="105">
        <v>110591.220340314</v>
      </c>
      <c r="O119" s="106">
        <f t="shared" si="61"/>
        <v>1323298.2171031039</v>
      </c>
      <c r="P119" s="102"/>
      <c r="Q119" s="34"/>
    </row>
    <row r="120" spans="1:17">
      <c r="A120" s="109" t="s">
        <v>21</v>
      </c>
      <c r="C120" s="102">
        <f>SUM(C79:C119)</f>
        <v>2008985105.9951384</v>
      </c>
      <c r="D120" s="102">
        <f t="shared" ref="D120:N120" si="62">SUM(D79:D119)</f>
        <v>1818905584.0547023</v>
      </c>
      <c r="E120" s="102">
        <f t="shared" si="62"/>
        <v>1804953537.8228984</v>
      </c>
      <c r="F120" s="102">
        <f t="shared" si="62"/>
        <v>1632070942.0608449</v>
      </c>
      <c r="G120" s="102">
        <f t="shared" si="62"/>
        <v>1678032553.347162</v>
      </c>
      <c r="H120" s="102">
        <f t="shared" si="62"/>
        <v>1885508111.8996851</v>
      </c>
      <c r="I120" s="102">
        <f t="shared" si="62"/>
        <v>2254700245.2788434</v>
      </c>
      <c r="J120" s="102">
        <f t="shared" si="62"/>
        <v>2202103695.3230085</v>
      </c>
      <c r="K120" s="102">
        <f t="shared" si="62"/>
        <v>1822400501.7465978</v>
      </c>
      <c r="L120" s="102">
        <f t="shared" si="62"/>
        <v>1683579807.2344601</v>
      </c>
      <c r="M120" s="102">
        <f t="shared" si="62"/>
        <v>1727110701.5111821</v>
      </c>
      <c r="N120" s="102">
        <f t="shared" si="62"/>
        <v>1917938715.6648045</v>
      </c>
      <c r="O120" s="34">
        <f t="shared" si="61"/>
        <v>22436289501.939323</v>
      </c>
    </row>
    <row r="121" spans="1:17">
      <c r="O121" s="102"/>
    </row>
    <row r="122" spans="1:17" hidden="1">
      <c r="A122" t="s">
        <v>181</v>
      </c>
      <c r="O122" s="114">
        <v>22436289501.939323</v>
      </c>
    </row>
    <row r="123" spans="1:17" hidden="1">
      <c r="O123" s="114">
        <f>+O120-O122</f>
        <v>0</v>
      </c>
    </row>
  </sheetData>
  <pageMargins left="0.7" right="0.7" top="0.75" bottom="0.75" header="0.3" footer="0.3"/>
  <pageSetup scale="28" orientation="landscape" r:id="rId1"/>
  <headerFooter>
    <oddHeader>&amp;RNSTAR Electric Company d/b/a Eversource Energy
D.P.U. 25-55
Attachment DOER-1-2(b)
Workpapers
Page &amp;P of &amp;N</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D2F6A-8829-41AD-85F9-62453997462A}">
  <sheetPr>
    <tabColor theme="1"/>
    <pageSetUpPr fitToPage="1"/>
  </sheetPr>
  <dimension ref="A4:C22"/>
  <sheetViews>
    <sheetView view="pageLayout" zoomScaleNormal="130" workbookViewId="0">
      <selection activeCell="E14" sqref="E14"/>
    </sheetView>
  </sheetViews>
  <sheetFormatPr defaultRowHeight="14.5"/>
  <cols>
    <col min="1" max="1" width="25" customWidth="1"/>
    <col min="2" max="2" width="9.54296875" customWidth="1"/>
    <col min="4" max="4" width="14.81640625" customWidth="1"/>
    <col min="5" max="5" width="13.81640625" customWidth="1"/>
  </cols>
  <sheetData>
    <row r="4" spans="1:3">
      <c r="A4" s="3" t="s">
        <v>129</v>
      </c>
    </row>
    <row r="6" spans="1:3">
      <c r="A6" t="s">
        <v>210</v>
      </c>
      <c r="B6" s="9">
        <f>105000*0.83</f>
        <v>87150</v>
      </c>
      <c r="C6" t="s">
        <v>29</v>
      </c>
    </row>
    <row r="7" spans="1:3">
      <c r="A7" t="s">
        <v>211</v>
      </c>
      <c r="B7" s="9">
        <f>3412*11/3.412</f>
        <v>11000</v>
      </c>
      <c r="C7" t="s">
        <v>28</v>
      </c>
    </row>
    <row r="8" spans="1:3">
      <c r="A8" s="116" t="s">
        <v>30</v>
      </c>
      <c r="B8" s="12">
        <v>3412</v>
      </c>
      <c r="C8" s="77" t="s">
        <v>28</v>
      </c>
    </row>
    <row r="9" spans="1:3">
      <c r="A9" s="116" t="s">
        <v>207</v>
      </c>
      <c r="B9" s="12">
        <f>3412*(8.1/3.412)</f>
        <v>8100</v>
      </c>
      <c r="C9" s="77" t="s">
        <v>28</v>
      </c>
    </row>
    <row r="10" spans="1:3">
      <c r="A10" s="116" t="s">
        <v>208</v>
      </c>
      <c r="B10" s="12">
        <f>14/3.412*3412</f>
        <v>14000</v>
      </c>
      <c r="C10" s="77" t="s">
        <v>28</v>
      </c>
    </row>
    <row r="11" spans="1:3">
      <c r="A11" s="77"/>
      <c r="B11" s="117"/>
      <c r="C11" s="77"/>
    </row>
    <row r="13" spans="1:3">
      <c r="A13" s="19" t="s">
        <v>196</v>
      </c>
    </row>
    <row r="14" spans="1:3">
      <c r="A14" s="115" t="s">
        <v>209</v>
      </c>
      <c r="B14" s="9"/>
    </row>
    <row r="15" spans="1:3">
      <c r="A15" s="115" t="s">
        <v>197</v>
      </c>
      <c r="B15" s="9"/>
    </row>
    <row r="16" spans="1:3">
      <c r="B16" s="9"/>
    </row>
    <row r="17" spans="2:2">
      <c r="B17" s="9"/>
    </row>
    <row r="18" spans="2:2">
      <c r="B18" s="9"/>
    </row>
    <row r="19" spans="2:2">
      <c r="B19" s="9"/>
    </row>
    <row r="20" spans="2:2">
      <c r="B20" s="9"/>
    </row>
    <row r="21" spans="2:2">
      <c r="B21" s="9"/>
    </row>
    <row r="22" spans="2:2">
      <c r="B22" s="9"/>
    </row>
  </sheetData>
  <pageMargins left="0.7" right="0.7" top="0.75" bottom="0.75" header="0.3" footer="0.3"/>
  <pageSetup orientation="portrait" r:id="rId1"/>
  <headerFooter>
    <oddHeader>&amp;RNSTAR Electric Company d/b/a Eversource Energy
D.P.U. 25-55
Attachment DOER-1-2(b)
Page &amp;P of &amp;N</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A0207-D16E-411A-90A1-AE63BE8877A5}">
  <sheetPr>
    <tabColor theme="1"/>
  </sheetPr>
  <dimension ref="A4:F35"/>
  <sheetViews>
    <sheetView view="pageLayout" zoomScaleNormal="100" workbookViewId="0">
      <selection activeCell="E26" sqref="E26"/>
    </sheetView>
  </sheetViews>
  <sheetFormatPr defaultRowHeight="14.5"/>
  <cols>
    <col min="1" max="1" width="16.54296875" customWidth="1"/>
    <col min="2" max="2" width="11.81640625" customWidth="1"/>
    <col min="4" max="4" width="18.81640625" customWidth="1"/>
    <col min="5" max="5" width="14.7265625" customWidth="1"/>
    <col min="6" max="6" width="16.81640625" customWidth="1"/>
  </cols>
  <sheetData>
    <row r="4" spans="1:6">
      <c r="A4" s="32" t="s">
        <v>122</v>
      </c>
      <c r="D4" s="76"/>
      <c r="E4" s="77"/>
      <c r="F4" s="77"/>
    </row>
    <row r="5" spans="1:6">
      <c r="D5" s="77"/>
      <c r="E5" s="137">
        <v>45689</v>
      </c>
      <c r="F5" s="137"/>
    </row>
    <row r="6" spans="1:6">
      <c r="A6" s="3" t="s">
        <v>24</v>
      </c>
      <c r="B6" s="101">
        <v>45689</v>
      </c>
      <c r="D6" s="78" t="s">
        <v>123</v>
      </c>
      <c r="E6" s="79" t="s">
        <v>85</v>
      </c>
      <c r="F6" s="79" t="s">
        <v>86</v>
      </c>
    </row>
    <row r="7" spans="1:6">
      <c r="A7" t="s">
        <v>25</v>
      </c>
      <c r="B7" s="6">
        <v>10</v>
      </c>
      <c r="D7" s="77" t="s">
        <v>25</v>
      </c>
      <c r="E7" s="80">
        <v>10</v>
      </c>
      <c r="F7" s="80">
        <v>10</v>
      </c>
    </row>
    <row r="8" spans="1:6">
      <c r="A8" t="s">
        <v>26</v>
      </c>
      <c r="B8" s="30">
        <v>0.19122</v>
      </c>
      <c r="D8" s="77" t="s">
        <v>87</v>
      </c>
      <c r="E8" s="81">
        <f>TRUNC('Sch 1_Heat Pump Rate Design'!C8,5)</f>
        <v>6.7390000000000005E-2</v>
      </c>
      <c r="F8" s="81">
        <f>TRUNC('Sch 1_Heat Pump Rate Design'!C9,5)</f>
        <v>2.1909999999999999E-2</v>
      </c>
    </row>
    <row r="9" spans="1:6" ht="16">
      <c r="A9" s="19" t="s">
        <v>27</v>
      </c>
      <c r="B9" s="100">
        <v>0.13241</v>
      </c>
      <c r="D9" s="77" t="s">
        <v>23</v>
      </c>
      <c r="E9" s="82">
        <f>TRUNC('Sch 1_Heat Pump Rate Design'!C29,5)</f>
        <v>4.8899999999999999E-2</v>
      </c>
      <c r="F9" s="82">
        <f>TRUNC('Sch 1_Heat Pump Rate Design'!C30,5)</f>
        <v>1.5900000000000001E-2</v>
      </c>
    </row>
    <row r="10" spans="1:6">
      <c r="A10" t="s">
        <v>88</v>
      </c>
      <c r="B10" s="10">
        <f>B7</f>
        <v>10</v>
      </c>
      <c r="D10" s="77" t="s">
        <v>90</v>
      </c>
      <c r="E10" s="83">
        <f>B8-0.06264-0.04545</f>
        <v>8.3130000000000009E-2</v>
      </c>
      <c r="F10" s="83">
        <f>E10</f>
        <v>8.3130000000000009E-2</v>
      </c>
    </row>
    <row r="11" spans="1:6">
      <c r="A11" t="s">
        <v>89</v>
      </c>
      <c r="B11" s="31">
        <f>B8+B9</f>
        <v>0.32362999999999997</v>
      </c>
      <c r="D11" s="84" t="s">
        <v>91</v>
      </c>
      <c r="E11" s="85">
        <f>B9</f>
        <v>0.13241</v>
      </c>
      <c r="F11" s="85">
        <f>E11</f>
        <v>0.13241</v>
      </c>
    </row>
    <row r="12" spans="1:6">
      <c r="A12" s="3"/>
      <c r="D12" s="77" t="s">
        <v>88</v>
      </c>
      <c r="E12" s="86">
        <f>E7</f>
        <v>10</v>
      </c>
      <c r="F12" s="86">
        <f>F7</f>
        <v>10</v>
      </c>
    </row>
    <row r="13" spans="1:6">
      <c r="B13" s="6"/>
      <c r="D13" s="77" t="s">
        <v>89</v>
      </c>
      <c r="E13" s="83">
        <f>SUM(E8:E11)</f>
        <v>0.33183000000000001</v>
      </c>
      <c r="F13" s="83">
        <f>SUM(F8:F11)</f>
        <v>0.25335000000000002</v>
      </c>
    </row>
    <row r="14" spans="1:6">
      <c r="B14" s="30"/>
      <c r="D14" s="77"/>
      <c r="E14" s="77"/>
      <c r="F14" s="77"/>
    </row>
    <row r="15" spans="1:6" ht="16">
      <c r="A15" s="19"/>
      <c r="B15" s="33"/>
      <c r="E15" s="138">
        <v>45689</v>
      </c>
      <c r="F15" s="138"/>
    </row>
    <row r="16" spans="1:6">
      <c r="B16" s="31"/>
      <c r="D16" s="3" t="s">
        <v>198</v>
      </c>
      <c r="E16" s="7" t="s">
        <v>85</v>
      </c>
      <c r="F16" s="7" t="s">
        <v>86</v>
      </c>
    </row>
    <row r="17" spans="1:6">
      <c r="D17" t="s">
        <v>25</v>
      </c>
      <c r="E17" s="80">
        <v>10</v>
      </c>
      <c r="F17" s="80">
        <v>10</v>
      </c>
    </row>
    <row r="18" spans="1:6">
      <c r="A18" s="3"/>
      <c r="B18" s="3"/>
      <c r="D18" t="s">
        <v>26</v>
      </c>
      <c r="E18" s="123">
        <v>1.6109</v>
      </c>
      <c r="F18" s="123">
        <v>1.6102000000000001</v>
      </c>
    </row>
    <row r="19" spans="1:6" ht="16">
      <c r="B19" s="6"/>
      <c r="D19" s="19" t="s">
        <v>27</v>
      </c>
      <c r="E19" s="124">
        <v>0.25240000000000001</v>
      </c>
      <c r="F19" s="124">
        <v>0.92600000000000005</v>
      </c>
    </row>
    <row r="20" spans="1:6" ht="16">
      <c r="A20" s="19"/>
      <c r="B20" s="33"/>
      <c r="D20" t="s">
        <v>88</v>
      </c>
      <c r="E20" s="10">
        <f>E17</f>
        <v>10</v>
      </c>
      <c r="F20" s="10">
        <f>F17</f>
        <v>10</v>
      </c>
    </row>
    <row r="21" spans="1:6">
      <c r="B21" s="31"/>
      <c r="D21" t="s">
        <v>89</v>
      </c>
      <c r="E21" s="125">
        <f>SUM(E18:E19)</f>
        <v>1.8633</v>
      </c>
      <c r="F21" s="125">
        <f>SUM(F18:F19)</f>
        <v>2.5362</v>
      </c>
    </row>
    <row r="23" spans="1:6">
      <c r="A23" s="3"/>
    </row>
    <row r="24" spans="1:6">
      <c r="B24" s="6"/>
    </row>
    <row r="25" spans="1:6">
      <c r="B25" s="6"/>
    </row>
    <row r="26" spans="1:6">
      <c r="B26" s="30"/>
    </row>
    <row r="27" spans="1:6" ht="16">
      <c r="A27" s="19"/>
      <c r="B27" s="33"/>
    </row>
    <row r="28" spans="1:6">
      <c r="B28" s="30"/>
    </row>
    <row r="30" spans="1:6">
      <c r="A30" s="3"/>
    </row>
    <row r="31" spans="1:6">
      <c r="B31" s="6"/>
    </row>
    <row r="32" spans="1:6">
      <c r="B32" s="6"/>
    </row>
    <row r="33" spans="1:2">
      <c r="B33" s="30"/>
    </row>
    <row r="34" spans="1:2" ht="16">
      <c r="A34" s="19"/>
      <c r="B34" s="33"/>
    </row>
    <row r="35" spans="1:2">
      <c r="B35" s="30"/>
    </row>
  </sheetData>
  <mergeCells count="2">
    <mergeCell ref="E5:F5"/>
    <mergeCell ref="E15:F15"/>
  </mergeCells>
  <pageMargins left="0.7" right="0.7" top="0.75" bottom="0.75" header="0.3" footer="0.3"/>
  <pageSetup orientation="portrait" r:id="rId1"/>
  <headerFooter>
    <oddHeader>&amp;RNSTAR Electric Company d/b/a Eversource Energy
D.P.U. 25-55
Attachment DOER-1-2(b)
Workpapers
Page &amp;P of &amp;N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8</vt:i4>
      </vt:variant>
      <vt:variant>
        <vt:lpstr>Charts</vt:lpstr>
      </vt:variant>
      <vt:variant>
        <vt:i4>2</vt:i4>
      </vt:variant>
      <vt:variant>
        <vt:lpstr>Named Ranges</vt:lpstr>
      </vt:variant>
      <vt:variant>
        <vt:i4>1</vt:i4>
      </vt:variant>
    </vt:vector>
  </HeadingPairs>
  <TitlesOfParts>
    <vt:vector size="11" baseType="lpstr">
      <vt:lpstr>Sch 1_Heat Pump Rate Design</vt:lpstr>
      <vt:lpstr>Sch 2_HP Sales Conversion</vt:lpstr>
      <vt:lpstr>Sch 3_Bill Impact_ASHP</vt:lpstr>
      <vt:lpstr>WP_Electric Test Year BQs</vt:lpstr>
      <vt:lpstr>WP_Gas Test Year BQs</vt:lpstr>
      <vt:lpstr>WP_Sales Forecast</vt:lpstr>
      <vt:lpstr>WP_Efficiency Factors</vt:lpstr>
      <vt:lpstr>WP_Rate Inputs</vt:lpstr>
      <vt:lpstr>Chart1</vt:lpstr>
      <vt:lpstr>Chart2</vt:lpstr>
      <vt:lpstr>'Sch 1_Heat Pump Rate Design'!Print_Area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2025-06-11T13:17:05Z</dcterms:created>
  <dcterms:modified xsi:type="dcterms:W3CDTF">2025-06-11T13:18:40Z</dcterms:modified>
</cp:coreProperties>
</file>