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67032639-23D5-4451-91AD-1FBBB1DCD183}" xr6:coauthVersionLast="47" xr6:coauthVersionMax="47" xr10:uidLastSave="{00000000-0000-0000-0000-000000000000}"/>
  <bookViews>
    <workbookView xWindow="28680" yWindow="-120" windowWidth="29040" windowHeight="15720" xr2:uid="{FAA8B806-20D7-4F10-A527-9F8837043FD1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</sheet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H">#REF!</definedName>
    <definedName name="\I">#N/A</definedName>
    <definedName name="\K">#N/A</definedName>
    <definedName name="\L">#N/A</definedName>
    <definedName name="\M">#N/A</definedName>
    <definedName name="\N">#N/A</definedName>
    <definedName name="\P">#REF!</definedName>
    <definedName name="\R">#N/A</definedName>
    <definedName name="\S">#N/A</definedName>
    <definedName name="\W">#N/A</definedName>
    <definedName name="\X">#N/A</definedName>
    <definedName name="\Y">#N/A</definedName>
    <definedName name="\Z">#N/A</definedName>
    <definedName name="______PG2">#REF!</definedName>
    <definedName name="______PG3">#REF!</definedName>
    <definedName name="_____JAN1">#REF!</definedName>
    <definedName name="_____OM1">#REF!</definedName>
    <definedName name="_____om2">#REF!</definedName>
    <definedName name="_____PG1">#REF!</definedName>
    <definedName name="_____PG2">#REF!</definedName>
    <definedName name="_____PG3">#REF!</definedName>
    <definedName name="_____RB1998">#REF!</definedName>
    <definedName name="_____RB1999">#REF!</definedName>
    <definedName name="_____REV2">#REF!</definedName>
    <definedName name="____PG1">#REF!</definedName>
    <definedName name="____PG2">#REF!</definedName>
    <definedName name="____PG3">#REF!</definedName>
    <definedName name="____RB1998">#REF!</definedName>
    <definedName name="___CCR4">#REF!</definedName>
    <definedName name="___CCR5">#REF!</definedName>
    <definedName name="___CCT2">#REF!</definedName>
    <definedName name="___CCT4">#REF!</definedName>
    <definedName name="___JAN1">#REF!</definedName>
    <definedName name="___PG1">#REF!</definedName>
    <definedName name="___PG2">#REF!</definedName>
    <definedName name="___PG3">#REF!</definedName>
    <definedName name="___RB1998">#REF!</definedName>
    <definedName name="___RB1999">#REF!</definedName>
    <definedName name="___REV2">#REF!</definedName>
    <definedName name="___REV4">#REF!</definedName>
    <definedName name="__123Graph_A" localSheetId="6" hidden="1">#REF!</definedName>
    <definedName name="__123Graph_A" hidden="1">#REF!</definedName>
    <definedName name="__123Graph_B" localSheetId="6" hidden="1">#REF!</definedName>
    <definedName name="__123Graph_B" hidden="1">#REF!</definedName>
    <definedName name="__123Graph_D" localSheetId="6" hidden="1">#REF!</definedName>
    <definedName name="__123Graph_D" hidden="1">#REF!</definedName>
    <definedName name="__123Graph_X" localSheetId="6" hidden="1">#REF!</definedName>
    <definedName name="__123Graph_X" hidden="1">#REF!</definedName>
    <definedName name="__C">#REF!</definedName>
    <definedName name="__COM93">#N/A</definedName>
    <definedName name="__COM94">#N/A</definedName>
    <definedName name="__COM95">#N/A</definedName>
    <definedName name="__COM96">#N/A</definedName>
    <definedName name="__IND93">#N/A</definedName>
    <definedName name="__IND94">#N/A</definedName>
    <definedName name="__IND95">#N/A</definedName>
    <definedName name="__IND96">#N/A</definedName>
    <definedName name="__JAN1">#REF!</definedName>
    <definedName name="__PG1">#REF!</definedName>
    <definedName name="__PG2">#REF!</definedName>
    <definedName name="__PG3">#REF!</definedName>
    <definedName name="__RB1998">#REF!</definedName>
    <definedName name="__RB1999">#REF!</definedName>
    <definedName name="__RES93">#N/A</definedName>
    <definedName name="__RES94">#N/A</definedName>
    <definedName name="__RES95">#N/A</definedName>
    <definedName name="__RES96">#N/A</definedName>
    <definedName name="__SRR93">#N/A</definedName>
    <definedName name="__SRR94">#N/A</definedName>
    <definedName name="__SRR95">#N/A</definedName>
    <definedName name="__SRR96">#N/A</definedName>
    <definedName name="_1">#REF!</definedName>
    <definedName name="_10R_1R_1B">#REF!</definedName>
    <definedName name="_10R_4R_4A">#REF!</definedName>
    <definedName name="_11R_4R_4B">#REF!</definedName>
    <definedName name="_12G_2G_2">#REF!</definedName>
    <definedName name="_12R_1R_1C">#REF!</definedName>
    <definedName name="_12R_4R_4C">#REF!</definedName>
    <definedName name="_14R_2R_2A">#REF!</definedName>
    <definedName name="_16R_2R_2B">#REF!</definedName>
    <definedName name="_18G_3G_3">#REF!</definedName>
    <definedName name="_18R_2R_2C">#REF!</definedName>
    <definedName name="_1G_1G_1">#REF!</definedName>
    <definedName name="_2">#REF!</definedName>
    <definedName name="_20R_4R_4A">#REF!</definedName>
    <definedName name="_22R_4R_4B">#REF!</definedName>
    <definedName name="_24R_1R_1A">#REF!</definedName>
    <definedName name="_24R_4R_4C">#REF!</definedName>
    <definedName name="_2G_1G_1">#REF!</definedName>
    <definedName name="_2G_2G_2">#REF!</definedName>
    <definedName name="_30R_1R_1B">#REF!</definedName>
    <definedName name="_36R_1R_1C">#REF!</definedName>
    <definedName name="_3G_3G_3">#REF!</definedName>
    <definedName name="_42R_2R_2A">#REF!</definedName>
    <definedName name="_48R_2R_2B">#REF!</definedName>
    <definedName name="_4G_2G_2">#REF!</definedName>
    <definedName name="_4R_1R_1A">#REF!</definedName>
    <definedName name="_54R_2R_2C">#REF!</definedName>
    <definedName name="_5R_1R_1B">#REF!</definedName>
    <definedName name="_60R_4R_4A">#REF!</definedName>
    <definedName name="_66R_4R_4B">#REF!</definedName>
    <definedName name="_6G_1G_1">#REF!</definedName>
    <definedName name="_6G_3G_3">#REF!</definedName>
    <definedName name="_6R_1R_1C">#REF!</definedName>
    <definedName name="_72R_4R_4C">#REF!</definedName>
    <definedName name="_7R_2R_2A">#REF!</definedName>
    <definedName name="_8R_1R_1A">#REF!</definedName>
    <definedName name="_8R_2R_2B">#REF!</definedName>
    <definedName name="_9R_2R_2C">#REF!</definedName>
    <definedName name="_C">#REF!</definedName>
    <definedName name="_C93">#N/A</definedName>
    <definedName name="_C94">#N/A</definedName>
    <definedName name="_C95">#N/A</definedName>
    <definedName name="_C96">#N/A</definedName>
    <definedName name="_CCR5">#REF!</definedName>
    <definedName name="_CCT2">#REF!</definedName>
    <definedName name="_CCT4">#REF!</definedName>
    <definedName name="_COM93">#N/A</definedName>
    <definedName name="_COM94">#N/A</definedName>
    <definedName name="_COM95">#N/A</definedName>
    <definedName name="_COM96">#N/A</definedName>
    <definedName name="_Fill" localSheetId="5" hidden="1">#REF!</definedName>
    <definedName name="_Fill" localSheetId="6" hidden="1">#REF!</definedName>
    <definedName name="_Fill" hidden="1">#REF!</definedName>
    <definedName name="_IND93">#N/A</definedName>
    <definedName name="_IND94">#N/A</definedName>
    <definedName name="_IND95">#N/A</definedName>
    <definedName name="_IND96">#N/A</definedName>
    <definedName name="_JAN1">#REF!</definedName>
    <definedName name="_Key1" localSheetId="5" hidden="1">#REF!</definedName>
    <definedName name="_Key1" localSheetId="6" hidden="1">#REF!</definedName>
    <definedName name="_Key1" hidden="1">#REF!</definedName>
    <definedName name="_MR1994">#REF!</definedName>
    <definedName name="_MR1995">#REF!</definedName>
    <definedName name="_MR1996">#REF!</definedName>
    <definedName name="_MR1997">#REF!</definedName>
    <definedName name="_MR1998">#REF!</definedName>
    <definedName name="_MR1999">#REF!</definedName>
    <definedName name="_MR2000">#REF!</definedName>
    <definedName name="_MR2001">#REF!</definedName>
    <definedName name="_MR2002">#REF!</definedName>
    <definedName name="_MR2003">#REF!</definedName>
    <definedName name="_MR2004">#REF!</definedName>
    <definedName name="_MR2005">#REF!</definedName>
    <definedName name="_MR2006">#REF!</definedName>
    <definedName name="_MR2007">#REF!</definedName>
    <definedName name="_MR2008">#REF!</definedName>
    <definedName name="_MR2009">#REF!</definedName>
    <definedName name="_MR2010">#REF!</definedName>
    <definedName name="_MR2011">#REF!</definedName>
    <definedName name="_MR2012">#REF!</definedName>
    <definedName name="_MR2013">#REF!</definedName>
    <definedName name="_MR2014">#REF!</definedName>
    <definedName name="_MR2015">#REF!</definedName>
    <definedName name="_MR2016">#REF!</definedName>
    <definedName name="_MR2017">#REF!</definedName>
    <definedName name="_MR2018">#REF!</definedName>
    <definedName name="_MR2019">#REF!</definedName>
    <definedName name="_MR2020">#REF!</definedName>
    <definedName name="_Order1" hidden="1">255</definedName>
    <definedName name="_Order2" hidden="1">255</definedName>
    <definedName name="_PG1">#REF!</definedName>
    <definedName name="_PG2">#REF!</definedName>
    <definedName name="_PG3">#REF!</definedName>
    <definedName name="_R">#N/A</definedName>
    <definedName name="_R1993">#N/A</definedName>
    <definedName name="_R93">#N/A</definedName>
    <definedName name="_R94">#N/A</definedName>
    <definedName name="_R95">#N/A</definedName>
    <definedName name="_R96">#N/A</definedName>
    <definedName name="_RB1998">#REF!</definedName>
    <definedName name="_RB1999">#REF!</definedName>
    <definedName name="_RES93">#N/A</definedName>
    <definedName name="_RES94">#N/A</definedName>
    <definedName name="_RES95">#N/A</definedName>
    <definedName name="_RES96">#N/A</definedName>
    <definedName name="_REV2">#REF!</definedName>
    <definedName name="_REV4">#REF!</definedName>
    <definedName name="_SEG2">#REF!</definedName>
    <definedName name="_Sort" localSheetId="5" hidden="1">#REF!</definedName>
    <definedName name="_Sort" localSheetId="6" hidden="1">#REF!</definedName>
    <definedName name="_Sort" hidden="1">#REF!</definedName>
    <definedName name="_SRR93">#N/A</definedName>
    <definedName name="_SRR94">#N/A</definedName>
    <definedName name="_SRR95">#N/A</definedName>
    <definedName name="_SRR96">#N/A</definedName>
    <definedName name="_WP10">#REF!</definedName>
    <definedName name="_WP10new">#REF!</definedName>
    <definedName name="A">#REF!</definedName>
    <definedName name="AccessDatabase" hidden="1">"S:\SHARED\HUMANRES\EXCEL.97\Job Tracking\Req input form.mdb"</definedName>
    <definedName name="ADD_YEAR">#REF!</definedName>
    <definedName name="ADD_YR2">#REF!</definedName>
    <definedName name="ADJUSTMENTS">#REF!</definedName>
    <definedName name="admin">#REF!</definedName>
    <definedName name="alloc1999">#REF!</definedName>
    <definedName name="ANALYSIS">#REF!</definedName>
    <definedName name="ANALYSIS2">#REF!</definedName>
    <definedName name="Annual_G41">#REF!</definedName>
    <definedName name="Annual_G41_TotCust">#REF!</definedName>
    <definedName name="Annual_G42">#REF!</definedName>
    <definedName name="Annual_G42_TotCust">#REF!</definedName>
    <definedName name="Annual_G43">#REF!</definedName>
    <definedName name="Annual_G43_TotCust">#REF!</definedName>
    <definedName name="Annual_G51">#REF!</definedName>
    <definedName name="Annual_G51_TotCust">#REF!</definedName>
    <definedName name="Annual_G52">#REF!</definedName>
    <definedName name="Annual_G52_TotCust">#REF!</definedName>
    <definedName name="Annual_G53">#REF!</definedName>
    <definedName name="Annual_G53_TotCust">#REF!</definedName>
    <definedName name="Annual_R1">#REF!</definedName>
    <definedName name="Annual_R1_TotCust">#REF!</definedName>
    <definedName name="Annual_R2">#REF!</definedName>
    <definedName name="Annual_R2_TotCust">#REF!</definedName>
    <definedName name="Annual_R3">#REF!</definedName>
    <definedName name="Annual_R3_TotCust">#REF!</definedName>
    <definedName name="Annual_R4">#REF!</definedName>
    <definedName name="Annual_R4_TotCust">#REF!</definedName>
    <definedName name="APRIL">#REF!</definedName>
    <definedName name="AREA75">#REF!</definedName>
    <definedName name="AREAS">#REF!</definedName>
    <definedName name="AS2DocOpenMode" hidden="1">"AS2DocumentEdit"</definedName>
    <definedName name="AS2HasNoAutoHeaderFooter" hidden="1">" "</definedName>
    <definedName name="AS2NamedRange" hidden="1">12</definedName>
    <definedName name="ASD">#REF!</definedName>
    <definedName name="ASSETMAN">#REF!</definedName>
    <definedName name="ASSETS">#REF!</definedName>
    <definedName name="ASSETS_B_S">#REF!</definedName>
    <definedName name="AUGADJ">#REF!</definedName>
    <definedName name="AUGUST">#REF!</definedName>
    <definedName name="B">#REF!</definedName>
    <definedName name="B_S_FLUX">#REF!</definedName>
    <definedName name="BC_TAG">#REF!</definedName>
    <definedName name="BCR_Activity">#REF!</definedName>
    <definedName name="BECO.G1DMD.Cst">#REF!</definedName>
    <definedName name="BECO.G1DMD.Dmd.Blk1_s">#REF!</definedName>
    <definedName name="BECO.G1DMD.Dmd.Blk1_w">#REF!</definedName>
    <definedName name="BECO.G1DMD.kWh.Blk1_s">#REF!</definedName>
    <definedName name="BECO.G1DMD.kWh.Blk1_w">#REF!</definedName>
    <definedName name="BECO.G1DMD.kWh.Blk2_s">#REF!</definedName>
    <definedName name="BECO.G1DMD.kWh.Blk2_w">#REF!</definedName>
    <definedName name="BECO.G1DMD.KWh.Blk3_s">#REF!</definedName>
    <definedName name="BECO.G1DMD.KWh.Blk3_w">#REF!</definedName>
    <definedName name="BECO.G1ND.Cst">#REF!</definedName>
    <definedName name="BECO.G1ND.kWh_s">#REF!</definedName>
    <definedName name="BECO.G1ND.kWh_w">#REF!</definedName>
    <definedName name="BECO.G2.Cst">#REF!</definedName>
    <definedName name="BECO.G2.Dmd.Blk1_s">#REF!</definedName>
    <definedName name="BECO.G2.Dmd.Blk1_w">#REF!</definedName>
    <definedName name="BECO.G2.kWh.Blk1_s">#REF!</definedName>
    <definedName name="BECO.G2.kWh.Blk1_w">#REF!</definedName>
    <definedName name="BECO.G2.kWh.Blk2_s">#REF!</definedName>
    <definedName name="BECO.G2.kWh.Blk2_w">#REF!</definedName>
    <definedName name="BECO.G2.KWh.Blk3_s">#REF!</definedName>
    <definedName name="BECO.G2.KWh.Blk3_w">#REF!</definedName>
    <definedName name="BECO.G2MUNI.Cst">#REF!</definedName>
    <definedName name="BECO.G2MUNI.Dmd.Blk1_s">#REF!</definedName>
    <definedName name="BECO.G2MUNI.Dmd.Blk1_w">#REF!</definedName>
    <definedName name="BECO.G2MUNI.kWh.Blk1_s">#REF!</definedName>
    <definedName name="BECO.G2MUNI.kWh.Blk1_w">#REF!</definedName>
    <definedName name="BECO.G2MUNI.kWh.Blk2_s">#REF!</definedName>
    <definedName name="BECO.G2MUNI.kWh.Blk2_w">#REF!</definedName>
    <definedName name="BECO.G2MUNI.KWh.Blk3_s">#REF!</definedName>
    <definedName name="BECO.G2MUNI.KWh.Blk3_w">#REF!</definedName>
    <definedName name="BECO.G3.Cst">#REF!</definedName>
    <definedName name="BECO.G3.Dmd_s">#REF!</definedName>
    <definedName name="BECO.G3.Dmd_w">#REF!</definedName>
    <definedName name="BECO.H2.Cst">#REF!</definedName>
    <definedName name="BECO.H2.Dmd.Blk1_s">#REF!</definedName>
    <definedName name="BECO.H2.Dmd.Blk1_w">#REF!</definedName>
    <definedName name="BECO.H2.kWh.Blk1_s">#REF!</definedName>
    <definedName name="BECO.H2.kWh.Blk1_w">#REF!</definedName>
    <definedName name="BECO.H2.kWh.Blk2_s">#REF!</definedName>
    <definedName name="BECO.H2.kWh.Blk2_w">#REF!</definedName>
    <definedName name="BECO.H2.KWh.Blk3_s">#REF!</definedName>
    <definedName name="BECO.H2.KWh.Blk3_w">#REF!</definedName>
    <definedName name="BECO.T1.Cst">#REF!</definedName>
    <definedName name="BECO.T1.kWh.OP_s">#REF!</definedName>
    <definedName name="BECO.T1.kWh.OP_w">#REF!</definedName>
    <definedName name="BECO.T1.kWh.PK_s">#REF!</definedName>
    <definedName name="BECO.T1.kWh.PK_w">#REF!</definedName>
    <definedName name="BECO.T2.Dmd_s">#REF!</definedName>
    <definedName name="BECO.T2.Dmd_w">#REF!</definedName>
    <definedName name="BETGassets">#REF!:#REF!</definedName>
    <definedName name="BLOCKE">#REF!</definedName>
    <definedName name="BLOCKF">#REF!</definedName>
    <definedName name="BORDER_HD_TL">#REF!</definedName>
    <definedName name="BORDERAREA75">#REF!</definedName>
    <definedName name="BORDERBBTU">#REF!</definedName>
    <definedName name="BORDERBBTUTOP">#REF!</definedName>
    <definedName name="BORDERDOWNREV">#REF!</definedName>
    <definedName name="BORDERREVSUM">#REF!</definedName>
    <definedName name="BORDERREVSUMTOP">#REF!</definedName>
    <definedName name="BORDERSEND">#REF!</definedName>
    <definedName name="BORDERSENDTOP">#REF!</definedName>
    <definedName name="BORDERSLSREVYR1">#REF!</definedName>
    <definedName name="bos_g1_gt100">#REF!</definedName>
    <definedName name="bos_g1_le100">#REF!</definedName>
    <definedName name="bos_g1nd">#REF!</definedName>
    <definedName name="bos_g2_gt100">#REF!</definedName>
    <definedName name="bos_g2_le100">#REF!</definedName>
    <definedName name="bos_g3">#REF!</definedName>
    <definedName name="bos_t1">#REF!</definedName>
    <definedName name="bos_t2_gt100">#REF!</definedName>
    <definedName name="bos_t2_le100">#REF!</definedName>
    <definedName name="BSLG">#REF!</definedName>
    <definedName name="BSMG">#REF!</definedName>
    <definedName name="BSRES">#REF!</definedName>
    <definedName name="BTURATIO">#REF!</definedName>
    <definedName name="budget">#REF!</definedName>
    <definedName name="budsales">#REF!</definedName>
    <definedName name="budsalesdata">#REF!</definedName>
    <definedName name="BUN">#REF!</definedName>
    <definedName name="C_">#REF!</definedName>
    <definedName name="C_F_OTHER_INVES">#REF!</definedName>
    <definedName name="CA">#REF!</definedName>
    <definedName name="cad">#REF!</definedName>
    <definedName name="calculation">#REF!</definedName>
    <definedName name="CALENDAR">#REF!</definedName>
    <definedName name="CALLOC">#N/A</definedName>
    <definedName name="cam_g0">#REF!</definedName>
    <definedName name="cam_g1">#REF!</definedName>
    <definedName name="cam_g2">#REF!</definedName>
    <definedName name="cam_g3">#REF!</definedName>
    <definedName name="cam_g4_gt100kW">#REF!</definedName>
    <definedName name="cam_g4_lt100kW">#REF!</definedName>
    <definedName name="cam_g5">#REF!</definedName>
    <definedName name="cam_g6">#REF!</definedName>
    <definedName name="CAM_HEAT">#REF!</definedName>
    <definedName name="CAM_NON">#REF!</definedName>
    <definedName name="CAMB.G0.Cst">#REF!</definedName>
    <definedName name="CAMB.G0.kWh">#REF!</definedName>
    <definedName name="CAMB.G1.Cst">#REF!</definedName>
    <definedName name="CAMB.G1.Dmd.Blk1">#REF!</definedName>
    <definedName name="CAMB.G1.Dmd.Blk2">#REF!</definedName>
    <definedName name="CAMB.G1.kWh">#REF!</definedName>
    <definedName name="CAMB.G2.Cst">#REF!</definedName>
    <definedName name="CAMB.G2.Dmd.Blk1">#REF!</definedName>
    <definedName name="CAMB.G2.Dmd.Blk2">#REF!</definedName>
    <definedName name="CAMB.G2.kWh.OP.LowA">#REF!</definedName>
    <definedName name="CAMB.G2.kWh.OP.LowB">#REF!</definedName>
    <definedName name="CAMB.G2.kWh.PK">#REF!</definedName>
    <definedName name="CAMB.G3.Cst">#REF!</definedName>
    <definedName name="CAMB.G3.Dmd.Blk1">#REF!</definedName>
    <definedName name="CAMB.G3.Dmd.Blk2">#REF!</definedName>
    <definedName name="CAMB.G3.kWh.OP.LowA">#REF!</definedName>
    <definedName name="CAMB.G3.kWh.OP.LowB">#REF!</definedName>
    <definedName name="CAMB.G3.kWh.PK">#REF!</definedName>
    <definedName name="CAMB.G4.Cst">#REF!</definedName>
    <definedName name="CAMB.G4.Dmd">#REF!</definedName>
    <definedName name="CAMB.G4.kWh.OP.LowA">#REF!</definedName>
    <definedName name="CAMB.G4.kWh.PK">#REF!</definedName>
    <definedName name="CAMB.G5.Cst">#REF!</definedName>
    <definedName name="CAMB.G5.kWh.Blk1">#REF!</definedName>
    <definedName name="CAMB.G5.kWh.Blk2">#REF!</definedName>
    <definedName name="CAMB.G6.Cst">#REF!</definedName>
    <definedName name="CAMB.G6.kWh.OP.LowA">#REF!</definedName>
    <definedName name="CAMB.G6.kWh.PK">#REF!</definedName>
    <definedName name="case">#REF!</definedName>
    <definedName name="CBREV">#N/A</definedName>
    <definedName name="CBREV1">#N/A</definedName>
    <definedName name="CD">#REF!</definedName>
    <definedName name="CELLTOUSE">#REF!</definedName>
    <definedName name="CENCOM">#N/A</definedName>
    <definedName name="CENIND">#N/A</definedName>
    <definedName name="CENRES">#N/A</definedName>
    <definedName name="CENRET">#N/A</definedName>
    <definedName name="CENSTL">#N/A</definedName>
    <definedName name="CF__INV_FIN">#REF!</definedName>
    <definedName name="CF__INV_FIN_ACT">#REF!</definedName>
    <definedName name="CF__OPERAT_ACT">#REF!</definedName>
    <definedName name="CF__OTHER_INV">#REF!</definedName>
    <definedName name="CF__OTHER_NET">#REF!</definedName>
    <definedName name="CFREV">#N/A</definedName>
    <definedName name="CGREV">#N/A</definedName>
    <definedName name="Choose_Lamp">#REF!</definedName>
    <definedName name="Choose_Wattage">#REF!</definedName>
    <definedName name="CI_Sewer">#REF!</definedName>
    <definedName name="CI_Water">#REF!</definedName>
    <definedName name="CLM">#REF!</definedName>
    <definedName name="CLP">#REF!</definedName>
    <definedName name="CLPDISC">#REF!</definedName>
    <definedName name="CLPECD">#REF!</definedName>
    <definedName name="CLPINC">#REF!</definedName>
    <definedName name="COE">#REF!</definedName>
    <definedName name="COG">#REF!</definedName>
    <definedName name="COMC">#N/A</definedName>
    <definedName name="COMMOD">#REF!</definedName>
    <definedName name="Contacts">#REF!</definedName>
    <definedName name="CONV">#REF!</definedName>
    <definedName name="COUNTE">#REF!</definedName>
    <definedName name="COUNTER">#REF!</definedName>
    <definedName name="COUNTF">#REF!</definedName>
    <definedName name="COVER">#REF!</definedName>
    <definedName name="CSAL">#N/A</definedName>
    <definedName name="CTREV">#N/A</definedName>
    <definedName name="CURMO">#REF!</definedName>
    <definedName name="CurrentDocket">#REF!</definedName>
    <definedName name="CustG0Actual">#REF!</definedName>
    <definedName name="Customers">#REF!</definedName>
    <definedName name="CustR1Actual">#REF!</definedName>
    <definedName name="CUTS">#REF!</definedName>
    <definedName name="D">#REF!</definedName>
    <definedName name="DATA2">#REF!</definedName>
    <definedName name="_xlnm.Database">#REF!</definedName>
    <definedName name="Date_of_Filing">#REF!</definedName>
    <definedName name="DD">#REF!</definedName>
    <definedName name="DECEMBER">#REF!</definedName>
    <definedName name="defsvcdef1999">#REF!</definedName>
    <definedName name="Deprate">#REF!</definedName>
    <definedName name="Detail_Billing_DD">#REF!</definedName>
    <definedName name="DIR_BAL_SHT">#REF!</definedName>
    <definedName name="DIR_BS">#REF!</definedName>
    <definedName name="DIR_INC_STMT">#REF!</definedName>
    <definedName name="DIR_IS">#REF!</definedName>
    <definedName name="Distribution">#REF!</definedName>
    <definedName name="dripe">#REF!</definedName>
    <definedName name="DRIPE_LIGHT">#REF!</definedName>
    <definedName name="dsint1999">#REF!</definedName>
    <definedName name="DSM">#REF!</definedName>
    <definedName name="EASCOM">#N/A</definedName>
    <definedName name="EASIND">#N/A</definedName>
    <definedName name="EASRES">#N/A</definedName>
    <definedName name="EASSTL">#N/A</definedName>
    <definedName name="EASTERN">#N/A</definedName>
    <definedName name="EASTOT">#N/A</definedName>
    <definedName name="Efftax">#REF!</definedName>
    <definedName name="END_PAGE">#REF!</definedName>
    <definedName name="Equip4A">#REF!</definedName>
    <definedName name="EV__LASTREFTIME__" hidden="1">42136.6929976852</definedName>
    <definedName name="EXCSTPRORATE">#REF!</definedName>
    <definedName name="Exhibit">#REF!</definedName>
    <definedName name="FEBRUARY">#REF!</definedName>
    <definedName name="FIT">#REF!</definedName>
    <definedName name="FOCUS">#REF!</definedName>
    <definedName name="FOCUS01">#REF!</definedName>
    <definedName name="FRA_HEAT">#REF!</definedName>
    <definedName name="FRA_NON">#REF!</definedName>
    <definedName name="Fuel">#REF!</definedName>
    <definedName name="FUELKWH">#N/A</definedName>
    <definedName name="FULL_DRIPE">#REF!</definedName>
    <definedName name="FUTRYRSBASEREV">#REF!</definedName>
    <definedName name="FUTURECGAC">#REF!</definedName>
    <definedName name="FUTYRBBTUSUM">#REF!</definedName>
    <definedName name="FUTYRFIRMSALES">#REF!</definedName>
    <definedName name="FYR">#REF!</definedName>
    <definedName name="FYR10A">#REF!</definedName>
    <definedName name="FYR10B">#REF!</definedName>
    <definedName name="FYR11A">#REF!</definedName>
    <definedName name="FYR11B">#REF!</definedName>
    <definedName name="FYR12A">#REF!</definedName>
    <definedName name="FYR12B">#REF!</definedName>
    <definedName name="FYR8A">#REF!</definedName>
    <definedName name="FYR8B">#REF!</definedName>
    <definedName name="FYR9A">#REF!</definedName>
    <definedName name="FYR9B">#REF!</definedName>
    <definedName name="gencost1999">#REF!</definedName>
    <definedName name="generation">#REF!</definedName>
    <definedName name="genfcst1999">#REF!</definedName>
    <definedName name="GET">#REF!</definedName>
    <definedName name="GETREF">#REF!</definedName>
    <definedName name="GRAN">#REF!</definedName>
    <definedName name="HD_TL_BASEREV1">#REF!</definedName>
    <definedName name="HD_TL_CUSTCOUNT">#REF!</definedName>
    <definedName name="HDR">#REF!</definedName>
    <definedName name="HELP">#REF!</definedName>
    <definedName name="HO">#REF!</definedName>
    <definedName name="HOMEFUTSUM">#REF!</definedName>
    <definedName name="HOMEYR1SUM">#REF!</definedName>
    <definedName name="HOMEYR2SUM">#REF!</definedName>
    <definedName name="HP_Sodium">#REF!</definedName>
    <definedName name="HWP">#REF!</definedName>
    <definedName name="I93_">#N/A</definedName>
    <definedName name="I94_">#N/A</definedName>
    <definedName name="I95_">#N/A</definedName>
    <definedName name="I96_">#N/A</definedName>
    <definedName name="IALLOC">#N/A</definedName>
    <definedName name="IBREV">#N/A</definedName>
    <definedName name="IBREV1">#N/A</definedName>
    <definedName name="ID" localSheetId="5" hidden="1">"2f358213-95db-45dd-b34c-dea30a11ae71"</definedName>
    <definedName name="ID" localSheetId="6" hidden="1">"2f358213-95db-45dd-b34c-dea30a11ae71"</definedName>
    <definedName name="IFREV">#N/A</definedName>
    <definedName name="IGREV">#N/A</definedName>
    <definedName name="Incandescent">#REF!</definedName>
    <definedName name="IND_RAN">#REF!</definedName>
    <definedName name="INDC">#N/A</definedName>
    <definedName name="INDMOD">#REF!</definedName>
    <definedName name="inf">#REF!</definedName>
    <definedName name="INPUT">#REF!</definedName>
    <definedName name="INPUT_B_S_ASSET">#REF!</definedName>
    <definedName name="INPUT_B_S_LIAB">#REF!</definedName>
    <definedName name="INPUT_BS_ASSETS">#REF!</definedName>
    <definedName name="INPUT_BS_LIAB">#REF!</definedName>
    <definedName name="INPUT_COUNT">#REF!</definedName>
    <definedName name="INPUT_EXCESS">#REF!</definedName>
    <definedName name="INPUT_FORMULA">#REF!</definedName>
    <definedName name="INPUT_MTD_I_S">#REF!</definedName>
    <definedName name="INPUTDATE">#REF!</definedName>
    <definedName name="INPUTGAF">#REF!</definedName>
    <definedName name="INPUTPRORATION">#REF!</definedName>
    <definedName name="INPUTSENDOUT">#REF!</definedName>
    <definedName name="ISAL">#N/A</definedName>
    <definedName name="ITREV">#N/A</definedName>
    <definedName name="J">#REF!</definedName>
    <definedName name="JANUARY">#REF!</definedName>
    <definedName name="JULY">#REF!</definedName>
    <definedName name="JUN_PCT">#REF!</definedName>
    <definedName name="JUNE">#REF!</definedName>
    <definedName name="l" hidden="1">0</definedName>
    <definedName name="label">#REF!</definedName>
    <definedName name="LABOR">#REF!</definedName>
    <definedName name="LaborRate">#REF!</definedName>
    <definedName name="LED">#REF!</definedName>
    <definedName name="LIAB">#REF!</definedName>
    <definedName name="LIAB_B_S">#REF!</definedName>
    <definedName name="LINK_BASEREV">#REF!</definedName>
    <definedName name="LINK_UNBILLED">#REF!</definedName>
    <definedName name="List">#REF!</definedName>
    <definedName name="List_HPS_Wattage">#REF!</definedName>
    <definedName name="List_Inc_Wattage">#REF!</definedName>
    <definedName name="List_Lamp_Type">#REF!</definedName>
    <definedName name="List_LED_Wattage">#REF!</definedName>
    <definedName name="List_MH_Wattage">#REF!</definedName>
    <definedName name="List_MV_Wattage">#REF!</definedName>
    <definedName name="List2">#REF!</definedName>
    <definedName name="LMPDelta">#REF!</definedName>
    <definedName name="LoaderASE">#REF!</definedName>
    <definedName name="LoaderDirEng">#REF!</definedName>
    <definedName name="LoaderES">#REF!</definedName>
    <definedName name="LoaderLabor">#REF!</definedName>
    <definedName name="LoaderNonProd">#REF!</definedName>
    <definedName name="LoaderST">#REF!</definedName>
    <definedName name="loadshape">#REF!</definedName>
    <definedName name="LTCOM">#REF!</definedName>
    <definedName name="LTIND">#REF!</definedName>
    <definedName name="LTRES">#REF!</definedName>
    <definedName name="LTRET">#REF!</definedName>
    <definedName name="LTSTL">#REF!</definedName>
    <definedName name="Luminaire_Types">#REF!</definedName>
    <definedName name="LYR">#REF!</definedName>
    <definedName name="lysales">#REF!</definedName>
    <definedName name="lysalesdata">#REF!</definedName>
    <definedName name="M">#REF!</definedName>
    <definedName name="MARCH">#REF!</definedName>
    <definedName name="MARGIN">#REF!</definedName>
    <definedName name="mat_prices">#REF!</definedName>
    <definedName name="MatLoader">#REF!</definedName>
    <definedName name="MAY">#REF!</definedName>
    <definedName name="Mercury_Vapor">#REF!</definedName>
    <definedName name="Metal_Halide">#REF!</definedName>
    <definedName name="MMCF_DOM">#REF!</definedName>
    <definedName name="MRAA">#REF!</definedName>
    <definedName name="MRBA">#REF!</definedName>
    <definedName name="MRFA">#REF!</definedName>
    <definedName name="MRPFA">#REF!</definedName>
    <definedName name="MTD_I_S">#REF!</definedName>
    <definedName name="MUL_TOT">#REF!</definedName>
    <definedName name="NEES">#REF!</definedName>
    <definedName name="NEW_HEAT">#REF!</definedName>
    <definedName name="NEW_NON">#REF!</definedName>
    <definedName name="NomDisRate2014">#REF!</definedName>
    <definedName name="NomDisRate2015">#REF!</definedName>
    <definedName name="NomDisRate2017">#REF!</definedName>
    <definedName name="NomDisRate2018">#REF!</definedName>
    <definedName name="Non_Resource">#REF!</definedName>
    <definedName name="NonProdLoader">#REF!</definedName>
    <definedName name="NORM_SALES_AND_READING_DAYS">#REF!</definedName>
    <definedName name="NOTE">#REF!</definedName>
    <definedName name="NOVEMBER">#REF!</definedName>
    <definedName name="NU">#REF!</definedName>
    <definedName name="NvsASD">"V2009-06-30"</definedName>
    <definedName name="NvsAutoDrillOk">"VN"</definedName>
    <definedName name="NvsElapsedTime">0.0000810185156296939</definedName>
    <definedName name="NvsEndTime">40005.0220949074</definedName>
    <definedName name="NvsInstLang">"VENG"</definedName>
    <definedName name="NvsInstSpec">"%,FBUSINESS_UNIT,V00005"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"V2003-11-05"</definedName>
    <definedName name="NvsPanelSetid">"VSHARE"</definedName>
    <definedName name="NvsReqBU">"VNVSDD"</definedName>
    <definedName name="NvsReqBUOnly">"VN"</definedName>
    <definedName name="NvsTransLed">"VN"</definedName>
    <definedName name="NvsTreeASD">"V2009-06-30"</definedName>
    <definedName name="NvsValTbl.ACCOUNT">"GL_ACCOUNT_TBL"</definedName>
    <definedName name="o">#REF!</definedName>
    <definedName name="OCTOBER">#REF!</definedName>
    <definedName name="om">#REF!</definedName>
    <definedName name="OMBA">#REF!</definedName>
    <definedName name="Orig_Lamp">#REF!</definedName>
    <definedName name="PA">#REF!</definedName>
    <definedName name="Padj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C10A">#REF!</definedName>
    <definedName name="PC10B">#REF!</definedName>
    <definedName name="PC11A">#REF!</definedName>
    <definedName name="PC11B">#REF!</definedName>
    <definedName name="PC12A">#REF!</definedName>
    <definedName name="PC12B">#REF!</definedName>
    <definedName name="PC1A">#REF!</definedName>
    <definedName name="PC1B">#REF!</definedName>
    <definedName name="PC2A">#REF!</definedName>
    <definedName name="PC2B">#REF!</definedName>
    <definedName name="PC3A">#REF!</definedName>
    <definedName name="PC3B">#REF!</definedName>
    <definedName name="PC4A">#REF!</definedName>
    <definedName name="PC4B">#REF!</definedName>
    <definedName name="PC5A">#REF!</definedName>
    <definedName name="PC5B">#REF!</definedName>
    <definedName name="PC6A">#REF!</definedName>
    <definedName name="PC6B">#REF!</definedName>
    <definedName name="PC7A">#REF!</definedName>
    <definedName name="PC7B">#REF!</definedName>
    <definedName name="PC8A">#REF!</definedName>
    <definedName name="PC8B">#REF!</definedName>
    <definedName name="PC9A">#REF!</definedName>
    <definedName name="PC9B">#REF!</definedName>
    <definedName name="PensAdj">#REF!</definedName>
    <definedName name="PER">#REF!</definedName>
    <definedName name="PER10A">#REF!</definedName>
    <definedName name="PER10B">#REF!</definedName>
    <definedName name="PER11A">#REF!</definedName>
    <definedName name="PER11B">#REF!</definedName>
    <definedName name="PER12A">#REF!</definedName>
    <definedName name="PER12B">#REF!</definedName>
    <definedName name="PER1A">#REF!</definedName>
    <definedName name="PER1B">#REF!</definedName>
    <definedName name="PER2A">#REF!</definedName>
    <definedName name="PER2B">#REF!</definedName>
    <definedName name="PER3A">#REF!</definedName>
    <definedName name="PER3B">#REF!</definedName>
    <definedName name="PER4A">#REF!</definedName>
    <definedName name="PER4B">#REF!</definedName>
    <definedName name="PER5A">#REF!</definedName>
    <definedName name="PER5B">#REF!</definedName>
    <definedName name="PER6A">#REF!</definedName>
    <definedName name="PER6B">#REF!</definedName>
    <definedName name="PER7A">#REF!</definedName>
    <definedName name="PER7B">#REF!</definedName>
    <definedName name="PER8A">#REF!</definedName>
    <definedName name="PER8B">#REF!</definedName>
    <definedName name="PER9A">#REF!</definedName>
    <definedName name="PER9B">#REF!</definedName>
    <definedName name="PG1A">#REF!</definedName>
    <definedName name="PG1B">#REF!</definedName>
    <definedName name="PG2A">#REF!</definedName>
    <definedName name="PG2B">#REF!</definedName>
    <definedName name="PG3A">#REF!</definedName>
    <definedName name="PG3B">#REF!</definedName>
    <definedName name="phone">#REF!</definedName>
    <definedName name="Pick_Title_Month">#REF!</definedName>
    <definedName name="Pole_Types">#REF!</definedName>
    <definedName name="PopCache_GL_INTERFACE_REFERENCE7" localSheetId="6" hidden="1">#REF!</definedName>
    <definedName name="PopCache_GL_INTERFACE_REFERENCE7" hidden="1">#REF!</definedName>
    <definedName name="PPage">#REF!</definedName>
    <definedName name="PPage1">#REF!</definedName>
    <definedName name="PPage2">#REF!</definedName>
    <definedName name="Price_Lamp">#REF!</definedName>
    <definedName name="PRINT_1">#REF!</definedName>
    <definedName name="PRINT_10">#REF!</definedName>
    <definedName name="PRINT_11">#REF!</definedName>
    <definedName name="PRINT_12">#REF!</definedName>
    <definedName name="PRINT_13">#REF!</definedName>
    <definedName name="PRINT_14">#REF!</definedName>
    <definedName name="PRINT_15">#REF!</definedName>
    <definedName name="PRINT_16">#REF!</definedName>
    <definedName name="PRINT_17">#REF!</definedName>
    <definedName name="PRINT_18">#REF!</definedName>
    <definedName name="PRINT_19">#REF!</definedName>
    <definedName name="PRINT_2">#REF!</definedName>
    <definedName name="PRINT_20">#REF!</definedName>
    <definedName name="PRINT_21">#REF!</definedName>
    <definedName name="PRINT_22">#REF!</definedName>
    <definedName name="Print_23">#REF!</definedName>
    <definedName name="PRINT_24">#REF!</definedName>
    <definedName name="PRINT_25">#REF!</definedName>
    <definedName name="PRINT_26">#REF!</definedName>
    <definedName name="PRINT_27">#REF!</definedName>
    <definedName name="PRINT_28">#REF!</definedName>
    <definedName name="PRINT_29">#REF!</definedName>
    <definedName name="PRINT_3">#REF!</definedName>
    <definedName name="PRINT_30">#REF!</definedName>
    <definedName name="PRINT_31">#REF!</definedName>
    <definedName name="PRINT_32">#REF!</definedName>
    <definedName name="PRINT_33">#REF!</definedName>
    <definedName name="PRINT_34">#REF!</definedName>
    <definedName name="PRINT_35">#REF!</definedName>
    <definedName name="PRINT_36">#REF!</definedName>
    <definedName name="PRINT_37">#REF!</definedName>
    <definedName name="PRINT_38">#REF!</definedName>
    <definedName name="PRINT_39">#REF!</definedName>
    <definedName name="PRINT_4">#REF!</definedName>
    <definedName name="PRINT_40">#REF!</definedName>
    <definedName name="PRINT_41">#REF!</definedName>
    <definedName name="PRINT_42">#REF!</definedName>
    <definedName name="PRINT_43">#REF!</definedName>
    <definedName name="PRINT_44">#REF!</definedName>
    <definedName name="PRINT_45">#REF!</definedName>
    <definedName name="PRINT_46">#REF!</definedName>
    <definedName name="PRINT_47">#REF!</definedName>
    <definedName name="PRINT_5">#REF!</definedName>
    <definedName name="PRINT_52">#REF!</definedName>
    <definedName name="PRINT_53">#REF!</definedName>
    <definedName name="PRINT_54">#REF!</definedName>
    <definedName name="PRINT_55">#REF!</definedName>
    <definedName name="PRINT_6">#REF!</definedName>
    <definedName name="PRINT_7">#REF!</definedName>
    <definedName name="PRINT_8">#REF!</definedName>
    <definedName name="PRINT_9">#REF!</definedName>
    <definedName name="_xlnm.Print_Area" localSheetId="0">'2017'!$A$1:$R$58</definedName>
    <definedName name="_xlnm.Print_Area" localSheetId="1">'2018'!$A$1:$R$58</definedName>
    <definedName name="_xlnm.Print_Area" localSheetId="2">'2019'!$A$1:$R$58</definedName>
    <definedName name="_xlnm.Print_Area" localSheetId="3">'2020'!$A$1:$R$58</definedName>
    <definedName name="_xlnm.Print_Area">#REF!</definedName>
    <definedName name="Print_Area_MI">#REF!</definedName>
    <definedName name="PRINT_LOOP_1">#REF!</definedName>
    <definedName name="_xlnm.Print_Titles">#N/A</definedName>
    <definedName name="PRINTAREA75">#REF!</definedName>
    <definedName name="PRINTBBTU">#REF!</definedName>
    <definedName name="PRINTCONVERSION">#REF!</definedName>
    <definedName name="PRINTEXCESSCOST">#REF!</definedName>
    <definedName name="PRINTHDTLREV">#REF!</definedName>
    <definedName name="PRINTINPUT">#REF!</definedName>
    <definedName name="PRINTREVCURVE">#REF!</definedName>
    <definedName name="PRINTREVDETAIL">#REF!</definedName>
    <definedName name="PRINTREVSUMMARY">#REF!</definedName>
    <definedName name="PRINTUNBILLED">#REF!</definedName>
    <definedName name="PRINTVAR">#REF!</definedName>
    <definedName name="Product_Type">#REF!</definedName>
    <definedName name="Program">#REF!</definedName>
    <definedName name="PRORATE">#REF!</definedName>
    <definedName name="PSNH">#REF!</definedName>
    <definedName name="Purpose">#REF!</definedName>
    <definedName name="QTR_IS">#REF!</definedName>
    <definedName name="Query_for_Get_Credit">#REF!</definedName>
    <definedName name="query_Get_Credit">#REF!</definedName>
    <definedName name="RALLOC">#N/A</definedName>
    <definedName name="RATE">#N/A</definedName>
    <definedName name="RATIO_DOM">#REF!</definedName>
    <definedName name="RBAL">#N/A</definedName>
    <definedName name="rbavg">#REF!</definedName>
    <definedName name="RBREV">#N/A</definedName>
    <definedName name="RBREV1">#N/A</definedName>
    <definedName name="RDR">#REF!</definedName>
    <definedName name="REASON">#REF!</definedName>
    <definedName name="REASON2">#REF!</definedName>
    <definedName name="RECON">#REF!</definedName>
    <definedName name="RECURSIVE_1">#REF!</definedName>
    <definedName name="REFUND">#REF!</definedName>
    <definedName name="REFUND2">#REF!</definedName>
    <definedName name="REGCOM">#N/A</definedName>
    <definedName name="REGIND">#N/A</definedName>
    <definedName name="REGRES">#N/A</definedName>
    <definedName name="REGSTL">#N/A</definedName>
    <definedName name="RELIEF_CURR">#REF!</definedName>
    <definedName name="RELIEF_FUT">#REF!</definedName>
    <definedName name="REN">#REF!</definedName>
    <definedName name="REPORT">#REF!</definedName>
    <definedName name="RESC">#N/A</definedName>
    <definedName name="RESMOD">#REF!</definedName>
    <definedName name="RESREG">#N/A</definedName>
    <definedName name="RETMOD">#REF!</definedName>
    <definedName name="revcredit1999">#REF!</definedName>
    <definedName name="REVDETAIL">#REF!</definedName>
    <definedName name="REVDETAIL2">#REF!</definedName>
    <definedName name="REVDETAILFUT">#REF!</definedName>
    <definedName name="REVENUECURVE">#REF!</definedName>
    <definedName name="REVIEW">#REF!</definedName>
    <definedName name="REVIEW3">#REF!</definedName>
    <definedName name="revsfcst1999">#REF!</definedName>
    <definedName name="REVSUMMARY">#REF!</definedName>
    <definedName name="REVSUMMARYFUT">#REF!</definedName>
    <definedName name="RFREV">#N/A</definedName>
    <definedName name="RGREV">#N/A</definedName>
    <definedName name="ROD">#REF!</definedName>
    <definedName name="ROLLING_I_S">#REF!</definedName>
    <definedName name="ROR">#REF!</definedName>
    <definedName name="RRMOD">#REF!</definedName>
    <definedName name="RSAL">#N/A</definedName>
    <definedName name="RTREV">#N/A</definedName>
    <definedName name="RYREV">#N/A</definedName>
    <definedName name="RYSTEAM">#REF!</definedName>
    <definedName name="RYTOTAL">#REF!</definedName>
    <definedName name="RYTRANS">#REF!</definedName>
    <definedName name="RYWALLINGFORDRE">#REF!</definedName>
    <definedName name="S93_">#N/A</definedName>
    <definedName name="S94_">#N/A</definedName>
    <definedName name="S95_">#N/A</definedName>
    <definedName name="S96_">#N/A</definedName>
    <definedName name="SalesG01998F">#REF!</definedName>
    <definedName name="SalesG0Actual">#REF!</definedName>
    <definedName name="SALLOC">#N/A</definedName>
    <definedName name="SBREV">#N/A</definedName>
    <definedName name="SBREV1">#N/A</definedName>
    <definedName name="SCN">#REF!</definedName>
    <definedName name="Sector">#REF!</definedName>
    <definedName name="SEG">#REF!</definedName>
    <definedName name="SEGNAME">#REF!</definedName>
    <definedName name="SEPTEMBER">#REF!</definedName>
    <definedName name="SFREV">#N/A</definedName>
    <definedName name="SFV">#REF!</definedName>
    <definedName name="SGREV">#N/A</definedName>
    <definedName name="SIT">#REF!</definedName>
    <definedName name="SL01C01HND">-1</definedName>
    <definedName name="SL01R01HND">-1</definedName>
    <definedName name="SL01VIEWHND">-1</definedName>
    <definedName name="sodef1999">#REF!</definedName>
    <definedName name="soint1999">#REF!</definedName>
    <definedName name="sou_g1a">#REF!</definedName>
    <definedName name="sou_g1s">#REF!</definedName>
    <definedName name="sou_g2">#REF!</definedName>
    <definedName name="sou_g3">#REF!</definedName>
    <definedName name="sou_g4">#REF!</definedName>
    <definedName name="sou_g5">#REF!</definedName>
    <definedName name="sou_g6">#REF!</definedName>
    <definedName name="sou_g7a">#REF!</definedName>
    <definedName name="sou_g7s">#REF!</definedName>
    <definedName name="Source">#REF!</definedName>
    <definedName name="SOUTH.G1A.Cst">#REF!</definedName>
    <definedName name="SOUTH.G1A.Dmd.Blk1">#REF!</definedName>
    <definedName name="SOUTH.G1A.Dmd.Blk2">#REF!</definedName>
    <definedName name="SOUTH.G1A.kWh.Blk1">#REF!</definedName>
    <definedName name="SOUTH.G1A.kWh.Blk2">#REF!</definedName>
    <definedName name="SOUTH.G1S.Cst">#REF!</definedName>
    <definedName name="SOUTH.G1S.Dmd.Blk1">#REF!</definedName>
    <definedName name="SOUTH.G1S.Dmd.Blk2">#REF!</definedName>
    <definedName name="SOUTH.G1S.kWh.Blk1">#REF!</definedName>
    <definedName name="SOUTH.G1S.kWh.Blk2">#REF!</definedName>
    <definedName name="SOUTH.G1SO.Cst">#REF!</definedName>
    <definedName name="SOUTH.G1SO.Dmd.Blk1">#REF!</definedName>
    <definedName name="SOUTH.G1SO.Dmd.Blk2">#REF!</definedName>
    <definedName name="SOUTH.G1SO.kWh.Blk1">#REF!</definedName>
    <definedName name="SOUTH.G1SO.kWh.Blk2">#REF!</definedName>
    <definedName name="SOUTH.G2.Cst">#REF!</definedName>
    <definedName name="SOUTH.G2.Dmd">#REF!</definedName>
    <definedName name="SOUTH.G2.kWh.OP.LowA">#REF!</definedName>
    <definedName name="SOUTH.G2.kWh.OP.LowB">#REF!</definedName>
    <definedName name="SOUTH.G2.kWh.PK">#REF!</definedName>
    <definedName name="SOUTH.G3.Cst">#REF!</definedName>
    <definedName name="SOUTH.G3.Dmd">#REF!</definedName>
    <definedName name="SOUTH.G3.kWh.OP.LowA">#REF!</definedName>
    <definedName name="SOUTH.G3.kWh.OP.LowB">#REF!</definedName>
    <definedName name="SOUTH.G3.kWh.PK">#REF!</definedName>
    <definedName name="SOUTH.G4.Cst">#REF!</definedName>
    <definedName name="SOUTH.G4.Dmd.Blk1">#REF!</definedName>
    <definedName name="SOUTH.G4.kWh">#REF!</definedName>
    <definedName name="SOUTH.G5.Cst">#REF!</definedName>
    <definedName name="SOUTH.G5.Dmd.Blk1">#REF!</definedName>
    <definedName name="SOUTH.G5.Dmd.Blk2">#REF!</definedName>
    <definedName name="SOUTH.G5.kWh">#REF!</definedName>
    <definedName name="SOUTH.G6.Cst">#REF!</definedName>
    <definedName name="SOUTH.G6.Dmd.Blk1">#REF!</definedName>
    <definedName name="SOUTH.G6.Dmd.Blk2">#REF!</definedName>
    <definedName name="SOUTH.G6.kWh">#REF!</definedName>
    <definedName name="SOUTH.G7A.Cst">#REF!</definedName>
    <definedName name="SOUTH.G7A.Dmd">#REF!</definedName>
    <definedName name="SOUTH.G7A.kWh.OP.LowA">#REF!</definedName>
    <definedName name="SOUTH.G7A.kWh.OP.LowB">#REF!</definedName>
    <definedName name="SOUTH.G7A.kWh.PK">#REF!</definedName>
    <definedName name="SOUTH.G7S.Cst">#REF!</definedName>
    <definedName name="SOUTH.G7S.Dmd">#REF!</definedName>
    <definedName name="SOUTH.G7S.kWh.OP.LowA">#REF!</definedName>
    <definedName name="SOUTH.G7S.kWh.OP.LowB">#REF!</definedName>
    <definedName name="SOUTH.G7S.kWh.PK">#REF!</definedName>
    <definedName name="SSAL">#N/A</definedName>
    <definedName name="START_PAGE">#REF!</definedName>
    <definedName name="stexp1999">#REF!</definedName>
    <definedName name="stgeneration">#REF!</definedName>
    <definedName name="STLC">#N/A</definedName>
    <definedName name="STLMOD">#REF!</definedName>
    <definedName name="STREV">#N/A</definedName>
    <definedName name="SumDistr">#REF!</definedName>
    <definedName name="Summary_IS">#REF!</definedName>
    <definedName name="Summary_Titles">#REF!</definedName>
    <definedName name="Summer_G41">#REF!</definedName>
    <definedName name="Summer_G41_TotCust">#REF!</definedName>
    <definedName name="Summer_G42">#REF!</definedName>
    <definedName name="Summer_G42_TotCust">#REF!</definedName>
    <definedName name="Summer_G43">#REF!</definedName>
    <definedName name="Summer_G43_TotCust">#REF!</definedName>
    <definedName name="Summer_G51">#REF!</definedName>
    <definedName name="Summer_G51_TotCust">#REF!</definedName>
    <definedName name="Summer_G52">#REF!</definedName>
    <definedName name="Summer_G52_TotCust">#REF!</definedName>
    <definedName name="Summer_G53">#REF!</definedName>
    <definedName name="Summer_G53_TotCust">#REF!</definedName>
    <definedName name="Summer_Gen">#REF!</definedName>
    <definedName name="Summer_Off">#REF!</definedName>
    <definedName name="Summer_Peak">#REF!</definedName>
    <definedName name="Summer_R1">#REF!</definedName>
    <definedName name="Summer_R1_TotCust">#REF!</definedName>
    <definedName name="Summer_R2">#REF!</definedName>
    <definedName name="Summer_R2_TotCust">#REF!</definedName>
    <definedName name="Summer_R3">#REF!</definedName>
    <definedName name="Summer_R3_TotCust">#REF!</definedName>
    <definedName name="Summer_R4">#REF!</definedName>
    <definedName name="Summer_R4_TotCust">#REF!</definedName>
    <definedName name="SumTrans">#REF!</definedName>
    <definedName name="Table_Start">#REF!</definedName>
    <definedName name="TCTYAMORT">#REF!</definedName>
    <definedName name="TCTYDIST">#REF!</definedName>
    <definedName name="TCTYDISTEASEMEN">#REF!</definedName>
    <definedName name="TCTYGEN">#REF!</definedName>
    <definedName name="TCTYHYDRO">#REF!</definedName>
    <definedName name="TCTYNUKE">#REF!</definedName>
    <definedName name="TCTYOTHER">#REF!</definedName>
    <definedName name="TCTYPROD">#REF!</definedName>
    <definedName name="TCTYSTEAM">#REF!</definedName>
    <definedName name="TCTYTOTAL">#REF!</definedName>
    <definedName name="TCTYTRANS">#REF!</definedName>
    <definedName name="TCTYTRANSEASEME">#REF!</definedName>
    <definedName name="TESTYEAR">#REF!</definedName>
    <definedName name="TITLE1">_xll.SUBNM("qubeprod:Companies","Default","200: NSTAR Gas Company","Name")</definedName>
    <definedName name="TITLE1ALIAS">"Name"</definedName>
    <definedName name="TITLE1NM">"Default"</definedName>
    <definedName name="TITLE5">39356</definedName>
    <definedName name="TM1REBUILDOPTION">1</definedName>
    <definedName name="TOTALCOADJ">#REF!</definedName>
    <definedName name="TOTALCOADJTORYA">#REF!</definedName>
    <definedName name="TOTCOM">#N/A</definedName>
    <definedName name="totdef1999">#REF!</definedName>
    <definedName name="TOTIND">#N/A</definedName>
    <definedName name="TOTREG">#N/A</definedName>
    <definedName name="TOTRES">#N/A</definedName>
    <definedName name="Trans">#REF!</definedName>
    <definedName name="Transmission">#REF!</definedName>
    <definedName name="TYAMORT">#REF!</definedName>
    <definedName name="TYCLP">#REF!</definedName>
    <definedName name="TYCMEEC">#REF!</definedName>
    <definedName name="TYDIST">#REF!</definedName>
    <definedName name="TYDISTEASEMENTS">#REF!</definedName>
    <definedName name="TYGEN">#REF!</definedName>
    <definedName name="TYPROD">#REF!</definedName>
    <definedName name="TYRETAILAMORT">#REF!</definedName>
    <definedName name="UNBILLED_FORM">#REF!</definedName>
    <definedName name="UNBILLEDPRICING">#REF!</definedName>
    <definedName name="UNBILLEDREV">#REF!</definedName>
    <definedName name="UnloadedLaborRate">#REF!</definedName>
    <definedName name="Utility">#REF!</definedName>
    <definedName name="Valid_Months">#REF!</definedName>
    <definedName name="VAR">#REF!</definedName>
    <definedName name="VAR_ACT">#REF!</definedName>
    <definedName name="VARACT2">#REF!</definedName>
    <definedName name="VARSEND">#REF!</definedName>
    <definedName name="Water">#REF!</definedName>
    <definedName name="WESCOM">#N/A</definedName>
    <definedName name="WESIND">#N/A</definedName>
    <definedName name="WESRES">#N/A</definedName>
    <definedName name="WESSTL">#N/A</definedName>
    <definedName name="WEST">#REF!</definedName>
    <definedName name="WESTERN">#N/A</definedName>
    <definedName name="WESTOT">#N/A</definedName>
    <definedName name="Winter_G41">#REF!</definedName>
    <definedName name="Winter_G41_TotCust">#REF!</definedName>
    <definedName name="Winter_G42">#REF!</definedName>
    <definedName name="Winter_G42_TotCust">#REF!</definedName>
    <definedName name="Winter_G43">#REF!</definedName>
    <definedName name="Winter_G43_TotCust">#REF!</definedName>
    <definedName name="Winter_G51">#REF!</definedName>
    <definedName name="Winter_G51_TotCust">#REF!</definedName>
    <definedName name="Winter_G52">#REF!</definedName>
    <definedName name="Winter_G52_TotCust">#REF!</definedName>
    <definedName name="Winter_G53">#REF!</definedName>
    <definedName name="Winter_G53_TotCust">#REF!</definedName>
    <definedName name="Winter_Gen">#REF!</definedName>
    <definedName name="Winter_Off">#REF!</definedName>
    <definedName name="Winter_Peak">#REF!</definedName>
    <definedName name="Winter_R1">#REF!</definedName>
    <definedName name="Winter_R1_TotCust">#REF!</definedName>
    <definedName name="Winter_R2">#REF!</definedName>
    <definedName name="Winter_R2_TotCust">#REF!</definedName>
    <definedName name="Winter_R3">#REF!</definedName>
    <definedName name="Winter_R3_TotCust">#REF!</definedName>
    <definedName name="Winter_R4">#REF!</definedName>
    <definedName name="Winter_R4_TotCust">#REF!</definedName>
    <definedName name="wma_23">#REF!</definedName>
    <definedName name="wma_24">#REF!</definedName>
    <definedName name="wma_g0_gt100">#REF!</definedName>
    <definedName name="wma_g0d_le100">#REF!</definedName>
    <definedName name="wma_g2_gt100">#REF!</definedName>
    <definedName name="wma_g2_le100">#REF!</definedName>
    <definedName name="wma_t0_gt100">#REF!</definedName>
    <definedName name="wma_t0_le100">#REF!</definedName>
    <definedName name="wma_t2">#REF!</definedName>
    <definedName name="wma_t4_gt100">#REF!</definedName>
    <definedName name="wma_t4_le100">#REF!</definedName>
    <definedName name="wma_t5">#REF!</definedName>
    <definedName name="WMECO">#REF!</definedName>
    <definedName name="WMECO.G0MTR.Cst">#REF!</definedName>
    <definedName name="WMECO.G0MTR.Dmd.Blk1">#REF!</definedName>
    <definedName name="WMECO.G0MTR.kWh">#REF!</definedName>
    <definedName name="WMECO.G0NMTR.Cst">#REF!</definedName>
    <definedName name="WMECO.G0NMTR.Dmd.Blk1">#REF!</definedName>
    <definedName name="WMECO.G0NMTR.kWh">#REF!</definedName>
    <definedName name="WMECO.G2.Cst">#REF!</definedName>
    <definedName name="WMECO.G2.Dmd.Blk1">#REF!</definedName>
    <definedName name="WMECO.G2.Dmd.Blk2">#REF!</definedName>
    <definedName name="WMECO.G2.kWh">#REF!</definedName>
    <definedName name="WMECO.Rate23.Cst">#REF!</definedName>
    <definedName name="WMECO.Rate23.kWh">#REF!</definedName>
    <definedName name="WMECO.Rate24.Cst">#REF!</definedName>
    <definedName name="WMECO.Rate24.Dmd.Blk1">#REF!</definedName>
    <definedName name="WMECO.Rate24.kWh">#REF!</definedName>
    <definedName name="WMECO.T0.Cst">#REF!</definedName>
    <definedName name="WMECO.T0.Dmd.Blk1">#REF!</definedName>
    <definedName name="WMECO.T0.kWh.OP.LowA">#REF!</definedName>
    <definedName name="WMECO.T0.kWh.OP.LowB">#REF!</definedName>
    <definedName name="WMECO.T0.kWh.PK">#REF!</definedName>
    <definedName name="WMECO.T2.Dmd">#REF!</definedName>
    <definedName name="WMECO.T2.kWh.OP.LowA">#REF!</definedName>
    <definedName name="WMECO.T2.kWh.OP.LowB">#REF!</definedName>
    <definedName name="WMECO.T2.kWh.PK">#REF!</definedName>
    <definedName name="WMECO.T4.Cst">#REF!</definedName>
    <definedName name="WMECO.T4.Dmd.Blk1">#REF!</definedName>
    <definedName name="WMECO.T4.Dmd.Blk2">#REF!</definedName>
    <definedName name="WMECO.T4.kWh.OP.LowA">#REF!</definedName>
    <definedName name="WMECO.T4.kWh.PK">#REF!</definedName>
    <definedName name="WMECO.T5.Cst">#REF!</definedName>
    <definedName name="WMECO.T5.Dmd">#REF!</definedName>
    <definedName name="WMECO.T5.kWh.OP.LowA">#REF!</definedName>
    <definedName name="WMECO.T5.kWh.PK">#REF!</definedName>
    <definedName name="WMECO_G0">#REF!</definedName>
    <definedName name="WMECO_G0LPBSA">#REF!</definedName>
    <definedName name="WMECO_G0NMTR">#REF!</definedName>
    <definedName name="WMECO_G2">#REF!</definedName>
    <definedName name="WMECO_Rate23COMM">#REF!</definedName>
    <definedName name="WMECO_Rate24">#REF!</definedName>
    <definedName name="WMECO_T0">#REF!</definedName>
    <definedName name="WMECO_T2">#REF!</definedName>
    <definedName name="WMECO_T4">#REF!</definedName>
    <definedName name="WMECO_T5">#REF!</definedName>
    <definedName name="WOR_HEAT">#REF!</definedName>
    <definedName name="WOR_NON">#REF!</definedName>
    <definedName name="wpb21adds">#REF!</definedName>
    <definedName name="wpb21bal99">#REF!</definedName>
    <definedName name="wpb21retires">#REF!</definedName>
    <definedName name="wrn.CGAC." localSheetId="5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6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Temp." localSheetId="5" hidden="1">{"Working Capital",#N/A,FALSE,"Main";"Sept CGA",#N/A,FALSE,"Main";"Adders",#N/A,FALSE,"Main";"Bad Debt",#N/A,FALSE,"Main"}</definedName>
    <definedName name="wrn.Temp." localSheetId="6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YEAR">#REF!</definedName>
    <definedName name="YEAR1">#REF!</definedName>
    <definedName name="YR1BBTUSUMMARY">#REF!</definedName>
    <definedName name="YR1BBTUSUMRATIO">#REF!</definedName>
    <definedName name="YR2BBTUSUMMARY">#REF!</definedName>
    <definedName name="Z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7" l="1"/>
  <c r="R45" i="7"/>
  <c r="P46" i="7"/>
  <c r="R46" i="7"/>
  <c r="P47" i="7"/>
  <c r="R47" i="7"/>
  <c r="P48" i="7"/>
  <c r="R48" i="7"/>
  <c r="P49" i="7"/>
  <c r="R49" i="7"/>
  <c r="P50" i="7"/>
  <c r="R50" i="7"/>
  <c r="P51" i="7"/>
  <c r="R51" i="7"/>
  <c r="P52" i="7"/>
  <c r="R52" i="7"/>
  <c r="P53" i="7"/>
  <c r="R53" i="7"/>
  <c r="R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P15" i="7"/>
  <c r="R15" i="7"/>
  <c r="P16" i="7"/>
  <c r="R16" i="7"/>
  <c r="P17" i="7"/>
  <c r="R17" i="7"/>
  <c r="P18" i="7"/>
  <c r="R18" i="7"/>
  <c r="P19" i="7"/>
  <c r="R19" i="7"/>
  <c r="P20" i="7"/>
  <c r="R20" i="7"/>
  <c r="R21" i="7"/>
  <c r="P22" i="7"/>
  <c r="R22" i="7"/>
  <c r="P23" i="7"/>
  <c r="R23" i="7"/>
  <c r="M24" i="7"/>
  <c r="P24" i="7"/>
  <c r="R24" i="7"/>
  <c r="P25" i="7"/>
  <c r="R25" i="7"/>
  <c r="P26" i="7"/>
  <c r="R26" i="7"/>
  <c r="R27" i="7"/>
  <c r="P28" i="7"/>
  <c r="R28" i="7"/>
  <c r="P29" i="7"/>
  <c r="R29" i="7"/>
  <c r="P30" i="7"/>
  <c r="R30" i="7"/>
  <c r="P31" i="7"/>
  <c r="R31" i="7"/>
  <c r="P32" i="7"/>
  <c r="R32" i="7"/>
  <c r="P33" i="7"/>
  <c r="Q33" i="7"/>
  <c r="R33" i="7"/>
  <c r="R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P45" i="6"/>
  <c r="R45" i="6"/>
  <c r="P46" i="6"/>
  <c r="R46" i="6"/>
  <c r="P47" i="6"/>
  <c r="R47" i="6"/>
  <c r="P48" i="6"/>
  <c r="R48" i="6"/>
  <c r="P49" i="6"/>
  <c r="R49" i="6"/>
  <c r="P50" i="6"/>
  <c r="R50" i="6"/>
  <c r="P51" i="6"/>
  <c r="R51" i="6"/>
  <c r="P52" i="6"/>
  <c r="R52" i="6"/>
  <c r="P53" i="6"/>
  <c r="R53" i="6"/>
  <c r="R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P15" i="6"/>
  <c r="R15" i="6"/>
  <c r="P16" i="6"/>
  <c r="R16" i="6"/>
  <c r="P17" i="6"/>
  <c r="R17" i="6"/>
  <c r="P18" i="6"/>
  <c r="R18" i="6"/>
  <c r="P19" i="6"/>
  <c r="R19" i="6"/>
  <c r="P20" i="6"/>
  <c r="R20" i="6"/>
  <c r="R21" i="6"/>
  <c r="P22" i="6"/>
  <c r="R22" i="6"/>
  <c r="P23" i="6"/>
  <c r="R23" i="6"/>
  <c r="I24" i="6"/>
  <c r="K24" i="6"/>
  <c r="P24" i="6"/>
  <c r="R24" i="6"/>
  <c r="P25" i="6"/>
  <c r="R25" i="6"/>
  <c r="P26" i="6"/>
  <c r="R26" i="6"/>
  <c r="R27" i="6"/>
  <c r="P28" i="6"/>
  <c r="R28" i="6"/>
  <c r="P29" i="6"/>
  <c r="R29" i="6"/>
  <c r="P30" i="6"/>
  <c r="R30" i="6"/>
  <c r="P31" i="6"/>
  <c r="R31" i="6"/>
  <c r="P32" i="6"/>
  <c r="R32" i="6"/>
  <c r="P33" i="6"/>
  <c r="Q33" i="6"/>
  <c r="R33" i="6"/>
  <c r="R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P48" i="5"/>
  <c r="R48" i="5"/>
  <c r="P49" i="5"/>
  <c r="R49" i="5"/>
  <c r="P50" i="5"/>
  <c r="R50" i="5"/>
  <c r="P51" i="5"/>
  <c r="R51" i="5"/>
  <c r="P52" i="5"/>
  <c r="R52" i="5"/>
  <c r="P53" i="5"/>
  <c r="R53" i="5"/>
  <c r="P54" i="5"/>
  <c r="R54" i="5"/>
  <c r="P55" i="5"/>
  <c r="R55" i="5"/>
  <c r="P56" i="5"/>
  <c r="R56" i="5"/>
  <c r="R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P15" i="5"/>
  <c r="R15" i="5"/>
  <c r="P16" i="5"/>
  <c r="R16" i="5"/>
  <c r="P17" i="5"/>
  <c r="R17" i="5"/>
  <c r="P18" i="5"/>
  <c r="R18" i="5"/>
  <c r="P19" i="5"/>
  <c r="R19" i="5"/>
  <c r="P20" i="5"/>
  <c r="R20" i="5"/>
  <c r="P21" i="5"/>
  <c r="R21" i="5"/>
  <c r="P22" i="5"/>
  <c r="R22" i="5"/>
  <c r="P23" i="5"/>
  <c r="R23" i="5"/>
  <c r="P24" i="5"/>
  <c r="R24" i="5"/>
  <c r="P25" i="5"/>
  <c r="R25" i="5"/>
  <c r="P26" i="5"/>
  <c r="R26" i="5"/>
  <c r="P27" i="5"/>
  <c r="R27" i="5"/>
  <c r="P28" i="5"/>
  <c r="R28" i="5"/>
  <c r="P29" i="5"/>
  <c r="R29" i="5"/>
  <c r="P30" i="5"/>
  <c r="R30" i="5"/>
  <c r="P31" i="5"/>
  <c r="R31" i="5"/>
  <c r="P32" i="5"/>
  <c r="R32" i="5"/>
  <c r="P33" i="5"/>
  <c r="R33" i="5"/>
  <c r="P34" i="5"/>
  <c r="R34" i="5"/>
  <c r="P35" i="5"/>
  <c r="R35" i="5"/>
  <c r="P36" i="5"/>
  <c r="Q36" i="5"/>
  <c r="R36" i="5"/>
  <c r="R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P46" i="4"/>
  <c r="R46" i="4"/>
  <c r="P47" i="4"/>
  <c r="Q47" i="4"/>
  <c r="R47" i="4"/>
  <c r="P48" i="4"/>
  <c r="R48" i="4"/>
  <c r="P49" i="4"/>
  <c r="R49" i="4"/>
  <c r="P50" i="4"/>
  <c r="R50" i="4"/>
  <c r="P51" i="4"/>
  <c r="R51" i="4"/>
  <c r="P52" i="4"/>
  <c r="R52" i="4"/>
  <c r="P53" i="4"/>
  <c r="R53" i="4"/>
  <c r="P54" i="4"/>
  <c r="R54" i="4"/>
  <c r="R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7" i="4"/>
  <c r="P15" i="4"/>
  <c r="R15" i="4"/>
  <c r="P16" i="4"/>
  <c r="Q16" i="4"/>
  <c r="R16" i="4"/>
  <c r="P17" i="4"/>
  <c r="R17" i="4"/>
  <c r="P18" i="4"/>
  <c r="R18" i="4"/>
  <c r="P19" i="4"/>
  <c r="R19" i="4"/>
  <c r="P20" i="4"/>
  <c r="R20" i="4"/>
  <c r="P21" i="4"/>
  <c r="R21" i="4"/>
  <c r="P22" i="4"/>
  <c r="R22" i="4"/>
  <c r="P23" i="4"/>
  <c r="R23" i="4"/>
  <c r="P24" i="4"/>
  <c r="R24" i="4"/>
  <c r="P25" i="4"/>
  <c r="R25" i="4"/>
  <c r="P26" i="4"/>
  <c r="R26" i="4"/>
  <c r="P27" i="4"/>
  <c r="R27" i="4"/>
  <c r="P28" i="4"/>
  <c r="R28" i="4"/>
  <c r="P29" i="4"/>
  <c r="R29" i="4"/>
  <c r="P30" i="4"/>
  <c r="R30" i="4"/>
  <c r="P31" i="4"/>
  <c r="R31" i="4"/>
  <c r="P32" i="4"/>
  <c r="R32" i="4"/>
  <c r="P33" i="4"/>
  <c r="R33" i="4"/>
  <c r="P34" i="4"/>
  <c r="Q34" i="4"/>
  <c r="R34" i="4"/>
  <c r="R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P46" i="3"/>
  <c r="R46" i="3"/>
  <c r="P47" i="3"/>
  <c r="Q47" i="3"/>
  <c r="R47" i="3"/>
  <c r="P48" i="3"/>
  <c r="R48" i="3"/>
  <c r="P49" i="3"/>
  <c r="R49" i="3"/>
  <c r="P50" i="3"/>
  <c r="R50" i="3"/>
  <c r="P51" i="3"/>
  <c r="R51" i="3"/>
  <c r="P52" i="3"/>
  <c r="R52" i="3"/>
  <c r="P53" i="3"/>
  <c r="R53" i="3"/>
  <c r="P54" i="3"/>
  <c r="R54" i="3"/>
  <c r="R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7" i="3"/>
  <c r="P15" i="3"/>
  <c r="R15" i="3"/>
  <c r="P16" i="3"/>
  <c r="Q16" i="3"/>
  <c r="R16" i="3"/>
  <c r="P17" i="3"/>
  <c r="R17" i="3"/>
  <c r="P18" i="3"/>
  <c r="R18" i="3"/>
  <c r="P19" i="3"/>
  <c r="R19" i="3"/>
  <c r="P20" i="3"/>
  <c r="R20" i="3"/>
  <c r="P21" i="3"/>
  <c r="R21" i="3"/>
  <c r="P22" i="3"/>
  <c r="R22" i="3"/>
  <c r="P23" i="3"/>
  <c r="R23" i="3"/>
  <c r="P24" i="3"/>
  <c r="R24" i="3"/>
  <c r="P25" i="3"/>
  <c r="R25" i="3"/>
  <c r="P26" i="3"/>
  <c r="R26" i="3"/>
  <c r="P27" i="3"/>
  <c r="R27" i="3"/>
  <c r="P28" i="3"/>
  <c r="R28" i="3"/>
  <c r="P29" i="3"/>
  <c r="R29" i="3"/>
  <c r="P30" i="3"/>
  <c r="R30" i="3"/>
  <c r="P31" i="3"/>
  <c r="R31" i="3"/>
  <c r="P32" i="3"/>
  <c r="R32" i="3"/>
  <c r="P33" i="3"/>
  <c r="R33" i="3"/>
  <c r="P34" i="3"/>
  <c r="Q34" i="3"/>
  <c r="R34" i="3"/>
  <c r="R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P46" i="2"/>
  <c r="R46" i="2"/>
  <c r="P47" i="2"/>
  <c r="Q47" i="2"/>
  <c r="R47" i="2"/>
  <c r="P48" i="2"/>
  <c r="R48" i="2"/>
  <c r="P49" i="2"/>
  <c r="R49" i="2"/>
  <c r="P50" i="2"/>
  <c r="R50" i="2"/>
  <c r="P51" i="2"/>
  <c r="R51" i="2"/>
  <c r="P52" i="2"/>
  <c r="R52" i="2"/>
  <c r="P53" i="2"/>
  <c r="R53" i="2"/>
  <c r="P54" i="2"/>
  <c r="R54" i="2"/>
  <c r="R56" i="2"/>
  <c r="P56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7" i="2"/>
  <c r="P15" i="2"/>
  <c r="R15" i="2"/>
  <c r="P16" i="2"/>
  <c r="Q16" i="2"/>
  <c r="R16" i="2"/>
  <c r="P17" i="2"/>
  <c r="R17" i="2"/>
  <c r="P18" i="2"/>
  <c r="R18" i="2"/>
  <c r="P19" i="2"/>
  <c r="R19" i="2"/>
  <c r="P20" i="2"/>
  <c r="R20" i="2"/>
  <c r="P21" i="2"/>
  <c r="R21" i="2"/>
  <c r="P22" i="2"/>
  <c r="R22" i="2"/>
  <c r="P23" i="2"/>
  <c r="R23" i="2"/>
  <c r="P24" i="2"/>
  <c r="R24" i="2"/>
  <c r="P25" i="2"/>
  <c r="R25" i="2"/>
  <c r="P26" i="2"/>
  <c r="R26" i="2"/>
  <c r="P27" i="2"/>
  <c r="R27" i="2"/>
  <c r="P28" i="2"/>
  <c r="R28" i="2"/>
  <c r="P29" i="2"/>
  <c r="R29" i="2"/>
  <c r="P30" i="2"/>
  <c r="R30" i="2"/>
  <c r="P31" i="2"/>
  <c r="R31" i="2"/>
  <c r="P32" i="2"/>
  <c r="R32" i="2"/>
  <c r="P33" i="2"/>
  <c r="R33" i="2"/>
  <c r="P34" i="2"/>
  <c r="Q34" i="2"/>
  <c r="R34" i="2"/>
  <c r="R36" i="2"/>
  <c r="P36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P46" i="1"/>
  <c r="R46" i="1"/>
  <c r="P47" i="1"/>
  <c r="Q47" i="1"/>
  <c r="R47" i="1"/>
  <c r="P48" i="1"/>
  <c r="R48" i="1"/>
  <c r="P49" i="1"/>
  <c r="R49" i="1"/>
  <c r="P50" i="1"/>
  <c r="R50" i="1"/>
  <c r="P51" i="1"/>
  <c r="R51" i="1"/>
  <c r="P52" i="1"/>
  <c r="R52" i="1"/>
  <c r="P53" i="1"/>
  <c r="R53" i="1"/>
  <c r="P54" i="1"/>
  <c r="R54" i="1"/>
  <c r="R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7" i="1"/>
  <c r="P15" i="1"/>
  <c r="R15" i="1"/>
  <c r="P16" i="1"/>
  <c r="Q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4" i="1"/>
  <c r="Q34" i="1"/>
  <c r="R34" i="1"/>
  <c r="R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<sst xmlns="http://schemas.openxmlformats.org/spreadsheetml/2006/main" count="869" uniqueCount="74">
  <si>
    <t>Coincident Peak Demands *</t>
  </si>
  <si>
    <t>Eastern Massachusetts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</si>
  <si>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</si>
  <si>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</si>
  <si>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</si>
  <si>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</si>
  <si>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</si>
  <si>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</si>
  <si>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</si>
  <si>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</si>
  <si>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</si>
  <si>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</si>
  <si>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</si>
  <si>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</si>
  <si>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</si>
  <si>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</si>
  <si>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</si>
  <si>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</si>
  <si>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</si>
  <si>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</si>
  <si>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</si>
  <si>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</si>
  <si>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</si>
  <si>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</si>
  <si>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</si>
  <si>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</si>
  <si>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</si>
  <si>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</si>
  <si>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</si>
  <si>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</si>
  <si>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</si>
  <si>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</si>
  <si>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12 CP 
Average 
(Meter level)</t>
  </si>
  <si>
    <t>Loss 
Factors</t>
  </si>
  <si>
    <t>12 CP 
Average 
(Transmission level)</t>
  </si>
  <si>
    <t>Day of System Peak Demand</t>
  </si>
  <si>
    <t>Hour of System Peak Demand (Eastern Standard Time)</t>
  </si>
  <si>
    <t>Service Area/</t>
  </si>
  <si>
    <t>Territory</t>
  </si>
  <si>
    <t>Rate Class</t>
  </si>
  <si>
    <t>Eastern MA</t>
  </si>
  <si>
    <t>R-1/R-2</t>
  </si>
  <si>
    <t>R-3/R-4</t>
  </si>
  <si>
    <t>Greater Boston</t>
  </si>
  <si>
    <t>G-1/T-1</t>
  </si>
  <si>
    <t>G-2/T-2</t>
  </si>
  <si>
    <t>G-3</t>
  </si>
  <si>
    <t>WR</t>
  </si>
  <si>
    <t>Cambridge</t>
  </si>
  <si>
    <t>G-0/G-1/G-6</t>
  </si>
  <si>
    <t>G-2</t>
  </si>
  <si>
    <t>G-3/SB-1/CON</t>
  </si>
  <si>
    <t>G-4</t>
  </si>
  <si>
    <t>G-5</t>
  </si>
  <si>
    <t>South</t>
  </si>
  <si>
    <t>G-1</t>
  </si>
  <si>
    <t>G-6</t>
  </si>
  <si>
    <t>G-7</t>
  </si>
  <si>
    <t>G-7S</t>
  </si>
  <si>
    <t>S-1/S-2</t>
  </si>
  <si>
    <t xml:space="preserve"> </t>
  </si>
  <si>
    <t>Total</t>
  </si>
  <si>
    <t>Western Massachusetts</t>
  </si>
  <si>
    <t>Western MA</t>
  </si>
  <si>
    <t>G-0/T-0</t>
  </si>
  <si>
    <t>G-2/T-4</t>
  </si>
  <si>
    <t>T-2</t>
  </si>
  <si>
    <t>T-5</t>
  </si>
  <si>
    <t>* All demands measured in kW</t>
  </si>
  <si>
    <t>G-1/G-6</t>
  </si>
  <si>
    <t>SB-1</t>
  </si>
  <si>
    <t>CON</t>
  </si>
  <si>
    <t>-</t>
  </si>
  <si>
    <t>Eastern and Western 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</si>
</sst>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15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sz val="11"/>
      <color rgb="FFFF0000"/>
      <name val="Arial"/>
      <family val="2"/>
    </font>
    <font>
      <b/>
      <u/>
      <sz val="11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8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left" wrapText="1"/>
    </xf>
    <xf numFmtId="0" fontId="4" fillId="0" borderId="6" xfId="1" applyFont="1" applyBorder="1" applyAlignment="1">
      <alignment horizontal="center" wrapText="1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10" xfId="1" applyFont="1" applyBorder="1" applyAlignment="1">
      <alignment horizontal="left" wrapText="1"/>
    </xf>
    <xf numFmtId="0" fontId="0" fillId="0" borderId="11" xfId="0" applyBorder="1" applyAlignment="1">
      <alignment horizontal="center" wrapText="1"/>
    </xf>
    <xf numFmtId="14" fontId="5" fillId="0" borderId="12" xfId="1" applyNumberFormat="1" applyFont="1" applyBorder="1" applyAlignment="1">
      <alignment horizontal="center"/>
    </xf>
    <xf numFmtId="14" fontId="5" fillId="0" borderId="13" xfId="1" applyNumberFormat="1" applyFont="1" applyBorder="1" applyAlignment="1">
      <alignment horizontal="center"/>
    </xf>
    <xf numFmtId="0" fontId="4" fillId="0" borderId="10" xfId="1" quotePrefix="1" applyFont="1" applyBorder="1" applyAlignment="1">
      <alignment horizontal="left" wrapText="1"/>
    </xf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6" fillId="0" borderId="0" xfId="1" applyFont="1"/>
    <xf numFmtId="0" fontId="2" fillId="0" borderId="16" xfId="1" quotePrefix="1" applyFont="1" applyBorder="1" applyAlignment="1">
      <alignment horizontal="left" wrapText="1"/>
    </xf>
    <xf numFmtId="0" fontId="4" fillId="0" borderId="17" xfId="1" quotePrefix="1" applyFont="1" applyBorder="1" applyAlignment="1">
      <alignment horizontal="center" wrapText="1"/>
    </xf>
    <xf numFmtId="0" fontId="4" fillId="0" borderId="18" xfId="1" applyFont="1" applyBorder="1"/>
    <xf numFmtId="0" fontId="4" fillId="0" borderId="19" xfId="1" applyFont="1" applyBorder="1"/>
    <xf numFmtId="0" fontId="4" fillId="0" borderId="9" xfId="1" applyFont="1" applyBorder="1"/>
    <xf numFmtId="0" fontId="7" fillId="0" borderId="20" xfId="1" applyFont="1" applyBorder="1" applyAlignment="1">
      <alignment horizontal="left" wrapText="1"/>
    </xf>
    <xf numFmtId="0" fontId="7" fillId="0" borderId="21" xfId="1" applyFont="1" applyBorder="1" applyAlignment="1">
      <alignment horizontal="left" wrapText="1"/>
    </xf>
    <xf numFmtId="0" fontId="4" fillId="0" borderId="14" xfId="1" applyFont="1" applyBorder="1"/>
    <xf numFmtId="0" fontId="4" fillId="0" borderId="20" xfId="1" applyFont="1" applyBorder="1" applyAlignment="1">
      <alignment horizontal="left" wrapText="1"/>
    </xf>
    <xf numFmtId="0" fontId="4" fillId="0" borderId="21" xfId="1" applyFont="1" applyBorder="1" applyAlignment="1">
      <alignment horizontal="left" wrapText="1"/>
    </xf>
    <xf numFmtId="0" fontId="4" fillId="0" borderId="20" xfId="1" applyFont="1" applyBorder="1" applyAlignment="1">
      <alignment horizontal="left"/>
    </xf>
    <xf numFmtId="0" fontId="4" fillId="0" borderId="21" xfId="1" applyFont="1" applyBorder="1" applyAlignment="1">
      <alignment horizontal="left"/>
    </xf>
    <xf numFmtId="164" fontId="5" fillId="0" borderId="18" xfId="3" quotePrefix="1" applyNumberFormat="1" applyFont="1" applyFill="1" applyBorder="1" applyAlignment="1">
      <alignment horizontal="center"/>
    </xf>
    <xf numFmtId="164" fontId="4" fillId="0" borderId="14" xfId="1" applyNumberFormat="1" applyFont="1" applyBorder="1"/>
    <xf numFmtId="165" fontId="4" fillId="0" borderId="22" xfId="1" applyNumberFormat="1" applyFont="1" applyBorder="1"/>
    <xf numFmtId="165" fontId="4" fillId="0" borderId="0" xfId="1" applyNumberFormat="1" applyFont="1"/>
    <xf numFmtId="165" fontId="4" fillId="0" borderId="14" xfId="1" applyNumberFormat="1" applyFont="1" applyBorder="1"/>
    <xf numFmtId="164" fontId="4" fillId="0" borderId="18" xfId="3" quotePrefix="1" applyNumberFormat="1" applyFont="1" applyFill="1" applyBorder="1" applyAlignment="1">
      <alignment horizontal="center"/>
    </xf>
    <xf numFmtId="164" fontId="4" fillId="0" borderId="19" xfId="3" quotePrefix="1" applyNumberFormat="1" applyFont="1" applyFill="1" applyBorder="1" applyAlignment="1">
      <alignment horizontal="center"/>
    </xf>
    <xf numFmtId="164" fontId="4" fillId="0" borderId="22" xfId="1" applyNumberFormat="1" applyFont="1" applyBorder="1"/>
    <xf numFmtId="0" fontId="4" fillId="0" borderId="23" xfId="1" applyFont="1" applyBorder="1" applyAlignment="1">
      <alignment horizontal="left"/>
    </xf>
    <xf numFmtId="0" fontId="4" fillId="0" borderId="24" xfId="1" applyFont="1" applyBorder="1" applyAlignment="1">
      <alignment horizontal="left"/>
    </xf>
    <xf numFmtId="164" fontId="4" fillId="0" borderId="25" xfId="3" quotePrefix="1" applyNumberFormat="1" applyFont="1" applyFill="1" applyBorder="1" applyAlignment="1">
      <alignment horizontal="center"/>
    </xf>
    <xf numFmtId="164" fontId="4" fillId="0" borderId="26" xfId="3" quotePrefix="1" applyNumberFormat="1" applyFont="1" applyFill="1" applyBorder="1" applyAlignment="1">
      <alignment horizontal="center"/>
    </xf>
    <xf numFmtId="164" fontId="4" fillId="0" borderId="15" xfId="3" quotePrefix="1" applyNumberFormat="1" applyFont="1" applyFill="1" applyBorder="1" applyAlignment="1">
      <alignment horizontal="center"/>
    </xf>
    <xf numFmtId="0" fontId="4" fillId="0" borderId="15" xfId="1" applyFont="1" applyBorder="1"/>
    <xf numFmtId="164" fontId="4" fillId="0" borderId="0" xfId="1" applyNumberFormat="1" applyFont="1"/>
    <xf numFmtId="43" fontId="4" fillId="0" borderId="0" xfId="1" applyNumberFormat="1" applyFont="1"/>
    <xf numFmtId="0" fontId="2" fillId="0" borderId="0" xfId="0" applyFont="1"/>
    <xf numFmtId="0" fontId="4" fillId="0" borderId="0" xfId="1" applyFont="1"/>
    <xf numFmtId="0" fontId="4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0" fontId="9" fillId="0" borderId="0" xfId="1" applyFont="1"/>
    <xf numFmtId="0" fontId="10" fillId="0" borderId="0" xfId="4" applyFont="1" applyAlignment="1">
      <alignment horizontal="center"/>
    </xf>
    <xf numFmtId="0" fontId="10" fillId="0" borderId="0" xfId="4" applyFont="1" applyAlignment="1">
      <alignment horizontal="left"/>
    </xf>
    <xf numFmtId="0" fontId="11" fillId="0" borderId="1" xfId="4" applyFont="1" applyBorder="1" applyAlignment="1">
      <alignment horizontal="center"/>
    </xf>
    <xf numFmtId="0" fontId="11" fillId="0" borderId="2" xfId="4" applyFont="1" applyBorder="1" applyAlignment="1">
      <alignment horizontal="center"/>
    </xf>
    <xf numFmtId="0" fontId="11" fillId="0" borderId="3" xfId="4" applyFont="1" applyBorder="1" applyAlignment="1">
      <alignment horizontal="center"/>
    </xf>
    <xf numFmtId="0" fontId="11" fillId="0" borderId="4" xfId="4" applyFont="1" applyBorder="1" applyAlignment="1">
      <alignment horizontal="center"/>
    </xf>
    <xf numFmtId="0" fontId="11" fillId="0" borderId="5" xfId="4" applyFont="1" applyBorder="1" applyAlignment="1">
      <alignment horizontal="left" wrapText="1"/>
    </xf>
    <xf numFmtId="0" fontId="11" fillId="0" borderId="6" xfId="4" applyFont="1" applyBorder="1" applyAlignment="1">
      <alignment horizontal="center" wrapText="1"/>
    </xf>
    <xf numFmtId="0" fontId="11" fillId="0" borderId="7" xfId="4" applyFont="1" applyBorder="1" applyAlignment="1">
      <alignment horizontal="center"/>
    </xf>
    <xf numFmtId="0" fontId="11" fillId="0" borderId="8" xfId="4" applyFont="1" applyBorder="1" applyAlignment="1">
      <alignment horizontal="center"/>
    </xf>
    <xf numFmtId="0" fontId="11" fillId="0" borderId="10" xfId="4" applyFont="1" applyBorder="1" applyAlignment="1">
      <alignment horizontal="left" wrapText="1"/>
    </xf>
    <xf numFmtId="0" fontId="9" fillId="0" borderId="11" xfId="1" applyFont="1" applyBorder="1" applyAlignment="1">
      <alignment horizontal="center" wrapText="1"/>
    </xf>
    <xf numFmtId="14" fontId="12" fillId="0" borderId="12" xfId="4" applyNumberFormat="1" applyFont="1" applyBorder="1" applyAlignment="1">
      <alignment horizontal="center"/>
    </xf>
    <xf numFmtId="14" fontId="12" fillId="0" borderId="13" xfId="4" applyNumberFormat="1" applyFont="1" applyBorder="1" applyAlignment="1">
      <alignment horizontal="center"/>
    </xf>
    <xf numFmtId="0" fontId="11" fillId="0" borderId="10" xfId="4" quotePrefix="1" applyFont="1" applyBorder="1" applyAlignment="1">
      <alignment horizontal="left" wrapText="1"/>
    </xf>
    <xf numFmtId="0" fontId="12" fillId="0" borderId="12" xfId="4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3" fillId="0" borderId="0" xfId="4" applyFont="1"/>
    <xf numFmtId="0" fontId="10" fillId="0" borderId="16" xfId="4" quotePrefix="1" applyFont="1" applyBorder="1" applyAlignment="1">
      <alignment horizontal="left" wrapText="1"/>
    </xf>
    <xf numFmtId="0" fontId="11" fillId="0" borderId="17" xfId="4" quotePrefix="1" applyFont="1" applyBorder="1" applyAlignment="1">
      <alignment horizontal="center" wrapText="1"/>
    </xf>
    <xf numFmtId="0" fontId="11" fillId="0" borderId="18" xfId="4" applyFont="1" applyBorder="1"/>
    <xf numFmtId="0" fontId="11" fillId="0" borderId="19" xfId="4" applyFont="1" applyBorder="1"/>
    <xf numFmtId="0" fontId="11" fillId="0" borderId="9" xfId="4" applyFont="1" applyBorder="1"/>
    <xf numFmtId="0" fontId="14" fillId="0" borderId="20" xfId="4" applyFont="1" applyBorder="1" applyAlignment="1">
      <alignment horizontal="left" wrapText="1"/>
    </xf>
    <xf numFmtId="0" fontId="14" fillId="0" borderId="21" xfId="4" applyFont="1" applyBorder="1" applyAlignment="1">
      <alignment horizontal="left" wrapText="1"/>
    </xf>
    <xf numFmtId="0" fontId="11" fillId="0" borderId="14" xfId="4" applyFont="1" applyBorder="1"/>
    <xf numFmtId="0" fontId="11" fillId="0" borderId="20" xfId="4" applyFont="1" applyBorder="1" applyAlignment="1">
      <alignment horizontal="left" wrapText="1"/>
    </xf>
    <xf numFmtId="0" fontId="11" fillId="0" borderId="21" xfId="4" applyFont="1" applyBorder="1" applyAlignment="1">
      <alignment horizontal="left" wrapText="1"/>
    </xf>
    <xf numFmtId="0" fontId="11" fillId="0" borderId="20" xfId="4" applyFont="1" applyBorder="1" applyAlignment="1">
      <alignment horizontal="left"/>
    </xf>
    <xf numFmtId="0" fontId="11" fillId="0" borderId="21" xfId="4" applyFont="1" applyBorder="1" applyAlignment="1">
      <alignment horizontal="left"/>
    </xf>
    <xf numFmtId="164" fontId="12" fillId="0" borderId="18" xfId="3" quotePrefix="1" applyNumberFormat="1" applyFont="1" applyFill="1" applyBorder="1" applyAlignment="1">
      <alignment horizontal="center"/>
    </xf>
    <xf numFmtId="164" fontId="11" fillId="0" borderId="14" xfId="4" applyNumberFormat="1" applyFont="1" applyBorder="1"/>
    <xf numFmtId="165" fontId="11" fillId="0" borderId="22" xfId="4" applyNumberFormat="1" applyFont="1" applyBorder="1"/>
    <xf numFmtId="165" fontId="11" fillId="0" borderId="0" xfId="4" applyNumberFormat="1" applyFont="1"/>
    <xf numFmtId="164" fontId="12" fillId="2" borderId="18" xfId="3" quotePrefix="1" applyNumberFormat="1" applyFont="1" applyFill="1" applyBorder="1" applyAlignment="1">
      <alignment horizontal="center"/>
    </xf>
    <xf numFmtId="165" fontId="11" fillId="0" borderId="14" xfId="4" applyNumberFormat="1" applyFont="1" applyBorder="1"/>
    <xf numFmtId="164" fontId="11" fillId="0" borderId="18" xfId="3" quotePrefix="1" applyNumberFormat="1" applyFont="1" applyFill="1" applyBorder="1" applyAlignment="1">
      <alignment horizontal="center"/>
    </xf>
    <xf numFmtId="164" fontId="11" fillId="0" borderId="19" xfId="3" quotePrefix="1" applyNumberFormat="1" applyFont="1" applyFill="1" applyBorder="1" applyAlignment="1">
      <alignment horizontal="center"/>
    </xf>
    <xf numFmtId="164" fontId="11" fillId="0" borderId="22" xfId="4" applyNumberFormat="1" applyFont="1" applyBorder="1"/>
    <xf numFmtId="0" fontId="11" fillId="0" borderId="23" xfId="4" applyFont="1" applyBorder="1" applyAlignment="1">
      <alignment horizontal="left"/>
    </xf>
    <xf numFmtId="0" fontId="11" fillId="0" borderId="24" xfId="4" applyFont="1" applyBorder="1" applyAlignment="1">
      <alignment horizontal="left"/>
    </xf>
    <xf numFmtId="164" fontId="11" fillId="0" borderId="25" xfId="3" quotePrefix="1" applyNumberFormat="1" applyFont="1" applyFill="1" applyBorder="1" applyAlignment="1">
      <alignment horizontal="center"/>
    </xf>
    <xf numFmtId="164" fontId="11" fillId="0" borderId="26" xfId="3" quotePrefix="1" applyNumberFormat="1" applyFont="1" applyFill="1" applyBorder="1" applyAlignment="1">
      <alignment horizontal="center"/>
    </xf>
    <xf numFmtId="164" fontId="11" fillId="0" borderId="15" xfId="3" quotePrefix="1" applyNumberFormat="1" applyFont="1" applyFill="1" applyBorder="1" applyAlignment="1">
      <alignment horizontal="center"/>
    </xf>
    <xf numFmtId="0" fontId="11" fillId="0" borderId="15" xfId="4" applyFont="1" applyBorder="1"/>
    <xf numFmtId="164" fontId="11" fillId="0" borderId="0" xfId="4" applyNumberFormat="1" applyFont="1"/>
    <xf numFmtId="43" fontId="11" fillId="0" borderId="0" xfId="4" applyNumberFormat="1" applyFont="1"/>
    <xf numFmtId="0" fontId="10" fillId="0" borderId="0" xfId="1" applyFont="1"/>
    <xf numFmtId="0" fontId="11" fillId="0" borderId="0" xfId="2" applyFont="1" applyAlignment="1">
      <alignment horizontal="center"/>
    </xf>
    <xf numFmtId="0" fontId="11" fillId="0" borderId="0" xfId="4" applyFont="1"/>
    <xf numFmtId="0" fontId="11" fillId="0" borderId="0" xfId="4" applyFont="1" applyAlignment="1">
      <alignment horizontal="left"/>
    </xf>
    <xf numFmtId="0" fontId="11" fillId="0" borderId="0" xfId="1" applyFont="1" applyAlignment="1">
      <alignment horizontal="center"/>
    </xf>
    <xf numFmtId="0" fontId="11" fillId="0" borderId="0" xfId="1" applyFont="1"/>
    <xf numFmtId="0" fontId="11" fillId="0" borderId="11" xfId="1" applyFont="1" applyBorder="1" applyAlignment="1">
      <alignment horizontal="center" wrapText="1"/>
    </xf>
    <xf numFmtId="0" fontId="13" fillId="0" borderId="0" xfId="1" applyFont="1"/>
    <xf numFmtId="0" fontId="2" fillId="0" borderId="0" xfId="1" applyFont="1" applyAlignment="1">
      <alignment horizontal="center"/>
    </xf>
    <xf numFmtId="0" fontId="4" fillId="0" borderId="9" xfId="1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4" fillId="0" borderId="14" xfId="1" applyFont="1" applyBorder="1" applyAlignment="1">
      <alignment horizontal="center" wrapText="1"/>
    </xf>
    <xf numFmtId="0" fontId="4" fillId="0" borderId="15" xfId="1" applyFont="1" applyBorder="1" applyAlignment="1">
      <alignment horizontal="center" wrapText="1"/>
    </xf>
    <xf numFmtId="0" fontId="10" fillId="0" borderId="0" xfId="4" applyFont="1" applyAlignment="1">
      <alignment horizontal="center"/>
    </xf>
    <xf numFmtId="0" fontId="11" fillId="0" borderId="9" xfId="4" applyFont="1" applyBorder="1" applyAlignment="1">
      <alignment horizontal="center" wrapText="1"/>
    </xf>
    <xf numFmtId="0" fontId="11" fillId="0" borderId="14" xfId="4" applyFont="1" applyBorder="1" applyAlignment="1">
      <alignment horizontal="center" wrapText="1"/>
    </xf>
    <xf numFmtId="0" fontId="11" fillId="0" borderId="15" xfId="4" applyFont="1" applyBorder="1" applyAlignment="1">
      <alignment horizontal="center" wrapText="1"/>
    </xf>
  </cellXfs>
  <cellStyles count="5">
    <cellStyle name="Comma 2 4" xfId="3" xr:uid="{FA2238A4-18BB-463F-AD5B-61E7388C5B78}"/>
    <cellStyle name="Normal" xfId="0" builtinId="0"/>
    <cellStyle name="Normal 2" xfId="1" xr:uid="{0C74F7E0-CA47-4779-930C-07D126DF1A7F}"/>
    <cellStyle name="Normal 2 2" xfId="4" xr:uid="{5812647F-78C7-4A3C-940B-0A1B8201F2B7}"/>
    <cellStyle name="Normal_Revenue Shift" xfId="2" xr:uid="{C1D438F6-202E-4165-8DD3-9E6D99F2E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9CCF-2FAE-4D67-9A13-4E4AC6992E52}">
  <sheetPr>
    <pageSetUpPr fitToPage="1"/>
  </sheetPr>
  <dimension ref="A3:U58"/>
  <sheetViews>
    <sheetView tabSelected="1" zoomScaleNormal="100" workbookViewId="0">
      <selection activeCell="B3" sqref="B3"/>
    </sheetView>
  </sheetViews>
  <sheetFormatPr defaultRowHeight="12.5" x14ac:dyDescent="0.25"/>
  <cols>
    <col min="1" max="1" width="3.26953125" bestFit="1" customWidth="1"/>
    <col min="2" max="2" width="27.81640625" bestFit="1" customWidth="1"/>
    <col min="3" max="3" width="13.81640625" customWidth="1"/>
    <col min="4" max="16" width="11.54296875" bestFit="1" customWidth="1"/>
    <col min="17" max="17" width="8.1796875" bestFit="1" customWidth="1"/>
    <col min="18" max="18" width="15.453125" customWidth="1"/>
  </cols>
  <sheetData>
    <row r="3" spans="1:20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4" x14ac:dyDescent="0.3">
      <c r="A4" s="108" t="s">
        <v>73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20" ht="14" x14ac:dyDescent="0.3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1:20" ht="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14.5" thickBot="1" x14ac:dyDescent="0.35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14.5" thickBot="1" x14ac:dyDescent="0.35">
      <c r="A8" s="3">
        <f>IF(B8&lt;&gt;"",COUNTA($B8:B$8),"")</f>
        <v>1</v>
      </c>
      <c r="B8" s="4" t="s">
        <v>2</v>
      </c>
      <c r="C8" s="5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11</v>
      </c>
      <c r="L8" s="5" t="s">
        <v>12</v>
      </c>
      <c r="M8" s="6" t="s">
        <v>13</v>
      </c>
      <c r="N8" s="6" t="s">
        <v>14</v>
      </c>
      <c r="O8" s="7" t="s">
        <v>15</v>
      </c>
      <c r="P8" s="6" t="s">
        <v>16</v>
      </c>
      <c r="Q8" s="6" t="s">
        <v>17</v>
      </c>
      <c r="R8" s="6" t="s">
        <v>18</v>
      </c>
    </row>
    <row r="9" spans="1:20" ht="14" x14ac:dyDescent="0.3">
      <c r="A9" s="3">
        <f>IF(B9&lt;&gt;"",COUNTA($B$8:B9),"")</f>
        <v>2</v>
      </c>
      <c r="B9" s="8" t="s">
        <v>19</v>
      </c>
      <c r="C9" s="9"/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28</v>
      </c>
      <c r="M9" s="11" t="s">
        <v>29</v>
      </c>
      <c r="N9" s="10" t="s">
        <v>30</v>
      </c>
      <c r="O9" s="11" t="s">
        <v>31</v>
      </c>
      <c r="P9" s="109" t="s">
        <v>32</v>
      </c>
      <c r="Q9" s="109" t="s">
        <v>33</v>
      </c>
      <c r="R9" s="109" t="s">
        <v>34</v>
      </c>
    </row>
    <row r="10" spans="1:20" ht="14" x14ac:dyDescent="0.3">
      <c r="A10" s="3">
        <f>IF(B10&lt;&gt;"",COUNTA($B$8:B10),"")</f>
        <v>3</v>
      </c>
      <c r="B10" s="12" t="s">
        <v>35</v>
      </c>
      <c r="C10" s="13"/>
      <c r="D10" s="14">
        <v>42744</v>
      </c>
      <c r="E10" s="14">
        <v>42779</v>
      </c>
      <c r="F10" s="14">
        <v>42807</v>
      </c>
      <c r="G10" s="14">
        <v>42831</v>
      </c>
      <c r="H10" s="14">
        <v>42873</v>
      </c>
      <c r="I10" s="14">
        <v>42899</v>
      </c>
      <c r="J10" s="14">
        <v>42935</v>
      </c>
      <c r="K10" s="14">
        <v>42969</v>
      </c>
      <c r="L10" s="14">
        <v>43005</v>
      </c>
      <c r="M10" s="15">
        <v>43017</v>
      </c>
      <c r="N10" s="14">
        <v>43052</v>
      </c>
      <c r="O10" s="15">
        <v>43097</v>
      </c>
      <c r="P10" s="110"/>
      <c r="Q10" s="110"/>
      <c r="R10" s="110"/>
    </row>
    <row r="11" spans="1:20" ht="42.5" thickBot="1" x14ac:dyDescent="0.35">
      <c r="A11" s="3">
        <f>IF(B11&lt;&gt;"",COUNTA($B$8:B11),"")</f>
        <v>4</v>
      </c>
      <c r="B11" s="16" t="s">
        <v>36</v>
      </c>
      <c r="C11" s="13"/>
      <c r="D11" s="17">
        <v>18</v>
      </c>
      <c r="E11" s="17">
        <v>18</v>
      </c>
      <c r="F11" s="17">
        <v>8</v>
      </c>
      <c r="G11" s="17">
        <v>13</v>
      </c>
      <c r="H11" s="17">
        <v>17</v>
      </c>
      <c r="I11" s="17">
        <v>16</v>
      </c>
      <c r="J11" s="17">
        <v>17</v>
      </c>
      <c r="K11" s="17">
        <v>16</v>
      </c>
      <c r="L11" s="17">
        <v>16</v>
      </c>
      <c r="M11" s="18">
        <v>17</v>
      </c>
      <c r="N11" s="17">
        <v>18</v>
      </c>
      <c r="O11" s="18">
        <v>18</v>
      </c>
      <c r="P11" s="111"/>
      <c r="Q11" s="111"/>
      <c r="R11" s="111"/>
      <c r="T11" s="19"/>
    </row>
    <row r="12" spans="1:20" ht="14" x14ac:dyDescent="0.3">
      <c r="A12" s="3">
        <f>IF(B12&lt;&gt;"",COUNTA($B$8:B12),"")</f>
        <v>5</v>
      </c>
      <c r="B12" s="20" t="s">
        <v>37</v>
      </c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2"/>
      <c r="O12" s="23"/>
      <c r="P12" s="24"/>
      <c r="Q12" s="24"/>
      <c r="R12" s="24"/>
    </row>
    <row r="13" spans="1:20" ht="14" x14ac:dyDescent="0.3">
      <c r="A13" s="3">
        <f>IF(B13&lt;&gt;"",COUNTA($B$8:B13),"")</f>
        <v>6</v>
      </c>
      <c r="B13" s="25" t="s">
        <v>38</v>
      </c>
      <c r="C13" s="26" t="s">
        <v>39</v>
      </c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2"/>
      <c r="O13" s="23"/>
      <c r="P13" s="27"/>
      <c r="Q13" s="27"/>
      <c r="R13" s="27"/>
    </row>
    <row r="14" spans="1:20" ht="6" customHeight="1" x14ac:dyDescent="0.3">
      <c r="A14" s="3" t="str">
        <f>IF(B14&lt;&gt;"",COUNTA($B$8:B14),"")</f>
        <v/>
      </c>
      <c r="B14" s="28"/>
      <c r="C14" s="2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7"/>
      <c r="Q14" s="27"/>
      <c r="R14" s="27"/>
    </row>
    <row r="15" spans="1:20" ht="14" x14ac:dyDescent="0.3">
      <c r="A15" s="3">
        <f>IF(B15&lt;&gt;"",COUNTA($B$8:B15),"")</f>
        <v>7</v>
      </c>
      <c r="B15" s="30" t="s">
        <v>40</v>
      </c>
      <c r="C15" s="31" t="s">
        <v>41</v>
      </c>
      <c r="D15" s="32">
        <v>967576.84814649995</v>
      </c>
      <c r="E15" s="32">
        <v>888017.12511669996</v>
      </c>
      <c r="F15" s="32">
        <v>706109.15452359989</v>
      </c>
      <c r="G15" s="32">
        <v>569242.86083999998</v>
      </c>
      <c r="H15" s="32">
        <v>1215391.7909744</v>
      </c>
      <c r="I15" s="32">
        <v>1520178.2544414001</v>
      </c>
      <c r="J15" s="32">
        <v>1595078.570451</v>
      </c>
      <c r="K15" s="32">
        <v>1309366.3513002</v>
      </c>
      <c r="L15" s="32">
        <v>1102451.4623611001</v>
      </c>
      <c r="M15" s="32">
        <v>900856.42875910003</v>
      </c>
      <c r="N15" s="32">
        <v>799742.81804729998</v>
      </c>
      <c r="O15" s="32">
        <v>1092418.3008254999</v>
      </c>
      <c r="P15" s="33">
        <f>AVERAGE(D15:O15)</f>
        <v>1055535.8304822333</v>
      </c>
      <c r="Q15" s="34">
        <v>0.94840404982625059</v>
      </c>
      <c r="R15" s="33">
        <f>P15/Q15</f>
        <v>1112960.0624075884</v>
      </c>
    </row>
    <row r="16" spans="1:20" ht="14" x14ac:dyDescent="0.3">
      <c r="A16" s="3">
        <f>IF(B16&lt;&gt;"",COUNTA($B$8:B16),"")</f>
        <v>8</v>
      </c>
      <c r="B16" s="30" t="s">
        <v>40</v>
      </c>
      <c r="C16" s="31" t="s">
        <v>42</v>
      </c>
      <c r="D16" s="32">
        <v>204112.2590964</v>
      </c>
      <c r="E16" s="32">
        <v>166105.52063079999</v>
      </c>
      <c r="F16" s="32">
        <v>194829.97089279999</v>
      </c>
      <c r="G16" s="32">
        <v>100759.56515140001</v>
      </c>
      <c r="H16" s="32">
        <v>70723.842782099993</v>
      </c>
      <c r="I16" s="32">
        <v>96552.890143199998</v>
      </c>
      <c r="J16" s="32">
        <v>101193.9520319</v>
      </c>
      <c r="K16" s="32">
        <v>85684.406062099995</v>
      </c>
      <c r="L16" s="32">
        <v>71846.415787299993</v>
      </c>
      <c r="M16" s="32">
        <v>67864.185708000005</v>
      </c>
      <c r="N16" s="32">
        <v>113110.28895249999</v>
      </c>
      <c r="O16" s="32">
        <v>243477.07523380002</v>
      </c>
      <c r="P16" s="33">
        <f t="shared" ref="P16:P34" si="0">AVERAGE(D16:O16)</f>
        <v>126355.03103935835</v>
      </c>
      <c r="Q16" s="34">
        <f>Q15</f>
        <v>0.94840404982625059</v>
      </c>
      <c r="R16" s="33">
        <f t="shared" ref="R16:R34" si="1">P16/Q16</f>
        <v>133229.11375431897</v>
      </c>
    </row>
    <row r="17" spans="1:18" ht="14" x14ac:dyDescent="0.3">
      <c r="A17" s="3">
        <f>IF(B17&lt;&gt;"",COUNTA($B$8:B17),"")</f>
        <v>9</v>
      </c>
      <c r="B17" s="30" t="s">
        <v>43</v>
      </c>
      <c r="C17" s="31" t="s">
        <v>44</v>
      </c>
      <c r="D17" s="32">
        <v>89721.341141900004</v>
      </c>
      <c r="E17" s="32">
        <v>79285.7058426</v>
      </c>
      <c r="F17" s="32">
        <v>79716.834961700006</v>
      </c>
      <c r="G17" s="32">
        <v>78633.021999500008</v>
      </c>
      <c r="H17" s="32">
        <v>74133.662760399995</v>
      </c>
      <c r="I17" s="32">
        <v>88257.1631069</v>
      </c>
      <c r="J17" s="32">
        <v>83424.275560900001</v>
      </c>
      <c r="K17" s="32">
        <v>79552.191243000008</v>
      </c>
      <c r="L17" s="32">
        <v>83503.993358799999</v>
      </c>
      <c r="M17" s="32">
        <v>63601.466391499998</v>
      </c>
      <c r="N17" s="32">
        <v>75037.1956584</v>
      </c>
      <c r="O17" s="32">
        <v>89236.969354699992</v>
      </c>
      <c r="P17" s="33">
        <f t="shared" si="0"/>
        <v>80341.985115024989</v>
      </c>
      <c r="Q17" s="35">
        <v>0.94840404982625059</v>
      </c>
      <c r="R17" s="33">
        <f t="shared" si="1"/>
        <v>84712.823748215538</v>
      </c>
    </row>
    <row r="18" spans="1:18" ht="14" x14ac:dyDescent="0.3">
      <c r="A18" s="3">
        <f>IF(B18&lt;&gt;"",COUNTA($B$8:B18),"")</f>
        <v>10</v>
      </c>
      <c r="B18" s="30" t="s">
        <v>43</v>
      </c>
      <c r="C18" s="31" t="s">
        <v>45</v>
      </c>
      <c r="D18" s="32">
        <v>986609.74783820007</v>
      </c>
      <c r="E18" s="32">
        <v>906802.87331549998</v>
      </c>
      <c r="F18" s="32">
        <v>1028491.5228415001</v>
      </c>
      <c r="G18" s="32">
        <v>966425.03344430006</v>
      </c>
      <c r="H18" s="32">
        <v>1124832.3490001</v>
      </c>
      <c r="I18" s="32">
        <v>1296235.6516459</v>
      </c>
      <c r="J18" s="32">
        <v>1187998.2582877001</v>
      </c>
      <c r="K18" s="32">
        <v>1269303.7613118</v>
      </c>
      <c r="L18" s="32">
        <v>1254875.1929378</v>
      </c>
      <c r="M18" s="32">
        <v>889427.86141000001</v>
      </c>
      <c r="N18" s="32">
        <v>867125.36423219997</v>
      </c>
      <c r="O18" s="32">
        <v>969193.49410329992</v>
      </c>
      <c r="P18" s="33">
        <f t="shared" si="0"/>
        <v>1062276.7591973583</v>
      </c>
      <c r="Q18" s="35">
        <v>0.94841936117036152</v>
      </c>
      <c r="R18" s="33">
        <f t="shared" si="1"/>
        <v>1120049.6348856641</v>
      </c>
    </row>
    <row r="19" spans="1:18" ht="14" x14ac:dyDescent="0.3">
      <c r="A19" s="3">
        <f>IF(B19&lt;&gt;"",COUNTA($B$8:B19),"")</f>
        <v>11</v>
      </c>
      <c r="B19" s="30" t="s">
        <v>43</v>
      </c>
      <c r="C19" s="31" t="s">
        <v>46</v>
      </c>
      <c r="D19" s="32">
        <v>389547.75111160002</v>
      </c>
      <c r="E19" s="32">
        <v>373497.91103919997</v>
      </c>
      <c r="F19" s="32">
        <v>396208.93923030002</v>
      </c>
      <c r="G19" s="32">
        <v>386824.29164210003</v>
      </c>
      <c r="H19" s="32">
        <v>460272.24154169997</v>
      </c>
      <c r="I19" s="32">
        <v>520674.1543771</v>
      </c>
      <c r="J19" s="32">
        <v>489877.32339099998</v>
      </c>
      <c r="K19" s="32">
        <v>515361.49732820003</v>
      </c>
      <c r="L19" s="32">
        <v>515118.96823519998</v>
      </c>
      <c r="M19" s="32">
        <v>423763.94306650001</v>
      </c>
      <c r="N19" s="32">
        <v>358098.1753916</v>
      </c>
      <c r="O19" s="32">
        <v>358361.96227830002</v>
      </c>
      <c r="P19" s="33">
        <f t="shared" si="0"/>
        <v>432300.59655273327</v>
      </c>
      <c r="Q19" s="35">
        <v>0.9859624838981127</v>
      </c>
      <c r="R19" s="33">
        <f t="shared" si="1"/>
        <v>438455.42159330915</v>
      </c>
    </row>
    <row r="20" spans="1:18" ht="14" x14ac:dyDescent="0.3">
      <c r="A20" s="3">
        <f>IF(B20&lt;&gt;"",COUNTA($B$8:B20),"")</f>
        <v>12</v>
      </c>
      <c r="B20" s="30" t="s">
        <v>43</v>
      </c>
      <c r="C20" s="31" t="s">
        <v>47</v>
      </c>
      <c r="D20" s="32">
        <v>0</v>
      </c>
      <c r="E20" s="32">
        <v>11037.6</v>
      </c>
      <c r="F20" s="32">
        <v>10152</v>
      </c>
      <c r="G20" s="32">
        <v>22251.599999999999</v>
      </c>
      <c r="H20" s="32">
        <v>11732.4</v>
      </c>
      <c r="I20" s="32">
        <v>0</v>
      </c>
      <c r="J20" s="32">
        <v>0</v>
      </c>
      <c r="K20" s="32">
        <v>10458</v>
      </c>
      <c r="L20" s="32">
        <v>15490.8</v>
      </c>
      <c r="M20" s="32">
        <v>11606.4</v>
      </c>
      <c r="N20" s="32">
        <v>13255.2</v>
      </c>
      <c r="O20" s="32">
        <v>9511.2000000000007</v>
      </c>
      <c r="P20" s="33">
        <f t="shared" si="0"/>
        <v>9624.6</v>
      </c>
      <c r="Q20" s="35">
        <v>1</v>
      </c>
      <c r="R20" s="33">
        <f t="shared" si="1"/>
        <v>9624.6</v>
      </c>
    </row>
    <row r="21" spans="1:18" ht="14" x14ac:dyDescent="0.3">
      <c r="A21" s="3">
        <f>IF(B21&lt;&gt;"",COUNTA($B$8:B21),"")</f>
        <v>13</v>
      </c>
      <c r="B21" s="30" t="s">
        <v>48</v>
      </c>
      <c r="C21" s="31" t="s">
        <v>49</v>
      </c>
      <c r="D21" s="32">
        <v>37399.705786500002</v>
      </c>
      <c r="E21" s="32">
        <v>34053.478304299999</v>
      </c>
      <c r="F21" s="32">
        <v>35826.465633500004</v>
      </c>
      <c r="G21" s="32">
        <v>34905.051035900004</v>
      </c>
      <c r="H21" s="32">
        <v>45309.537933500003</v>
      </c>
      <c r="I21" s="32">
        <v>50450.490715499996</v>
      </c>
      <c r="J21" s="32">
        <v>46727.207853899999</v>
      </c>
      <c r="K21" s="32">
        <v>47483.760474800001</v>
      </c>
      <c r="L21" s="32">
        <v>48569.124160799998</v>
      </c>
      <c r="M21" s="32">
        <v>30613.6116926</v>
      </c>
      <c r="N21" s="32">
        <v>32023.41347</v>
      </c>
      <c r="O21" s="32">
        <v>38538.975562500003</v>
      </c>
      <c r="P21" s="33">
        <f t="shared" si="0"/>
        <v>40158.401885316671</v>
      </c>
      <c r="Q21" s="35">
        <v>0.94840404982625059</v>
      </c>
      <c r="R21" s="33">
        <f t="shared" si="1"/>
        <v>42343.136232572782</v>
      </c>
    </row>
    <row r="22" spans="1:18" ht="14" x14ac:dyDescent="0.3">
      <c r="A22" s="3">
        <f>IF(B22&lt;&gt;"",COUNTA($B$8:B22),"")</f>
        <v>14</v>
      </c>
      <c r="B22" s="30" t="s">
        <v>48</v>
      </c>
      <c r="C22" s="31" t="s">
        <v>50</v>
      </c>
      <c r="D22" s="32">
        <v>73611.505208899995</v>
      </c>
      <c r="E22" s="32">
        <v>70460.442972999997</v>
      </c>
      <c r="F22" s="32">
        <v>76117.439227099996</v>
      </c>
      <c r="G22" s="32">
        <v>71649.298292299995</v>
      </c>
      <c r="H22" s="32">
        <v>93821.145710199999</v>
      </c>
      <c r="I22" s="32">
        <v>112394.2169168</v>
      </c>
      <c r="J22" s="32">
        <v>104172.61986970001</v>
      </c>
      <c r="K22" s="32">
        <v>109060.137393</v>
      </c>
      <c r="L22" s="32">
        <v>108135.62965839999</v>
      </c>
      <c r="M22" s="32">
        <v>85695.030492100006</v>
      </c>
      <c r="N22" s="32">
        <v>65782.157978100004</v>
      </c>
      <c r="O22" s="32">
        <v>71715.687418600006</v>
      </c>
      <c r="P22" s="33">
        <f t="shared" si="0"/>
        <v>86884.609261516671</v>
      </c>
      <c r="Q22" s="35">
        <v>0.94840404982625048</v>
      </c>
      <c r="R22" s="33">
        <f t="shared" si="1"/>
        <v>91611.385756349424</v>
      </c>
    </row>
    <row r="23" spans="1:18" ht="14" x14ac:dyDescent="0.3">
      <c r="A23" s="3">
        <f>IF(B23&lt;&gt;"",COUNTA($B$8:B23),"")</f>
        <v>15</v>
      </c>
      <c r="B23" s="30" t="s">
        <v>48</v>
      </c>
      <c r="C23" s="31" t="s">
        <v>51</v>
      </c>
      <c r="D23" s="32">
        <v>88656.367328199995</v>
      </c>
      <c r="E23" s="32">
        <v>88382.841528100005</v>
      </c>
      <c r="F23" s="32">
        <v>90352.531179400015</v>
      </c>
      <c r="G23" s="32">
        <v>89726.05960800001</v>
      </c>
      <c r="H23" s="32">
        <v>120416.40939109999</v>
      </c>
      <c r="I23" s="32">
        <v>116044.5606996</v>
      </c>
      <c r="J23" s="32">
        <v>109075.92057069999</v>
      </c>
      <c r="K23" s="32">
        <v>117165.07908210001</v>
      </c>
      <c r="L23" s="32">
        <v>118097.530405</v>
      </c>
      <c r="M23" s="32">
        <v>107230.11332860001</v>
      </c>
      <c r="N23" s="32">
        <v>88359.481187500001</v>
      </c>
      <c r="O23" s="32">
        <v>64505.475089600004</v>
      </c>
      <c r="P23" s="33">
        <f t="shared" si="0"/>
        <v>99834.364116491677</v>
      </c>
      <c r="Q23" s="35">
        <v>0.9859624838981127</v>
      </c>
      <c r="R23" s="33">
        <f t="shared" si="1"/>
        <v>101255.74324266921</v>
      </c>
    </row>
    <row r="24" spans="1:18" ht="14" x14ac:dyDescent="0.3">
      <c r="A24" s="3">
        <f>IF(B24&lt;&gt;"",COUNTA($B$8:B24),"")</f>
        <v>16</v>
      </c>
      <c r="B24" s="30" t="s">
        <v>48</v>
      </c>
      <c r="C24" s="31" t="s">
        <v>52</v>
      </c>
      <c r="D24" s="32">
        <v>691.0648678</v>
      </c>
      <c r="E24" s="32">
        <v>676.34151840000004</v>
      </c>
      <c r="F24" s="32">
        <v>606.95965450000006</v>
      </c>
      <c r="G24" s="32">
        <v>602.53826130000004</v>
      </c>
      <c r="H24" s="32">
        <v>912.91348719999996</v>
      </c>
      <c r="I24" s="32">
        <v>969.27253759999996</v>
      </c>
      <c r="J24" s="32">
        <v>912.48561050000001</v>
      </c>
      <c r="K24" s="32">
        <v>900.86711049999997</v>
      </c>
      <c r="L24" s="32">
        <v>842.24799310000003</v>
      </c>
      <c r="M24" s="32">
        <v>698.84344799999997</v>
      </c>
      <c r="N24" s="32">
        <v>568.83473719999995</v>
      </c>
      <c r="O24" s="32">
        <v>622.03408230000002</v>
      </c>
      <c r="P24" s="33">
        <f t="shared" si="0"/>
        <v>750.36694236666665</v>
      </c>
      <c r="Q24" s="35">
        <v>0.94840404982625059</v>
      </c>
      <c r="R24" s="33">
        <f t="shared" si="1"/>
        <v>791.18909551697436</v>
      </c>
    </row>
    <row r="25" spans="1:18" ht="14" x14ac:dyDescent="0.3">
      <c r="A25" s="3">
        <f>IF(B25&lt;&gt;"",COUNTA($B$8:B25),"")</f>
        <v>17</v>
      </c>
      <c r="B25" s="30" t="s">
        <v>48</v>
      </c>
      <c r="C25" s="31" t="s">
        <v>53</v>
      </c>
      <c r="D25" s="32">
        <v>1761.6703344</v>
      </c>
      <c r="E25" s="32">
        <v>1531.0895555</v>
      </c>
      <c r="F25" s="32">
        <v>1848.1720284</v>
      </c>
      <c r="G25" s="32">
        <v>980.47484440000005</v>
      </c>
      <c r="H25" s="32">
        <v>1135.8173369000001</v>
      </c>
      <c r="I25" s="32">
        <v>1299.2643776</v>
      </c>
      <c r="J25" s="32">
        <v>1185.9602405999999</v>
      </c>
      <c r="K25" s="32">
        <v>1250.1106116000001</v>
      </c>
      <c r="L25" s="32">
        <v>1276.2429935</v>
      </c>
      <c r="M25" s="32">
        <v>734.35503010000002</v>
      </c>
      <c r="N25" s="32">
        <v>1075.1927634000001</v>
      </c>
      <c r="O25" s="32">
        <v>1988.6039433999999</v>
      </c>
      <c r="P25" s="33">
        <f t="shared" si="0"/>
        <v>1338.9128383166665</v>
      </c>
      <c r="Q25" s="35">
        <v>0.94840404982625071</v>
      </c>
      <c r="R25" s="33">
        <f t="shared" si="1"/>
        <v>1411.7536070854587</v>
      </c>
    </row>
    <row r="26" spans="1:18" ht="14" x14ac:dyDescent="0.3">
      <c r="A26" s="3">
        <f>IF(B26&lt;&gt;"",COUNTA($B$8:B26),"")</f>
        <v>18</v>
      </c>
      <c r="B26" s="30" t="s">
        <v>54</v>
      </c>
      <c r="C26" s="31" t="s">
        <v>55</v>
      </c>
      <c r="D26" s="32">
        <v>137131.9646183</v>
      </c>
      <c r="E26" s="32">
        <v>129025.9858785</v>
      </c>
      <c r="F26" s="32">
        <v>140727.84118250001</v>
      </c>
      <c r="G26" s="32">
        <v>140114.47458869999</v>
      </c>
      <c r="H26" s="32">
        <v>148647.24278609999</v>
      </c>
      <c r="I26" s="32">
        <v>216690.9682028</v>
      </c>
      <c r="J26" s="32">
        <v>212112.89653930001</v>
      </c>
      <c r="K26" s="32">
        <v>202752.99563709999</v>
      </c>
      <c r="L26" s="32">
        <v>194353.09877750001</v>
      </c>
      <c r="M26" s="32">
        <v>125174.85906230001</v>
      </c>
      <c r="N26" s="32">
        <v>122882.99604310001</v>
      </c>
      <c r="O26" s="32">
        <v>161484.46735379999</v>
      </c>
      <c r="P26" s="33">
        <f t="shared" si="0"/>
        <v>160924.98255583335</v>
      </c>
      <c r="Q26" s="35">
        <v>0.94848822793603926</v>
      </c>
      <c r="R26" s="33">
        <f t="shared" si="1"/>
        <v>169664.71255633258</v>
      </c>
    </row>
    <row r="27" spans="1:18" ht="14" x14ac:dyDescent="0.3">
      <c r="A27" s="3">
        <f>IF(B27&lt;&gt;"",COUNTA($B$8:B27),"")</f>
        <v>19</v>
      </c>
      <c r="B27" s="30" t="s">
        <v>54</v>
      </c>
      <c r="C27" s="31" t="s">
        <v>50</v>
      </c>
      <c r="D27" s="32">
        <v>62437.941189600002</v>
      </c>
      <c r="E27" s="32">
        <v>59450.115395699999</v>
      </c>
      <c r="F27" s="32">
        <v>66269.740013100003</v>
      </c>
      <c r="G27" s="32">
        <v>67039.442380499997</v>
      </c>
      <c r="H27" s="32">
        <v>69718.261022000006</v>
      </c>
      <c r="I27" s="32">
        <v>82937.438101099993</v>
      </c>
      <c r="J27" s="32">
        <v>78938.200098100002</v>
      </c>
      <c r="K27" s="32">
        <v>76993.788587300005</v>
      </c>
      <c r="L27" s="32">
        <v>78099.734456399994</v>
      </c>
      <c r="M27" s="32">
        <v>59799.748697000003</v>
      </c>
      <c r="N27" s="32">
        <v>56136.295912499998</v>
      </c>
      <c r="O27" s="32">
        <v>61908.348544599998</v>
      </c>
      <c r="P27" s="33">
        <f t="shared" si="0"/>
        <v>68310.754533158339</v>
      </c>
      <c r="Q27" s="35">
        <v>0.95095557570607481</v>
      </c>
      <c r="R27" s="33">
        <f t="shared" si="1"/>
        <v>71833.801996942188</v>
      </c>
    </row>
    <row r="28" spans="1:18" ht="14" x14ac:dyDescent="0.3">
      <c r="A28" s="3">
        <f>IF(B28&lt;&gt;"",COUNTA($B$8:B28),"")</f>
        <v>20</v>
      </c>
      <c r="B28" s="30" t="s">
        <v>54</v>
      </c>
      <c r="C28" s="31" t="s">
        <v>46</v>
      </c>
      <c r="D28" s="32">
        <v>48343.433570200003</v>
      </c>
      <c r="E28" s="32">
        <v>47400.420978100003</v>
      </c>
      <c r="F28" s="32">
        <v>54170.514040800001</v>
      </c>
      <c r="G28" s="32">
        <v>51077.877611099997</v>
      </c>
      <c r="H28" s="32">
        <v>61363.179545300001</v>
      </c>
      <c r="I28" s="32">
        <v>64987.460441900002</v>
      </c>
      <c r="J28" s="32">
        <v>61712.700370600003</v>
      </c>
      <c r="K28" s="32">
        <v>64617.695744199998</v>
      </c>
      <c r="L28" s="32">
        <v>65801.153913700007</v>
      </c>
      <c r="M28" s="32">
        <v>51819.436039100001</v>
      </c>
      <c r="N28" s="32">
        <v>48117.821494600001</v>
      </c>
      <c r="O28" s="32">
        <v>44401.155977000002</v>
      </c>
      <c r="P28" s="33">
        <f t="shared" si="0"/>
        <v>55317.737477216673</v>
      </c>
      <c r="Q28" s="35">
        <v>0.96854394181035897</v>
      </c>
      <c r="R28" s="33">
        <f t="shared" si="1"/>
        <v>57114.329138045337</v>
      </c>
    </row>
    <row r="29" spans="1:18" ht="14" x14ac:dyDescent="0.3">
      <c r="A29" s="3">
        <f>IF(B29&lt;&gt;"",COUNTA($B$8:B29),"")</f>
        <v>21</v>
      </c>
      <c r="B29" s="30" t="s">
        <v>54</v>
      </c>
      <c r="C29" s="31" t="s">
        <v>52</v>
      </c>
      <c r="D29" s="32">
        <v>240.34780409999999</v>
      </c>
      <c r="E29" s="32">
        <v>250.12071460000001</v>
      </c>
      <c r="F29" s="32">
        <v>462.79459700000001</v>
      </c>
      <c r="G29" s="32">
        <v>571.90030109999998</v>
      </c>
      <c r="H29" s="32">
        <v>219.14346689999999</v>
      </c>
      <c r="I29" s="32">
        <v>289.08899559999998</v>
      </c>
      <c r="J29" s="32">
        <v>254.80842200000001</v>
      </c>
      <c r="K29" s="32">
        <v>266.22614199999998</v>
      </c>
      <c r="L29" s="32">
        <v>350.49522100000002</v>
      </c>
      <c r="M29" s="32">
        <v>204.27164669999999</v>
      </c>
      <c r="N29" s="32">
        <v>211.97483840000001</v>
      </c>
      <c r="O29" s="32">
        <v>248.8734006</v>
      </c>
      <c r="P29" s="33">
        <f t="shared" si="0"/>
        <v>297.50379583333336</v>
      </c>
      <c r="Q29" s="35">
        <v>0.9506626704854837</v>
      </c>
      <c r="R29" s="33">
        <f t="shared" si="1"/>
        <v>312.94359720825508</v>
      </c>
    </row>
    <row r="30" spans="1:18" ht="14" x14ac:dyDescent="0.3">
      <c r="A30" s="3">
        <f>IF(B30&lt;&gt;"",COUNTA($B$8:B30),"")</f>
        <v>22</v>
      </c>
      <c r="B30" s="30" t="s">
        <v>54</v>
      </c>
      <c r="C30" s="31" t="s">
        <v>53</v>
      </c>
      <c r="D30" s="32">
        <v>2800.4448996000001</v>
      </c>
      <c r="E30" s="32">
        <v>2686.9843639000001</v>
      </c>
      <c r="F30" s="32">
        <v>3253.1040280000002</v>
      </c>
      <c r="G30" s="32">
        <v>1758.1648809999999</v>
      </c>
      <c r="H30" s="32">
        <v>1418.2348539</v>
      </c>
      <c r="I30" s="32">
        <v>2349.0654865000001</v>
      </c>
      <c r="J30" s="32">
        <v>2534.6838810999998</v>
      </c>
      <c r="K30" s="32">
        <v>2042.4736207999999</v>
      </c>
      <c r="L30" s="32">
        <v>1857.863537</v>
      </c>
      <c r="M30" s="32">
        <v>1192.213395</v>
      </c>
      <c r="N30" s="32">
        <v>1287.3156151999999</v>
      </c>
      <c r="O30" s="32">
        <v>4048.9768288999999</v>
      </c>
      <c r="P30" s="33">
        <f t="shared" si="0"/>
        <v>2269.1271159083331</v>
      </c>
      <c r="Q30" s="35">
        <v>0.94840404982625059</v>
      </c>
      <c r="R30" s="33">
        <f t="shared" si="1"/>
        <v>2392.5742581171403</v>
      </c>
    </row>
    <row r="31" spans="1:18" ht="14" x14ac:dyDescent="0.3">
      <c r="A31" s="3">
        <f>IF(B31&lt;&gt;"",COUNTA($B$8:B31),"")</f>
        <v>23</v>
      </c>
      <c r="B31" s="30" t="s">
        <v>54</v>
      </c>
      <c r="C31" s="31" t="s">
        <v>56</v>
      </c>
      <c r="D31" s="32">
        <v>1144.3795388999999</v>
      </c>
      <c r="E31" s="32">
        <v>1142.7926660000001</v>
      </c>
      <c r="F31" s="32">
        <v>1478.5993979</v>
      </c>
      <c r="G31" s="32">
        <v>1052.951243</v>
      </c>
      <c r="H31" s="32">
        <v>413.8076413</v>
      </c>
      <c r="I31" s="32">
        <v>511.3392948</v>
      </c>
      <c r="J31" s="32">
        <v>284.17232710000002</v>
      </c>
      <c r="K31" s="32">
        <v>285.02679719999998</v>
      </c>
      <c r="L31" s="32">
        <v>406.11741080000002</v>
      </c>
      <c r="M31" s="32">
        <v>181.75798760000001</v>
      </c>
      <c r="N31" s="32">
        <v>614.36397009999996</v>
      </c>
      <c r="O31" s="32">
        <v>1151.3373664999999</v>
      </c>
      <c r="P31" s="33">
        <f t="shared" si="0"/>
        <v>722.22047010000006</v>
      </c>
      <c r="Q31" s="35">
        <v>0.94840404982625059</v>
      </c>
      <c r="R31" s="33">
        <f t="shared" si="1"/>
        <v>761.51137295576939</v>
      </c>
    </row>
    <row r="32" spans="1:18" ht="14" x14ac:dyDescent="0.3">
      <c r="A32" s="3">
        <f>IF(B32&lt;&gt;"",COUNTA($B$8:B32),"")</f>
        <v>24</v>
      </c>
      <c r="B32" s="30" t="s">
        <v>54</v>
      </c>
      <c r="C32" s="31" t="s">
        <v>57</v>
      </c>
      <c r="D32" s="32">
        <v>6541.4557582999996</v>
      </c>
      <c r="E32" s="32">
        <v>6321.2950467000001</v>
      </c>
      <c r="F32" s="32">
        <v>5974.4546785000002</v>
      </c>
      <c r="G32" s="32">
        <v>6123.7792213000002</v>
      </c>
      <c r="H32" s="32">
        <v>7371.019112</v>
      </c>
      <c r="I32" s="32">
        <v>8096.4348963000002</v>
      </c>
      <c r="J32" s="32">
        <v>8114.6964274000002</v>
      </c>
      <c r="K32" s="32">
        <v>7919.5921588000001</v>
      </c>
      <c r="L32" s="32">
        <v>7947.5809590999997</v>
      </c>
      <c r="M32" s="32">
        <v>7415.6736547999999</v>
      </c>
      <c r="N32" s="32">
        <v>6431.7444611999999</v>
      </c>
      <c r="O32" s="32">
        <v>6610.7106008000001</v>
      </c>
      <c r="P32" s="33">
        <f t="shared" si="0"/>
        <v>7072.3697479333323</v>
      </c>
      <c r="Q32" s="35">
        <v>0.94840404982625071</v>
      </c>
      <c r="R32" s="33">
        <f t="shared" si="1"/>
        <v>7457.1273174434491</v>
      </c>
    </row>
    <row r="33" spans="1:21" ht="14" x14ac:dyDescent="0.3">
      <c r="A33" s="3">
        <f>IF(B33&lt;&gt;"",COUNTA($B$8:B33),"")</f>
        <v>25</v>
      </c>
      <c r="B33" s="30" t="s">
        <v>54</v>
      </c>
      <c r="C33" s="31" t="s">
        <v>58</v>
      </c>
      <c r="D33" s="32">
        <v>115.5245264</v>
      </c>
      <c r="E33" s="32">
        <v>103.5169025</v>
      </c>
      <c r="F33" s="32">
        <v>236.36744530000001</v>
      </c>
      <c r="G33" s="32">
        <v>180.88658119999999</v>
      </c>
      <c r="H33" s="32">
        <v>386.05043660000001</v>
      </c>
      <c r="I33" s="32">
        <v>491.62778730000002</v>
      </c>
      <c r="J33" s="32">
        <v>573.80368280000005</v>
      </c>
      <c r="K33" s="32">
        <v>456.18241649999999</v>
      </c>
      <c r="L33" s="32">
        <v>359.63491770000002</v>
      </c>
      <c r="M33" s="32">
        <v>306.79549989999998</v>
      </c>
      <c r="N33" s="32">
        <v>111.7848254</v>
      </c>
      <c r="O33" s="32">
        <v>234.6285421</v>
      </c>
      <c r="P33" s="33">
        <f t="shared" si="0"/>
        <v>296.400296975</v>
      </c>
      <c r="Q33" s="35">
        <v>0.94840404982625071</v>
      </c>
      <c r="R33" s="33">
        <f t="shared" si="1"/>
        <v>312.52533878287534</v>
      </c>
    </row>
    <row r="34" spans="1:21" ht="14" x14ac:dyDescent="0.3">
      <c r="A34" s="3">
        <f>IF(B34&lt;&gt;"",COUNTA($B$8:B34),"")</f>
        <v>26</v>
      </c>
      <c r="B34" s="30" t="s">
        <v>40</v>
      </c>
      <c r="C34" s="31" t="s">
        <v>59</v>
      </c>
      <c r="D34" s="32">
        <v>21592.522440277971</v>
      </c>
      <c r="E34" s="32">
        <v>6587.5492190678569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21958.497396892857</v>
      </c>
      <c r="O34" s="32">
        <v>21958.497396892857</v>
      </c>
      <c r="P34" s="33">
        <f t="shared" si="0"/>
        <v>6008.0888710942954</v>
      </c>
      <c r="Q34" s="36">
        <f>Q16</f>
        <v>0.94840404982625059</v>
      </c>
      <c r="R34" s="33">
        <f t="shared" si="1"/>
        <v>6334.9464526168867</v>
      </c>
      <c r="U34" s="35"/>
    </row>
    <row r="35" spans="1:21" ht="14" x14ac:dyDescent="0.3">
      <c r="A35" s="3" t="str">
        <f>IF(B35&lt;&gt;"",COUNTA($B$8:B35),"")</f>
        <v/>
      </c>
      <c r="B35" s="30"/>
      <c r="C35" s="31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37"/>
      <c r="O35" s="38"/>
      <c r="P35" s="33"/>
      <c r="Q35" s="27"/>
      <c r="R35" s="39"/>
    </row>
    <row r="36" spans="1:21" ht="14.5" thickBot="1" x14ac:dyDescent="0.35">
      <c r="A36" s="3">
        <f>IF(B36&lt;&gt;"",COUNTA($B$8:B36),"")</f>
        <v>27</v>
      </c>
      <c r="B36" s="40" t="s">
        <v>60</v>
      </c>
      <c r="C36" s="41" t="s">
        <v>61</v>
      </c>
      <c r="D36" s="42">
        <f t="shared" ref="D36:P36" si="2">SUM(D15:D34)</f>
        <v>3120036.2752060792</v>
      </c>
      <c r="E36" s="42">
        <f t="shared" si="2"/>
        <v>2872819.7109891679</v>
      </c>
      <c r="F36" s="42">
        <f t="shared" si="2"/>
        <v>2892833.4055558997</v>
      </c>
      <c r="G36" s="42">
        <f t="shared" si="2"/>
        <v>2589919.2719271011</v>
      </c>
      <c r="H36" s="42">
        <f t="shared" si="2"/>
        <v>3508219.0497817006</v>
      </c>
      <c r="I36" s="42">
        <f t="shared" si="2"/>
        <v>4179409.3421678999</v>
      </c>
      <c r="J36" s="42">
        <f t="shared" si="2"/>
        <v>4084172.5356163005</v>
      </c>
      <c r="K36" s="42">
        <f t="shared" si="2"/>
        <v>3900920.1430212008</v>
      </c>
      <c r="L36" s="42">
        <f t="shared" si="2"/>
        <v>3669383.2870842</v>
      </c>
      <c r="M36" s="42">
        <f t="shared" si="2"/>
        <v>2828186.9953088989</v>
      </c>
      <c r="N36" s="42">
        <f t="shared" si="2"/>
        <v>2671930.9169755923</v>
      </c>
      <c r="O36" s="43">
        <f t="shared" si="2"/>
        <v>3241616.773903193</v>
      </c>
      <c r="P36" s="44">
        <f t="shared" si="2"/>
        <v>3296620.6422947692</v>
      </c>
      <c r="Q36" s="45"/>
      <c r="R36" s="44">
        <f>SUM(R15:R34)</f>
        <v>3452629.3363517351</v>
      </c>
    </row>
    <row r="37" spans="1:21" ht="14" x14ac:dyDescent="0.3">
      <c r="A37" s="3" t="str">
        <f>IF(B37&lt;&gt;"",COUNTA($B$8:B37),"")</f>
        <v/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21" ht="14" x14ac:dyDescent="0.3"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21" ht="14.5" thickBot="1" x14ac:dyDescent="0.35">
      <c r="A39" s="3">
        <f>IF(B39&lt;&gt;"",COUNTA($B$8:B39),"")</f>
        <v>28</v>
      </c>
      <c r="B39" s="48" t="s">
        <v>62</v>
      </c>
      <c r="O39" s="46"/>
    </row>
    <row r="40" spans="1:21" ht="14.25" customHeight="1" x14ac:dyDescent="0.3">
      <c r="A40" s="3">
        <f>IF(B40&lt;&gt;"",COUNTA($B$8:B40),"")</f>
        <v>29</v>
      </c>
      <c r="B40" s="8" t="s">
        <v>19</v>
      </c>
      <c r="C40" s="9"/>
      <c r="D40" s="10" t="s">
        <v>20</v>
      </c>
      <c r="E40" s="10" t="s">
        <v>21</v>
      </c>
      <c r="F40" s="10" t="s">
        <v>22</v>
      </c>
      <c r="G40" s="10" t="s">
        <v>23</v>
      </c>
      <c r="H40" s="10" t="s">
        <v>24</v>
      </c>
      <c r="I40" s="10" t="s">
        <v>25</v>
      </c>
      <c r="J40" s="10" t="s">
        <v>26</v>
      </c>
      <c r="K40" s="10" t="s">
        <v>27</v>
      </c>
      <c r="L40" s="10" t="s">
        <v>28</v>
      </c>
      <c r="M40" s="11" t="s">
        <v>29</v>
      </c>
      <c r="N40" s="10" t="s">
        <v>30</v>
      </c>
      <c r="O40" s="11" t="s">
        <v>31</v>
      </c>
      <c r="P40" s="109" t="s">
        <v>32</v>
      </c>
      <c r="Q40" s="109" t="s">
        <v>33</v>
      </c>
      <c r="R40" s="109" t="s">
        <v>34</v>
      </c>
    </row>
    <row r="41" spans="1:21" ht="14" x14ac:dyDescent="0.3">
      <c r="A41" s="3">
        <f>IF(B41&lt;&gt;"",COUNTA($B$8:B41),"")</f>
        <v>30</v>
      </c>
      <c r="B41" s="12" t="s">
        <v>35</v>
      </c>
      <c r="C41" s="13"/>
      <c r="D41" s="14">
        <v>42744</v>
      </c>
      <c r="E41" s="14">
        <v>42775</v>
      </c>
      <c r="F41" s="14">
        <v>42809</v>
      </c>
      <c r="G41" s="14">
        <v>42831</v>
      </c>
      <c r="H41" s="14">
        <v>42873</v>
      </c>
      <c r="I41" s="14">
        <v>42899</v>
      </c>
      <c r="J41" s="14">
        <v>42936</v>
      </c>
      <c r="K41" s="14">
        <v>42969</v>
      </c>
      <c r="L41" s="14">
        <v>43003</v>
      </c>
      <c r="M41" s="15">
        <v>43017</v>
      </c>
      <c r="N41" s="14">
        <v>43066</v>
      </c>
      <c r="O41" s="15">
        <v>43097</v>
      </c>
      <c r="P41" s="110"/>
      <c r="Q41" s="110"/>
      <c r="R41" s="110"/>
    </row>
    <row r="42" spans="1:21" ht="42.5" thickBot="1" x14ac:dyDescent="0.35">
      <c r="A42" s="3">
        <f>IF(B42&lt;&gt;"",COUNTA($B$8:B42),"")</f>
        <v>31</v>
      </c>
      <c r="B42" s="16" t="s">
        <v>36</v>
      </c>
      <c r="C42" s="13"/>
      <c r="D42" s="17">
        <v>19</v>
      </c>
      <c r="E42" s="17">
        <v>19</v>
      </c>
      <c r="F42" s="17">
        <v>19</v>
      </c>
      <c r="G42" s="17">
        <v>17</v>
      </c>
      <c r="H42" s="17">
        <v>17</v>
      </c>
      <c r="I42" s="17">
        <v>15</v>
      </c>
      <c r="J42" s="17">
        <v>16</v>
      </c>
      <c r="K42" s="17">
        <v>16</v>
      </c>
      <c r="L42" s="17">
        <v>16</v>
      </c>
      <c r="M42" s="18">
        <v>18</v>
      </c>
      <c r="N42" s="17">
        <v>18</v>
      </c>
      <c r="O42" s="18">
        <v>18</v>
      </c>
      <c r="P42" s="111"/>
      <c r="Q42" s="111"/>
      <c r="R42" s="111"/>
    </row>
    <row r="43" spans="1:21" ht="14" x14ac:dyDescent="0.3">
      <c r="A43" s="3">
        <f>IF(B43&lt;&gt;"",COUNTA($B$8:B43),"")</f>
        <v>32</v>
      </c>
      <c r="B43" s="20" t="s">
        <v>37</v>
      </c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22"/>
      <c r="O43" s="23"/>
      <c r="P43" s="24"/>
      <c r="Q43" s="24"/>
      <c r="R43" s="24"/>
    </row>
    <row r="44" spans="1:21" ht="14" x14ac:dyDescent="0.3">
      <c r="A44" s="3">
        <f>IF(B44&lt;&gt;"",COUNTA($B$8:B44),"")</f>
        <v>33</v>
      </c>
      <c r="B44" s="25" t="s">
        <v>38</v>
      </c>
      <c r="C44" s="26" t="s">
        <v>39</v>
      </c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2"/>
      <c r="O44" s="23"/>
      <c r="P44" s="27"/>
      <c r="Q44" s="27"/>
      <c r="R44" s="27"/>
    </row>
    <row r="45" spans="1:21" ht="14" x14ac:dyDescent="0.3">
      <c r="A45" s="3" t="str">
        <f>IF(B45&lt;&gt;"",COUNTA($B$8:B45),"")</f>
        <v/>
      </c>
      <c r="B45" s="28"/>
      <c r="C45" s="2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7"/>
      <c r="Q45" s="27"/>
      <c r="R45" s="27"/>
    </row>
    <row r="46" spans="1:21" ht="14" x14ac:dyDescent="0.3">
      <c r="A46" s="3">
        <f>IF(B46&lt;&gt;"",COUNTA($B$8:B46),"")</f>
        <v>34</v>
      </c>
      <c r="B46" s="30" t="s">
        <v>63</v>
      </c>
      <c r="C46" s="31" t="s">
        <v>41</v>
      </c>
      <c r="D46" s="32">
        <v>195065.32683050001</v>
      </c>
      <c r="E46" s="32">
        <v>184474.90913089999</v>
      </c>
      <c r="F46" s="32">
        <v>169165.9157707</v>
      </c>
      <c r="G46" s="32">
        <v>139383.4591449</v>
      </c>
      <c r="H46" s="32">
        <v>201312.88325429999</v>
      </c>
      <c r="I46" s="32">
        <v>239737.78557830001</v>
      </c>
      <c r="J46" s="32">
        <v>240979.0505019</v>
      </c>
      <c r="K46" s="32">
        <v>244871.31250209999</v>
      </c>
      <c r="L46" s="32">
        <v>211726.13941599999</v>
      </c>
      <c r="M46" s="32">
        <v>180310.1072422</v>
      </c>
      <c r="N46" s="32">
        <v>171839.1414505</v>
      </c>
      <c r="O46" s="32">
        <v>207836.27588570002</v>
      </c>
      <c r="P46" s="33">
        <f t="shared" ref="P46:P54" si="3">AVERAGE(D46:O46)</f>
        <v>198891.85889233332</v>
      </c>
      <c r="Q46" s="34">
        <v>0.94840000000000002</v>
      </c>
      <c r="R46" s="33">
        <f t="shared" ref="R46:R54" si="4">P46/Q46</f>
        <v>209713.05239596512</v>
      </c>
    </row>
    <row r="47" spans="1:21" ht="14" x14ac:dyDescent="0.3">
      <c r="A47" s="3">
        <f>IF(B47&lt;&gt;"",COUNTA($B$8:B47),"")</f>
        <v>35</v>
      </c>
      <c r="B47" s="30" t="s">
        <v>63</v>
      </c>
      <c r="C47" s="31" t="s">
        <v>42</v>
      </c>
      <c r="D47" s="32">
        <v>61797.490270900002</v>
      </c>
      <c r="E47" s="32">
        <v>56578.690875499997</v>
      </c>
      <c r="F47" s="32">
        <v>51016.354815300001</v>
      </c>
      <c r="G47" s="32">
        <v>36022.841310700001</v>
      </c>
      <c r="H47" s="32">
        <v>24905.883333600003</v>
      </c>
      <c r="I47" s="32">
        <v>28034.523657099999</v>
      </c>
      <c r="J47" s="32">
        <v>28237.445925200002</v>
      </c>
      <c r="K47" s="32">
        <v>29327.942023299998</v>
      </c>
      <c r="L47" s="32">
        <v>27706.3165697</v>
      </c>
      <c r="M47" s="32">
        <v>27539.037385299998</v>
      </c>
      <c r="N47" s="32">
        <v>38891.704594499999</v>
      </c>
      <c r="O47" s="32">
        <v>69347.633543000004</v>
      </c>
      <c r="P47" s="33">
        <f t="shared" si="3"/>
        <v>39950.488692008337</v>
      </c>
      <c r="Q47" s="34">
        <f t="shared" ref="Q47" si="5">Q46</f>
        <v>0.94840000000000002</v>
      </c>
      <c r="R47" s="33">
        <f t="shared" si="4"/>
        <v>42124.091830460078</v>
      </c>
    </row>
    <row r="48" spans="1:21" ht="14" x14ac:dyDescent="0.3">
      <c r="A48" s="3">
        <f>IF(B48&lt;&gt;"",COUNTA($B$8:B48),"")</f>
        <v>36</v>
      </c>
      <c r="B48" s="30" t="s">
        <v>63</v>
      </c>
      <c r="C48" s="31">
        <v>23</v>
      </c>
      <c r="D48" s="32">
        <v>26.629562400000001</v>
      </c>
      <c r="E48" s="32">
        <v>20.1055919</v>
      </c>
      <c r="F48" s="32">
        <v>30.485130900000001</v>
      </c>
      <c r="G48" s="32">
        <v>22.937365400000001</v>
      </c>
      <c r="H48" s="32">
        <v>20.737295199999998</v>
      </c>
      <c r="I48" s="32">
        <v>17.7857159</v>
      </c>
      <c r="J48" s="32">
        <v>22.686862399999999</v>
      </c>
      <c r="K48" s="32">
        <v>16.979749600000002</v>
      </c>
      <c r="L48" s="32">
        <v>15.171771100000001</v>
      </c>
      <c r="M48" s="32">
        <v>19.408539999999999</v>
      </c>
      <c r="N48" s="32">
        <v>19.168928300000001</v>
      </c>
      <c r="O48" s="32">
        <v>26.324602200000001</v>
      </c>
      <c r="P48" s="33">
        <f t="shared" si="3"/>
        <v>21.535092941666665</v>
      </c>
      <c r="Q48" s="35">
        <v>0.929995798907716</v>
      </c>
      <c r="R48" s="33">
        <f t="shared" si="4"/>
        <v>23.156118518986563</v>
      </c>
    </row>
    <row r="49" spans="1:18" ht="14" x14ac:dyDescent="0.3">
      <c r="A49" s="3">
        <f>IF(B49&lt;&gt;"",COUNTA($B$8:B49),"")</f>
        <v>37</v>
      </c>
      <c r="B49" s="30" t="s">
        <v>63</v>
      </c>
      <c r="C49" s="31">
        <v>24</v>
      </c>
      <c r="D49" s="32">
        <v>1067.2061765999999</v>
      </c>
      <c r="E49" s="32">
        <v>805.70645500000001</v>
      </c>
      <c r="F49" s="32">
        <v>1055.0570332</v>
      </c>
      <c r="G49" s="32">
        <v>807.53646749999996</v>
      </c>
      <c r="H49" s="32">
        <v>902.54251009999996</v>
      </c>
      <c r="I49" s="32">
        <v>1086.7078401000001</v>
      </c>
      <c r="J49" s="32">
        <v>1092.8700862000001</v>
      </c>
      <c r="K49" s="32">
        <v>1125.5619825000001</v>
      </c>
      <c r="L49" s="32">
        <v>886.87916340000004</v>
      </c>
      <c r="M49" s="32">
        <v>528.44458899999995</v>
      </c>
      <c r="N49" s="32">
        <v>696.18786169999998</v>
      </c>
      <c r="O49" s="32">
        <v>986.65428889999998</v>
      </c>
      <c r="P49" s="33">
        <f t="shared" si="3"/>
        <v>920.11287118333337</v>
      </c>
      <c r="Q49" s="35">
        <v>0.92999579890771611</v>
      </c>
      <c r="R49" s="33">
        <f t="shared" si="4"/>
        <v>989.37314799057128</v>
      </c>
    </row>
    <row r="50" spans="1:18" ht="14" x14ac:dyDescent="0.3">
      <c r="A50" s="3">
        <f>IF(B50&lt;&gt;"",COUNTA($B$8:B50),"")</f>
        <v>38</v>
      </c>
      <c r="B50" s="30" t="s">
        <v>63</v>
      </c>
      <c r="C50" s="31" t="s">
        <v>64</v>
      </c>
      <c r="D50" s="32">
        <v>83751.079614399991</v>
      </c>
      <c r="E50" s="32">
        <v>68670.474969599993</v>
      </c>
      <c r="F50" s="32">
        <v>75845.509855600001</v>
      </c>
      <c r="G50" s="32">
        <v>73228.984168100011</v>
      </c>
      <c r="H50" s="32">
        <v>94261.219051399996</v>
      </c>
      <c r="I50" s="32">
        <v>125049.13038249999</v>
      </c>
      <c r="J50" s="32">
        <v>117057.01132999999</v>
      </c>
      <c r="K50" s="32">
        <v>111820.3546282</v>
      </c>
      <c r="L50" s="32">
        <v>114281.4110965</v>
      </c>
      <c r="M50" s="32">
        <v>73072.2999977</v>
      </c>
      <c r="N50" s="32">
        <v>77301.560058100004</v>
      </c>
      <c r="O50" s="32">
        <v>96398.010437599994</v>
      </c>
      <c r="P50" s="33">
        <f t="shared" si="3"/>
        <v>92561.420465808347</v>
      </c>
      <c r="Q50" s="35">
        <v>0.93011974112061879</v>
      </c>
      <c r="R50" s="33">
        <f t="shared" si="4"/>
        <v>99515.596082596094</v>
      </c>
    </row>
    <row r="51" spans="1:18" ht="14" x14ac:dyDescent="0.3">
      <c r="A51" s="3">
        <f>IF(B51&lt;&gt;"",COUNTA($B$8:B51),"")</f>
        <v>39</v>
      </c>
      <c r="B51" s="30" t="s">
        <v>63</v>
      </c>
      <c r="C51" s="31" t="s">
        <v>65</v>
      </c>
      <c r="D51" s="32">
        <v>55383.759198799999</v>
      </c>
      <c r="E51" s="32">
        <v>43971.590520699996</v>
      </c>
      <c r="F51" s="32">
        <v>49365.897216899997</v>
      </c>
      <c r="G51" s="32">
        <v>50216.101433000003</v>
      </c>
      <c r="H51" s="32">
        <v>61827.228553999994</v>
      </c>
      <c r="I51" s="32">
        <v>77114.656316000008</v>
      </c>
      <c r="J51" s="32">
        <v>66126.027220700009</v>
      </c>
      <c r="K51" s="32">
        <v>70340.6242127</v>
      </c>
      <c r="L51" s="32">
        <v>70360.325172099998</v>
      </c>
      <c r="M51" s="32">
        <v>46461.7502456</v>
      </c>
      <c r="N51" s="32">
        <v>50224.2445171</v>
      </c>
      <c r="O51" s="32">
        <v>52413.542152399998</v>
      </c>
      <c r="P51" s="33">
        <f t="shared" si="3"/>
        <v>57817.145563333332</v>
      </c>
      <c r="Q51" s="35">
        <v>0.93191995492824298</v>
      </c>
      <c r="R51" s="33">
        <f t="shared" si="4"/>
        <v>62040.892307950635</v>
      </c>
    </row>
    <row r="52" spans="1:18" ht="14" x14ac:dyDescent="0.3">
      <c r="A52" s="3">
        <f>IF(B52&lt;&gt;"",COUNTA($B$8:B52),"")</f>
        <v>40</v>
      </c>
      <c r="B52" s="30" t="s">
        <v>63</v>
      </c>
      <c r="C52" s="31" t="s">
        <v>66</v>
      </c>
      <c r="D52" s="32">
        <v>92182.372013999993</v>
      </c>
      <c r="E52" s="32">
        <v>73656.554979799999</v>
      </c>
      <c r="F52" s="32">
        <v>83840.963456400001</v>
      </c>
      <c r="G52" s="32">
        <v>84233.076787900005</v>
      </c>
      <c r="H52" s="32">
        <v>107981.632727</v>
      </c>
      <c r="I52" s="32">
        <v>124972.1904548</v>
      </c>
      <c r="J52" s="32">
        <v>117104.7128967</v>
      </c>
      <c r="K52" s="32">
        <v>121025.3361688</v>
      </c>
      <c r="L52" s="32">
        <v>117925.52408649999</v>
      </c>
      <c r="M52" s="32">
        <v>89446.521135000003</v>
      </c>
      <c r="N52" s="32">
        <v>87564.054585699996</v>
      </c>
      <c r="O52" s="32">
        <v>84410.174794499995</v>
      </c>
      <c r="P52" s="33">
        <f t="shared" si="3"/>
        <v>98695.259507258321</v>
      </c>
      <c r="Q52" s="35">
        <v>0.94145582207348555</v>
      </c>
      <c r="R52" s="33">
        <f t="shared" si="4"/>
        <v>104832.59776320618</v>
      </c>
    </row>
    <row r="53" spans="1:18" ht="14" x14ac:dyDescent="0.3">
      <c r="A53" s="3">
        <f>IF(B53&lt;&gt;"",COUNTA($B$8:B53),"")</f>
        <v>41</v>
      </c>
      <c r="B53" s="30" t="s">
        <v>63</v>
      </c>
      <c r="C53" s="31" t="s">
        <v>67</v>
      </c>
      <c r="D53" s="32">
        <v>47958.815169200003</v>
      </c>
      <c r="E53" s="32">
        <v>45483.510693099997</v>
      </c>
      <c r="F53" s="32">
        <v>45012.286846399998</v>
      </c>
      <c r="G53" s="32">
        <v>48740.007151799997</v>
      </c>
      <c r="H53" s="32">
        <v>64473.3818875</v>
      </c>
      <c r="I53" s="32">
        <v>67726.293177200001</v>
      </c>
      <c r="J53" s="32">
        <v>68901.728796299998</v>
      </c>
      <c r="K53" s="32">
        <v>70100.357479099999</v>
      </c>
      <c r="L53" s="32">
        <v>72753.344083699994</v>
      </c>
      <c r="M53" s="32">
        <v>62359.487435900002</v>
      </c>
      <c r="N53" s="32">
        <v>48330.509726700002</v>
      </c>
      <c r="O53" s="32">
        <v>44914.035915</v>
      </c>
      <c r="P53" s="33">
        <f t="shared" si="3"/>
        <v>57229.479863491673</v>
      </c>
      <c r="Q53" s="35">
        <v>0.98134717504443669</v>
      </c>
      <c r="R53" s="33">
        <f t="shared" si="4"/>
        <v>58317.261534787875</v>
      </c>
    </row>
    <row r="54" spans="1:18" ht="14" x14ac:dyDescent="0.3">
      <c r="A54" s="3">
        <f>IF(B54&lt;&gt;"",COUNTA($B$8:B54),"")</f>
        <v>42</v>
      </c>
      <c r="B54" s="30" t="s">
        <v>63</v>
      </c>
      <c r="C54" s="31" t="s">
        <v>59</v>
      </c>
      <c r="D54" s="32">
        <v>7475.9384190293131</v>
      </c>
      <c r="E54" s="32">
        <v>7475.9384190293131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7475.9384190293131</v>
      </c>
      <c r="O54" s="32">
        <v>7475.9384190293131</v>
      </c>
      <c r="P54" s="33">
        <f t="shared" si="3"/>
        <v>2491.979473009771</v>
      </c>
      <c r="Q54" s="36">
        <v>0.94840000000000002</v>
      </c>
      <c r="R54" s="33">
        <f t="shared" si="4"/>
        <v>2627.5616543755491</v>
      </c>
    </row>
    <row r="55" spans="1:18" ht="14" x14ac:dyDescent="0.3">
      <c r="A55" s="3" t="str">
        <f>IF(B55&lt;&gt;"",COUNTA($B$8:B55),"")</f>
        <v/>
      </c>
      <c r="B55" s="30"/>
      <c r="C55" s="31"/>
      <c r="D55" s="37"/>
      <c r="E55" s="37"/>
      <c r="F55" s="37"/>
      <c r="G55" s="37"/>
      <c r="H55" s="37"/>
      <c r="I55" s="37"/>
      <c r="J55" s="37"/>
      <c r="K55" s="37"/>
      <c r="L55" s="37"/>
      <c r="M55" s="38"/>
      <c r="N55" s="37"/>
      <c r="O55" s="38"/>
      <c r="P55" s="33"/>
      <c r="Q55" s="27"/>
      <c r="R55" s="39"/>
    </row>
    <row r="56" spans="1:18" ht="14.5" thickBot="1" x14ac:dyDescent="0.35">
      <c r="A56" s="3">
        <f>IF(B56&lt;&gt;"",COUNTA($B$8:B56),"")</f>
        <v>43</v>
      </c>
      <c r="B56" s="40" t="s">
        <v>60</v>
      </c>
      <c r="C56" s="41" t="s">
        <v>61</v>
      </c>
      <c r="D56" s="42">
        <f t="shared" ref="D56:P56" si="6">SUM(D46:D54)</f>
        <v>544708.61725582927</v>
      </c>
      <c r="E56" s="42">
        <f t="shared" si="6"/>
        <v>481137.48163552926</v>
      </c>
      <c r="F56" s="42">
        <f t="shared" si="6"/>
        <v>475332.4701254</v>
      </c>
      <c r="G56" s="42">
        <f t="shared" si="6"/>
        <v>432654.9438293</v>
      </c>
      <c r="H56" s="42">
        <f t="shared" si="6"/>
        <v>555685.50861310004</v>
      </c>
      <c r="I56" s="42">
        <f t="shared" si="6"/>
        <v>663739.07312190009</v>
      </c>
      <c r="J56" s="42">
        <f t="shared" si="6"/>
        <v>639521.5336194</v>
      </c>
      <c r="K56" s="42">
        <f t="shared" si="6"/>
        <v>648628.46874629997</v>
      </c>
      <c r="L56" s="42">
        <f t="shared" si="6"/>
        <v>615655.11135899986</v>
      </c>
      <c r="M56" s="42">
        <f t="shared" si="6"/>
        <v>479737.05657070002</v>
      </c>
      <c r="N56" s="42">
        <f t="shared" si="6"/>
        <v>482342.51014162932</v>
      </c>
      <c r="O56" s="43">
        <f t="shared" si="6"/>
        <v>563808.59003832936</v>
      </c>
      <c r="P56" s="44">
        <f t="shared" si="6"/>
        <v>548579.2804213682</v>
      </c>
      <c r="Q56" s="45"/>
      <c r="R56" s="44">
        <f>SUM(R46:R54)</f>
        <v>580183.58283585112</v>
      </c>
    </row>
    <row r="58" spans="1:18" ht="14" x14ac:dyDescent="0.3">
      <c r="A58" s="3"/>
      <c r="B58" s="49" t="s">
        <v>68</v>
      </c>
    </row>
  </sheetData>
  <mergeCells count="8">
    <mergeCell ref="P40:P42"/>
    <mergeCell ref="Q40:Q42"/>
    <mergeCell ref="R40:R42"/>
    <mergeCell ref="A4:R4"/>
    <mergeCell ref="A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D9A3-BCCD-4819-9E72-6BBD61806FB1}">
  <sheetPr>
    <pageSetUpPr fitToPage="1"/>
  </sheetPr>
  <dimension ref="A3:U62"/>
  <sheetViews>
    <sheetView zoomScaleNormal="100" workbookViewId="0">
      <selection activeCell="B3" sqref="B3"/>
    </sheetView>
  </sheetViews>
  <sheetFormatPr defaultRowHeight="12.5" x14ac:dyDescent="0.25"/>
  <cols>
    <col min="1" max="1" width="3.26953125" bestFit="1" customWidth="1"/>
    <col min="2" max="2" width="27.81640625" bestFit="1" customWidth="1"/>
    <col min="3" max="3" width="13.81640625" customWidth="1"/>
    <col min="4" max="16" width="11.54296875" bestFit="1" customWidth="1"/>
    <col min="17" max="17" width="8.1796875" bestFit="1" customWidth="1"/>
    <col min="18" max="18" width="15.453125" customWidth="1"/>
  </cols>
  <sheetData>
    <row r="3" spans="1:20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4" x14ac:dyDescent="0.3">
      <c r="A4" s="108" t="s">
        <v>73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20" ht="14" x14ac:dyDescent="0.3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1:20" ht="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14.5" thickBot="1" x14ac:dyDescent="0.35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14.5" thickBot="1" x14ac:dyDescent="0.35">
      <c r="A8" s="3">
        <f>IF(B8&lt;&gt;"",COUNTA($B8:B$8),"")</f>
        <v>1</v>
      </c>
      <c r="B8" s="4" t="s">
        <v>2</v>
      </c>
      <c r="C8" s="5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11</v>
      </c>
      <c r="L8" s="5" t="s">
        <v>12</v>
      </c>
      <c r="M8" s="6" t="s">
        <v>13</v>
      </c>
      <c r="N8" s="6" t="s">
        <v>14</v>
      </c>
      <c r="O8" s="7" t="s">
        <v>15</v>
      </c>
      <c r="P8" s="6" t="s">
        <v>16</v>
      </c>
      <c r="Q8" s="6" t="s">
        <v>17</v>
      </c>
      <c r="R8" s="6" t="s">
        <v>18</v>
      </c>
    </row>
    <row r="9" spans="1:20" ht="14" x14ac:dyDescent="0.3">
      <c r="A9" s="3">
        <f>IF(B9&lt;&gt;"",COUNTA($B$8:B9),"")</f>
        <v>2</v>
      </c>
      <c r="B9" s="8" t="s">
        <v>19</v>
      </c>
      <c r="C9" s="9"/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28</v>
      </c>
      <c r="M9" s="11" t="s">
        <v>29</v>
      </c>
      <c r="N9" s="10" t="s">
        <v>30</v>
      </c>
      <c r="O9" s="11" t="s">
        <v>31</v>
      </c>
      <c r="P9" s="109" t="s">
        <v>32</v>
      </c>
      <c r="Q9" s="109" t="s">
        <v>33</v>
      </c>
      <c r="R9" s="109" t="s">
        <v>34</v>
      </c>
    </row>
    <row r="10" spans="1:20" ht="14" x14ac:dyDescent="0.3">
      <c r="A10" s="3">
        <f>IF(B10&lt;&gt;"",COUNTA($B$8:B10),"")</f>
        <v>3</v>
      </c>
      <c r="B10" s="12" t="s">
        <v>35</v>
      </c>
      <c r="C10" s="13"/>
      <c r="D10" s="14">
        <v>43105</v>
      </c>
      <c r="E10" s="14">
        <v>43133</v>
      </c>
      <c r="F10" s="14">
        <v>43166</v>
      </c>
      <c r="G10" s="14">
        <v>43192</v>
      </c>
      <c r="H10" s="14">
        <v>43249</v>
      </c>
      <c r="I10" s="14">
        <v>43269</v>
      </c>
      <c r="J10" s="14">
        <v>43284</v>
      </c>
      <c r="K10" s="14">
        <v>43341</v>
      </c>
      <c r="L10" s="14">
        <v>43349</v>
      </c>
      <c r="M10" s="15">
        <v>43383</v>
      </c>
      <c r="N10" s="14">
        <v>43419</v>
      </c>
      <c r="O10" s="15">
        <v>43452</v>
      </c>
      <c r="P10" s="112"/>
      <c r="Q10" s="112"/>
      <c r="R10" s="112"/>
    </row>
    <row r="11" spans="1:20" ht="42.5" thickBot="1" x14ac:dyDescent="0.35">
      <c r="A11" s="3">
        <f>IF(B11&lt;&gt;"",COUNTA($B$8:B11),"")</f>
        <v>4</v>
      </c>
      <c r="B11" s="16" t="s">
        <v>36</v>
      </c>
      <c r="C11" s="13"/>
      <c r="D11" s="17">
        <v>18</v>
      </c>
      <c r="E11" s="17">
        <v>18</v>
      </c>
      <c r="F11" s="17">
        <v>18</v>
      </c>
      <c r="G11" s="17">
        <v>10</v>
      </c>
      <c r="H11" s="17">
        <v>17</v>
      </c>
      <c r="I11" s="17">
        <v>17</v>
      </c>
      <c r="J11" s="17">
        <v>16</v>
      </c>
      <c r="K11" s="17">
        <v>16</v>
      </c>
      <c r="L11" s="17">
        <v>15</v>
      </c>
      <c r="M11" s="18">
        <v>17</v>
      </c>
      <c r="N11" s="17">
        <v>18</v>
      </c>
      <c r="O11" s="18">
        <v>18</v>
      </c>
      <c r="P11" s="113"/>
      <c r="Q11" s="113"/>
      <c r="R11" s="113"/>
      <c r="T11" s="19"/>
    </row>
    <row r="12" spans="1:20" ht="14" x14ac:dyDescent="0.3">
      <c r="A12" s="3">
        <f>IF(B12&lt;&gt;"",COUNTA($B$8:B12),"")</f>
        <v>5</v>
      </c>
      <c r="B12" s="20" t="s">
        <v>37</v>
      </c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2"/>
      <c r="O12" s="23"/>
      <c r="P12" s="24"/>
      <c r="Q12" s="24"/>
      <c r="R12" s="24"/>
    </row>
    <row r="13" spans="1:20" ht="14" x14ac:dyDescent="0.3">
      <c r="A13" s="3">
        <f>IF(B13&lt;&gt;"",COUNTA($B$8:B13),"")</f>
        <v>6</v>
      </c>
      <c r="B13" s="25" t="s">
        <v>38</v>
      </c>
      <c r="C13" s="26" t="s">
        <v>39</v>
      </c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2"/>
      <c r="O13" s="23"/>
      <c r="P13" s="27"/>
      <c r="Q13" s="27"/>
      <c r="R13" s="27"/>
    </row>
    <row r="14" spans="1:20" ht="6" customHeight="1" x14ac:dyDescent="0.3">
      <c r="A14" s="3" t="str">
        <f>IF(B14&lt;&gt;"",COUNTA($B$8:B14),"")</f>
        <v/>
      </c>
      <c r="B14" s="28"/>
      <c r="C14" s="2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7"/>
      <c r="Q14" s="27"/>
      <c r="R14" s="27"/>
    </row>
    <row r="15" spans="1:20" ht="14" x14ac:dyDescent="0.3">
      <c r="A15" s="3">
        <f>IF(B15&lt;&gt;"",COUNTA($B$8:B15),"")</f>
        <v>7</v>
      </c>
      <c r="B15" s="30" t="s">
        <v>40</v>
      </c>
      <c r="C15" s="31" t="s">
        <v>41</v>
      </c>
      <c r="D15" s="32">
        <v>1101849.1657330999</v>
      </c>
      <c r="E15" s="32">
        <v>874005.13770870003</v>
      </c>
      <c r="F15" s="32">
        <v>821135.40280920011</v>
      </c>
      <c r="G15" s="32">
        <v>572135.21273450006</v>
      </c>
      <c r="H15" s="32">
        <v>844419.59620639996</v>
      </c>
      <c r="I15" s="32">
        <v>1283802.404329</v>
      </c>
      <c r="J15" s="32">
        <v>1645160.9009956</v>
      </c>
      <c r="K15" s="32">
        <v>1755738.3237989999</v>
      </c>
      <c r="L15" s="32">
        <v>1553549.6590215999</v>
      </c>
      <c r="M15" s="32">
        <v>805424.84726069996</v>
      </c>
      <c r="N15" s="32">
        <v>850627.82531720004</v>
      </c>
      <c r="O15" s="32">
        <v>920535.48705210001</v>
      </c>
      <c r="P15" s="33">
        <f>AVERAGE(D15:O15)</f>
        <v>1085698.6635805916</v>
      </c>
      <c r="Q15" s="34">
        <v>0.94840404982625059</v>
      </c>
      <c r="R15" s="33">
        <f>P15/Q15</f>
        <v>1144763.8417186153</v>
      </c>
    </row>
    <row r="16" spans="1:20" ht="14" x14ac:dyDescent="0.3">
      <c r="A16" s="3">
        <f>IF(B16&lt;&gt;"",COUNTA($B$8:B16),"")</f>
        <v>8</v>
      </c>
      <c r="B16" s="30" t="s">
        <v>40</v>
      </c>
      <c r="C16" s="31" t="s">
        <v>42</v>
      </c>
      <c r="D16" s="32">
        <v>255022.44460319998</v>
      </c>
      <c r="E16" s="32">
        <v>175808.6596861</v>
      </c>
      <c r="F16" s="32">
        <v>144128.5074614</v>
      </c>
      <c r="G16" s="32">
        <v>111621.47693439999</v>
      </c>
      <c r="H16" s="32">
        <v>63519.500883200002</v>
      </c>
      <c r="I16" s="32">
        <v>84672.2838089</v>
      </c>
      <c r="J16" s="32">
        <v>112899.48688690001</v>
      </c>
      <c r="K16" s="32">
        <v>116477.95742440001</v>
      </c>
      <c r="L16" s="32">
        <v>101979.97749610001</v>
      </c>
      <c r="M16" s="32">
        <v>61510.457692600001</v>
      </c>
      <c r="N16" s="32">
        <v>147494.58568600001</v>
      </c>
      <c r="O16" s="32">
        <v>157972.065103</v>
      </c>
      <c r="P16" s="33">
        <f t="shared" ref="P16:P34" si="0">AVERAGE(D16:O16)</f>
        <v>127758.9503055167</v>
      </c>
      <c r="Q16" s="34">
        <f>Q15</f>
        <v>0.94840404982625059</v>
      </c>
      <c r="R16" s="33">
        <f t="shared" ref="R16:R34" si="1">P16/Q16</f>
        <v>134709.41032877535</v>
      </c>
    </row>
    <row r="17" spans="1:18" ht="14" x14ac:dyDescent="0.3">
      <c r="A17" s="3">
        <f>IF(B17&lt;&gt;"",COUNTA($B$8:B17),"")</f>
        <v>9</v>
      </c>
      <c r="B17" s="30" t="s">
        <v>43</v>
      </c>
      <c r="C17" s="31" t="s">
        <v>44</v>
      </c>
      <c r="D17" s="32">
        <v>94649.363208399998</v>
      </c>
      <c r="E17" s="32">
        <v>86002.430680599995</v>
      </c>
      <c r="F17" s="32">
        <v>77563.169920700006</v>
      </c>
      <c r="G17" s="32">
        <v>66761.234349499995</v>
      </c>
      <c r="H17" s="32">
        <v>65694.843540899994</v>
      </c>
      <c r="I17" s="32">
        <v>74181.2368632</v>
      </c>
      <c r="J17" s="32">
        <v>79235.964019299994</v>
      </c>
      <c r="K17" s="32">
        <v>97294.07125790001</v>
      </c>
      <c r="L17" s="32">
        <v>92119.350386099992</v>
      </c>
      <c r="M17" s="32">
        <v>76538.2130855</v>
      </c>
      <c r="N17" s="32">
        <v>78126.31158780001</v>
      </c>
      <c r="O17" s="32">
        <v>89197.0465501</v>
      </c>
      <c r="P17" s="33">
        <f t="shared" si="0"/>
        <v>81446.936287499979</v>
      </c>
      <c r="Q17" s="35">
        <v>0.94840404982625059</v>
      </c>
      <c r="R17" s="33">
        <f t="shared" si="1"/>
        <v>85877.887491540358</v>
      </c>
    </row>
    <row r="18" spans="1:18" ht="14" x14ac:dyDescent="0.3">
      <c r="A18" s="3">
        <f>IF(B18&lt;&gt;"",COUNTA($B$8:B18),"")</f>
        <v>10</v>
      </c>
      <c r="B18" s="30" t="s">
        <v>43</v>
      </c>
      <c r="C18" s="31" t="s">
        <v>45</v>
      </c>
      <c r="D18" s="32">
        <v>1021732.2496839</v>
      </c>
      <c r="E18" s="32">
        <v>960654.34717050008</v>
      </c>
      <c r="F18" s="32">
        <v>889069.00376729993</v>
      </c>
      <c r="G18" s="32">
        <v>996553.67522470001</v>
      </c>
      <c r="H18" s="32">
        <v>1022975.908176</v>
      </c>
      <c r="I18" s="32">
        <v>1154276.3090762</v>
      </c>
      <c r="J18" s="32">
        <v>1257397.3114098001</v>
      </c>
      <c r="K18" s="32">
        <v>1334097.7665034002</v>
      </c>
      <c r="L18" s="32">
        <v>1384988.7334826998</v>
      </c>
      <c r="M18" s="32">
        <v>1040799.0049544</v>
      </c>
      <c r="N18" s="32">
        <v>894240.97368129995</v>
      </c>
      <c r="O18" s="32">
        <v>905146.35337819997</v>
      </c>
      <c r="P18" s="33">
        <f t="shared" si="0"/>
        <v>1071827.6363756999</v>
      </c>
      <c r="Q18" s="35">
        <v>0.94841936117036152</v>
      </c>
      <c r="R18" s="33">
        <f t="shared" si="1"/>
        <v>1130119.9450979691</v>
      </c>
    </row>
    <row r="19" spans="1:18" ht="14" x14ac:dyDescent="0.3">
      <c r="A19" s="3">
        <f>IF(B19&lt;&gt;"",COUNTA($B$8:B19),"")</f>
        <v>11</v>
      </c>
      <c r="B19" s="30" t="s">
        <v>43</v>
      </c>
      <c r="C19" s="31" t="s">
        <v>46</v>
      </c>
      <c r="D19" s="32">
        <v>372265.3477247</v>
      </c>
      <c r="E19" s="32">
        <v>363959.29333999997</v>
      </c>
      <c r="F19" s="32">
        <v>350012.83934309997</v>
      </c>
      <c r="G19" s="32">
        <v>368771.15609609999</v>
      </c>
      <c r="H19" s="32">
        <v>413642.95743499999</v>
      </c>
      <c r="I19" s="32">
        <v>473076.66417140001</v>
      </c>
      <c r="J19" s="32">
        <v>501254.29015000002</v>
      </c>
      <c r="K19" s="32">
        <v>520142.74883489998</v>
      </c>
      <c r="L19" s="32">
        <v>537966.64384719997</v>
      </c>
      <c r="M19" s="32">
        <v>444852.19549090002</v>
      </c>
      <c r="N19" s="32">
        <v>354440.83569829998</v>
      </c>
      <c r="O19" s="32">
        <v>353778.26435160002</v>
      </c>
      <c r="P19" s="33">
        <f t="shared" si="0"/>
        <v>421180.26970693329</v>
      </c>
      <c r="Q19" s="35">
        <v>0.9859624838981127</v>
      </c>
      <c r="R19" s="33">
        <f t="shared" si="1"/>
        <v>427176.77050119604</v>
      </c>
    </row>
    <row r="20" spans="1:18" ht="14" x14ac:dyDescent="0.3">
      <c r="A20" s="3">
        <f>IF(B20&lt;&gt;"",COUNTA($B$8:B20),"")</f>
        <v>12</v>
      </c>
      <c r="B20" s="30" t="s">
        <v>43</v>
      </c>
      <c r="C20" s="31" t="s">
        <v>47</v>
      </c>
      <c r="D20" s="32">
        <v>9641.2858486000005</v>
      </c>
      <c r="E20" s="32">
        <v>10277.4045979</v>
      </c>
      <c r="F20" s="32">
        <v>5607.7954548999996</v>
      </c>
      <c r="G20" s="32">
        <v>13273.204070899999</v>
      </c>
      <c r="H20" s="32">
        <v>10607.9020487</v>
      </c>
      <c r="I20" s="32">
        <v>9442.2766308999999</v>
      </c>
      <c r="J20" s="32">
        <v>0</v>
      </c>
      <c r="K20" s="32">
        <v>0</v>
      </c>
      <c r="L20" s="32">
        <v>10465.752607500001</v>
      </c>
      <c r="M20" s="32">
        <v>10558.1497442</v>
      </c>
      <c r="N20" s="32">
        <v>15792.802916000001</v>
      </c>
      <c r="O20" s="32">
        <v>13635.685146</v>
      </c>
      <c r="P20" s="33">
        <f t="shared" si="0"/>
        <v>9108.5215888000002</v>
      </c>
      <c r="Q20" s="35">
        <v>1</v>
      </c>
      <c r="R20" s="33">
        <f t="shared" si="1"/>
        <v>9108.5215888000002</v>
      </c>
    </row>
    <row r="21" spans="1:18" ht="14" x14ac:dyDescent="0.3">
      <c r="A21" s="3">
        <f>IF(B21&lt;&gt;"",COUNTA($B$8:B21),"")</f>
        <v>13</v>
      </c>
      <c r="B21" s="30" t="s">
        <v>48</v>
      </c>
      <c r="C21" s="31" t="s">
        <v>49</v>
      </c>
      <c r="D21" s="32">
        <v>37861.860207600002</v>
      </c>
      <c r="E21" s="32">
        <v>36561.345879499997</v>
      </c>
      <c r="F21" s="32">
        <v>32443.9513902</v>
      </c>
      <c r="G21" s="32">
        <v>33123.342421900001</v>
      </c>
      <c r="H21" s="32">
        <v>39478.863789399998</v>
      </c>
      <c r="I21" s="32">
        <v>46694.644944799998</v>
      </c>
      <c r="J21" s="32">
        <v>51201.082332600003</v>
      </c>
      <c r="K21" s="32">
        <v>53915.638039500001</v>
      </c>
      <c r="L21" s="32">
        <v>55036.5895246</v>
      </c>
      <c r="M21" s="32">
        <v>40180.274283799998</v>
      </c>
      <c r="N21" s="32">
        <v>33246.666269699999</v>
      </c>
      <c r="O21" s="32">
        <v>34648.333760699999</v>
      </c>
      <c r="P21" s="33">
        <f t="shared" si="0"/>
        <v>41199.382737025</v>
      </c>
      <c r="Q21" s="35">
        <v>0.94840404982625059</v>
      </c>
      <c r="R21" s="33">
        <f t="shared" si="1"/>
        <v>43440.749482852596</v>
      </c>
    </row>
    <row r="22" spans="1:18" ht="14" x14ac:dyDescent="0.3">
      <c r="A22" s="3">
        <f>IF(B22&lt;&gt;"",COUNTA($B$8:B22),"")</f>
        <v>14</v>
      </c>
      <c r="B22" s="30" t="s">
        <v>48</v>
      </c>
      <c r="C22" s="31" t="s">
        <v>50</v>
      </c>
      <c r="D22" s="32">
        <v>75987.270754700003</v>
      </c>
      <c r="E22" s="32">
        <v>71223.678280299995</v>
      </c>
      <c r="F22" s="32">
        <v>67525.423843500001</v>
      </c>
      <c r="G22" s="32">
        <v>70710.242122700001</v>
      </c>
      <c r="H22" s="32">
        <v>84471.034105400002</v>
      </c>
      <c r="I22" s="32">
        <v>103468.6321803</v>
      </c>
      <c r="J22" s="32">
        <v>114673.65300429999</v>
      </c>
      <c r="K22" s="32">
        <v>114097.3427254</v>
      </c>
      <c r="L22" s="32">
        <v>116218.3323519</v>
      </c>
      <c r="M22" s="32">
        <v>90744.971783899993</v>
      </c>
      <c r="N22" s="32">
        <v>67883.825253100003</v>
      </c>
      <c r="O22" s="32">
        <v>68706.088222799997</v>
      </c>
      <c r="P22" s="33">
        <f t="shared" si="0"/>
        <v>87142.541219024992</v>
      </c>
      <c r="Q22" s="35">
        <v>0.94840404982625048</v>
      </c>
      <c r="R22" s="33">
        <f t="shared" si="1"/>
        <v>91883.349965649846</v>
      </c>
    </row>
    <row r="23" spans="1:18" ht="14" x14ac:dyDescent="0.3">
      <c r="A23" s="3">
        <f>IF(B23&lt;&gt;"",COUNTA($B$8:B23),"")</f>
        <v>15</v>
      </c>
      <c r="B23" s="30" t="s">
        <v>48</v>
      </c>
      <c r="C23" s="31" t="s">
        <v>51</v>
      </c>
      <c r="D23" s="32">
        <v>68498.188882600007</v>
      </c>
      <c r="E23" s="32">
        <v>64276.574678100005</v>
      </c>
      <c r="F23" s="32">
        <v>68326.368067700008</v>
      </c>
      <c r="G23" s="32">
        <v>87729.623908799986</v>
      </c>
      <c r="H23" s="32">
        <v>86792.466670299997</v>
      </c>
      <c r="I23" s="32">
        <v>109410.8015439</v>
      </c>
      <c r="J23" s="32">
        <v>114224.5429605</v>
      </c>
      <c r="K23" s="32">
        <v>119470.4722094</v>
      </c>
      <c r="L23" s="32">
        <v>125644.5829051</v>
      </c>
      <c r="M23" s="32">
        <v>122901.58515289999</v>
      </c>
      <c r="N23" s="32">
        <v>70607.023450299996</v>
      </c>
      <c r="O23" s="32">
        <v>68576.087954699993</v>
      </c>
      <c r="P23" s="33">
        <f t="shared" si="0"/>
        <v>92204.859865358332</v>
      </c>
      <c r="Q23" s="35">
        <v>0.9859624838981127</v>
      </c>
      <c r="R23" s="33">
        <f t="shared" si="1"/>
        <v>93517.614890189463</v>
      </c>
    </row>
    <row r="24" spans="1:18" ht="14" x14ac:dyDescent="0.3">
      <c r="A24" s="3">
        <f>IF(B24&lt;&gt;"",COUNTA($B$8:B24),"")</f>
        <v>16</v>
      </c>
      <c r="B24" s="30" t="s">
        <v>48</v>
      </c>
      <c r="C24" s="31" t="s">
        <v>52</v>
      </c>
      <c r="D24" s="32">
        <v>676.89459439999996</v>
      </c>
      <c r="E24" s="32">
        <v>612.10813480000002</v>
      </c>
      <c r="F24" s="32">
        <v>572.33570950000001</v>
      </c>
      <c r="G24" s="32">
        <v>529.86384850000002</v>
      </c>
      <c r="H24" s="32">
        <v>734.62269309999999</v>
      </c>
      <c r="I24" s="32">
        <v>822.80795090000004</v>
      </c>
      <c r="J24" s="32">
        <v>872.91346250000004</v>
      </c>
      <c r="K24" s="32">
        <v>874.59507819999999</v>
      </c>
      <c r="L24" s="32">
        <v>861.27491129999999</v>
      </c>
      <c r="M24" s="32">
        <v>739.26926300000002</v>
      </c>
      <c r="N24" s="32">
        <v>575.17896770000004</v>
      </c>
      <c r="O24" s="32">
        <v>624.60962029999996</v>
      </c>
      <c r="P24" s="33">
        <f t="shared" si="0"/>
        <v>708.0395195166667</v>
      </c>
      <c r="Q24" s="35">
        <v>0.94840404982625059</v>
      </c>
      <c r="R24" s="33">
        <f t="shared" si="1"/>
        <v>746.55893724450129</v>
      </c>
    </row>
    <row r="25" spans="1:18" ht="14" x14ac:dyDescent="0.3">
      <c r="A25" s="3">
        <f>IF(B25&lt;&gt;"",COUNTA($B$8:B25),"")</f>
        <v>17</v>
      </c>
      <c r="B25" s="30" t="s">
        <v>48</v>
      </c>
      <c r="C25" s="31" t="s">
        <v>53</v>
      </c>
      <c r="D25" s="32">
        <v>1674.1600542000001</v>
      </c>
      <c r="E25" s="32">
        <v>1386.1977006</v>
      </c>
      <c r="F25" s="32">
        <v>1112.4646729000001</v>
      </c>
      <c r="G25" s="32">
        <v>962.91155349999997</v>
      </c>
      <c r="H25" s="32">
        <v>896.66532940000002</v>
      </c>
      <c r="I25" s="32">
        <v>958.39229049999994</v>
      </c>
      <c r="J25" s="32">
        <v>1221.8889153</v>
      </c>
      <c r="K25" s="32">
        <v>1242.0531768999999</v>
      </c>
      <c r="L25" s="32">
        <v>1188.2213138</v>
      </c>
      <c r="M25" s="32">
        <v>1007.74119</v>
      </c>
      <c r="N25" s="32">
        <v>1148.6369262000001</v>
      </c>
      <c r="O25" s="32">
        <v>1308.2631017000001</v>
      </c>
      <c r="P25" s="33">
        <f t="shared" si="0"/>
        <v>1175.6330187500002</v>
      </c>
      <c r="Q25" s="35">
        <v>0.94840404982625071</v>
      </c>
      <c r="R25" s="33">
        <f t="shared" si="1"/>
        <v>1239.5908884671869</v>
      </c>
    </row>
    <row r="26" spans="1:18" ht="14" x14ac:dyDescent="0.3">
      <c r="A26" s="3">
        <f>IF(B26&lt;&gt;"",COUNTA($B$8:B26),"")</f>
        <v>18</v>
      </c>
      <c r="B26" s="30" t="s">
        <v>54</v>
      </c>
      <c r="C26" s="31" t="s">
        <v>55</v>
      </c>
      <c r="D26" s="32">
        <v>145155.07138099999</v>
      </c>
      <c r="E26" s="32">
        <v>131708.96490940001</v>
      </c>
      <c r="F26" s="32">
        <v>119011.9595024</v>
      </c>
      <c r="G26" s="32">
        <v>136732.97958330001</v>
      </c>
      <c r="H26" s="32">
        <v>136679.2179431</v>
      </c>
      <c r="I26" s="32">
        <v>155578.7160707</v>
      </c>
      <c r="J26" s="32">
        <v>229352.14915410001</v>
      </c>
      <c r="K26" s="32">
        <v>243496.1154184</v>
      </c>
      <c r="L26" s="32">
        <v>246503.29275200001</v>
      </c>
      <c r="M26" s="32">
        <v>137204.0607685</v>
      </c>
      <c r="N26" s="32">
        <v>130216.4040688</v>
      </c>
      <c r="O26" s="32">
        <v>121788.5387834</v>
      </c>
      <c r="P26" s="33">
        <f t="shared" si="0"/>
        <v>161118.95586125835</v>
      </c>
      <c r="Q26" s="35">
        <v>0.94848822793603926</v>
      </c>
      <c r="R26" s="33">
        <f t="shared" si="1"/>
        <v>169869.22042444505</v>
      </c>
    </row>
    <row r="27" spans="1:18" ht="14" x14ac:dyDescent="0.3">
      <c r="A27" s="3">
        <f>IF(B27&lt;&gt;"",COUNTA($B$8:B27),"")</f>
        <v>19</v>
      </c>
      <c r="B27" s="30" t="s">
        <v>54</v>
      </c>
      <c r="C27" s="31" t="s">
        <v>50</v>
      </c>
      <c r="D27" s="32">
        <v>61618.006077600003</v>
      </c>
      <c r="E27" s="32">
        <v>58926.836034599997</v>
      </c>
      <c r="F27" s="32">
        <v>56482.719826400004</v>
      </c>
      <c r="G27" s="32">
        <v>64446.527399899998</v>
      </c>
      <c r="H27" s="32">
        <v>61588.082386100003</v>
      </c>
      <c r="I27" s="32">
        <v>64760.886224499998</v>
      </c>
      <c r="J27" s="32">
        <v>77015.803779199996</v>
      </c>
      <c r="K27" s="32">
        <v>84182.839406700004</v>
      </c>
      <c r="L27" s="32">
        <v>87954.976673700003</v>
      </c>
      <c r="M27" s="32">
        <v>66395.479572900003</v>
      </c>
      <c r="N27" s="32">
        <v>57559.5617375</v>
      </c>
      <c r="O27" s="32">
        <v>57311.412194600001</v>
      </c>
      <c r="P27" s="33">
        <f t="shared" si="0"/>
        <v>66520.260942808338</v>
      </c>
      <c r="Q27" s="35">
        <v>0.95095557570607481</v>
      </c>
      <c r="R27" s="33">
        <f t="shared" si="1"/>
        <v>69950.965788720176</v>
      </c>
    </row>
    <row r="28" spans="1:18" ht="14" x14ac:dyDescent="0.3">
      <c r="A28" s="3">
        <f>IF(B28&lt;&gt;"",COUNTA($B$8:B28),"")</f>
        <v>20</v>
      </c>
      <c r="B28" s="30" t="s">
        <v>54</v>
      </c>
      <c r="C28" s="31" t="s">
        <v>46</v>
      </c>
      <c r="D28" s="32">
        <v>47584.625866399998</v>
      </c>
      <c r="E28" s="32">
        <v>50566.249586600003</v>
      </c>
      <c r="F28" s="32">
        <v>48797.112025800001</v>
      </c>
      <c r="G28" s="32">
        <v>53552.189880999998</v>
      </c>
      <c r="H28" s="32">
        <v>58203.403505200004</v>
      </c>
      <c r="I28" s="32">
        <v>61235.5358433</v>
      </c>
      <c r="J28" s="32">
        <v>59686.338499700003</v>
      </c>
      <c r="K28" s="32">
        <v>66695.153971799999</v>
      </c>
      <c r="L28" s="32">
        <v>72235.1361168</v>
      </c>
      <c r="M28" s="32">
        <v>57424.681281500001</v>
      </c>
      <c r="N28" s="32">
        <v>49111.108632900003</v>
      </c>
      <c r="O28" s="32">
        <v>46783.880533800002</v>
      </c>
      <c r="P28" s="33">
        <f t="shared" si="0"/>
        <v>55989.617978733346</v>
      </c>
      <c r="Q28" s="35">
        <v>0.96854394181035897</v>
      </c>
      <c r="R28" s="33">
        <f t="shared" si="1"/>
        <v>57808.030758088331</v>
      </c>
    </row>
    <row r="29" spans="1:18" ht="14" x14ac:dyDescent="0.3">
      <c r="A29" s="3">
        <f>IF(B29&lt;&gt;"",COUNTA($B$8:B29),"")</f>
        <v>21</v>
      </c>
      <c r="B29" s="30" t="s">
        <v>54</v>
      </c>
      <c r="C29" s="31" t="s">
        <v>52</v>
      </c>
      <c r="D29" s="32">
        <v>216.18915920000001</v>
      </c>
      <c r="E29" s="32">
        <v>242.55749220000001</v>
      </c>
      <c r="F29" s="32">
        <v>262.25227080000002</v>
      </c>
      <c r="G29" s="32">
        <v>563.5965516</v>
      </c>
      <c r="H29" s="32">
        <v>203.36629980000001</v>
      </c>
      <c r="I29" s="32">
        <v>226.77333150000001</v>
      </c>
      <c r="J29" s="32">
        <v>247.72914270000001</v>
      </c>
      <c r="K29" s="32">
        <v>287.61461150000002</v>
      </c>
      <c r="L29" s="32">
        <v>360.57030559999998</v>
      </c>
      <c r="M29" s="32">
        <v>172.91732200000001</v>
      </c>
      <c r="N29" s="32">
        <v>284.9508573</v>
      </c>
      <c r="O29" s="32">
        <v>273.72908419999999</v>
      </c>
      <c r="P29" s="33">
        <f t="shared" si="0"/>
        <v>278.52053569999998</v>
      </c>
      <c r="Q29" s="35">
        <v>0.9506626704854837</v>
      </c>
      <c r="R29" s="33">
        <f t="shared" si="1"/>
        <v>292.97514707058531</v>
      </c>
    </row>
    <row r="30" spans="1:18" ht="14" x14ac:dyDescent="0.3">
      <c r="A30" s="3">
        <f>IF(B30&lt;&gt;"",COUNTA($B$8:B30),"")</f>
        <v>22</v>
      </c>
      <c r="B30" s="30" t="s">
        <v>54</v>
      </c>
      <c r="C30" s="31" t="s">
        <v>53</v>
      </c>
      <c r="D30" s="32">
        <v>4194.4015491999999</v>
      </c>
      <c r="E30" s="32">
        <v>2833.2688063000001</v>
      </c>
      <c r="F30" s="32">
        <v>1942.2090264999999</v>
      </c>
      <c r="G30" s="32">
        <v>2141.7653836999998</v>
      </c>
      <c r="H30" s="32">
        <v>1348.1715509999999</v>
      </c>
      <c r="I30" s="32">
        <v>1605.9122870000001</v>
      </c>
      <c r="J30" s="32">
        <v>2652.9327813999998</v>
      </c>
      <c r="K30" s="32">
        <v>2728.9135145999999</v>
      </c>
      <c r="L30" s="32">
        <v>2685.1082971000001</v>
      </c>
      <c r="M30" s="32">
        <v>1262.6204579</v>
      </c>
      <c r="N30" s="32">
        <v>2004.9205523000001</v>
      </c>
      <c r="O30" s="32">
        <v>2160.9022645</v>
      </c>
      <c r="P30" s="33">
        <f t="shared" si="0"/>
        <v>2296.7605392916666</v>
      </c>
      <c r="Q30" s="35">
        <v>0.94840404982625059</v>
      </c>
      <c r="R30" s="33">
        <f t="shared" si="1"/>
        <v>2421.711020437373</v>
      </c>
    </row>
    <row r="31" spans="1:18" ht="14" x14ac:dyDescent="0.3">
      <c r="A31" s="3">
        <f>IF(B31&lt;&gt;"",COUNTA($B$8:B31),"")</f>
        <v>23</v>
      </c>
      <c r="B31" s="30" t="s">
        <v>54</v>
      </c>
      <c r="C31" s="31" t="s">
        <v>56</v>
      </c>
      <c r="D31" s="32">
        <v>1066.6168283</v>
      </c>
      <c r="E31" s="32">
        <v>901.24271629999998</v>
      </c>
      <c r="F31" s="32">
        <v>790.95481340000003</v>
      </c>
      <c r="G31" s="32">
        <v>1057.8399899000001</v>
      </c>
      <c r="H31" s="32">
        <v>350.6115949</v>
      </c>
      <c r="I31" s="32">
        <v>333.4043724</v>
      </c>
      <c r="J31" s="32">
        <v>257.64639929999998</v>
      </c>
      <c r="K31" s="32">
        <v>614.03223000000003</v>
      </c>
      <c r="L31" s="32">
        <v>645.21310300000005</v>
      </c>
      <c r="M31" s="32">
        <v>454.43235379999999</v>
      </c>
      <c r="N31" s="32">
        <v>937.73588629999995</v>
      </c>
      <c r="O31" s="32">
        <v>1003.908628</v>
      </c>
      <c r="P31" s="33">
        <f t="shared" si="0"/>
        <v>701.1365763</v>
      </c>
      <c r="Q31" s="35">
        <v>0.94840404982625059</v>
      </c>
      <c r="R31" s="33">
        <f t="shared" si="1"/>
        <v>739.28045375644433</v>
      </c>
    </row>
    <row r="32" spans="1:18" ht="14" x14ac:dyDescent="0.3">
      <c r="A32" s="3">
        <f>IF(B32&lt;&gt;"",COUNTA($B$8:B32),"")</f>
        <v>24</v>
      </c>
      <c r="B32" s="30" t="s">
        <v>54</v>
      </c>
      <c r="C32" s="31" t="s">
        <v>57</v>
      </c>
      <c r="D32" s="32">
        <v>6492.0997868000004</v>
      </c>
      <c r="E32" s="32">
        <v>6359.7956806000002</v>
      </c>
      <c r="F32" s="32">
        <v>5856.8277172999997</v>
      </c>
      <c r="G32" s="32">
        <v>5801.9012825999998</v>
      </c>
      <c r="H32" s="32">
        <v>6848.1854561</v>
      </c>
      <c r="I32" s="32">
        <v>7091.4810106000004</v>
      </c>
      <c r="J32" s="32">
        <v>8021.3785181000003</v>
      </c>
      <c r="K32" s="32">
        <v>8211.8357914999997</v>
      </c>
      <c r="L32" s="32">
        <v>8106.7863114000002</v>
      </c>
      <c r="M32" s="32">
        <v>7511.5042810000004</v>
      </c>
      <c r="N32" s="32">
        <v>6307.2243589</v>
      </c>
      <c r="O32" s="32">
        <v>6590.1383930000002</v>
      </c>
      <c r="P32" s="33">
        <f t="shared" si="0"/>
        <v>6933.263215658334</v>
      </c>
      <c r="Q32" s="35">
        <v>0.94840404982625071</v>
      </c>
      <c r="R32" s="33">
        <f t="shared" si="1"/>
        <v>7310.4529835448511</v>
      </c>
    </row>
    <row r="33" spans="1:21" ht="14" x14ac:dyDescent="0.3">
      <c r="A33" s="3">
        <f>IF(B33&lt;&gt;"",COUNTA($B$8:B33),"")</f>
        <v>25</v>
      </c>
      <c r="B33" s="30" t="s">
        <v>54</v>
      </c>
      <c r="C33" s="31" t="s">
        <v>58</v>
      </c>
      <c r="D33" s="32">
        <v>217.04237879999999</v>
      </c>
      <c r="E33" s="32">
        <v>225.19764599999999</v>
      </c>
      <c r="F33" s="32">
        <v>194.97121079999999</v>
      </c>
      <c r="G33" s="32">
        <v>190.40998060000001</v>
      </c>
      <c r="H33" s="32">
        <v>370.51318229999998</v>
      </c>
      <c r="I33" s="32">
        <v>419.93279560000002</v>
      </c>
      <c r="J33" s="32">
        <v>652.43229359999998</v>
      </c>
      <c r="K33" s="32">
        <v>610.33041949999995</v>
      </c>
      <c r="L33" s="32">
        <v>545.64240749999999</v>
      </c>
      <c r="M33" s="32">
        <v>381.32899329999998</v>
      </c>
      <c r="N33" s="32">
        <v>318.59783470000002</v>
      </c>
      <c r="O33" s="32">
        <v>158.3160776</v>
      </c>
      <c r="P33" s="33">
        <f t="shared" si="0"/>
        <v>357.05960169166673</v>
      </c>
      <c r="Q33" s="35">
        <v>0.94840404982625071</v>
      </c>
      <c r="R33" s="33">
        <f t="shared" si="1"/>
        <v>376.4846868347733</v>
      </c>
    </row>
    <row r="34" spans="1:21" ht="14" x14ac:dyDescent="0.3">
      <c r="A34" s="3">
        <f>IF(B34&lt;&gt;"",COUNTA($B$8:B34),"")</f>
        <v>26</v>
      </c>
      <c r="B34" s="30" t="s">
        <v>40</v>
      </c>
      <c r="C34" s="31" t="s">
        <v>59</v>
      </c>
      <c r="D34" s="32">
        <v>21063.757687190475</v>
      </c>
      <c r="E34" s="32">
        <v>11234.004099834921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21063.757687190475</v>
      </c>
      <c r="O34" s="32">
        <v>21063.757687190475</v>
      </c>
      <c r="P34" s="33">
        <f t="shared" si="0"/>
        <v>6202.1064301171964</v>
      </c>
      <c r="Q34" s="36">
        <f>Q16</f>
        <v>0.94840404982625059</v>
      </c>
      <c r="R34" s="33">
        <f t="shared" si="1"/>
        <v>6539.5191334889741</v>
      </c>
      <c r="U34" s="35"/>
    </row>
    <row r="35" spans="1:21" ht="14" x14ac:dyDescent="0.3">
      <c r="A35" s="3" t="str">
        <f>IF(B35&lt;&gt;"",COUNTA($B$8:B35),"")</f>
        <v/>
      </c>
      <c r="B35" s="30"/>
      <c r="C35" s="31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37"/>
      <c r="O35" s="38"/>
      <c r="P35" s="33"/>
      <c r="Q35" s="27"/>
      <c r="R35" s="39"/>
    </row>
    <row r="36" spans="1:21" ht="14.5" thickBot="1" x14ac:dyDescent="0.35">
      <c r="A36" s="3">
        <f>IF(B36&lt;&gt;"",COUNTA($B$8:B36),"")</f>
        <v>27</v>
      </c>
      <c r="B36" s="40" t="s">
        <v>60</v>
      </c>
      <c r="C36" s="41" t="s">
        <v>61</v>
      </c>
      <c r="D36" s="42">
        <v>3306402.2843227</v>
      </c>
      <c r="E36" s="42">
        <v>2896531.2907290999</v>
      </c>
      <c r="F36" s="42">
        <v>2690836.2688337998</v>
      </c>
      <c r="G36" s="42">
        <v>2586659.1533181006</v>
      </c>
      <c r="H36" s="42">
        <v>2898825.9127963004</v>
      </c>
      <c r="I36" s="42">
        <v>3632059.0957256001</v>
      </c>
      <c r="J36" s="42">
        <v>4256028.4447048996</v>
      </c>
      <c r="K36" s="42">
        <v>4520177.8044130001</v>
      </c>
      <c r="L36" s="42">
        <v>4399055.8438150007</v>
      </c>
      <c r="M36" s="42">
        <v>2966063.7349328003</v>
      </c>
      <c r="N36" s="42">
        <v>2760925.1696822997</v>
      </c>
      <c r="O36" s="43">
        <v>2850199.1102002994</v>
      </c>
      <c r="P36" s="44">
        <f t="shared" ref="P36" si="2">SUM(P15:P34)</f>
        <v>3319849.1158862757</v>
      </c>
      <c r="Q36" s="45"/>
      <c r="R36" s="44">
        <f>SUM(R15:R34)</f>
        <v>3477892.8812876856</v>
      </c>
    </row>
    <row r="37" spans="1:21" ht="14" x14ac:dyDescent="0.3">
      <c r="A37" s="3" t="str">
        <f>IF(B37&lt;&gt;"",COUNTA($B$8:B37),"")</f>
        <v/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21" ht="14" x14ac:dyDescent="0.3"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21" ht="14.5" thickBot="1" x14ac:dyDescent="0.35">
      <c r="A39" s="3">
        <f>IF(B39&lt;&gt;"",COUNTA($B$8:B39),"")</f>
        <v>28</v>
      </c>
      <c r="B39" s="48" t="s">
        <v>62</v>
      </c>
      <c r="O39" s="46"/>
    </row>
    <row r="40" spans="1:21" ht="14.25" customHeight="1" x14ac:dyDescent="0.3">
      <c r="A40" s="3">
        <f>IF(B40&lt;&gt;"",COUNTA($B$8:B40),"")</f>
        <v>29</v>
      </c>
      <c r="B40" s="8" t="s">
        <v>19</v>
      </c>
      <c r="C40" s="9"/>
      <c r="D40" s="10" t="s">
        <v>20</v>
      </c>
      <c r="E40" s="10" t="s">
        <v>21</v>
      </c>
      <c r="F40" s="10" t="s">
        <v>22</v>
      </c>
      <c r="G40" s="10" t="s">
        <v>23</v>
      </c>
      <c r="H40" s="10" t="s">
        <v>24</v>
      </c>
      <c r="I40" s="10" t="s">
        <v>25</v>
      </c>
      <c r="J40" s="10" t="s">
        <v>26</v>
      </c>
      <c r="K40" s="10" t="s">
        <v>27</v>
      </c>
      <c r="L40" s="10" t="s">
        <v>28</v>
      </c>
      <c r="M40" s="11" t="s">
        <v>29</v>
      </c>
      <c r="N40" s="10" t="s">
        <v>30</v>
      </c>
      <c r="O40" s="11" t="s">
        <v>31</v>
      </c>
      <c r="P40" s="109" t="s">
        <v>32</v>
      </c>
      <c r="Q40" s="109" t="s">
        <v>33</v>
      </c>
      <c r="R40" s="109" t="s">
        <v>34</v>
      </c>
    </row>
    <row r="41" spans="1:21" ht="14" x14ac:dyDescent="0.3">
      <c r="A41" s="3">
        <f>IF(B41&lt;&gt;"",COUNTA($B$8:B41),"")</f>
        <v>30</v>
      </c>
      <c r="B41" s="12" t="s">
        <v>35</v>
      </c>
      <c r="C41" s="13"/>
      <c r="D41" s="14">
        <v>43105</v>
      </c>
      <c r="E41" s="14">
        <v>43138</v>
      </c>
      <c r="F41" s="14">
        <v>43166</v>
      </c>
      <c r="G41" s="14">
        <v>43193</v>
      </c>
      <c r="H41" s="14">
        <v>43249</v>
      </c>
      <c r="I41" s="14">
        <v>43269</v>
      </c>
      <c r="J41" s="14">
        <v>43283</v>
      </c>
      <c r="K41" s="14">
        <v>43341</v>
      </c>
      <c r="L41" s="14">
        <v>43349</v>
      </c>
      <c r="M41" s="15">
        <v>43383</v>
      </c>
      <c r="N41" s="14">
        <v>43419</v>
      </c>
      <c r="O41" s="15">
        <v>43452</v>
      </c>
      <c r="P41" s="112"/>
      <c r="Q41" s="112"/>
      <c r="R41" s="112"/>
    </row>
    <row r="42" spans="1:21" ht="42.5" thickBot="1" x14ac:dyDescent="0.35">
      <c r="A42" s="3">
        <f>IF(B42&lt;&gt;"",COUNTA($B$8:B42),"")</f>
        <v>31</v>
      </c>
      <c r="B42" s="16" t="s">
        <v>36</v>
      </c>
      <c r="C42" s="13"/>
      <c r="D42" s="17">
        <v>18</v>
      </c>
      <c r="E42" s="17">
        <v>18</v>
      </c>
      <c r="F42" s="17">
        <v>18</v>
      </c>
      <c r="G42" s="17">
        <v>19</v>
      </c>
      <c r="H42" s="17">
        <v>17</v>
      </c>
      <c r="I42" s="17">
        <v>16</v>
      </c>
      <c r="J42" s="17">
        <v>16</v>
      </c>
      <c r="K42" s="17">
        <v>16</v>
      </c>
      <c r="L42" s="17">
        <v>14</v>
      </c>
      <c r="M42" s="18">
        <v>18</v>
      </c>
      <c r="N42" s="17">
        <v>18</v>
      </c>
      <c r="O42" s="18">
        <v>18</v>
      </c>
      <c r="P42" s="113"/>
      <c r="Q42" s="113"/>
      <c r="R42" s="113"/>
    </row>
    <row r="43" spans="1:21" ht="14" x14ac:dyDescent="0.3">
      <c r="A43" s="3">
        <f>IF(B43&lt;&gt;"",COUNTA($B$8:B43),"")</f>
        <v>32</v>
      </c>
      <c r="B43" s="20" t="s">
        <v>37</v>
      </c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22"/>
      <c r="O43" s="23"/>
      <c r="P43" s="24"/>
      <c r="Q43" s="24"/>
      <c r="R43" s="24"/>
    </row>
    <row r="44" spans="1:21" ht="14" x14ac:dyDescent="0.3">
      <c r="A44" s="3">
        <f>IF(B44&lt;&gt;"",COUNTA($B$8:B44),"")</f>
        <v>33</v>
      </c>
      <c r="B44" s="25" t="s">
        <v>38</v>
      </c>
      <c r="C44" s="26" t="s">
        <v>39</v>
      </c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2"/>
      <c r="O44" s="23"/>
      <c r="P44" s="27"/>
      <c r="Q44" s="27"/>
      <c r="R44" s="27"/>
    </row>
    <row r="45" spans="1:21" ht="14" x14ac:dyDescent="0.3">
      <c r="A45" s="3" t="str">
        <f>IF(B45&lt;&gt;"",COUNTA($B$8:B45),"")</f>
        <v/>
      </c>
      <c r="B45" s="28"/>
      <c r="C45" s="2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7"/>
      <c r="Q45" s="27"/>
      <c r="R45" s="27"/>
    </row>
    <row r="46" spans="1:21" ht="14" x14ac:dyDescent="0.3">
      <c r="A46" s="3">
        <f>IF(B46&lt;&gt;"",COUNTA($B$8:B46),"")</f>
        <v>34</v>
      </c>
      <c r="B46" s="30" t="s">
        <v>63</v>
      </c>
      <c r="C46" s="31" t="s">
        <v>41</v>
      </c>
      <c r="D46" s="32">
        <v>205543.66942240001</v>
      </c>
      <c r="E46" s="32">
        <v>190514.57338740001</v>
      </c>
      <c r="F46" s="32">
        <v>178148.61800849999</v>
      </c>
      <c r="G46" s="32">
        <v>161918.41076699999</v>
      </c>
      <c r="H46" s="32">
        <v>180096.46772800002</v>
      </c>
      <c r="I46" s="32">
        <v>248492.62450439998</v>
      </c>
      <c r="J46" s="32">
        <v>295981.14376989997</v>
      </c>
      <c r="K46" s="32">
        <v>300737.15442989999</v>
      </c>
      <c r="L46" s="32">
        <v>259413.28674240003</v>
      </c>
      <c r="M46" s="32">
        <v>165743.20616929999</v>
      </c>
      <c r="N46" s="32">
        <v>159003.21811799999</v>
      </c>
      <c r="O46" s="32">
        <v>190985.67979069997</v>
      </c>
      <c r="P46" s="33">
        <f t="shared" ref="P46:P54" si="3">AVERAGE(D46:O46)</f>
        <v>211381.50440315829</v>
      </c>
      <c r="Q46" s="34">
        <v>0.94840000000000002</v>
      </c>
      <c r="R46" s="33">
        <f t="shared" ref="R46:R54" si="4">P46/Q46</f>
        <v>222882.22733357054</v>
      </c>
    </row>
    <row r="47" spans="1:21" ht="14" x14ac:dyDescent="0.3">
      <c r="A47" s="3">
        <f>IF(B47&lt;&gt;"",COUNTA($B$8:B47),"")</f>
        <v>35</v>
      </c>
      <c r="B47" s="30" t="s">
        <v>63</v>
      </c>
      <c r="C47" s="31" t="s">
        <v>42</v>
      </c>
      <c r="D47" s="32">
        <v>69501.336255700007</v>
      </c>
      <c r="E47" s="32">
        <v>57681.984601899996</v>
      </c>
      <c r="F47" s="32">
        <v>47428.399157500004</v>
      </c>
      <c r="G47" s="32">
        <v>40440.3343054</v>
      </c>
      <c r="H47" s="32">
        <v>23856.1093726</v>
      </c>
      <c r="I47" s="32">
        <v>28927.374738300001</v>
      </c>
      <c r="J47" s="32">
        <v>33158.337977999996</v>
      </c>
      <c r="K47" s="32">
        <v>34776.397451199999</v>
      </c>
      <c r="L47" s="32">
        <v>28451.735924299999</v>
      </c>
      <c r="M47" s="32">
        <v>24346.332352699999</v>
      </c>
      <c r="N47" s="32">
        <v>49534.804517500001</v>
      </c>
      <c r="O47" s="32">
        <v>55282.270115699997</v>
      </c>
      <c r="P47" s="33">
        <f t="shared" si="3"/>
        <v>41115.45139756667</v>
      </c>
      <c r="Q47" s="34">
        <f t="shared" ref="Q47" si="5">Q46</f>
        <v>0.94840000000000002</v>
      </c>
      <c r="R47" s="33">
        <f t="shared" si="4"/>
        <v>43352.437154751868</v>
      </c>
    </row>
    <row r="48" spans="1:21" ht="14" x14ac:dyDescent="0.3">
      <c r="A48" s="3">
        <f>IF(B48&lt;&gt;"",COUNTA($B$8:B48),"")</f>
        <v>36</v>
      </c>
      <c r="B48" s="30" t="s">
        <v>63</v>
      </c>
      <c r="C48" s="31">
        <v>23</v>
      </c>
      <c r="D48" s="32">
        <v>33.930550699999998</v>
      </c>
      <c r="E48" s="32">
        <v>25.9417559</v>
      </c>
      <c r="F48" s="32">
        <v>32.435380100000003</v>
      </c>
      <c r="G48" s="32">
        <v>29.041233699999999</v>
      </c>
      <c r="H48" s="32">
        <v>22.503954799999999</v>
      </c>
      <c r="I48" s="32">
        <v>24.2064849</v>
      </c>
      <c r="J48" s="32">
        <v>30.514576999999999</v>
      </c>
      <c r="K48" s="32">
        <v>18.0293566</v>
      </c>
      <c r="L48" s="32">
        <v>24.271966800000001</v>
      </c>
      <c r="M48" s="32">
        <v>20.5504107</v>
      </c>
      <c r="N48" s="32">
        <v>19.8737642</v>
      </c>
      <c r="O48" s="32">
        <v>21.881876500000001</v>
      </c>
      <c r="P48" s="33">
        <f t="shared" si="3"/>
        <v>25.265109324999997</v>
      </c>
      <c r="Q48" s="35">
        <v>0.929995798907716</v>
      </c>
      <c r="R48" s="33">
        <f t="shared" si="4"/>
        <v>27.166906941594764</v>
      </c>
    </row>
    <row r="49" spans="1:18" ht="14" x14ac:dyDescent="0.3">
      <c r="A49" s="3">
        <f>IF(B49&lt;&gt;"",COUNTA($B$8:B49),"")</f>
        <v>37</v>
      </c>
      <c r="B49" s="30" t="s">
        <v>63</v>
      </c>
      <c r="C49" s="31">
        <v>24</v>
      </c>
      <c r="D49" s="32">
        <v>1159.8925161</v>
      </c>
      <c r="E49" s="32">
        <v>770.59784609999997</v>
      </c>
      <c r="F49" s="32">
        <v>696.80057829999998</v>
      </c>
      <c r="G49" s="32">
        <v>810.11464950000004</v>
      </c>
      <c r="H49" s="32">
        <v>822.97339179999994</v>
      </c>
      <c r="I49" s="32">
        <v>880.21209309999995</v>
      </c>
      <c r="J49" s="32">
        <v>1257.1173342</v>
      </c>
      <c r="K49" s="32">
        <v>1508.7424699000001</v>
      </c>
      <c r="L49" s="32">
        <v>1273.6878577</v>
      </c>
      <c r="M49" s="32">
        <v>874.19564390000005</v>
      </c>
      <c r="N49" s="32">
        <v>806.77922330000001</v>
      </c>
      <c r="O49" s="32">
        <v>906.79736449999996</v>
      </c>
      <c r="P49" s="33">
        <f t="shared" si="3"/>
        <v>980.65924736666682</v>
      </c>
      <c r="Q49" s="35">
        <v>0.92999579890771611</v>
      </c>
      <c r="R49" s="33">
        <f t="shared" si="4"/>
        <v>1054.4770723894185</v>
      </c>
    </row>
    <row r="50" spans="1:18" ht="14" x14ac:dyDescent="0.3">
      <c r="A50" s="3">
        <f>IF(B50&lt;&gt;"",COUNTA($B$8:B50),"")</f>
        <v>38</v>
      </c>
      <c r="B50" s="30" t="s">
        <v>63</v>
      </c>
      <c r="C50" s="31" t="s">
        <v>64</v>
      </c>
      <c r="D50" s="32">
        <v>106002.2389788</v>
      </c>
      <c r="E50" s="32">
        <v>79992.883593400009</v>
      </c>
      <c r="F50" s="32">
        <v>71431.640719000003</v>
      </c>
      <c r="G50" s="32">
        <v>69821.3886451</v>
      </c>
      <c r="H50" s="32">
        <v>84761.9205564</v>
      </c>
      <c r="I50" s="32">
        <v>110186.70434380001</v>
      </c>
      <c r="J50" s="32">
        <v>115597.12733820001</v>
      </c>
      <c r="K50" s="32">
        <v>119270.9975845</v>
      </c>
      <c r="L50" s="32">
        <v>133951.28056690001</v>
      </c>
      <c r="M50" s="32">
        <v>78566.902677899998</v>
      </c>
      <c r="N50" s="32">
        <v>82867.549378099997</v>
      </c>
      <c r="O50" s="32">
        <v>85498.892695599992</v>
      </c>
      <c r="P50" s="33">
        <f t="shared" si="3"/>
        <v>94829.127256475025</v>
      </c>
      <c r="Q50" s="35">
        <v>0.93011974112061879</v>
      </c>
      <c r="R50" s="33">
        <f t="shared" si="4"/>
        <v>101953.67656880803</v>
      </c>
    </row>
    <row r="51" spans="1:18" ht="14" x14ac:dyDescent="0.3">
      <c r="A51" s="3">
        <f>IF(B51&lt;&gt;"",COUNTA($B$8:B51),"")</f>
        <v>39</v>
      </c>
      <c r="B51" s="30" t="s">
        <v>63</v>
      </c>
      <c r="C51" s="31" t="s">
        <v>65</v>
      </c>
      <c r="D51" s="32">
        <v>57486.5008561</v>
      </c>
      <c r="E51" s="32">
        <v>49372.0513622</v>
      </c>
      <c r="F51" s="32">
        <v>46291.065766</v>
      </c>
      <c r="G51" s="32">
        <v>44210.978778900004</v>
      </c>
      <c r="H51" s="32">
        <v>51592.942316499997</v>
      </c>
      <c r="I51" s="32">
        <v>62952.770304199999</v>
      </c>
      <c r="J51" s="32">
        <v>61638.079043099999</v>
      </c>
      <c r="K51" s="32">
        <v>68641.419189600012</v>
      </c>
      <c r="L51" s="32">
        <v>77195.551590699994</v>
      </c>
      <c r="M51" s="32">
        <v>48651.670434300002</v>
      </c>
      <c r="N51" s="32">
        <v>49875.984138700005</v>
      </c>
      <c r="O51" s="32">
        <v>51434.544483099999</v>
      </c>
      <c r="P51" s="33">
        <f t="shared" si="3"/>
        <v>55778.629855283332</v>
      </c>
      <c r="Q51" s="35">
        <v>0.93191995492824298</v>
      </c>
      <c r="R51" s="33">
        <f t="shared" si="4"/>
        <v>59853.45582558991</v>
      </c>
    </row>
    <row r="52" spans="1:18" ht="14" x14ac:dyDescent="0.3">
      <c r="A52" s="3">
        <f>IF(B52&lt;&gt;"",COUNTA($B$8:B52),"")</f>
        <v>40</v>
      </c>
      <c r="B52" s="30" t="s">
        <v>63</v>
      </c>
      <c r="C52" s="31" t="s">
        <v>66</v>
      </c>
      <c r="D52" s="32">
        <v>92397.074260900001</v>
      </c>
      <c r="E52" s="32">
        <v>85182.399611300003</v>
      </c>
      <c r="F52" s="32">
        <v>74603.299208199998</v>
      </c>
      <c r="G52" s="32">
        <v>84029.346350899999</v>
      </c>
      <c r="H52" s="32">
        <v>100383.8684147</v>
      </c>
      <c r="I52" s="32">
        <v>116550.4992112</v>
      </c>
      <c r="J52" s="32">
        <v>115544.49601839999</v>
      </c>
      <c r="K52" s="32">
        <v>118156.4591559</v>
      </c>
      <c r="L52" s="32">
        <v>131841.81253210001</v>
      </c>
      <c r="M52" s="32">
        <v>95711.591513499996</v>
      </c>
      <c r="N52" s="32">
        <v>89045.521733400004</v>
      </c>
      <c r="O52" s="32">
        <v>88062.741268500002</v>
      </c>
      <c r="P52" s="33">
        <f t="shared" si="3"/>
        <v>99292.425773249997</v>
      </c>
      <c r="Q52" s="35">
        <v>0.94145582207348555</v>
      </c>
      <c r="R52" s="33">
        <f t="shared" si="4"/>
        <v>105466.89865337059</v>
      </c>
    </row>
    <row r="53" spans="1:18" ht="14" x14ac:dyDescent="0.3">
      <c r="A53" s="3">
        <f>IF(B53&lt;&gt;"",COUNTA($B$8:B53),"")</f>
        <v>41</v>
      </c>
      <c r="B53" s="30" t="s">
        <v>63</v>
      </c>
      <c r="C53" s="31" t="s">
        <v>67</v>
      </c>
      <c r="D53" s="32">
        <v>58912.642644200001</v>
      </c>
      <c r="E53" s="32">
        <v>52718.197508899997</v>
      </c>
      <c r="F53" s="32">
        <v>47351.700774099998</v>
      </c>
      <c r="G53" s="32">
        <v>48955.256789999999</v>
      </c>
      <c r="H53" s="32">
        <v>58663.711149700001</v>
      </c>
      <c r="I53" s="32">
        <v>73677.913183800003</v>
      </c>
      <c r="J53" s="32">
        <v>63490.720539299997</v>
      </c>
      <c r="K53" s="32">
        <v>70621.510027900003</v>
      </c>
      <c r="L53" s="32">
        <v>79644.5590409</v>
      </c>
      <c r="M53" s="32">
        <v>77566.900444400002</v>
      </c>
      <c r="N53" s="32">
        <v>52087.926007599999</v>
      </c>
      <c r="O53" s="32">
        <v>52487.231019899999</v>
      </c>
      <c r="P53" s="33">
        <f t="shared" si="3"/>
        <v>61348.189094225003</v>
      </c>
      <c r="Q53" s="35">
        <v>0.98134717504443669</v>
      </c>
      <c r="R53" s="33">
        <f t="shared" si="4"/>
        <v>62514.256579428249</v>
      </c>
    </row>
    <row r="54" spans="1:18" ht="14" x14ac:dyDescent="0.3">
      <c r="A54" s="3">
        <f>IF(B54&lt;&gt;"",COUNTA($B$8:B54),"")</f>
        <v>42</v>
      </c>
      <c r="B54" s="30" t="s">
        <v>63</v>
      </c>
      <c r="C54" s="31" t="s">
        <v>59</v>
      </c>
      <c r="D54" s="32">
        <v>6960.6377124498003</v>
      </c>
      <c r="E54" s="32">
        <v>2361.6449381526104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7457.8261204819282</v>
      </c>
      <c r="O54" s="32">
        <v>7457.8261204819282</v>
      </c>
      <c r="P54" s="33">
        <f t="shared" si="3"/>
        <v>2019.8279076305223</v>
      </c>
      <c r="Q54" s="36">
        <v>0.94840000000000002</v>
      </c>
      <c r="R54" s="33">
        <f t="shared" si="4"/>
        <v>2129.7215390452575</v>
      </c>
    </row>
    <row r="55" spans="1:18" ht="14" x14ac:dyDescent="0.3">
      <c r="A55" s="3" t="str">
        <f>IF(B55&lt;&gt;"",COUNTA($B$8:B55),"")</f>
        <v/>
      </c>
      <c r="B55" s="30"/>
      <c r="C55" s="31"/>
      <c r="D55" s="37"/>
      <c r="E55" s="37"/>
      <c r="F55" s="37"/>
      <c r="G55" s="37"/>
      <c r="H55" s="37"/>
      <c r="I55" s="37"/>
      <c r="J55" s="37"/>
      <c r="K55" s="37"/>
      <c r="L55" s="37"/>
      <c r="M55" s="38"/>
      <c r="N55" s="37"/>
      <c r="O55" s="38"/>
      <c r="P55" s="33"/>
      <c r="Q55" s="27"/>
      <c r="R55" s="39"/>
    </row>
    <row r="56" spans="1:18" ht="14.5" thickBot="1" x14ac:dyDescent="0.35">
      <c r="A56" s="3">
        <f>IF(B56&lt;&gt;"",COUNTA($B$8:B56),"")</f>
        <v>43</v>
      </c>
      <c r="B56" s="40" t="s">
        <v>60</v>
      </c>
      <c r="C56" s="41" t="s">
        <v>61</v>
      </c>
      <c r="D56" s="42">
        <v>591037.28548490012</v>
      </c>
      <c r="E56" s="42">
        <v>516258.62966710009</v>
      </c>
      <c r="F56" s="42">
        <v>465983.9595917</v>
      </c>
      <c r="G56" s="42">
        <v>450214.87152050005</v>
      </c>
      <c r="H56" s="42">
        <v>500200.49688450003</v>
      </c>
      <c r="I56" s="42">
        <v>641692.30486369994</v>
      </c>
      <c r="J56" s="42">
        <v>686697.53659809998</v>
      </c>
      <c r="K56" s="42">
        <v>713730.70966549998</v>
      </c>
      <c r="L56" s="42">
        <v>711796.18622179993</v>
      </c>
      <c r="M56" s="42">
        <v>491481.34964669996</v>
      </c>
      <c r="N56" s="42">
        <v>483241.65688079997</v>
      </c>
      <c r="O56" s="43">
        <v>524680.03861449996</v>
      </c>
      <c r="P56" s="44">
        <f t="shared" ref="P56" si="6">SUM(P46:P54)</f>
        <v>566771.0800442805</v>
      </c>
      <c r="Q56" s="45"/>
      <c r="R56" s="44">
        <f>SUM(R46:R54)</f>
        <v>599234.31763389532</v>
      </c>
    </row>
    <row r="58" spans="1:18" ht="14" x14ac:dyDescent="0.3">
      <c r="A58" s="3"/>
      <c r="B58" s="49" t="s">
        <v>68</v>
      </c>
    </row>
    <row r="59" spans="1:18" ht="14" x14ac:dyDescent="0.3">
      <c r="B59" s="50"/>
    </row>
    <row r="60" spans="1:18" ht="14" x14ac:dyDescent="0.3">
      <c r="B60" s="50"/>
    </row>
    <row r="61" spans="1:18" ht="14" x14ac:dyDescent="0.3">
      <c r="B61" s="50"/>
    </row>
    <row r="62" spans="1:18" ht="14" x14ac:dyDescent="0.3">
      <c r="B62" s="50"/>
    </row>
  </sheetData>
  <mergeCells count="8">
    <mergeCell ref="P40:P42"/>
    <mergeCell ref="Q40:Q42"/>
    <mergeCell ref="R40:R42"/>
    <mergeCell ref="A4:R4"/>
    <mergeCell ref="A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14C1-7F6D-4479-B593-D2F4089D9A00}">
  <sheetPr>
    <pageSetUpPr fitToPage="1"/>
  </sheetPr>
  <dimension ref="A3:U62"/>
  <sheetViews>
    <sheetView zoomScaleNormal="100" workbookViewId="0">
      <selection activeCell="B3" sqref="B3"/>
    </sheetView>
  </sheetViews>
  <sheetFormatPr defaultRowHeight="12.5" x14ac:dyDescent="0.25"/>
  <cols>
    <col min="1" max="1" width="3.26953125" bestFit="1" customWidth="1"/>
    <col min="2" max="2" width="27.81640625" bestFit="1" customWidth="1"/>
    <col min="3" max="3" width="13.81640625" customWidth="1"/>
    <col min="4" max="16" width="11.54296875" bestFit="1" customWidth="1"/>
    <col min="17" max="17" width="8.1796875" bestFit="1" customWidth="1"/>
    <col min="18" max="18" width="15.453125" customWidth="1"/>
  </cols>
  <sheetData>
    <row r="3" spans="1:20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4" x14ac:dyDescent="0.3">
      <c r="A4" s="108" t="s">
        <v>73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20" ht="14" x14ac:dyDescent="0.3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1:20" ht="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14.5" thickBot="1" x14ac:dyDescent="0.35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14.5" thickBot="1" x14ac:dyDescent="0.35">
      <c r="A8" s="3">
        <f>IF(B8&lt;&gt;"",COUNTA($B8:B$8),"")</f>
        <v>1</v>
      </c>
      <c r="B8" s="4" t="s">
        <v>2</v>
      </c>
      <c r="C8" s="5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11</v>
      </c>
      <c r="L8" s="5" t="s">
        <v>12</v>
      </c>
      <c r="M8" s="6" t="s">
        <v>13</v>
      </c>
      <c r="N8" s="6" t="s">
        <v>14</v>
      </c>
      <c r="O8" s="7" t="s">
        <v>15</v>
      </c>
      <c r="P8" s="6" t="s">
        <v>16</v>
      </c>
      <c r="Q8" s="6" t="s">
        <v>17</v>
      </c>
      <c r="R8" s="6" t="s">
        <v>18</v>
      </c>
    </row>
    <row r="9" spans="1:20" ht="14" x14ac:dyDescent="0.3">
      <c r="A9" s="3">
        <f>IF(B9&lt;&gt;"",COUNTA($B$8:B9),"")</f>
        <v>2</v>
      </c>
      <c r="B9" s="8" t="s">
        <v>19</v>
      </c>
      <c r="C9" s="9"/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28</v>
      </c>
      <c r="M9" s="11" t="s">
        <v>29</v>
      </c>
      <c r="N9" s="10" t="s">
        <v>30</v>
      </c>
      <c r="O9" s="11" t="s">
        <v>31</v>
      </c>
      <c r="P9" s="109" t="s">
        <v>32</v>
      </c>
      <c r="Q9" s="109" t="s">
        <v>33</v>
      </c>
      <c r="R9" s="109" t="s">
        <v>34</v>
      </c>
    </row>
    <row r="10" spans="1:20" ht="14" x14ac:dyDescent="0.3">
      <c r="A10" s="3">
        <f>IF(B10&lt;&gt;"",COUNTA($B$8:B10),"")</f>
        <v>3</v>
      </c>
      <c r="B10" s="12" t="s">
        <v>35</v>
      </c>
      <c r="C10" s="13"/>
      <c r="D10" s="14">
        <v>43486</v>
      </c>
      <c r="E10" s="14">
        <v>43497</v>
      </c>
      <c r="F10" s="14">
        <v>43530</v>
      </c>
      <c r="G10" s="14">
        <v>43564</v>
      </c>
      <c r="H10" s="14">
        <v>43605</v>
      </c>
      <c r="I10" s="14">
        <v>43644</v>
      </c>
      <c r="J10" s="14">
        <v>43676</v>
      </c>
      <c r="K10" s="14">
        <v>43696</v>
      </c>
      <c r="L10" s="14">
        <v>43731</v>
      </c>
      <c r="M10" s="15">
        <v>43740</v>
      </c>
      <c r="N10" s="14">
        <v>43782</v>
      </c>
      <c r="O10" s="15">
        <v>43818</v>
      </c>
      <c r="P10" s="112"/>
      <c r="Q10" s="112"/>
      <c r="R10" s="112"/>
    </row>
    <row r="11" spans="1:20" ht="42.5" thickBot="1" x14ac:dyDescent="0.35">
      <c r="A11" s="3">
        <f>IF(B11&lt;&gt;"",COUNTA($B$8:B11),"")</f>
        <v>4</v>
      </c>
      <c r="B11" s="16" t="s">
        <v>36</v>
      </c>
      <c r="C11" s="13"/>
      <c r="D11" s="17">
        <v>18</v>
      </c>
      <c r="E11" s="17">
        <v>18</v>
      </c>
      <c r="F11" s="17">
        <v>19</v>
      </c>
      <c r="G11" s="17">
        <v>19</v>
      </c>
      <c r="H11" s="17">
        <v>17</v>
      </c>
      <c r="I11" s="17">
        <v>17</v>
      </c>
      <c r="J11" s="17">
        <v>17</v>
      </c>
      <c r="K11" s="17">
        <v>15</v>
      </c>
      <c r="L11" s="17">
        <v>16</v>
      </c>
      <c r="M11" s="18">
        <v>12</v>
      </c>
      <c r="N11" s="17">
        <v>18</v>
      </c>
      <c r="O11" s="18">
        <v>18</v>
      </c>
      <c r="P11" s="113"/>
      <c r="Q11" s="113"/>
      <c r="R11" s="113"/>
      <c r="T11" s="19"/>
    </row>
    <row r="12" spans="1:20" ht="14" x14ac:dyDescent="0.3">
      <c r="A12" s="3">
        <f>IF(B12&lt;&gt;"",COUNTA($B$8:B12),"")</f>
        <v>5</v>
      </c>
      <c r="B12" s="20" t="s">
        <v>37</v>
      </c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2"/>
      <c r="O12" s="23"/>
      <c r="P12" s="24"/>
      <c r="Q12" s="24"/>
      <c r="R12" s="24"/>
    </row>
    <row r="13" spans="1:20" ht="14" x14ac:dyDescent="0.3">
      <c r="A13" s="3">
        <f>IF(B13&lt;&gt;"",COUNTA($B$8:B13),"")</f>
        <v>6</v>
      </c>
      <c r="B13" s="25" t="s">
        <v>38</v>
      </c>
      <c r="C13" s="26" t="s">
        <v>39</v>
      </c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2"/>
      <c r="O13" s="23"/>
      <c r="P13" s="27"/>
      <c r="Q13" s="27"/>
      <c r="R13" s="27"/>
    </row>
    <row r="14" spans="1:20" ht="6" customHeight="1" x14ac:dyDescent="0.3">
      <c r="A14" s="3" t="str">
        <f>IF(B14&lt;&gt;"",COUNTA($B$8:B14),"")</f>
        <v/>
      </c>
      <c r="B14" s="28"/>
      <c r="C14" s="2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7"/>
      <c r="Q14" s="27"/>
      <c r="R14" s="27"/>
    </row>
    <row r="15" spans="1:20" ht="14" x14ac:dyDescent="0.3">
      <c r="A15" s="3">
        <f>IF(B15&lt;&gt;"",COUNTA($B$8:B15),"")</f>
        <v>7</v>
      </c>
      <c r="B15" s="30" t="s">
        <v>40</v>
      </c>
      <c r="C15" s="31" t="s">
        <v>41</v>
      </c>
      <c r="D15" s="32">
        <v>1181401.7245922</v>
      </c>
      <c r="E15" s="32">
        <v>972756.92116799997</v>
      </c>
      <c r="F15" s="32">
        <v>939448.07263990003</v>
      </c>
      <c r="G15" s="32">
        <v>785139.95135999995</v>
      </c>
      <c r="H15" s="32">
        <v>701222.08407810004</v>
      </c>
      <c r="I15" s="32">
        <v>1126354.2426258998</v>
      </c>
      <c r="J15" s="32">
        <v>1629442.9815292999</v>
      </c>
      <c r="K15" s="32">
        <v>1488789.3478716</v>
      </c>
      <c r="L15" s="32">
        <v>983353.70430889993</v>
      </c>
      <c r="M15" s="32">
        <v>551186.35135749995</v>
      </c>
      <c r="N15" s="32">
        <v>868122.22608479997</v>
      </c>
      <c r="O15" s="32">
        <v>970241.51198740001</v>
      </c>
      <c r="P15" s="33">
        <f>AVERAGE(D15:O15)</f>
        <v>1016454.9266336332</v>
      </c>
      <c r="Q15" s="34">
        <v>0.94840404982625059</v>
      </c>
      <c r="R15" s="33">
        <f>P15/Q15</f>
        <v>1071753.0432518183</v>
      </c>
    </row>
    <row r="16" spans="1:20" ht="14" x14ac:dyDescent="0.3">
      <c r="A16" s="3">
        <f>IF(B16&lt;&gt;"",COUNTA($B$8:B16),"")</f>
        <v>8</v>
      </c>
      <c r="B16" s="30" t="s">
        <v>40</v>
      </c>
      <c r="C16" s="31" t="s">
        <v>42</v>
      </c>
      <c r="D16" s="32">
        <v>272260.03274729999</v>
      </c>
      <c r="E16" s="32">
        <v>197612.77754019998</v>
      </c>
      <c r="F16" s="32">
        <v>192277.64396680001</v>
      </c>
      <c r="G16" s="32">
        <v>113637.88096730001</v>
      </c>
      <c r="H16" s="32">
        <v>59332.403412499996</v>
      </c>
      <c r="I16" s="32">
        <v>82370.504766500002</v>
      </c>
      <c r="J16" s="32">
        <v>106147.6299559</v>
      </c>
      <c r="K16" s="32">
        <v>95982.7039257</v>
      </c>
      <c r="L16" s="32">
        <v>64186.109613000001</v>
      </c>
      <c r="M16" s="32">
        <v>42429.342178899999</v>
      </c>
      <c r="N16" s="32">
        <v>160448.61702989999</v>
      </c>
      <c r="O16" s="32">
        <v>203449.51029959999</v>
      </c>
      <c r="P16" s="33">
        <f t="shared" ref="P16:P34" si="0">AVERAGE(D16:O16)</f>
        <v>132511.26303363332</v>
      </c>
      <c r="Q16" s="34">
        <f>Q15</f>
        <v>0.94840404982625059</v>
      </c>
      <c r="R16" s="33">
        <f t="shared" ref="R16:R34" si="1">P16/Q16</f>
        <v>139720.26274867725</v>
      </c>
    </row>
    <row r="17" spans="1:18" ht="14" x14ac:dyDescent="0.3">
      <c r="A17" s="3">
        <f>IF(B17&lt;&gt;"",COUNTA($B$8:B17),"")</f>
        <v>9</v>
      </c>
      <c r="B17" s="30" t="s">
        <v>43</v>
      </c>
      <c r="C17" s="31" t="s">
        <v>44</v>
      </c>
      <c r="D17" s="32">
        <v>88274.524664700002</v>
      </c>
      <c r="E17" s="32">
        <v>90824.949788900005</v>
      </c>
      <c r="F17" s="32">
        <v>84576.272748400006</v>
      </c>
      <c r="G17" s="32">
        <v>62953.434042100002</v>
      </c>
      <c r="H17" s="32">
        <v>64520.143890699997</v>
      </c>
      <c r="I17" s="32">
        <v>76783.945713099994</v>
      </c>
      <c r="J17" s="32">
        <v>86646.743661799992</v>
      </c>
      <c r="K17" s="32">
        <v>82327.886990700004</v>
      </c>
      <c r="L17" s="32">
        <v>77347.170789199998</v>
      </c>
      <c r="M17" s="32">
        <v>63725.112828400001</v>
      </c>
      <c r="N17" s="32">
        <v>76427.856762199997</v>
      </c>
      <c r="O17" s="32">
        <v>82386.842235899996</v>
      </c>
      <c r="P17" s="33">
        <f t="shared" si="0"/>
        <v>78066.240343008336</v>
      </c>
      <c r="Q17" s="35">
        <v>0.94840404982625059</v>
      </c>
      <c r="R17" s="33">
        <f t="shared" si="1"/>
        <v>82313.27181417057</v>
      </c>
    </row>
    <row r="18" spans="1:18" ht="14" x14ac:dyDescent="0.3">
      <c r="A18" s="3">
        <f>IF(B18&lt;&gt;"",COUNTA($B$8:B18),"")</f>
        <v>10</v>
      </c>
      <c r="B18" s="30" t="s">
        <v>43</v>
      </c>
      <c r="C18" s="31" t="s">
        <v>45</v>
      </c>
      <c r="D18" s="32">
        <v>981896.11312969995</v>
      </c>
      <c r="E18" s="32">
        <v>994271.66747440002</v>
      </c>
      <c r="F18" s="32">
        <v>864706.48159480002</v>
      </c>
      <c r="G18" s="32">
        <v>715055.10196639993</v>
      </c>
      <c r="H18" s="32">
        <v>974737.89756219997</v>
      </c>
      <c r="I18" s="32">
        <v>1033079.9889843999</v>
      </c>
      <c r="J18" s="32">
        <v>1203150.1895283</v>
      </c>
      <c r="K18" s="32">
        <v>1277133.0570181001</v>
      </c>
      <c r="L18" s="32">
        <v>1159636.7103879</v>
      </c>
      <c r="M18" s="32">
        <v>1069334.8616261999</v>
      </c>
      <c r="N18" s="32">
        <v>900077.29989480006</v>
      </c>
      <c r="O18" s="32">
        <v>964376.47455259995</v>
      </c>
      <c r="P18" s="33">
        <f t="shared" si="0"/>
        <v>1011454.6536433166</v>
      </c>
      <c r="Q18" s="35">
        <v>0.94841936117036152</v>
      </c>
      <c r="R18" s="33">
        <f t="shared" si="1"/>
        <v>1066463.5234725373</v>
      </c>
    </row>
    <row r="19" spans="1:18" ht="14" x14ac:dyDescent="0.3">
      <c r="A19" s="3">
        <f>IF(B19&lt;&gt;"",COUNTA($B$8:B19),"")</f>
        <v>11</v>
      </c>
      <c r="B19" s="30" t="s">
        <v>43</v>
      </c>
      <c r="C19" s="31" t="s">
        <v>46</v>
      </c>
      <c r="D19" s="32">
        <v>364525.84212699998</v>
      </c>
      <c r="E19" s="32">
        <v>367068.68461130001</v>
      </c>
      <c r="F19" s="32">
        <v>342444.53120640002</v>
      </c>
      <c r="G19" s="32">
        <v>314004.51193899999</v>
      </c>
      <c r="H19" s="32">
        <v>417775.71183629998</v>
      </c>
      <c r="I19" s="32">
        <v>415521.00171879999</v>
      </c>
      <c r="J19" s="32">
        <v>474388.83052650001</v>
      </c>
      <c r="K19" s="32">
        <v>491557.07739340002</v>
      </c>
      <c r="L19" s="32">
        <v>464317.96996399999</v>
      </c>
      <c r="M19" s="32">
        <v>426471.06084380002</v>
      </c>
      <c r="N19" s="32">
        <v>343647.38583659998</v>
      </c>
      <c r="O19" s="32">
        <v>343278.2841854</v>
      </c>
      <c r="P19" s="33">
        <f t="shared" si="0"/>
        <v>397083.40768237505</v>
      </c>
      <c r="Q19" s="35">
        <v>0.9859624838981127</v>
      </c>
      <c r="R19" s="33">
        <f t="shared" si="1"/>
        <v>402736.83245275368</v>
      </c>
    </row>
    <row r="20" spans="1:18" ht="14" x14ac:dyDescent="0.3">
      <c r="A20" s="3">
        <f>IF(B20&lt;&gt;"",COUNTA($B$8:B20),"")</f>
        <v>12</v>
      </c>
      <c r="B20" s="30" t="s">
        <v>43</v>
      </c>
      <c r="C20" s="31" t="s">
        <v>47</v>
      </c>
      <c r="D20" s="32">
        <v>10376.441959199999</v>
      </c>
      <c r="E20" s="32">
        <v>11040.677863200001</v>
      </c>
      <c r="F20" s="32">
        <v>10304.6326723</v>
      </c>
      <c r="G20" s="32">
        <v>12329.654563300001</v>
      </c>
      <c r="H20" s="32">
        <v>12071.141130399999</v>
      </c>
      <c r="I20" s="32">
        <v>10875.516503299999</v>
      </c>
      <c r="J20" s="32">
        <v>0</v>
      </c>
      <c r="K20" s="32">
        <v>0</v>
      </c>
      <c r="L20" s="32">
        <v>13044.1569681</v>
      </c>
      <c r="M20" s="32">
        <v>13877.1446963</v>
      </c>
      <c r="N20" s="32">
        <v>12785.643535200001</v>
      </c>
      <c r="O20" s="32">
        <v>12078.322059100001</v>
      </c>
      <c r="P20" s="33">
        <f t="shared" si="0"/>
        <v>9898.6109958666657</v>
      </c>
      <c r="Q20" s="35">
        <v>1</v>
      </c>
      <c r="R20" s="33">
        <f t="shared" si="1"/>
        <v>9898.6109958666657</v>
      </c>
    </row>
    <row r="21" spans="1:18" ht="14" x14ac:dyDescent="0.3">
      <c r="A21" s="3">
        <f>IF(B21&lt;&gt;"",COUNTA($B$8:B21),"")</f>
        <v>13</v>
      </c>
      <c r="B21" s="30" t="s">
        <v>48</v>
      </c>
      <c r="C21" s="31" t="s">
        <v>49</v>
      </c>
      <c r="D21" s="32">
        <v>38431.757260300001</v>
      </c>
      <c r="E21" s="32">
        <v>39519.907398299998</v>
      </c>
      <c r="F21" s="32">
        <v>36725.25202</v>
      </c>
      <c r="G21" s="32">
        <v>29804.043503299999</v>
      </c>
      <c r="H21" s="32">
        <v>38293.886776699997</v>
      </c>
      <c r="I21" s="32">
        <v>46180.315156500001</v>
      </c>
      <c r="J21" s="32">
        <v>53400.814042400001</v>
      </c>
      <c r="K21" s="32">
        <v>52589.893839900004</v>
      </c>
      <c r="L21" s="32">
        <v>45990.939848000002</v>
      </c>
      <c r="M21" s="32">
        <v>38090.477220599998</v>
      </c>
      <c r="N21" s="32">
        <v>34209.958249900003</v>
      </c>
      <c r="O21" s="32">
        <v>37393.770953599997</v>
      </c>
      <c r="P21" s="33">
        <f t="shared" si="0"/>
        <v>40885.918022458332</v>
      </c>
      <c r="Q21" s="35">
        <v>0.94840404982625059</v>
      </c>
      <c r="R21" s="33">
        <f t="shared" si="1"/>
        <v>43110.231372323549</v>
      </c>
    </row>
    <row r="22" spans="1:18" ht="14" x14ac:dyDescent="0.3">
      <c r="A22" s="3">
        <f>IF(B22&lt;&gt;"",COUNTA($B$8:B22),"")</f>
        <v>14</v>
      </c>
      <c r="B22" s="30" t="s">
        <v>48</v>
      </c>
      <c r="C22" s="31" t="s">
        <v>50</v>
      </c>
      <c r="D22" s="32">
        <v>73268.431529499998</v>
      </c>
      <c r="E22" s="32">
        <v>73612.782246899995</v>
      </c>
      <c r="F22" s="32">
        <v>68571.720305099996</v>
      </c>
      <c r="G22" s="32">
        <v>59219.762492900001</v>
      </c>
      <c r="H22" s="32">
        <v>87355.738441299996</v>
      </c>
      <c r="I22" s="32">
        <v>90954.719469599993</v>
      </c>
      <c r="J22" s="32">
        <v>107680.70092990001</v>
      </c>
      <c r="K22" s="32">
        <v>112267.2901152</v>
      </c>
      <c r="L22" s="32">
        <v>100553.04775519999</v>
      </c>
      <c r="M22" s="32">
        <v>87661.875575600003</v>
      </c>
      <c r="N22" s="32">
        <v>69943.731345099994</v>
      </c>
      <c r="O22" s="32">
        <v>70893.173284400007</v>
      </c>
      <c r="P22" s="33">
        <f t="shared" si="0"/>
        <v>83498.581124224991</v>
      </c>
      <c r="Q22" s="35">
        <v>0.94840404982625048</v>
      </c>
      <c r="R22" s="33">
        <f t="shared" si="1"/>
        <v>88041.147799318336</v>
      </c>
    </row>
    <row r="23" spans="1:18" ht="14" x14ac:dyDescent="0.3">
      <c r="A23" s="3">
        <f>IF(B23&lt;&gt;"",COUNTA($B$8:B23),"")</f>
        <v>15</v>
      </c>
      <c r="B23" s="30" t="s">
        <v>48</v>
      </c>
      <c r="C23" s="31" t="s">
        <v>51</v>
      </c>
      <c r="D23" s="32">
        <v>65621.448715499995</v>
      </c>
      <c r="E23" s="32">
        <v>71471.804866099992</v>
      </c>
      <c r="F23" s="32">
        <v>63423.373028299997</v>
      </c>
      <c r="G23" s="32">
        <v>78113.158531299996</v>
      </c>
      <c r="H23" s="32">
        <v>101461.95029139999</v>
      </c>
      <c r="I23" s="32">
        <v>97128.026874600007</v>
      </c>
      <c r="J23" s="32">
        <v>112110.31351329999</v>
      </c>
      <c r="K23" s="32">
        <v>116840.9823014</v>
      </c>
      <c r="L23" s="32">
        <v>107046.02737250002</v>
      </c>
      <c r="M23" s="32">
        <v>113339.17404190001</v>
      </c>
      <c r="N23" s="32">
        <v>70075.039808200003</v>
      </c>
      <c r="O23" s="32">
        <v>61350.811710199996</v>
      </c>
      <c r="P23" s="33">
        <f t="shared" si="0"/>
        <v>88165.175921224989</v>
      </c>
      <c r="Q23" s="35">
        <v>0.9859624838981127</v>
      </c>
      <c r="R23" s="33">
        <f t="shared" si="1"/>
        <v>89420.416457078696</v>
      </c>
    </row>
    <row r="24" spans="1:18" ht="14" x14ac:dyDescent="0.3">
      <c r="A24" s="3">
        <f>IF(B24&lt;&gt;"",COUNTA($B$8:B24),"")</f>
        <v>16</v>
      </c>
      <c r="B24" s="30" t="s">
        <v>48</v>
      </c>
      <c r="C24" s="31" t="s">
        <v>52</v>
      </c>
      <c r="D24" s="32">
        <v>882.47550030000002</v>
      </c>
      <c r="E24" s="32">
        <v>832.84947509999995</v>
      </c>
      <c r="F24" s="32">
        <v>812.89396509999995</v>
      </c>
      <c r="G24" s="32">
        <v>724.42139340000006</v>
      </c>
      <c r="H24" s="32">
        <v>866.72398699999997</v>
      </c>
      <c r="I24" s="32">
        <v>998.50311439999996</v>
      </c>
      <c r="J24" s="32">
        <v>1087.0834808</v>
      </c>
      <c r="K24" s="32">
        <v>1018.3373553</v>
      </c>
      <c r="L24" s="32">
        <v>958.91547879999996</v>
      </c>
      <c r="M24" s="32">
        <v>866.18501300000003</v>
      </c>
      <c r="N24" s="32">
        <v>786.17433219999998</v>
      </c>
      <c r="O24" s="32">
        <v>847.92727090000005</v>
      </c>
      <c r="P24" s="33">
        <f t="shared" si="0"/>
        <v>890.20753052500004</v>
      </c>
      <c r="Q24" s="35">
        <v>0.94840404982625059</v>
      </c>
      <c r="R24" s="33">
        <f t="shared" si="1"/>
        <v>938.6374200828094</v>
      </c>
    </row>
    <row r="25" spans="1:18" ht="14" x14ac:dyDescent="0.3">
      <c r="A25" s="3">
        <f>IF(B25&lt;&gt;"",COUNTA($B$8:B25),"")</f>
        <v>17</v>
      </c>
      <c r="B25" s="30" t="s">
        <v>48</v>
      </c>
      <c r="C25" s="31" t="s">
        <v>53</v>
      </c>
      <c r="D25" s="32">
        <v>2000.7382321</v>
      </c>
      <c r="E25" s="32">
        <v>1398.3775065</v>
      </c>
      <c r="F25" s="32">
        <v>1173.8844998</v>
      </c>
      <c r="G25" s="32">
        <v>546.1362183</v>
      </c>
      <c r="H25" s="32">
        <v>795.79585950000001</v>
      </c>
      <c r="I25" s="32">
        <v>912.46079169999996</v>
      </c>
      <c r="J25" s="32">
        <v>1020.0495346</v>
      </c>
      <c r="K25" s="32">
        <v>991.12723570000003</v>
      </c>
      <c r="L25" s="32">
        <v>911.94530829999997</v>
      </c>
      <c r="M25" s="32">
        <v>790.07031199999994</v>
      </c>
      <c r="N25" s="32">
        <v>1207.3540984000001</v>
      </c>
      <c r="O25" s="32">
        <v>1595.6419453999999</v>
      </c>
      <c r="P25" s="33">
        <f t="shared" si="0"/>
        <v>1111.965128525</v>
      </c>
      <c r="Q25" s="35">
        <v>0.94840404982625071</v>
      </c>
      <c r="R25" s="33">
        <f t="shared" si="1"/>
        <v>1172.459279068572</v>
      </c>
    </row>
    <row r="26" spans="1:18" ht="14" x14ac:dyDescent="0.3">
      <c r="A26" s="3">
        <f>IF(B26&lt;&gt;"",COUNTA($B$8:B26),"")</f>
        <v>18</v>
      </c>
      <c r="B26" s="30" t="s">
        <v>54</v>
      </c>
      <c r="C26" s="31" t="s">
        <v>55</v>
      </c>
      <c r="D26" s="32">
        <v>147895.22622760001</v>
      </c>
      <c r="E26" s="32">
        <v>141482.06584170001</v>
      </c>
      <c r="F26" s="32">
        <v>122256.9641687</v>
      </c>
      <c r="G26" s="32">
        <v>101272.0280284</v>
      </c>
      <c r="H26" s="32">
        <v>121964.95176159999</v>
      </c>
      <c r="I26" s="32">
        <v>188314.9417736</v>
      </c>
      <c r="J26" s="32">
        <v>215427.64846689999</v>
      </c>
      <c r="K26" s="32">
        <v>243531.5664936</v>
      </c>
      <c r="L26" s="32">
        <v>175974.33362779999</v>
      </c>
      <c r="M26" s="32">
        <v>162562.36726860001</v>
      </c>
      <c r="N26" s="32">
        <v>122638.846915</v>
      </c>
      <c r="O26" s="32">
        <v>138729.34605190001</v>
      </c>
      <c r="P26" s="33">
        <f t="shared" si="0"/>
        <v>156837.52388545001</v>
      </c>
      <c r="Q26" s="35">
        <v>0.94848822793603926</v>
      </c>
      <c r="R26" s="33">
        <f t="shared" si="1"/>
        <v>165355.26669291066</v>
      </c>
    </row>
    <row r="27" spans="1:18" ht="14" x14ac:dyDescent="0.3">
      <c r="A27" s="3">
        <f>IF(B27&lt;&gt;"",COUNTA($B$8:B27),"")</f>
        <v>19</v>
      </c>
      <c r="B27" s="30" t="s">
        <v>54</v>
      </c>
      <c r="C27" s="31" t="s">
        <v>50</v>
      </c>
      <c r="D27" s="32">
        <v>55491.967396</v>
      </c>
      <c r="E27" s="32">
        <v>56379.164042900004</v>
      </c>
      <c r="F27" s="32">
        <v>53768.9121782</v>
      </c>
      <c r="G27" s="32">
        <v>48077.517828600001</v>
      </c>
      <c r="H27" s="32">
        <v>57532.849936899998</v>
      </c>
      <c r="I27" s="32">
        <v>65899.320948699999</v>
      </c>
      <c r="J27" s="32">
        <v>74466.572833800004</v>
      </c>
      <c r="K27" s="32">
        <v>78151.100157499997</v>
      </c>
      <c r="L27" s="32">
        <v>66693.220159999997</v>
      </c>
      <c r="M27" s="32">
        <v>70702.401195700004</v>
      </c>
      <c r="N27" s="32">
        <v>54388.6986693</v>
      </c>
      <c r="O27" s="32">
        <v>55816.465561899997</v>
      </c>
      <c r="P27" s="33">
        <f t="shared" si="0"/>
        <v>61447.349242458331</v>
      </c>
      <c r="Q27" s="35">
        <v>0.95095557570607481</v>
      </c>
      <c r="R27" s="33">
        <f t="shared" si="1"/>
        <v>64616.424586221394</v>
      </c>
    </row>
    <row r="28" spans="1:18" ht="14" x14ac:dyDescent="0.3">
      <c r="A28" s="3">
        <f>IF(B28&lt;&gt;"",COUNTA($B$8:B28),"")</f>
        <v>20</v>
      </c>
      <c r="B28" s="30" t="s">
        <v>54</v>
      </c>
      <c r="C28" s="31" t="s">
        <v>46</v>
      </c>
      <c r="D28" s="32">
        <v>50440.695687300002</v>
      </c>
      <c r="E28" s="32">
        <v>51564.651420599999</v>
      </c>
      <c r="F28" s="32">
        <v>50009.303744199999</v>
      </c>
      <c r="G28" s="32">
        <v>52098.969778500003</v>
      </c>
      <c r="H28" s="32">
        <v>59015.3995459</v>
      </c>
      <c r="I28" s="32">
        <v>61995.694569500003</v>
      </c>
      <c r="J28" s="32">
        <v>64470.396419700002</v>
      </c>
      <c r="K28" s="32">
        <v>69911.748621999999</v>
      </c>
      <c r="L28" s="32">
        <v>64609.053392399997</v>
      </c>
      <c r="M28" s="32">
        <v>67807.664521700004</v>
      </c>
      <c r="N28" s="32">
        <v>52680.594901600001</v>
      </c>
      <c r="O28" s="32">
        <v>47900.756614400001</v>
      </c>
      <c r="P28" s="33">
        <f t="shared" si="0"/>
        <v>57708.744101483324</v>
      </c>
      <c r="Q28" s="35">
        <v>0.96854394181035897</v>
      </c>
      <c r="R28" s="33">
        <f t="shared" si="1"/>
        <v>59582.990105350022</v>
      </c>
    </row>
    <row r="29" spans="1:18" ht="14" x14ac:dyDescent="0.3">
      <c r="A29" s="3">
        <f>IF(B29&lt;&gt;"",COUNTA($B$8:B29),"")</f>
        <v>21</v>
      </c>
      <c r="B29" s="30" t="s">
        <v>54</v>
      </c>
      <c r="C29" s="31" t="s">
        <v>52</v>
      </c>
      <c r="D29" s="32">
        <v>299.83654569999999</v>
      </c>
      <c r="E29" s="32">
        <v>306.33430900000002</v>
      </c>
      <c r="F29" s="32">
        <v>279.15591369999999</v>
      </c>
      <c r="G29" s="32">
        <v>233.85423890000001</v>
      </c>
      <c r="H29" s="32">
        <v>245.7015663</v>
      </c>
      <c r="I29" s="32">
        <v>196.65519660000001</v>
      </c>
      <c r="J29" s="32">
        <v>246.0147115</v>
      </c>
      <c r="K29" s="32">
        <v>565.91864659999999</v>
      </c>
      <c r="L29" s="32">
        <v>297.12262049999998</v>
      </c>
      <c r="M29" s="32">
        <v>429.3090454</v>
      </c>
      <c r="N29" s="32">
        <v>248.45463459999999</v>
      </c>
      <c r="O29" s="32">
        <v>289.92028049999999</v>
      </c>
      <c r="P29" s="33">
        <f t="shared" si="0"/>
        <v>303.18980910833329</v>
      </c>
      <c r="Q29" s="35">
        <v>0.9506626704854837</v>
      </c>
      <c r="R29" s="33">
        <f t="shared" si="1"/>
        <v>318.92470223270738</v>
      </c>
    </row>
    <row r="30" spans="1:18" ht="14" x14ac:dyDescent="0.3">
      <c r="A30" s="3">
        <f>IF(B30&lt;&gt;"",COUNTA($B$8:B30),"")</f>
        <v>22</v>
      </c>
      <c r="B30" s="30" t="s">
        <v>54</v>
      </c>
      <c r="C30" s="31" t="s">
        <v>53</v>
      </c>
      <c r="D30" s="32">
        <v>4009.6392635000002</v>
      </c>
      <c r="E30" s="32">
        <v>3085.9731692</v>
      </c>
      <c r="F30" s="32">
        <v>2555.6425325</v>
      </c>
      <c r="G30" s="32">
        <v>1275.9337869000001</v>
      </c>
      <c r="H30" s="32">
        <v>855.79654749999997</v>
      </c>
      <c r="I30" s="32">
        <v>1775.1288199000001</v>
      </c>
      <c r="J30" s="32">
        <v>2480.6976196999999</v>
      </c>
      <c r="K30" s="32">
        <v>2244.7507688000001</v>
      </c>
      <c r="L30" s="32">
        <v>1412.0374157000001</v>
      </c>
      <c r="M30" s="32">
        <v>1134.9696076</v>
      </c>
      <c r="N30" s="32">
        <v>2123.9326667999999</v>
      </c>
      <c r="O30" s="32">
        <v>2575.3775323999998</v>
      </c>
      <c r="P30" s="33">
        <f t="shared" si="0"/>
        <v>2127.4899775416666</v>
      </c>
      <c r="Q30" s="35">
        <v>0.94840404982625059</v>
      </c>
      <c r="R30" s="33">
        <f t="shared" si="1"/>
        <v>2243.2316457647212</v>
      </c>
    </row>
    <row r="31" spans="1:18" ht="14" x14ac:dyDescent="0.3">
      <c r="A31" s="3">
        <f>IF(B31&lt;&gt;"",COUNTA($B$8:B31),"")</f>
        <v>23</v>
      </c>
      <c r="B31" s="30" t="s">
        <v>54</v>
      </c>
      <c r="C31" s="31" t="s">
        <v>56</v>
      </c>
      <c r="D31" s="32">
        <v>1264.9799608000001</v>
      </c>
      <c r="E31" s="32">
        <v>1124.6163306999999</v>
      </c>
      <c r="F31" s="32">
        <v>1129.1284544</v>
      </c>
      <c r="G31" s="32">
        <v>595.96616879999999</v>
      </c>
      <c r="H31" s="32">
        <v>447.18803780000002</v>
      </c>
      <c r="I31" s="32">
        <v>239.0206038</v>
      </c>
      <c r="J31" s="32">
        <v>277.0687815</v>
      </c>
      <c r="K31" s="32">
        <v>456.82203149999998</v>
      </c>
      <c r="L31" s="32">
        <v>471.33399680000002</v>
      </c>
      <c r="M31" s="32">
        <v>622.91696130000003</v>
      </c>
      <c r="N31" s="32">
        <v>928.03407900000002</v>
      </c>
      <c r="O31" s="32">
        <v>1072.4220356000001</v>
      </c>
      <c r="P31" s="33">
        <f t="shared" si="0"/>
        <v>719.12478683333336</v>
      </c>
      <c r="Q31" s="35">
        <v>0.94840404982625059</v>
      </c>
      <c r="R31" s="33">
        <f t="shared" si="1"/>
        <v>758.24727547829264</v>
      </c>
    </row>
    <row r="32" spans="1:18" ht="14" x14ac:dyDescent="0.3">
      <c r="A32" s="3">
        <f>IF(B32&lt;&gt;"",COUNTA($B$8:B32),"")</f>
        <v>24</v>
      </c>
      <c r="B32" s="30" t="s">
        <v>54</v>
      </c>
      <c r="C32" s="31" t="s">
        <v>57</v>
      </c>
      <c r="D32" s="32">
        <v>6308.0211587000003</v>
      </c>
      <c r="E32" s="32">
        <v>6204.2371655999996</v>
      </c>
      <c r="F32" s="32">
        <v>6023.5071285000004</v>
      </c>
      <c r="G32" s="32">
        <v>5722.2516777999999</v>
      </c>
      <c r="H32" s="32">
        <v>6595.0163650000004</v>
      </c>
      <c r="I32" s="32">
        <v>7287.6620210000001</v>
      </c>
      <c r="J32" s="32">
        <v>7734.4165075999999</v>
      </c>
      <c r="K32" s="32">
        <v>8032.6301168999998</v>
      </c>
      <c r="L32" s="32">
        <v>7335.8421183999999</v>
      </c>
      <c r="M32" s="32">
        <v>7386.8052246999996</v>
      </c>
      <c r="N32" s="32">
        <v>6054.0606276999997</v>
      </c>
      <c r="O32" s="32">
        <v>6034.7563546000001</v>
      </c>
      <c r="P32" s="33">
        <f t="shared" si="0"/>
        <v>6726.6005388750009</v>
      </c>
      <c r="Q32" s="35">
        <v>0.94840404982625071</v>
      </c>
      <c r="R32" s="33">
        <f t="shared" si="1"/>
        <v>7092.5472535754416</v>
      </c>
    </row>
    <row r="33" spans="1:21" ht="14" x14ac:dyDescent="0.3">
      <c r="A33" s="3">
        <f>IF(B33&lt;&gt;"",COUNTA($B$8:B33),"")</f>
        <v>25</v>
      </c>
      <c r="B33" s="30" t="s">
        <v>54</v>
      </c>
      <c r="C33" s="31" t="s">
        <v>58</v>
      </c>
      <c r="D33" s="32">
        <v>241.71824470000001</v>
      </c>
      <c r="E33" s="32">
        <v>225.771626</v>
      </c>
      <c r="F33" s="32">
        <v>151.17596320000001</v>
      </c>
      <c r="G33" s="32">
        <v>260.3446697</v>
      </c>
      <c r="H33" s="32">
        <v>333.2473928</v>
      </c>
      <c r="I33" s="32">
        <v>515.65141270000004</v>
      </c>
      <c r="J33" s="32">
        <v>551.39533819999997</v>
      </c>
      <c r="K33" s="32">
        <v>502.15560349999998</v>
      </c>
      <c r="L33" s="32">
        <v>319.92878330000002</v>
      </c>
      <c r="M33" s="32">
        <v>398.69681980000001</v>
      </c>
      <c r="N33" s="32">
        <v>202.69884920000001</v>
      </c>
      <c r="O33" s="32">
        <v>237.87028290000001</v>
      </c>
      <c r="P33" s="33">
        <f t="shared" si="0"/>
        <v>328.38791549999996</v>
      </c>
      <c r="Q33" s="35">
        <v>0.94840404982625071</v>
      </c>
      <c r="R33" s="33">
        <f t="shared" si="1"/>
        <v>346.25317717713375</v>
      </c>
    </row>
    <row r="34" spans="1:21" ht="14" x14ac:dyDescent="0.3">
      <c r="A34" s="3">
        <f>IF(B34&lt;&gt;"",COUNTA($B$8:B34),"")</f>
        <v>26</v>
      </c>
      <c r="B34" s="30" t="s">
        <v>40</v>
      </c>
      <c r="C34" s="31" t="s">
        <v>59</v>
      </c>
      <c r="D34" s="32">
        <v>16038.176003174602</v>
      </c>
      <c r="E34" s="32">
        <v>11260.846980952381</v>
      </c>
      <c r="F34" s="32">
        <v>18085.602726984125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20474.267238095235</v>
      </c>
      <c r="O34" s="32">
        <v>20474.267238095235</v>
      </c>
      <c r="P34" s="33">
        <f t="shared" si="0"/>
        <v>7194.4300156084646</v>
      </c>
      <c r="Q34" s="36">
        <f>Q16</f>
        <v>0.94840404982625059</v>
      </c>
      <c r="R34" s="33">
        <f t="shared" si="1"/>
        <v>7585.8280201634498</v>
      </c>
      <c r="U34" s="35"/>
    </row>
    <row r="35" spans="1:21" ht="14" x14ac:dyDescent="0.3">
      <c r="A35" s="3" t="str">
        <f>IF(B35&lt;&gt;"",COUNTA($B$8:B35),"")</f>
        <v/>
      </c>
      <c r="B35" s="30"/>
      <c r="C35" s="31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37"/>
      <c r="O35" s="38"/>
      <c r="P35" s="33"/>
      <c r="Q35" s="27"/>
      <c r="R35" s="39"/>
    </row>
    <row r="36" spans="1:21" ht="14.5" thickBot="1" x14ac:dyDescent="0.35">
      <c r="A36" s="3">
        <f>IF(B36&lt;&gt;"",COUNTA($B$8:B36),"")</f>
        <v>27</v>
      </c>
      <c r="B36" s="40" t="s">
        <v>60</v>
      </c>
      <c r="C36" s="41" t="s">
        <v>61</v>
      </c>
      <c r="D36" s="42">
        <f>SUM(D15:D35)</f>
        <v>3360929.7909452752</v>
      </c>
      <c r="E36" s="42">
        <f t="shared" ref="E36:O36" si="2">SUM(E15:E35)</f>
        <v>3092045.0608255523</v>
      </c>
      <c r="F36" s="42">
        <f t="shared" si="2"/>
        <v>2858724.1514572846</v>
      </c>
      <c r="G36" s="42">
        <f t="shared" si="2"/>
        <v>2381064.9231548999</v>
      </c>
      <c r="H36" s="42">
        <f t="shared" si="2"/>
        <v>2705423.6284199003</v>
      </c>
      <c r="I36" s="42">
        <f t="shared" si="2"/>
        <v>3307383.3010645998</v>
      </c>
      <c r="J36" s="42">
        <f t="shared" si="2"/>
        <v>4140729.5473817005</v>
      </c>
      <c r="K36" s="42">
        <f t="shared" si="2"/>
        <v>4122894.3964873995</v>
      </c>
      <c r="L36" s="42">
        <f t="shared" si="2"/>
        <v>3334459.5699088001</v>
      </c>
      <c r="M36" s="42">
        <f t="shared" si="2"/>
        <v>2718816.7863389994</v>
      </c>
      <c r="N36" s="42">
        <f t="shared" si="2"/>
        <v>2797470.8755585947</v>
      </c>
      <c r="O36" s="43">
        <f t="shared" si="2"/>
        <v>3021023.4524367955</v>
      </c>
      <c r="P36" s="44">
        <f t="shared" ref="P36" si="3">SUM(P15:P34)</f>
        <v>3153413.7903316505</v>
      </c>
      <c r="Q36" s="45"/>
      <c r="R36" s="44">
        <f>SUM(R15:R34)</f>
        <v>3303468.1505225701</v>
      </c>
    </row>
    <row r="37" spans="1:21" ht="14" x14ac:dyDescent="0.3">
      <c r="A37" s="3" t="str">
        <f>IF(B37&lt;&gt;"",COUNTA($B$8:B37),"")</f>
        <v/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21" ht="14" x14ac:dyDescent="0.3"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21" ht="14.5" thickBot="1" x14ac:dyDescent="0.35">
      <c r="A39" s="3">
        <f>IF(B39&lt;&gt;"",COUNTA($B$8:B39),"")</f>
        <v>28</v>
      </c>
      <c r="B39" s="48" t="s">
        <v>62</v>
      </c>
      <c r="O39" s="46"/>
    </row>
    <row r="40" spans="1:21" ht="14.25" customHeight="1" x14ac:dyDescent="0.3">
      <c r="A40" s="3">
        <f>IF(B40&lt;&gt;"",COUNTA($B$8:B40),"")</f>
        <v>29</v>
      </c>
      <c r="B40" s="8" t="s">
        <v>19</v>
      </c>
      <c r="C40" s="9"/>
      <c r="D40" s="10" t="s">
        <v>20</v>
      </c>
      <c r="E40" s="10" t="s">
        <v>21</v>
      </c>
      <c r="F40" s="10" t="s">
        <v>22</v>
      </c>
      <c r="G40" s="10" t="s">
        <v>23</v>
      </c>
      <c r="H40" s="10" t="s">
        <v>24</v>
      </c>
      <c r="I40" s="10" t="s">
        <v>25</v>
      </c>
      <c r="J40" s="10" t="s">
        <v>26</v>
      </c>
      <c r="K40" s="10" t="s">
        <v>27</v>
      </c>
      <c r="L40" s="10" t="s">
        <v>28</v>
      </c>
      <c r="M40" s="11" t="s">
        <v>29</v>
      </c>
      <c r="N40" s="10" t="s">
        <v>30</v>
      </c>
      <c r="O40" s="11" t="s">
        <v>31</v>
      </c>
      <c r="P40" s="109" t="s">
        <v>32</v>
      </c>
      <c r="Q40" s="109" t="s">
        <v>33</v>
      </c>
      <c r="R40" s="109" t="s">
        <v>34</v>
      </c>
    </row>
    <row r="41" spans="1:21" ht="14" x14ac:dyDescent="0.3">
      <c r="A41" s="3">
        <f>IF(B41&lt;&gt;"",COUNTA($B$8:B41),"")</f>
        <v>30</v>
      </c>
      <c r="B41" s="12" t="s">
        <v>35</v>
      </c>
      <c r="C41" s="13"/>
      <c r="D41" s="14">
        <v>43486</v>
      </c>
      <c r="E41" s="14">
        <v>43497</v>
      </c>
      <c r="F41" s="14">
        <v>43530</v>
      </c>
      <c r="G41" s="14">
        <v>43557</v>
      </c>
      <c r="H41" s="14">
        <v>43605</v>
      </c>
      <c r="I41" s="14">
        <v>43644</v>
      </c>
      <c r="J41" s="14">
        <v>43667</v>
      </c>
      <c r="K41" s="14">
        <v>43696</v>
      </c>
      <c r="L41" s="14">
        <v>43719</v>
      </c>
      <c r="M41" s="15">
        <v>43740</v>
      </c>
      <c r="N41" s="14">
        <v>43782</v>
      </c>
      <c r="O41" s="15">
        <v>43818</v>
      </c>
      <c r="P41" s="112"/>
      <c r="Q41" s="112"/>
      <c r="R41" s="112"/>
    </row>
    <row r="42" spans="1:21" ht="42.5" thickBot="1" x14ac:dyDescent="0.35">
      <c r="A42" s="3">
        <f>IF(B42&lt;&gt;"",COUNTA($B$8:B42),"")</f>
        <v>31</v>
      </c>
      <c r="B42" s="16" t="s">
        <v>36</v>
      </c>
      <c r="C42" s="13"/>
      <c r="D42" s="17">
        <v>18</v>
      </c>
      <c r="E42" s="17">
        <v>19</v>
      </c>
      <c r="F42" s="17">
        <v>19</v>
      </c>
      <c r="G42" s="17">
        <v>7</v>
      </c>
      <c r="H42" s="17">
        <v>17</v>
      </c>
      <c r="I42" s="17">
        <v>18</v>
      </c>
      <c r="J42" s="17">
        <v>17</v>
      </c>
      <c r="K42" s="17">
        <v>15</v>
      </c>
      <c r="L42" s="17">
        <v>17</v>
      </c>
      <c r="M42" s="18">
        <v>14</v>
      </c>
      <c r="N42" s="17">
        <v>18</v>
      </c>
      <c r="O42" s="18">
        <v>19</v>
      </c>
      <c r="P42" s="113"/>
      <c r="Q42" s="113"/>
      <c r="R42" s="113"/>
    </row>
    <row r="43" spans="1:21" ht="14" x14ac:dyDescent="0.3">
      <c r="A43" s="3">
        <f>IF(B43&lt;&gt;"",COUNTA($B$8:B43),"")</f>
        <v>32</v>
      </c>
      <c r="B43" s="20" t="s">
        <v>37</v>
      </c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22"/>
      <c r="O43" s="23"/>
      <c r="P43" s="24"/>
      <c r="Q43" s="24"/>
      <c r="R43" s="24"/>
    </row>
    <row r="44" spans="1:21" ht="14" x14ac:dyDescent="0.3">
      <c r="A44" s="3">
        <f>IF(B44&lt;&gt;"",COUNTA($B$8:B44),"")</f>
        <v>33</v>
      </c>
      <c r="B44" s="25" t="s">
        <v>38</v>
      </c>
      <c r="C44" s="26" t="s">
        <v>39</v>
      </c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2"/>
      <c r="O44" s="23"/>
      <c r="P44" s="27"/>
      <c r="Q44" s="27"/>
      <c r="R44" s="27"/>
    </row>
    <row r="45" spans="1:21" ht="14" x14ac:dyDescent="0.3">
      <c r="A45" s="3" t="str">
        <f>IF(B45&lt;&gt;"",COUNTA($B$8:B45),"")</f>
        <v/>
      </c>
      <c r="B45" s="28"/>
      <c r="C45" s="2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7"/>
      <c r="Q45" s="27"/>
      <c r="R45" s="27"/>
    </row>
    <row r="46" spans="1:21" ht="14" x14ac:dyDescent="0.3">
      <c r="A46" s="3">
        <f>IF(B46&lt;&gt;"",COUNTA($B$8:B46),"")</f>
        <v>34</v>
      </c>
      <c r="B46" s="30" t="s">
        <v>63</v>
      </c>
      <c r="C46" s="31" t="s">
        <v>41</v>
      </c>
      <c r="D46" s="32">
        <v>229021.7443131</v>
      </c>
      <c r="E46" s="32">
        <v>197293.7259475</v>
      </c>
      <c r="F46" s="32">
        <v>187259.89944000001</v>
      </c>
      <c r="G46" s="32">
        <v>121870.06794160001</v>
      </c>
      <c r="H46" s="32">
        <v>143903.76184659998</v>
      </c>
      <c r="I46" s="32">
        <v>219811.97187060001</v>
      </c>
      <c r="J46" s="32">
        <v>304220.99530190002</v>
      </c>
      <c r="K46" s="32">
        <v>203092.21976540002</v>
      </c>
      <c r="L46" s="32">
        <v>175006.25323989999</v>
      </c>
      <c r="M46" s="32">
        <v>100978.45438</v>
      </c>
      <c r="N46" s="32">
        <v>157628.45058469998</v>
      </c>
      <c r="O46" s="32">
        <v>196976.2988625</v>
      </c>
      <c r="P46" s="33">
        <f t="shared" ref="P46:P54" si="4">AVERAGE(D46:O46)</f>
        <v>186421.98695781664</v>
      </c>
      <c r="Q46" s="34">
        <v>0.94840000000000002</v>
      </c>
      <c r="R46" s="33">
        <f t="shared" ref="R46:R54" si="5">P46/Q46</f>
        <v>196564.72686399898</v>
      </c>
    </row>
    <row r="47" spans="1:21" ht="14" x14ac:dyDescent="0.3">
      <c r="A47" s="3">
        <f>IF(B47&lt;&gt;"",COUNTA($B$8:B47),"")</f>
        <v>35</v>
      </c>
      <c r="B47" s="30" t="s">
        <v>63</v>
      </c>
      <c r="C47" s="31" t="s">
        <v>42</v>
      </c>
      <c r="D47" s="32">
        <v>74537.784654000003</v>
      </c>
      <c r="E47" s="32">
        <v>59508.9448558</v>
      </c>
      <c r="F47" s="32">
        <v>57661.893480000006</v>
      </c>
      <c r="G47" s="32">
        <v>42276.341110699999</v>
      </c>
      <c r="H47" s="32">
        <v>20500.470591099998</v>
      </c>
      <c r="I47" s="32">
        <v>28186.260984</v>
      </c>
      <c r="J47" s="32">
        <v>37282.2680416</v>
      </c>
      <c r="K47" s="32">
        <v>25164.173098200001</v>
      </c>
      <c r="L47" s="32">
        <v>24340.4633789</v>
      </c>
      <c r="M47" s="32">
        <v>14997.422721299999</v>
      </c>
      <c r="N47" s="32">
        <v>50181.048449000002</v>
      </c>
      <c r="O47" s="32">
        <v>59031.952046299994</v>
      </c>
      <c r="P47" s="33">
        <f t="shared" si="4"/>
        <v>41139.085284241664</v>
      </c>
      <c r="Q47" s="34">
        <f t="shared" ref="Q47" si="6">Q46</f>
        <v>0.94840000000000002</v>
      </c>
      <c r="R47" s="33">
        <f t="shared" si="5"/>
        <v>43377.356900296989</v>
      </c>
    </row>
    <row r="48" spans="1:21" ht="14" x14ac:dyDescent="0.3">
      <c r="A48" s="3">
        <f>IF(B48&lt;&gt;"",COUNTA($B$8:B48),"")</f>
        <v>36</v>
      </c>
      <c r="B48" s="30" t="s">
        <v>63</v>
      </c>
      <c r="C48" s="31">
        <v>23</v>
      </c>
      <c r="D48" s="32">
        <v>9.9365156999999993</v>
      </c>
      <c r="E48" s="32">
        <v>7.2206218</v>
      </c>
      <c r="F48" s="32">
        <v>14.6632157</v>
      </c>
      <c r="G48" s="32">
        <v>12.691581100000001</v>
      </c>
      <c r="H48" s="32">
        <v>8.4871684999999992</v>
      </c>
      <c r="I48" s="32">
        <v>10.328231199999999</v>
      </c>
      <c r="J48" s="32">
        <v>15.1593886</v>
      </c>
      <c r="K48" s="32">
        <v>25.3439908</v>
      </c>
      <c r="L48" s="32">
        <v>11.1116621</v>
      </c>
      <c r="M48" s="32">
        <v>17.783882200000001</v>
      </c>
      <c r="N48" s="32">
        <v>10.1846022</v>
      </c>
      <c r="O48" s="32">
        <v>7.0378211999999998</v>
      </c>
      <c r="P48" s="33">
        <f t="shared" si="4"/>
        <v>12.495723425000001</v>
      </c>
      <c r="Q48" s="35">
        <v>0.929995798907716</v>
      </c>
      <c r="R48" s="33">
        <f t="shared" si="5"/>
        <v>13.436322443258648</v>
      </c>
    </row>
    <row r="49" spans="1:18" ht="14" x14ac:dyDescent="0.3">
      <c r="A49" s="3">
        <f>IF(B49&lt;&gt;"",COUNTA($B$8:B49),"")</f>
        <v>37</v>
      </c>
      <c r="B49" s="30" t="s">
        <v>63</v>
      </c>
      <c r="C49" s="31">
        <v>24</v>
      </c>
      <c r="D49" s="32">
        <v>942.81473640000002</v>
      </c>
      <c r="E49" s="32">
        <v>1030.9628373</v>
      </c>
      <c r="F49" s="32">
        <v>1294.0809374</v>
      </c>
      <c r="G49" s="32">
        <v>724.27689759999998</v>
      </c>
      <c r="H49" s="32">
        <v>585.68381750000003</v>
      </c>
      <c r="I49" s="32">
        <v>1116.2113091000001</v>
      </c>
      <c r="J49" s="32">
        <v>1452.1030060000001</v>
      </c>
      <c r="K49" s="32">
        <v>827.12115600000004</v>
      </c>
      <c r="L49" s="32">
        <v>1004.0233755</v>
      </c>
      <c r="M49" s="32">
        <v>575.73525280000001</v>
      </c>
      <c r="N49" s="32">
        <v>888.25871749999999</v>
      </c>
      <c r="O49" s="32">
        <v>1054.4088158</v>
      </c>
      <c r="P49" s="33">
        <f t="shared" si="4"/>
        <v>957.97340490833346</v>
      </c>
      <c r="Q49" s="35">
        <v>0.92999579890771611</v>
      </c>
      <c r="R49" s="33">
        <f t="shared" si="5"/>
        <v>1030.0835832091684</v>
      </c>
    </row>
    <row r="50" spans="1:18" ht="14" x14ac:dyDescent="0.3">
      <c r="A50" s="3">
        <f>IF(B50&lt;&gt;"",COUNTA($B$8:B50),"")</f>
        <v>38</v>
      </c>
      <c r="B50" s="30" t="s">
        <v>63</v>
      </c>
      <c r="C50" s="31" t="s">
        <v>64</v>
      </c>
      <c r="D50" s="32">
        <v>102995.45539829999</v>
      </c>
      <c r="E50" s="32">
        <v>97895.678264799993</v>
      </c>
      <c r="F50" s="32">
        <v>87857.037502899999</v>
      </c>
      <c r="G50" s="32">
        <v>70399.387164400003</v>
      </c>
      <c r="H50" s="32">
        <v>71515.454929500003</v>
      </c>
      <c r="I50" s="32">
        <v>92849.42880129999</v>
      </c>
      <c r="J50" s="32">
        <v>93556.474740499994</v>
      </c>
      <c r="K50" s="32">
        <v>109921.3151664</v>
      </c>
      <c r="L50" s="32">
        <v>98865.486939800001</v>
      </c>
      <c r="M50" s="32">
        <v>97199.609997300009</v>
      </c>
      <c r="N50" s="32">
        <v>86930.750646</v>
      </c>
      <c r="O50" s="32">
        <v>87581.1389012</v>
      </c>
      <c r="P50" s="33">
        <f t="shared" si="4"/>
        <v>91463.934871033343</v>
      </c>
      <c r="Q50" s="35">
        <v>0.93011974112061879</v>
      </c>
      <c r="R50" s="33">
        <f t="shared" si="5"/>
        <v>98335.655967087165</v>
      </c>
    </row>
    <row r="51" spans="1:18" ht="14" x14ac:dyDescent="0.3">
      <c r="A51" s="3">
        <f>IF(B51&lt;&gt;"",COUNTA($B$8:B51),"")</f>
        <v>39</v>
      </c>
      <c r="B51" s="30" t="s">
        <v>63</v>
      </c>
      <c r="C51" s="31" t="s">
        <v>65</v>
      </c>
      <c r="D51" s="32">
        <v>53462.727044799998</v>
      </c>
      <c r="E51" s="32">
        <v>51426.413141899997</v>
      </c>
      <c r="F51" s="32">
        <v>49542.826778900002</v>
      </c>
      <c r="G51" s="32">
        <v>51905.912481299994</v>
      </c>
      <c r="H51" s="32">
        <v>45701.645320399999</v>
      </c>
      <c r="I51" s="32">
        <v>49496.420690799998</v>
      </c>
      <c r="J51" s="32">
        <v>48159.485821600007</v>
      </c>
      <c r="K51" s="32">
        <v>62194.206298599995</v>
      </c>
      <c r="L51" s="32">
        <v>54846.250017300001</v>
      </c>
      <c r="M51" s="32">
        <v>60997.774127199998</v>
      </c>
      <c r="N51" s="32">
        <v>49789.602570300005</v>
      </c>
      <c r="O51" s="32">
        <v>49644.657831000004</v>
      </c>
      <c r="P51" s="33">
        <f t="shared" si="4"/>
        <v>52263.993510341672</v>
      </c>
      <c r="Q51" s="35">
        <v>0.93191995492824298</v>
      </c>
      <c r="R51" s="33">
        <f t="shared" si="5"/>
        <v>56082.062878850957</v>
      </c>
    </row>
    <row r="52" spans="1:18" ht="14" x14ac:dyDescent="0.3">
      <c r="A52" s="3">
        <f>IF(B52&lt;&gt;"",COUNTA($B$8:B52),"")</f>
        <v>40</v>
      </c>
      <c r="B52" s="30" t="s">
        <v>63</v>
      </c>
      <c r="C52" s="31" t="s">
        <v>66</v>
      </c>
      <c r="D52" s="32">
        <v>86444.4545564</v>
      </c>
      <c r="E52" s="32">
        <v>86022.732603800003</v>
      </c>
      <c r="F52" s="32">
        <v>85300.264980499996</v>
      </c>
      <c r="G52" s="32">
        <v>86831.372281599994</v>
      </c>
      <c r="H52" s="32">
        <v>90169.720968599999</v>
      </c>
      <c r="I52" s="32">
        <v>93532.043566299995</v>
      </c>
      <c r="J52" s="32">
        <v>84294.117217799998</v>
      </c>
      <c r="K52" s="32">
        <v>109051.1109014</v>
      </c>
      <c r="L52" s="32">
        <v>99188.329130700004</v>
      </c>
      <c r="M52" s="32">
        <v>105398.0054663</v>
      </c>
      <c r="N52" s="32">
        <v>82994.381813100001</v>
      </c>
      <c r="O52" s="32">
        <v>81828.730507500004</v>
      </c>
      <c r="P52" s="33">
        <f t="shared" si="4"/>
        <v>90921.271999499993</v>
      </c>
      <c r="Q52" s="35">
        <v>0.94145582207348555</v>
      </c>
      <c r="R52" s="33">
        <f t="shared" si="5"/>
        <v>96575.186926193463</v>
      </c>
    </row>
    <row r="53" spans="1:18" ht="14" x14ac:dyDescent="0.3">
      <c r="A53" s="3">
        <f>IF(B53&lt;&gt;"",COUNTA($B$8:B53),"")</f>
        <v>41</v>
      </c>
      <c r="B53" s="30" t="s">
        <v>63</v>
      </c>
      <c r="C53" s="31" t="s">
        <v>67</v>
      </c>
      <c r="D53" s="32">
        <v>48889.375129699998</v>
      </c>
      <c r="E53" s="32">
        <v>45877.004343799999</v>
      </c>
      <c r="F53" s="32">
        <v>49707.061076099999</v>
      </c>
      <c r="G53" s="32">
        <v>50834.008539499999</v>
      </c>
      <c r="H53" s="32">
        <v>53922.270164699999</v>
      </c>
      <c r="I53" s="32">
        <v>54391.841794200001</v>
      </c>
      <c r="J53" s="32">
        <v>52499.535545899998</v>
      </c>
      <c r="K53" s="32">
        <v>64903.837276999999</v>
      </c>
      <c r="L53" s="32">
        <v>64557.293245100002</v>
      </c>
      <c r="M53" s="32">
        <v>63416.391872</v>
      </c>
      <c r="N53" s="32">
        <v>49292.214348599999</v>
      </c>
      <c r="O53" s="32">
        <v>47944.505501899999</v>
      </c>
      <c r="P53" s="33">
        <f t="shared" si="4"/>
        <v>53852.944903208328</v>
      </c>
      <c r="Q53" s="35">
        <v>0.98134717504443669</v>
      </c>
      <c r="R53" s="33">
        <f t="shared" si="5"/>
        <v>54876.547538611703</v>
      </c>
    </row>
    <row r="54" spans="1:18" ht="14" x14ac:dyDescent="0.3">
      <c r="A54" s="3">
        <f>IF(B54&lt;&gt;"",COUNTA($B$8:B54),"")</f>
        <v>42</v>
      </c>
      <c r="B54" s="30" t="s">
        <v>63</v>
      </c>
      <c r="C54" s="31" t="s">
        <v>59</v>
      </c>
      <c r="D54" s="32">
        <v>4791.2686425702805</v>
      </c>
      <c r="E54" s="32">
        <v>7186.9029638554202</v>
      </c>
      <c r="F54" s="32">
        <v>5629.7406550200794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6947.339531726906</v>
      </c>
      <c r="O54" s="32">
        <v>7186.9029638554202</v>
      </c>
      <c r="P54" s="33">
        <f t="shared" si="4"/>
        <v>2645.1795630856755</v>
      </c>
      <c r="Q54" s="36">
        <v>0.94840000000000002</v>
      </c>
      <c r="R54" s="33">
        <f t="shared" si="5"/>
        <v>2789.0969665601806</v>
      </c>
    </row>
    <row r="55" spans="1:18" ht="14" x14ac:dyDescent="0.3">
      <c r="A55" s="3" t="str">
        <f>IF(B55&lt;&gt;"",COUNTA($B$8:B55),"")</f>
        <v/>
      </c>
      <c r="B55" s="30"/>
      <c r="C55" s="31"/>
      <c r="D55" s="37"/>
      <c r="E55" s="37"/>
      <c r="F55" s="37"/>
      <c r="G55" s="37"/>
      <c r="H55" s="37"/>
      <c r="I55" s="37"/>
      <c r="J55" s="37"/>
      <c r="K55" s="37"/>
      <c r="L55" s="37"/>
      <c r="M55" s="38"/>
      <c r="N55" s="37"/>
      <c r="O55" s="38"/>
      <c r="P55" s="33"/>
      <c r="Q55" s="27"/>
      <c r="R55" s="39"/>
    </row>
    <row r="56" spans="1:18" ht="14.5" thickBot="1" x14ac:dyDescent="0.35">
      <c r="A56" s="3">
        <f>IF(B56&lt;&gt;"",COUNTA($B$8:B56),"")</f>
        <v>43</v>
      </c>
      <c r="B56" s="40" t="s">
        <v>60</v>
      </c>
      <c r="C56" s="41" t="s">
        <v>61</v>
      </c>
      <c r="D56" s="42">
        <f>SUM(D46:D55)</f>
        <v>601095.56099097023</v>
      </c>
      <c r="E56" s="42">
        <f t="shared" ref="E56:O56" si="7">SUM(E46:E55)</f>
        <v>546249.58558055537</v>
      </c>
      <c r="F56" s="42">
        <f t="shared" si="7"/>
        <v>524267.46806652</v>
      </c>
      <c r="G56" s="42">
        <f t="shared" si="7"/>
        <v>424854.0579978</v>
      </c>
      <c r="H56" s="42">
        <f t="shared" si="7"/>
        <v>426307.49480689998</v>
      </c>
      <c r="I56" s="42">
        <f t="shared" si="7"/>
        <v>539394.50724750001</v>
      </c>
      <c r="J56" s="42">
        <f t="shared" si="7"/>
        <v>621480.13906389999</v>
      </c>
      <c r="K56" s="42">
        <f t="shared" si="7"/>
        <v>575179.32765380002</v>
      </c>
      <c r="L56" s="42">
        <f t="shared" si="7"/>
        <v>517819.21098929999</v>
      </c>
      <c r="M56" s="42">
        <f t="shared" si="7"/>
        <v>443581.17769910005</v>
      </c>
      <c r="N56" s="42">
        <f t="shared" si="7"/>
        <v>484662.23126312689</v>
      </c>
      <c r="O56" s="43">
        <f t="shared" si="7"/>
        <v>531255.63325125538</v>
      </c>
      <c r="P56" s="44">
        <f t="shared" ref="P56" si="8">SUM(P46:P54)</f>
        <v>519678.86621756066</v>
      </c>
      <c r="Q56" s="45"/>
      <c r="R56" s="44">
        <f>SUM(R46:R54)</f>
        <v>549644.15394725197</v>
      </c>
    </row>
    <row r="58" spans="1:18" ht="14" x14ac:dyDescent="0.3">
      <c r="A58" s="3"/>
      <c r="B58" s="49" t="s">
        <v>68</v>
      </c>
    </row>
    <row r="59" spans="1:18" ht="14" x14ac:dyDescent="0.3">
      <c r="B59" s="50"/>
    </row>
    <row r="60" spans="1:18" ht="14" x14ac:dyDescent="0.3">
      <c r="B60" s="50"/>
    </row>
    <row r="61" spans="1:18" ht="14" x14ac:dyDescent="0.3">
      <c r="B61" s="50"/>
    </row>
    <row r="62" spans="1:18" ht="14" x14ac:dyDescent="0.3">
      <c r="B62" s="50"/>
    </row>
  </sheetData>
  <mergeCells count="8">
    <mergeCell ref="P40:P42"/>
    <mergeCell ref="Q40:Q42"/>
    <mergeCell ref="R40:R42"/>
    <mergeCell ref="A4:R4"/>
    <mergeCell ref="A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A26E-0FB2-42F4-9188-2176C5BD3C48}">
  <sheetPr>
    <pageSetUpPr fitToPage="1"/>
  </sheetPr>
  <dimension ref="A3:U60"/>
  <sheetViews>
    <sheetView zoomScaleNormal="100" workbookViewId="0">
      <selection activeCell="B3" sqref="B3"/>
    </sheetView>
  </sheetViews>
  <sheetFormatPr defaultRowHeight="12.5" x14ac:dyDescent="0.25"/>
  <cols>
    <col min="1" max="1" width="3.26953125" bestFit="1" customWidth="1"/>
    <col min="2" max="2" width="27.81640625" bestFit="1" customWidth="1"/>
    <col min="3" max="3" width="13.81640625" customWidth="1"/>
    <col min="4" max="16" width="11.54296875" bestFit="1" customWidth="1"/>
    <col min="17" max="17" width="8.1796875" bestFit="1" customWidth="1"/>
    <col min="18" max="18" width="15.453125" customWidth="1"/>
  </cols>
  <sheetData>
    <row r="3" spans="1:20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4" x14ac:dyDescent="0.3">
      <c r="A4" s="108" t="s">
        <v>73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20" ht="14" x14ac:dyDescent="0.3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1:20" ht="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14.5" thickBot="1" x14ac:dyDescent="0.35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14.5" thickBot="1" x14ac:dyDescent="0.35">
      <c r="A8" s="3">
        <f>IF(B8&lt;&gt;"",COUNTA($B8:B$8),"")</f>
        <v>1</v>
      </c>
      <c r="B8" s="4" t="s">
        <v>2</v>
      </c>
      <c r="C8" s="5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11</v>
      </c>
      <c r="L8" s="5" t="s">
        <v>12</v>
      </c>
      <c r="M8" s="6" t="s">
        <v>13</v>
      </c>
      <c r="N8" s="6" t="s">
        <v>14</v>
      </c>
      <c r="O8" s="7" t="s">
        <v>15</v>
      </c>
      <c r="P8" s="6" t="s">
        <v>16</v>
      </c>
      <c r="Q8" s="6" t="s">
        <v>17</v>
      </c>
      <c r="R8" s="6" t="s">
        <v>18</v>
      </c>
    </row>
    <row r="9" spans="1:20" ht="14" x14ac:dyDescent="0.3">
      <c r="A9" s="3">
        <f>IF(B9&lt;&gt;"",COUNTA($B$8:B9),"")</f>
        <v>2</v>
      </c>
      <c r="B9" s="8" t="s">
        <v>19</v>
      </c>
      <c r="C9" s="9"/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28</v>
      </c>
      <c r="M9" s="11" t="s">
        <v>29</v>
      </c>
      <c r="N9" s="10" t="s">
        <v>30</v>
      </c>
      <c r="O9" s="11" t="s">
        <v>31</v>
      </c>
      <c r="P9" s="109" t="s">
        <v>32</v>
      </c>
      <c r="Q9" s="109" t="s">
        <v>33</v>
      </c>
      <c r="R9" s="109" t="s">
        <v>34</v>
      </c>
    </row>
    <row r="10" spans="1:20" ht="14" x14ac:dyDescent="0.3">
      <c r="A10" s="3">
        <f>IF(B10&lt;&gt;"",COUNTA($B$8:B10),"")</f>
        <v>3</v>
      </c>
      <c r="B10" s="12" t="s">
        <v>35</v>
      </c>
      <c r="C10" s="13"/>
      <c r="D10" s="14">
        <v>43851</v>
      </c>
      <c r="E10" s="14">
        <v>43875</v>
      </c>
      <c r="F10" s="14">
        <v>43891</v>
      </c>
      <c r="G10" s="14">
        <v>43924</v>
      </c>
      <c r="H10" s="14">
        <v>43980</v>
      </c>
      <c r="I10" s="14">
        <v>44005</v>
      </c>
      <c r="J10" s="14">
        <v>44040</v>
      </c>
      <c r="K10" s="14">
        <v>44054</v>
      </c>
      <c r="L10" s="14">
        <v>44084</v>
      </c>
      <c r="M10" s="15">
        <v>44134</v>
      </c>
      <c r="N10" s="14">
        <v>44153</v>
      </c>
      <c r="O10" s="15">
        <v>44182</v>
      </c>
      <c r="P10" s="112"/>
      <c r="Q10" s="112"/>
      <c r="R10" s="112"/>
    </row>
    <row r="11" spans="1:20" ht="42.5" thickBot="1" x14ac:dyDescent="0.35">
      <c r="A11" s="3">
        <f>IF(B11&lt;&gt;"",COUNTA($B$8:B11),"")</f>
        <v>4</v>
      </c>
      <c r="B11" s="16" t="s">
        <v>36</v>
      </c>
      <c r="C11" s="13"/>
      <c r="D11" s="17">
        <v>18</v>
      </c>
      <c r="E11" s="17">
        <v>19</v>
      </c>
      <c r="F11" s="17">
        <v>19</v>
      </c>
      <c r="G11" s="17">
        <v>12</v>
      </c>
      <c r="H11" s="17">
        <v>16</v>
      </c>
      <c r="I11" s="17">
        <v>17</v>
      </c>
      <c r="J11" s="17">
        <v>15</v>
      </c>
      <c r="K11" s="17">
        <v>17</v>
      </c>
      <c r="L11" s="17">
        <v>15</v>
      </c>
      <c r="M11" s="18">
        <v>12</v>
      </c>
      <c r="N11" s="17">
        <v>18</v>
      </c>
      <c r="O11" s="18">
        <v>18</v>
      </c>
      <c r="P11" s="113"/>
      <c r="Q11" s="113"/>
      <c r="R11" s="113"/>
      <c r="T11" s="19"/>
    </row>
    <row r="12" spans="1:20" ht="14" x14ac:dyDescent="0.3">
      <c r="A12" s="3">
        <f>IF(B12&lt;&gt;"",COUNTA($B$8:B12),"")</f>
        <v>5</v>
      </c>
      <c r="B12" s="20" t="s">
        <v>37</v>
      </c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2"/>
      <c r="O12" s="23"/>
      <c r="P12" s="24"/>
      <c r="Q12" s="24"/>
      <c r="R12" s="24"/>
    </row>
    <row r="13" spans="1:20" ht="14" x14ac:dyDescent="0.3">
      <c r="A13" s="3">
        <f>IF(B13&lt;&gt;"",COUNTA($B$8:B13),"")</f>
        <v>6</v>
      </c>
      <c r="B13" s="25" t="s">
        <v>38</v>
      </c>
      <c r="C13" s="26" t="s">
        <v>39</v>
      </c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2"/>
      <c r="O13" s="23"/>
      <c r="P13" s="27"/>
      <c r="Q13" s="27"/>
      <c r="R13" s="27"/>
    </row>
    <row r="14" spans="1:20" ht="6" customHeight="1" x14ac:dyDescent="0.3">
      <c r="A14" s="3" t="str">
        <f>IF(B14&lt;&gt;"",COUNTA($B$8:B14),"")</f>
        <v/>
      </c>
      <c r="B14" s="28"/>
      <c r="C14" s="2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7"/>
      <c r="Q14" s="27"/>
      <c r="R14" s="27"/>
    </row>
    <row r="15" spans="1:20" ht="14" x14ac:dyDescent="0.3">
      <c r="A15" s="3">
        <f>IF(B15&lt;&gt;"",COUNTA($B$8:B15),"")</f>
        <v>7</v>
      </c>
      <c r="B15" s="30" t="s">
        <v>40</v>
      </c>
      <c r="C15" s="31" t="s">
        <v>41</v>
      </c>
      <c r="D15" s="32">
        <v>888360.68292559998</v>
      </c>
      <c r="E15" s="32">
        <v>936659.62431500002</v>
      </c>
      <c r="F15" s="32">
        <v>907607.52514460008</v>
      </c>
      <c r="G15" s="32">
        <v>763250.42608650005</v>
      </c>
      <c r="H15" s="32">
        <v>894196.08867600001</v>
      </c>
      <c r="I15" s="32">
        <v>1446916.5154444999</v>
      </c>
      <c r="J15" s="32">
        <v>1844709.7053071</v>
      </c>
      <c r="K15" s="32">
        <v>1757595.3612473002</v>
      </c>
      <c r="L15" s="32">
        <v>1058768.1239865001</v>
      </c>
      <c r="M15" s="32">
        <v>779669.34601069998</v>
      </c>
      <c r="N15" s="32">
        <v>968598.52872170007</v>
      </c>
      <c r="O15" s="32">
        <v>1145388.6522820001</v>
      </c>
      <c r="P15" s="33">
        <f>AVERAGE(D15:O15)</f>
        <v>1115976.7150122914</v>
      </c>
      <c r="Q15" s="34">
        <v>0.94840404982625059</v>
      </c>
      <c r="R15" s="33">
        <f>P15/Q15</f>
        <v>1176689.1075768187</v>
      </c>
    </row>
    <row r="16" spans="1:20" ht="14" x14ac:dyDescent="0.3">
      <c r="A16" s="3">
        <f>IF(B16&lt;&gt;"",COUNTA($B$8:B16),"")</f>
        <v>8</v>
      </c>
      <c r="B16" s="30" t="s">
        <v>40</v>
      </c>
      <c r="C16" s="31" t="s">
        <v>42</v>
      </c>
      <c r="D16" s="32">
        <v>181375.31047600001</v>
      </c>
      <c r="E16" s="32">
        <v>178022.9470932</v>
      </c>
      <c r="F16" s="32">
        <v>162649.1869154</v>
      </c>
      <c r="G16" s="32">
        <v>114551.73558109999</v>
      </c>
      <c r="H16" s="32">
        <v>66062.345864700008</v>
      </c>
      <c r="I16" s="32">
        <v>96580.973697400012</v>
      </c>
      <c r="J16" s="32">
        <v>111102.2827581</v>
      </c>
      <c r="K16" s="32">
        <v>111036.69010000001</v>
      </c>
      <c r="L16" s="32">
        <v>69055.333204399998</v>
      </c>
      <c r="M16" s="32">
        <v>117378.86692870001</v>
      </c>
      <c r="N16" s="32">
        <v>148342.41473990001</v>
      </c>
      <c r="O16" s="32">
        <v>196727.6488315</v>
      </c>
      <c r="P16" s="33">
        <f t="shared" ref="P16:P34" si="0">AVERAGE(D16:O16)</f>
        <v>129407.14468253334</v>
      </c>
      <c r="Q16" s="34">
        <f>Q15</f>
        <v>0.94840404982625059</v>
      </c>
      <c r="R16" s="33">
        <f t="shared" ref="R16:R34" si="1">P16/Q16</f>
        <v>136447.27129353883</v>
      </c>
    </row>
    <row r="17" spans="1:18" ht="14" x14ac:dyDescent="0.3">
      <c r="A17" s="3">
        <f>IF(B17&lt;&gt;"",COUNTA($B$8:B17),"")</f>
        <v>9</v>
      </c>
      <c r="B17" s="30" t="s">
        <v>43</v>
      </c>
      <c r="C17" s="31" t="s">
        <v>44</v>
      </c>
      <c r="D17" s="32">
        <v>88196.902008600009</v>
      </c>
      <c r="E17" s="32">
        <v>86855.124084800002</v>
      </c>
      <c r="F17" s="32">
        <v>69172.032431499989</v>
      </c>
      <c r="G17" s="32">
        <v>62662.5418154</v>
      </c>
      <c r="H17" s="32">
        <v>72959.325080800001</v>
      </c>
      <c r="I17" s="32">
        <v>75313.133903299997</v>
      </c>
      <c r="J17" s="32">
        <v>94419.014593400003</v>
      </c>
      <c r="K17" s="32">
        <v>89496.686758000011</v>
      </c>
      <c r="L17" s="32">
        <v>82816.708644900005</v>
      </c>
      <c r="M17" s="32">
        <v>65089.802726399997</v>
      </c>
      <c r="N17" s="32">
        <v>69059.695864100009</v>
      </c>
      <c r="O17" s="32">
        <v>63165.184890500001</v>
      </c>
      <c r="P17" s="33">
        <f t="shared" si="0"/>
        <v>76600.512733475</v>
      </c>
      <c r="Q17" s="35">
        <v>0.94840404982625059</v>
      </c>
      <c r="R17" s="33">
        <f t="shared" si="1"/>
        <v>80767.804341945142</v>
      </c>
    </row>
    <row r="18" spans="1:18" ht="14" x14ac:dyDescent="0.3">
      <c r="A18" s="3">
        <f>IF(B18&lt;&gt;"",COUNTA($B$8:B18),"")</f>
        <v>10</v>
      </c>
      <c r="B18" s="30" t="s">
        <v>43</v>
      </c>
      <c r="C18" s="31" t="s">
        <v>45</v>
      </c>
      <c r="D18" s="32">
        <v>961606.74126779998</v>
      </c>
      <c r="E18" s="32">
        <v>816157.08627810003</v>
      </c>
      <c r="F18" s="32">
        <v>660229.6562037</v>
      </c>
      <c r="G18" s="32">
        <v>710231.2794001</v>
      </c>
      <c r="H18" s="32">
        <v>844247.05711649999</v>
      </c>
      <c r="I18" s="32">
        <v>935083.74303100002</v>
      </c>
      <c r="J18" s="32">
        <v>1155128.1152317</v>
      </c>
      <c r="K18" s="32">
        <v>1058298.9884541</v>
      </c>
      <c r="L18" s="32">
        <v>1047316.4238322</v>
      </c>
      <c r="M18" s="32">
        <v>841799.73136970005</v>
      </c>
      <c r="N18" s="32">
        <v>783491.2145767</v>
      </c>
      <c r="O18" s="32">
        <v>776430.19716029998</v>
      </c>
      <c r="P18" s="33">
        <f t="shared" si="0"/>
        <v>882501.68616015837</v>
      </c>
      <c r="Q18" s="35">
        <v>0.94841936117036152</v>
      </c>
      <c r="R18" s="33">
        <f t="shared" si="1"/>
        <v>930497.33302696398</v>
      </c>
    </row>
    <row r="19" spans="1:18" ht="14" x14ac:dyDescent="0.3">
      <c r="A19" s="3">
        <f>IF(B19&lt;&gt;"",COUNTA($B$8:B19),"")</f>
        <v>11</v>
      </c>
      <c r="B19" s="30" t="s">
        <v>43</v>
      </c>
      <c r="C19" s="31" t="s">
        <v>46</v>
      </c>
      <c r="D19" s="32">
        <v>360365.06650830002</v>
      </c>
      <c r="E19" s="32">
        <v>326953.30534710002</v>
      </c>
      <c r="F19" s="32">
        <v>295812.34769760002</v>
      </c>
      <c r="G19" s="32">
        <v>305355.15065099997</v>
      </c>
      <c r="H19" s="32">
        <v>379132.44598100003</v>
      </c>
      <c r="I19" s="32">
        <v>404299.69275609998</v>
      </c>
      <c r="J19" s="32">
        <v>446293.47505010001</v>
      </c>
      <c r="K19" s="32">
        <v>426494.7624372</v>
      </c>
      <c r="L19" s="32">
        <v>438586.45043049997</v>
      </c>
      <c r="M19" s="32">
        <v>320329.42091019999</v>
      </c>
      <c r="N19" s="32">
        <v>317466.21507430001</v>
      </c>
      <c r="O19" s="32">
        <v>307616.55337899999</v>
      </c>
      <c r="P19" s="33">
        <f t="shared" si="0"/>
        <v>360725.40718519996</v>
      </c>
      <c r="Q19" s="35">
        <v>0.9859624838981127</v>
      </c>
      <c r="R19" s="33">
        <f t="shared" si="1"/>
        <v>365861.18952420156</v>
      </c>
    </row>
    <row r="20" spans="1:18" ht="14" x14ac:dyDescent="0.3">
      <c r="A20" s="3">
        <f>IF(B20&lt;&gt;"",COUNTA($B$8:B20),"")</f>
        <v>12</v>
      </c>
      <c r="B20" s="30" t="s">
        <v>43</v>
      </c>
      <c r="C20" s="31" t="s">
        <v>47</v>
      </c>
      <c r="D20" s="32">
        <v>11657.110438600001</v>
      </c>
      <c r="E20" s="32">
        <v>11826.8917186</v>
      </c>
      <c r="F20" s="32">
        <v>11595.7001884</v>
      </c>
      <c r="G20" s="32">
        <v>19445.375113400001</v>
      </c>
      <c r="H20" s="32">
        <v>11382.5704965</v>
      </c>
      <c r="I20" s="32">
        <v>0</v>
      </c>
      <c r="J20" s="32">
        <v>0</v>
      </c>
      <c r="K20" s="32">
        <v>0</v>
      </c>
      <c r="L20" s="32">
        <v>9468.0156367</v>
      </c>
      <c r="M20" s="32">
        <v>13235.715106</v>
      </c>
      <c r="N20" s="32">
        <v>11888.3019688</v>
      </c>
      <c r="O20" s="32">
        <v>13058.7090907</v>
      </c>
      <c r="P20" s="33">
        <f t="shared" si="0"/>
        <v>9463.1991464750008</v>
      </c>
      <c r="Q20" s="35">
        <v>1</v>
      </c>
      <c r="R20" s="33">
        <f t="shared" si="1"/>
        <v>9463.1991464750008</v>
      </c>
    </row>
    <row r="21" spans="1:18" ht="14" x14ac:dyDescent="0.3">
      <c r="A21" s="3">
        <f>IF(B21&lt;&gt;"",COUNTA($B$8:B21),"")</f>
        <v>13</v>
      </c>
      <c r="B21" s="30" t="s">
        <v>48</v>
      </c>
      <c r="C21" s="31" t="s">
        <v>49</v>
      </c>
      <c r="D21" s="32">
        <v>39844.984542799997</v>
      </c>
      <c r="E21" s="32">
        <v>39570.234515900003</v>
      </c>
      <c r="F21" s="32">
        <v>32108.250151200002</v>
      </c>
      <c r="G21" s="32">
        <v>24110.721137100001</v>
      </c>
      <c r="H21" s="32">
        <v>28513.436581800001</v>
      </c>
      <c r="I21" s="32">
        <v>35571.613582700003</v>
      </c>
      <c r="J21" s="32">
        <v>41054.944511599999</v>
      </c>
      <c r="K21" s="32">
        <v>38701.693832099998</v>
      </c>
      <c r="L21" s="32">
        <v>35896.405443900003</v>
      </c>
      <c r="M21" s="32">
        <v>27716.1397024</v>
      </c>
      <c r="N21" s="32">
        <v>29076.989113299998</v>
      </c>
      <c r="O21" s="32">
        <v>30555.5258956</v>
      </c>
      <c r="P21" s="33">
        <f t="shared" si="0"/>
        <v>33560.078250866667</v>
      </c>
      <c r="Q21" s="35">
        <v>0.94840404982625059</v>
      </c>
      <c r="R21" s="33">
        <f t="shared" si="1"/>
        <v>35385.844521662402</v>
      </c>
    </row>
    <row r="22" spans="1:18" ht="14" x14ac:dyDescent="0.3">
      <c r="A22" s="3">
        <f>IF(B22&lt;&gt;"",COUNTA($B$8:B22),"")</f>
        <v>14</v>
      </c>
      <c r="B22" s="30" t="s">
        <v>48</v>
      </c>
      <c r="C22" s="31" t="s">
        <v>50</v>
      </c>
      <c r="D22" s="32">
        <v>73238.2306025</v>
      </c>
      <c r="E22" s="32">
        <v>68312.686952000004</v>
      </c>
      <c r="F22" s="32">
        <v>58815.956129600003</v>
      </c>
      <c r="G22" s="32">
        <v>56127.431385700002</v>
      </c>
      <c r="H22" s="32">
        <v>82474.395286600004</v>
      </c>
      <c r="I22" s="32">
        <v>91491.890498499997</v>
      </c>
      <c r="J22" s="32">
        <v>104189.255072</v>
      </c>
      <c r="K22" s="32">
        <v>104000.23555319999</v>
      </c>
      <c r="L22" s="32">
        <v>95924.781137500002</v>
      </c>
      <c r="M22" s="32">
        <v>62301.068217100001</v>
      </c>
      <c r="N22" s="32">
        <v>62295.434693700001</v>
      </c>
      <c r="O22" s="32">
        <v>64886.316012900003</v>
      </c>
      <c r="P22" s="33">
        <f t="shared" si="0"/>
        <v>77004.806795108321</v>
      </c>
      <c r="Q22" s="35">
        <v>0.94840404982625048</v>
      </c>
      <c r="R22" s="33">
        <f t="shared" si="1"/>
        <v>81194.093181293094</v>
      </c>
    </row>
    <row r="23" spans="1:18" ht="14" x14ac:dyDescent="0.3">
      <c r="A23" s="3">
        <f>IF(B23&lt;&gt;"",COUNTA($B$8:B23),"")</f>
        <v>15</v>
      </c>
      <c r="B23" s="30" t="s">
        <v>48</v>
      </c>
      <c r="C23" s="31" t="s">
        <v>51</v>
      </c>
      <c r="D23" s="32">
        <v>67837.300912699997</v>
      </c>
      <c r="E23" s="32">
        <v>63647.618869999998</v>
      </c>
      <c r="F23" s="32">
        <v>59161.585188899997</v>
      </c>
      <c r="G23" s="32">
        <v>59701.580765999999</v>
      </c>
      <c r="H23" s="32">
        <v>86803.433187999995</v>
      </c>
      <c r="I23" s="32">
        <v>98866.843233499996</v>
      </c>
      <c r="J23" s="32">
        <v>108173.8788855</v>
      </c>
      <c r="K23" s="32">
        <v>104410.16979479999</v>
      </c>
      <c r="L23" s="32">
        <v>107353.1501877</v>
      </c>
      <c r="M23" s="32">
        <v>79895.586172399999</v>
      </c>
      <c r="N23" s="32">
        <v>77058</v>
      </c>
      <c r="O23" s="32">
        <v>76852.591191999993</v>
      </c>
      <c r="P23" s="33">
        <f t="shared" si="0"/>
        <v>82480.14486595834</v>
      </c>
      <c r="Q23" s="35">
        <v>0.9859624838981127</v>
      </c>
      <c r="R23" s="33">
        <f t="shared" si="1"/>
        <v>83654.445491540289</v>
      </c>
    </row>
    <row r="24" spans="1:18" ht="14" x14ac:dyDescent="0.3">
      <c r="A24" s="3">
        <f>IF(B24&lt;&gt;"",COUNTA($B$8:B24),"")</f>
        <v>16</v>
      </c>
      <c r="B24" s="30" t="s">
        <v>48</v>
      </c>
      <c r="C24" s="31" t="s">
        <v>52</v>
      </c>
      <c r="D24" s="32">
        <v>1082.6254452999999</v>
      </c>
      <c r="E24" s="32">
        <v>1106.8762265</v>
      </c>
      <c r="F24" s="32">
        <v>1025.2481330999999</v>
      </c>
      <c r="G24" s="32">
        <v>814.17451879999999</v>
      </c>
      <c r="H24" s="32">
        <v>1079.6188525</v>
      </c>
      <c r="I24" s="32">
        <v>1217.8681091000001</v>
      </c>
      <c r="J24" s="32">
        <v>1239.0222798</v>
      </c>
      <c r="K24" s="32">
        <v>1339.5721037000001</v>
      </c>
      <c r="L24" s="32">
        <v>1123.5295097999999</v>
      </c>
      <c r="M24" s="32">
        <v>880.85966610000003</v>
      </c>
      <c r="N24" s="32">
        <v>915.17443149999997</v>
      </c>
      <c r="O24" s="32">
        <v>944.91629520000004</v>
      </c>
      <c r="P24" s="33">
        <f t="shared" si="0"/>
        <v>1064.1237976166667</v>
      </c>
      <c r="Q24" s="35">
        <v>0.94840404982625059</v>
      </c>
      <c r="R24" s="33">
        <f t="shared" si="1"/>
        <v>1122.0152400357381</v>
      </c>
    </row>
    <row r="25" spans="1:18" ht="14" x14ac:dyDescent="0.3">
      <c r="A25" s="3">
        <f>IF(B25&lt;&gt;"",COUNTA($B$8:B25),"")</f>
        <v>17</v>
      </c>
      <c r="B25" s="30" t="s">
        <v>48</v>
      </c>
      <c r="C25" s="31" t="s">
        <v>53</v>
      </c>
      <c r="D25" s="32">
        <v>1314.1279731</v>
      </c>
      <c r="E25" s="32">
        <v>1257.9507927</v>
      </c>
      <c r="F25" s="32">
        <v>715.36381200000005</v>
      </c>
      <c r="G25" s="32">
        <v>631.77048249999996</v>
      </c>
      <c r="H25" s="32">
        <v>478.66457609999998</v>
      </c>
      <c r="I25" s="32">
        <v>622.24288460000002</v>
      </c>
      <c r="J25" s="32">
        <v>694.75309000000004</v>
      </c>
      <c r="K25" s="32">
        <v>677.91775959999995</v>
      </c>
      <c r="L25" s="32">
        <v>613.46064290000004</v>
      </c>
      <c r="M25" s="32">
        <v>786.02683009999998</v>
      </c>
      <c r="N25" s="32">
        <v>841.55587460000004</v>
      </c>
      <c r="O25" s="32">
        <v>1334.8039868000001</v>
      </c>
      <c r="P25" s="33">
        <f t="shared" si="0"/>
        <v>830.71989208333343</v>
      </c>
      <c r="Q25" s="35">
        <v>0.94840404982625071</v>
      </c>
      <c r="R25" s="33">
        <f t="shared" si="1"/>
        <v>875.91348037318357</v>
      </c>
    </row>
    <row r="26" spans="1:18" ht="14" x14ac:dyDescent="0.3">
      <c r="A26" s="3">
        <f>IF(B26&lt;&gt;"",COUNTA($B$8:B26),"")</f>
        <v>18</v>
      </c>
      <c r="B26" s="30" t="s">
        <v>54</v>
      </c>
      <c r="C26" s="31" t="s">
        <v>55</v>
      </c>
      <c r="D26" s="32">
        <v>129241.38338100001</v>
      </c>
      <c r="E26" s="32">
        <v>126693.8245209</v>
      </c>
      <c r="F26" s="32">
        <v>110910.1748271</v>
      </c>
      <c r="G26" s="32">
        <v>105154.35605279999</v>
      </c>
      <c r="H26" s="32">
        <v>108907.36130230001</v>
      </c>
      <c r="I26" s="32">
        <v>150447.58477340001</v>
      </c>
      <c r="J26" s="32">
        <v>242352.08158219999</v>
      </c>
      <c r="K26" s="32">
        <v>198562.0498902</v>
      </c>
      <c r="L26" s="32">
        <v>176032.46355049999</v>
      </c>
      <c r="M26" s="32">
        <v>129130.88471490001</v>
      </c>
      <c r="N26" s="32">
        <v>112073.7767404</v>
      </c>
      <c r="O26" s="32">
        <v>113074.12155320001</v>
      </c>
      <c r="P26" s="33">
        <f t="shared" si="0"/>
        <v>141881.67190740834</v>
      </c>
      <c r="Q26" s="35">
        <v>0.94848822793603926</v>
      </c>
      <c r="R26" s="33">
        <f t="shared" si="1"/>
        <v>149587.17222685029</v>
      </c>
    </row>
    <row r="27" spans="1:18" ht="14" x14ac:dyDescent="0.3">
      <c r="A27" s="3">
        <f>IF(B27&lt;&gt;"",COUNTA($B$8:B27),"")</f>
        <v>19</v>
      </c>
      <c r="B27" s="30" t="s">
        <v>54</v>
      </c>
      <c r="C27" s="31" t="s">
        <v>50</v>
      </c>
      <c r="D27" s="32">
        <v>52699.405609100002</v>
      </c>
      <c r="E27" s="32">
        <v>51730.525356300001</v>
      </c>
      <c r="F27" s="32">
        <v>44253.764788200002</v>
      </c>
      <c r="G27" s="32">
        <v>45117.084845999998</v>
      </c>
      <c r="H27" s="32">
        <v>48530.803812999999</v>
      </c>
      <c r="I27" s="32">
        <v>60083.291300099998</v>
      </c>
      <c r="J27" s="32">
        <v>75705.510376599996</v>
      </c>
      <c r="K27" s="32">
        <v>67136.035035699999</v>
      </c>
      <c r="L27" s="32">
        <v>66978.3237696</v>
      </c>
      <c r="M27" s="32">
        <v>52203.154508599997</v>
      </c>
      <c r="N27" s="32">
        <v>47882.6692109</v>
      </c>
      <c r="O27" s="32">
        <v>47053.928406899999</v>
      </c>
      <c r="P27" s="33">
        <f t="shared" si="0"/>
        <v>54947.874751750001</v>
      </c>
      <c r="Q27" s="35">
        <v>0.95095557570607481</v>
      </c>
      <c r="R27" s="33">
        <f t="shared" si="1"/>
        <v>57781.747281887241</v>
      </c>
    </row>
    <row r="28" spans="1:18" ht="14" x14ac:dyDescent="0.3">
      <c r="A28" s="3">
        <f>IF(B28&lt;&gt;"",COUNTA($B$8:B28),"")</f>
        <v>20</v>
      </c>
      <c r="B28" s="30" t="s">
        <v>54</v>
      </c>
      <c r="C28" s="31" t="s">
        <v>46</v>
      </c>
      <c r="D28" s="32">
        <v>50659.583072100002</v>
      </c>
      <c r="E28" s="32">
        <v>49232.041147700002</v>
      </c>
      <c r="F28" s="32">
        <v>39960.4398879</v>
      </c>
      <c r="G28" s="32">
        <v>46689.674919800003</v>
      </c>
      <c r="H28" s="32">
        <v>53903.582655600003</v>
      </c>
      <c r="I28" s="32">
        <v>64219.3802841</v>
      </c>
      <c r="J28" s="32">
        <v>77720.833241999993</v>
      </c>
      <c r="K28" s="32">
        <v>65522.092406600001</v>
      </c>
      <c r="L28" s="32">
        <v>71467.661715099995</v>
      </c>
      <c r="M28" s="32">
        <v>55177.315816900002</v>
      </c>
      <c r="N28" s="32">
        <v>51357.743180500001</v>
      </c>
      <c r="O28" s="32">
        <v>46722.449709699998</v>
      </c>
      <c r="P28" s="33">
        <f t="shared" si="0"/>
        <v>56052.733169833336</v>
      </c>
      <c r="Q28" s="35">
        <v>0.96854394181035897</v>
      </c>
      <c r="R28" s="33">
        <f t="shared" si="1"/>
        <v>57873.195784036478</v>
      </c>
    </row>
    <row r="29" spans="1:18" ht="14" x14ac:dyDescent="0.3">
      <c r="A29" s="3">
        <f>IF(B29&lt;&gt;"",COUNTA($B$8:B29),"")</f>
        <v>21</v>
      </c>
      <c r="B29" s="30" t="s">
        <v>54</v>
      </c>
      <c r="C29" s="31" t="s">
        <v>52</v>
      </c>
      <c r="D29" s="32">
        <v>248.84981819999999</v>
      </c>
      <c r="E29" s="32">
        <v>246.96500030000001</v>
      </c>
      <c r="F29" s="32">
        <v>239.27763569999999</v>
      </c>
      <c r="G29" s="32">
        <v>356.54023669999998</v>
      </c>
      <c r="H29" s="32">
        <v>259.71444730000002</v>
      </c>
      <c r="I29" s="32">
        <v>262.09739560000003</v>
      </c>
      <c r="J29" s="32">
        <v>381.60831510000003</v>
      </c>
      <c r="K29" s="32">
        <v>287.08469609999997</v>
      </c>
      <c r="L29" s="32">
        <v>555.24043510000001</v>
      </c>
      <c r="M29" s="32">
        <v>435.55449679999998</v>
      </c>
      <c r="N29" s="32">
        <v>207.90888029999999</v>
      </c>
      <c r="O29" s="32">
        <v>225.2357422</v>
      </c>
      <c r="P29" s="33">
        <f t="shared" si="0"/>
        <v>308.83975828333331</v>
      </c>
      <c r="Q29" s="35">
        <v>0.9506626704854837</v>
      </c>
      <c r="R29" s="33">
        <f t="shared" si="1"/>
        <v>324.86787150863432</v>
      </c>
    </row>
    <row r="30" spans="1:18" ht="14" x14ac:dyDescent="0.3">
      <c r="A30" s="3">
        <f>IF(B30&lt;&gt;"",COUNTA($B$8:B30),"")</f>
        <v>22</v>
      </c>
      <c r="B30" s="30" t="s">
        <v>54</v>
      </c>
      <c r="C30" s="31" t="s">
        <v>53</v>
      </c>
      <c r="D30" s="32">
        <v>2138.6806996999999</v>
      </c>
      <c r="E30" s="32">
        <v>2431.5687874999999</v>
      </c>
      <c r="F30" s="32">
        <v>1664.7096941</v>
      </c>
      <c r="G30" s="32">
        <v>998.76043479999998</v>
      </c>
      <c r="H30" s="32">
        <v>725.25182170000005</v>
      </c>
      <c r="I30" s="32">
        <v>1388.1529902</v>
      </c>
      <c r="J30" s="32">
        <v>2256.7234315999999</v>
      </c>
      <c r="K30" s="32">
        <v>1966.1985883</v>
      </c>
      <c r="L30" s="32">
        <v>1448.6467835000001</v>
      </c>
      <c r="M30" s="32">
        <v>1332.3282641000001</v>
      </c>
      <c r="N30" s="32">
        <v>1549.0378042</v>
      </c>
      <c r="O30" s="32">
        <v>2171.8165994999999</v>
      </c>
      <c r="P30" s="33">
        <f t="shared" si="0"/>
        <v>1672.6563249333333</v>
      </c>
      <c r="Q30" s="35">
        <v>0.94840404982625059</v>
      </c>
      <c r="R30" s="33">
        <f t="shared" si="1"/>
        <v>1763.6537140892292</v>
      </c>
    </row>
    <row r="31" spans="1:18" ht="14" x14ac:dyDescent="0.3">
      <c r="A31" s="3">
        <f>IF(B31&lt;&gt;"",COUNTA($B$8:B31),"")</f>
        <v>23</v>
      </c>
      <c r="B31" s="30" t="s">
        <v>54</v>
      </c>
      <c r="C31" s="31" t="s">
        <v>56</v>
      </c>
      <c r="D31" s="32">
        <v>1089.9670808000001</v>
      </c>
      <c r="E31" s="32">
        <v>1123.7664505</v>
      </c>
      <c r="F31" s="32">
        <v>837.34808810000004</v>
      </c>
      <c r="G31" s="32">
        <v>831.46449419999999</v>
      </c>
      <c r="H31" s="32">
        <v>341.12326810000002</v>
      </c>
      <c r="I31" s="32">
        <v>225.95504550000001</v>
      </c>
      <c r="J31" s="32">
        <v>193.2823214</v>
      </c>
      <c r="K31" s="32">
        <v>193.90823570000001</v>
      </c>
      <c r="L31" s="32">
        <v>538.78698929999996</v>
      </c>
      <c r="M31" s="32">
        <v>951.51484800000003</v>
      </c>
      <c r="N31" s="32">
        <v>961.40429319999998</v>
      </c>
      <c r="O31" s="32">
        <v>1019.4891359</v>
      </c>
      <c r="P31" s="33">
        <f t="shared" si="0"/>
        <v>692.33418755833327</v>
      </c>
      <c r="Q31" s="35">
        <v>0.94840404982625059</v>
      </c>
      <c r="R31" s="33">
        <f t="shared" si="1"/>
        <v>729.9991893593982</v>
      </c>
    </row>
    <row r="32" spans="1:18" ht="14" x14ac:dyDescent="0.3">
      <c r="A32" s="3">
        <f>IF(B32&lt;&gt;"",COUNTA($B$8:B32),"")</f>
        <v>24</v>
      </c>
      <c r="B32" s="30" t="s">
        <v>54</v>
      </c>
      <c r="C32" s="31" t="s">
        <v>57</v>
      </c>
      <c r="D32" s="32">
        <v>6953.2663444999998</v>
      </c>
      <c r="E32" s="32">
        <v>6851.7270835999998</v>
      </c>
      <c r="F32" s="32">
        <v>6680.2229225999999</v>
      </c>
      <c r="G32" s="32">
        <v>6110.5222363000003</v>
      </c>
      <c r="H32" s="32">
        <v>6748.2842469999996</v>
      </c>
      <c r="I32" s="32">
        <v>7633.4837025999996</v>
      </c>
      <c r="J32" s="32">
        <v>8529.6789377000005</v>
      </c>
      <c r="K32" s="32">
        <v>7775.6667305000001</v>
      </c>
      <c r="L32" s="32">
        <v>7314.2002235</v>
      </c>
      <c r="M32" s="32">
        <v>6424.7498112000003</v>
      </c>
      <c r="N32" s="32">
        <v>7290.2809473999996</v>
      </c>
      <c r="O32" s="32">
        <v>6502.8057140000001</v>
      </c>
      <c r="P32" s="33">
        <f t="shared" si="0"/>
        <v>7067.907408408334</v>
      </c>
      <c r="Q32" s="35">
        <v>0.94840404982625071</v>
      </c>
      <c r="R32" s="33">
        <f t="shared" si="1"/>
        <v>7452.4222136157969</v>
      </c>
    </row>
    <row r="33" spans="1:21" ht="14" x14ac:dyDescent="0.3">
      <c r="A33" s="3">
        <f>IF(B33&lt;&gt;"",COUNTA($B$8:B33),"")</f>
        <v>25</v>
      </c>
      <c r="B33" s="30" t="s">
        <v>54</v>
      </c>
      <c r="C33" s="31" t="s">
        <v>58</v>
      </c>
      <c r="D33" s="32">
        <v>141.02137830000001</v>
      </c>
      <c r="E33" s="32">
        <v>244.5987265</v>
      </c>
      <c r="F33" s="32">
        <v>201.2004168</v>
      </c>
      <c r="G33" s="32">
        <v>110.4044971</v>
      </c>
      <c r="H33" s="32">
        <v>263.43012149999998</v>
      </c>
      <c r="I33" s="32">
        <v>399.3672502</v>
      </c>
      <c r="J33" s="32">
        <v>601.16533270000002</v>
      </c>
      <c r="K33" s="32">
        <v>541.54321370000002</v>
      </c>
      <c r="L33" s="32">
        <v>453.74497400000001</v>
      </c>
      <c r="M33" s="32">
        <v>226.92726049999999</v>
      </c>
      <c r="N33" s="32">
        <v>185.42030629999999</v>
      </c>
      <c r="O33" s="32">
        <v>190.51858319999999</v>
      </c>
      <c r="P33" s="33">
        <f t="shared" si="0"/>
        <v>296.61183840000001</v>
      </c>
      <c r="Q33" s="35">
        <v>0.94840404982625071</v>
      </c>
      <c r="R33" s="33">
        <f t="shared" si="1"/>
        <v>312.74838867921306</v>
      </c>
    </row>
    <row r="34" spans="1:21" ht="14" x14ac:dyDescent="0.3">
      <c r="A34" s="3">
        <f>IF(B34&lt;&gt;"",COUNTA($B$8:B34),"")</f>
        <v>26</v>
      </c>
      <c r="B34" s="30" t="s">
        <v>40</v>
      </c>
      <c r="C34" s="31" t="s">
        <v>59</v>
      </c>
      <c r="D34" s="32">
        <v>15973.342133333334</v>
      </c>
      <c r="E34" s="32">
        <v>19966.677666666666</v>
      </c>
      <c r="F34" s="32">
        <v>19301.121744444448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19966.677666666666</v>
      </c>
      <c r="O34" s="32">
        <v>19966.677666666666</v>
      </c>
      <c r="P34" s="33">
        <f t="shared" si="0"/>
        <v>7931.2080731481483</v>
      </c>
      <c r="Q34" s="36">
        <f>Q16</f>
        <v>0.94840404982625059</v>
      </c>
      <c r="R34" s="33">
        <f t="shared" si="1"/>
        <v>8362.6889558318107</v>
      </c>
      <c r="U34" s="35"/>
    </row>
    <row r="35" spans="1:21" ht="14" x14ac:dyDescent="0.3">
      <c r="A35" s="3" t="str">
        <f>IF(B35&lt;&gt;"",COUNTA($B$8:B35),"")</f>
        <v/>
      </c>
      <c r="B35" s="30"/>
      <c r="C35" s="31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37"/>
      <c r="O35" s="38"/>
      <c r="P35" s="33"/>
      <c r="Q35" s="27"/>
      <c r="R35" s="39"/>
    </row>
    <row r="36" spans="1:21" ht="14.5" thickBot="1" x14ac:dyDescent="0.35">
      <c r="A36" s="3">
        <f>IF(B36&lt;&gt;"",COUNTA($B$8:B36),"")</f>
        <v>27</v>
      </c>
      <c r="B36" s="40" t="s">
        <v>60</v>
      </c>
      <c r="C36" s="41" t="s">
        <v>61</v>
      </c>
      <c r="D36" s="42">
        <f>SUM(D15:D35)</f>
        <v>2934024.5826183334</v>
      </c>
      <c r="E36" s="42">
        <f t="shared" ref="E36:O36" si="2">SUM(E15:E35)</f>
        <v>2788892.0409338665</v>
      </c>
      <c r="F36" s="42">
        <f t="shared" si="2"/>
        <v>2482941.112000945</v>
      </c>
      <c r="G36" s="42">
        <f t="shared" si="2"/>
        <v>2322250.9946552995</v>
      </c>
      <c r="H36" s="42">
        <f t="shared" si="2"/>
        <v>2687008.9333770005</v>
      </c>
      <c r="I36" s="42">
        <f t="shared" si="2"/>
        <v>3470623.8298823992</v>
      </c>
      <c r="J36" s="42">
        <f t="shared" si="2"/>
        <v>4314745.3303185999</v>
      </c>
      <c r="K36" s="42">
        <f t="shared" si="2"/>
        <v>4034036.6568368003</v>
      </c>
      <c r="L36" s="42">
        <f t="shared" si="2"/>
        <v>3271711.4510976002</v>
      </c>
      <c r="M36" s="42">
        <f t="shared" si="2"/>
        <v>2554964.9933608007</v>
      </c>
      <c r="N36" s="42">
        <f t="shared" si="2"/>
        <v>2710508.444088466</v>
      </c>
      <c r="O36" s="43">
        <f t="shared" si="2"/>
        <v>2913888.1421277663</v>
      </c>
      <c r="P36" s="44">
        <f t="shared" ref="P36" si="3">SUM(P15:P34)</f>
        <v>3040466.3759414894</v>
      </c>
      <c r="Q36" s="45"/>
      <c r="R36" s="44">
        <f>SUM(R15:R34)</f>
        <v>3186146.7124507064</v>
      </c>
    </row>
    <row r="37" spans="1:21" ht="14" x14ac:dyDescent="0.3">
      <c r="A37" s="3" t="str">
        <f>IF(B37&lt;&gt;"",COUNTA($B$8:B37),"")</f>
        <v/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21" ht="14" x14ac:dyDescent="0.3"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21" ht="14.5" thickBot="1" x14ac:dyDescent="0.35">
      <c r="A39" s="3">
        <f>IF(B39&lt;&gt;"",COUNTA($B$8:B39),"")</f>
        <v>28</v>
      </c>
      <c r="B39" s="48" t="s">
        <v>62</v>
      </c>
      <c r="O39" s="46"/>
    </row>
    <row r="40" spans="1:21" ht="14.25" customHeight="1" x14ac:dyDescent="0.3">
      <c r="A40" s="3">
        <f>IF(B40&lt;&gt;"",COUNTA($B$8:B40),"")</f>
        <v>29</v>
      </c>
      <c r="B40" s="8" t="s">
        <v>19</v>
      </c>
      <c r="C40" s="9"/>
      <c r="D40" s="10" t="s">
        <v>20</v>
      </c>
      <c r="E40" s="10" t="s">
        <v>21</v>
      </c>
      <c r="F40" s="10" t="s">
        <v>22</v>
      </c>
      <c r="G40" s="10" t="s">
        <v>23</v>
      </c>
      <c r="H40" s="10" t="s">
        <v>24</v>
      </c>
      <c r="I40" s="10" t="s">
        <v>25</v>
      </c>
      <c r="J40" s="10" t="s">
        <v>26</v>
      </c>
      <c r="K40" s="10" t="s">
        <v>27</v>
      </c>
      <c r="L40" s="10" t="s">
        <v>28</v>
      </c>
      <c r="M40" s="11" t="s">
        <v>29</v>
      </c>
      <c r="N40" s="10" t="s">
        <v>30</v>
      </c>
      <c r="O40" s="11" t="s">
        <v>31</v>
      </c>
      <c r="P40" s="109" t="s">
        <v>32</v>
      </c>
      <c r="Q40" s="109" t="s">
        <v>33</v>
      </c>
      <c r="R40" s="109" t="s">
        <v>34</v>
      </c>
    </row>
    <row r="41" spans="1:21" ht="14" x14ac:dyDescent="0.3">
      <c r="A41" s="3">
        <f>IF(B41&lt;&gt;"",COUNTA($B$8:B41),"")</f>
        <v>30</v>
      </c>
      <c r="B41" s="12" t="s">
        <v>35</v>
      </c>
      <c r="C41" s="13"/>
      <c r="D41" s="14">
        <v>43850</v>
      </c>
      <c r="E41" s="14">
        <v>43875</v>
      </c>
      <c r="F41" s="14">
        <v>43913</v>
      </c>
      <c r="G41" s="14">
        <v>43951</v>
      </c>
      <c r="H41" s="14">
        <v>43980</v>
      </c>
      <c r="I41" s="14">
        <v>44004</v>
      </c>
      <c r="J41" s="14">
        <v>44039</v>
      </c>
      <c r="K41" s="14">
        <v>44055</v>
      </c>
      <c r="L41" s="14">
        <v>44082</v>
      </c>
      <c r="M41" s="15">
        <v>44134</v>
      </c>
      <c r="N41" s="14">
        <v>44153</v>
      </c>
      <c r="O41" s="15">
        <v>44181</v>
      </c>
      <c r="P41" s="112"/>
      <c r="Q41" s="112"/>
      <c r="R41" s="112"/>
    </row>
    <row r="42" spans="1:21" ht="42.5" thickBot="1" x14ac:dyDescent="0.35">
      <c r="A42" s="3">
        <f>IF(B42&lt;&gt;"",COUNTA($B$8:B42),"")</f>
        <v>31</v>
      </c>
      <c r="B42" s="16" t="s">
        <v>36</v>
      </c>
      <c r="C42" s="13"/>
      <c r="D42" s="17">
        <v>18</v>
      </c>
      <c r="E42" s="17">
        <v>19</v>
      </c>
      <c r="F42" s="17">
        <v>17</v>
      </c>
      <c r="G42" s="17">
        <v>12</v>
      </c>
      <c r="H42" s="17">
        <v>17</v>
      </c>
      <c r="I42" s="17">
        <v>17</v>
      </c>
      <c r="J42" s="17">
        <v>17</v>
      </c>
      <c r="K42" s="17">
        <v>17</v>
      </c>
      <c r="L42" s="17">
        <v>17</v>
      </c>
      <c r="M42" s="18">
        <v>18</v>
      </c>
      <c r="N42" s="17">
        <v>18</v>
      </c>
      <c r="O42" s="18">
        <v>18</v>
      </c>
      <c r="P42" s="113"/>
      <c r="Q42" s="113"/>
      <c r="R42" s="113"/>
    </row>
    <row r="43" spans="1:21" ht="14" x14ac:dyDescent="0.3">
      <c r="A43" s="3">
        <f>IF(B43&lt;&gt;"",COUNTA($B$8:B43),"")</f>
        <v>32</v>
      </c>
      <c r="B43" s="20" t="s">
        <v>37</v>
      </c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22"/>
      <c r="O43" s="23"/>
      <c r="P43" s="24"/>
      <c r="Q43" s="24"/>
      <c r="R43" s="24"/>
    </row>
    <row r="44" spans="1:21" ht="14" x14ac:dyDescent="0.3">
      <c r="A44" s="3">
        <f>IF(B44&lt;&gt;"",COUNTA($B$8:B44),"")</f>
        <v>33</v>
      </c>
      <c r="B44" s="25" t="s">
        <v>38</v>
      </c>
      <c r="C44" s="26" t="s">
        <v>39</v>
      </c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2"/>
      <c r="O44" s="23"/>
      <c r="P44" s="27"/>
      <c r="Q44" s="27"/>
      <c r="R44" s="27"/>
    </row>
    <row r="45" spans="1:21" ht="14" x14ac:dyDescent="0.3">
      <c r="A45" s="3" t="str">
        <f>IF(B45&lt;&gt;"",COUNTA($B$8:B45),"")</f>
        <v/>
      </c>
      <c r="B45" s="28"/>
      <c r="C45" s="2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7"/>
      <c r="Q45" s="27"/>
      <c r="R45" s="27"/>
    </row>
    <row r="46" spans="1:21" ht="14" x14ac:dyDescent="0.3">
      <c r="A46" s="3">
        <f>IF(B46&lt;&gt;"",COUNTA($B$8:B46),"")</f>
        <v>34</v>
      </c>
      <c r="B46" s="30" t="s">
        <v>63</v>
      </c>
      <c r="C46" s="31" t="s">
        <v>41</v>
      </c>
      <c r="D46" s="32">
        <v>186381.5776588</v>
      </c>
      <c r="E46" s="32">
        <v>173833.1790525</v>
      </c>
      <c r="F46" s="32">
        <v>157280.69245940002</v>
      </c>
      <c r="G46" s="32">
        <v>135332.3514407</v>
      </c>
      <c r="H46" s="32">
        <v>190564.2278656</v>
      </c>
      <c r="I46" s="32">
        <v>300428.52530139999</v>
      </c>
      <c r="J46" s="32">
        <v>325579.31912270002</v>
      </c>
      <c r="K46" s="32">
        <v>290641.94712560001</v>
      </c>
      <c r="L46" s="32">
        <v>214060.86707130002</v>
      </c>
      <c r="M46" s="32">
        <v>159581.65496339998</v>
      </c>
      <c r="N46" s="32">
        <v>173817.58490019999</v>
      </c>
      <c r="O46" s="32">
        <v>188913.15623960001</v>
      </c>
      <c r="P46" s="33">
        <f t="shared" ref="P46:P54" si="4">AVERAGE(D46:O46)</f>
        <v>208034.5902667667</v>
      </c>
      <c r="Q46" s="34">
        <v>0.94840000000000002</v>
      </c>
      <c r="R46" s="33">
        <f t="shared" ref="R46:R54" si="5">P46/Q46</f>
        <v>219353.21622392102</v>
      </c>
    </row>
    <row r="47" spans="1:21" ht="14" x14ac:dyDescent="0.3">
      <c r="A47" s="3">
        <f>IF(B47&lt;&gt;"",COUNTA($B$8:B47),"")</f>
        <v>35</v>
      </c>
      <c r="B47" s="30" t="s">
        <v>63</v>
      </c>
      <c r="C47" s="31" t="s">
        <v>42</v>
      </c>
      <c r="D47" s="32">
        <v>51816.892930199996</v>
      </c>
      <c r="E47" s="32">
        <v>52988.859478899998</v>
      </c>
      <c r="F47" s="32">
        <v>43355.017570800002</v>
      </c>
      <c r="G47" s="32">
        <v>31399.844840600002</v>
      </c>
      <c r="H47" s="32">
        <v>25387.907201900001</v>
      </c>
      <c r="I47" s="32">
        <v>34162.347687599999</v>
      </c>
      <c r="J47" s="32">
        <v>39388.158437700004</v>
      </c>
      <c r="K47" s="32">
        <v>35889.521796300003</v>
      </c>
      <c r="L47" s="32">
        <v>28191.675408499999</v>
      </c>
      <c r="M47" s="32">
        <v>37858.8547884</v>
      </c>
      <c r="N47" s="32">
        <v>45108.192909199999</v>
      </c>
      <c r="O47" s="32">
        <v>54938.581772400001</v>
      </c>
      <c r="P47" s="33">
        <f t="shared" si="4"/>
        <v>40040.487901875</v>
      </c>
      <c r="Q47" s="34">
        <f t="shared" ref="Q47" si="6">Q46</f>
        <v>0.94840000000000002</v>
      </c>
      <c r="R47" s="33">
        <f t="shared" si="5"/>
        <v>42218.987665410161</v>
      </c>
    </row>
    <row r="48" spans="1:21" ht="14" x14ac:dyDescent="0.3">
      <c r="A48" s="3">
        <f>IF(B48&lt;&gt;"",COUNTA($B$8:B48),"")</f>
        <v>36</v>
      </c>
      <c r="B48" s="30" t="s">
        <v>63</v>
      </c>
      <c r="C48" s="31">
        <v>23</v>
      </c>
      <c r="D48" s="32">
        <v>9.4777968000000001</v>
      </c>
      <c r="E48" s="32">
        <v>5.1751306000000001</v>
      </c>
      <c r="F48" s="32">
        <v>5.6001773000000004</v>
      </c>
      <c r="G48" s="32">
        <v>6.6366947999999999</v>
      </c>
      <c r="H48" s="32">
        <v>18.068215299999999</v>
      </c>
      <c r="I48" s="32">
        <v>15.227113299999999</v>
      </c>
      <c r="J48" s="32">
        <v>15.2569412</v>
      </c>
      <c r="K48" s="32">
        <v>8.4711070999999993</v>
      </c>
      <c r="L48" s="32">
        <v>9.0229222</v>
      </c>
      <c r="M48" s="32">
        <v>2.5204526</v>
      </c>
      <c r="N48" s="32">
        <v>2.0879489000000002</v>
      </c>
      <c r="O48" s="32">
        <v>6.0774227999999999</v>
      </c>
      <c r="P48" s="33">
        <f t="shared" si="4"/>
        <v>8.6351602416666662</v>
      </c>
      <c r="Q48" s="35">
        <v>0.929995798907716</v>
      </c>
      <c r="R48" s="33">
        <f t="shared" si="5"/>
        <v>9.2851604833147618</v>
      </c>
    </row>
    <row r="49" spans="1:18" ht="14" x14ac:dyDescent="0.3">
      <c r="A49" s="3">
        <f>IF(B49&lt;&gt;"",COUNTA($B$8:B49),"")</f>
        <v>37</v>
      </c>
      <c r="B49" s="30" t="s">
        <v>63</v>
      </c>
      <c r="C49" s="31">
        <v>24</v>
      </c>
      <c r="D49" s="32">
        <v>728.28337439999996</v>
      </c>
      <c r="E49" s="32">
        <v>903.68624910000005</v>
      </c>
      <c r="F49" s="32">
        <v>512.10952789999999</v>
      </c>
      <c r="G49" s="32">
        <v>497.28190849999999</v>
      </c>
      <c r="H49" s="32">
        <v>476.9082171</v>
      </c>
      <c r="I49" s="32">
        <v>807.36322110000003</v>
      </c>
      <c r="J49" s="32">
        <v>1041.7412462</v>
      </c>
      <c r="K49" s="32">
        <v>1198.3119311</v>
      </c>
      <c r="L49" s="32">
        <v>639.09603010000001</v>
      </c>
      <c r="M49" s="32">
        <v>554.49474039999996</v>
      </c>
      <c r="N49" s="32">
        <v>664.79916660000004</v>
      </c>
      <c r="O49" s="32">
        <v>747.22476380000001</v>
      </c>
      <c r="P49" s="33">
        <f t="shared" si="4"/>
        <v>730.94169802499994</v>
      </c>
      <c r="Q49" s="35">
        <v>0.92999579890771611</v>
      </c>
      <c r="R49" s="33">
        <f t="shared" si="5"/>
        <v>785.9623655112141</v>
      </c>
    </row>
    <row r="50" spans="1:18" ht="14" x14ac:dyDescent="0.3">
      <c r="A50" s="3">
        <f>IF(B50&lt;&gt;"",COUNTA($B$8:B50),"")</f>
        <v>38</v>
      </c>
      <c r="B50" s="30" t="s">
        <v>63</v>
      </c>
      <c r="C50" s="31" t="s">
        <v>64</v>
      </c>
      <c r="D50" s="32">
        <v>87965.720892600002</v>
      </c>
      <c r="E50" s="32">
        <v>87478.404905299991</v>
      </c>
      <c r="F50" s="32">
        <v>65938.843373000011</v>
      </c>
      <c r="G50" s="32">
        <v>63495.125030499999</v>
      </c>
      <c r="H50" s="32">
        <v>66893.732796299999</v>
      </c>
      <c r="I50" s="32">
        <v>93000.698922900003</v>
      </c>
      <c r="J50" s="32">
        <v>103165.38014170001</v>
      </c>
      <c r="K50" s="32">
        <v>99438.949487799997</v>
      </c>
      <c r="L50" s="32">
        <v>85048.014440800005</v>
      </c>
      <c r="M50" s="32">
        <v>64730.853283199998</v>
      </c>
      <c r="N50" s="32">
        <v>81192.2556262</v>
      </c>
      <c r="O50" s="32">
        <v>84438.811410899987</v>
      </c>
      <c r="P50" s="33">
        <f t="shared" si="4"/>
        <v>81898.899192600002</v>
      </c>
      <c r="Q50" s="35">
        <v>0.93011974112061879</v>
      </c>
      <c r="R50" s="33">
        <f t="shared" si="5"/>
        <v>88051.995427951333</v>
      </c>
    </row>
    <row r="51" spans="1:18" ht="14" x14ac:dyDescent="0.3">
      <c r="A51" s="3">
        <f>IF(B51&lt;&gt;"",COUNTA($B$8:B51),"")</f>
        <v>39</v>
      </c>
      <c r="B51" s="30" t="s">
        <v>63</v>
      </c>
      <c r="C51" s="31" t="s">
        <v>65</v>
      </c>
      <c r="D51" s="32">
        <v>47194.520711999998</v>
      </c>
      <c r="E51" s="32">
        <v>46090.704133799998</v>
      </c>
      <c r="F51" s="32">
        <v>39263.6469345</v>
      </c>
      <c r="G51" s="32">
        <v>39619.927658200002</v>
      </c>
      <c r="H51" s="32">
        <v>39482.6118594</v>
      </c>
      <c r="I51" s="32">
        <v>49129.296573899999</v>
      </c>
      <c r="J51" s="32">
        <v>51892.751526600005</v>
      </c>
      <c r="K51" s="32">
        <v>51890.965562900004</v>
      </c>
      <c r="L51" s="32">
        <v>49461.961494199997</v>
      </c>
      <c r="M51" s="32">
        <v>38443.631424899999</v>
      </c>
      <c r="N51" s="32">
        <v>43305.066340199999</v>
      </c>
      <c r="O51" s="32">
        <v>45984.755632799999</v>
      </c>
      <c r="P51" s="33">
        <f t="shared" si="4"/>
        <v>45146.653321116668</v>
      </c>
      <c r="Q51" s="35">
        <v>0.93191995492824298</v>
      </c>
      <c r="R51" s="33">
        <f t="shared" si="5"/>
        <v>48444.775844072276</v>
      </c>
    </row>
    <row r="52" spans="1:18" ht="14" x14ac:dyDescent="0.3">
      <c r="A52" s="3">
        <f>IF(B52&lt;&gt;"",COUNTA($B$8:B52),"")</f>
        <v>40</v>
      </c>
      <c r="B52" s="30" t="s">
        <v>63</v>
      </c>
      <c r="C52" s="31" t="s">
        <v>66</v>
      </c>
      <c r="D52" s="32">
        <v>80019.058050799998</v>
      </c>
      <c r="E52" s="32">
        <v>79275.220860500005</v>
      </c>
      <c r="F52" s="32">
        <v>75730.969635400004</v>
      </c>
      <c r="G52" s="32">
        <v>79211.558381800001</v>
      </c>
      <c r="H52" s="32">
        <v>84462.402119100007</v>
      </c>
      <c r="I52" s="32">
        <v>93857.742766800002</v>
      </c>
      <c r="J52" s="32">
        <v>94945.239038800006</v>
      </c>
      <c r="K52" s="32">
        <v>96627.948267100001</v>
      </c>
      <c r="L52" s="32">
        <v>91131.876525200001</v>
      </c>
      <c r="M52" s="32">
        <v>72942.667921200002</v>
      </c>
      <c r="N52" s="32">
        <v>78186.108252200007</v>
      </c>
      <c r="O52" s="32">
        <v>81156.687047200001</v>
      </c>
      <c r="P52" s="33">
        <f t="shared" si="4"/>
        <v>83962.28990550834</v>
      </c>
      <c r="Q52" s="35">
        <v>0.94145582207348555</v>
      </c>
      <c r="R52" s="33">
        <f t="shared" si="5"/>
        <v>89183.46239612998</v>
      </c>
    </row>
    <row r="53" spans="1:18" ht="14" x14ac:dyDescent="0.3">
      <c r="A53" s="3">
        <f>IF(B53&lt;&gt;"",COUNTA($B$8:B53),"")</f>
        <v>41</v>
      </c>
      <c r="B53" s="30" t="s">
        <v>63</v>
      </c>
      <c r="C53" s="31" t="s">
        <v>67</v>
      </c>
      <c r="D53" s="32">
        <v>43145.489526799996</v>
      </c>
      <c r="E53" s="32">
        <v>46171.164323099998</v>
      </c>
      <c r="F53" s="32">
        <v>49695.667974600001</v>
      </c>
      <c r="G53" s="32">
        <v>46607.354382500002</v>
      </c>
      <c r="H53" s="32">
        <v>50964.856386400003</v>
      </c>
      <c r="I53" s="32">
        <v>56423.311020599998</v>
      </c>
      <c r="J53" s="32">
        <v>56256.668186399998</v>
      </c>
      <c r="K53" s="32">
        <v>61366.544858900001</v>
      </c>
      <c r="L53" s="32">
        <v>60995.983472799999</v>
      </c>
      <c r="M53" s="32">
        <v>45804.519256599997</v>
      </c>
      <c r="N53" s="32">
        <v>43647.134301700004</v>
      </c>
      <c r="O53" s="32">
        <v>45489.516511499998</v>
      </c>
      <c r="P53" s="33">
        <f t="shared" si="4"/>
        <v>50547.350850158335</v>
      </c>
      <c r="Q53" s="35">
        <v>0.98134717504443669</v>
      </c>
      <c r="R53" s="33">
        <f t="shared" si="5"/>
        <v>51508.122849458945</v>
      </c>
    </row>
    <row r="54" spans="1:18" ht="14" x14ac:dyDescent="0.3">
      <c r="A54" s="3">
        <f>IF(B54&lt;&gt;"",COUNTA($B$8:B54),"")</f>
        <v>42</v>
      </c>
      <c r="B54" s="30" t="s">
        <v>63</v>
      </c>
      <c r="C54" s="31" t="s">
        <v>59</v>
      </c>
      <c r="D54" s="32">
        <v>4696.8368353413653</v>
      </c>
      <c r="E54" s="32">
        <v>6873.4197590361446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6873.4197590361446</v>
      </c>
      <c r="O54" s="32">
        <v>6873.4197590361446</v>
      </c>
      <c r="P54" s="33">
        <f t="shared" si="4"/>
        <v>2109.7580093708166</v>
      </c>
      <c r="Q54" s="36">
        <v>0.94840000000000002</v>
      </c>
      <c r="R54" s="33">
        <f t="shared" si="5"/>
        <v>2224.5445058739101</v>
      </c>
    </row>
    <row r="55" spans="1:18" ht="14" x14ac:dyDescent="0.3">
      <c r="A55" s="3" t="str">
        <f>IF(B55&lt;&gt;"",COUNTA($B$8:B55),"")</f>
        <v/>
      </c>
      <c r="B55" s="30"/>
      <c r="C55" s="31"/>
      <c r="D55" s="37"/>
      <c r="E55" s="37"/>
      <c r="F55" s="37"/>
      <c r="G55" s="37"/>
      <c r="H55" s="37"/>
      <c r="I55" s="37"/>
      <c r="J55" s="37"/>
      <c r="K55" s="37"/>
      <c r="L55" s="37"/>
      <c r="M55" s="38"/>
      <c r="N55" s="37"/>
      <c r="O55" s="38"/>
      <c r="P55" s="33"/>
      <c r="Q55" s="27"/>
      <c r="R55" s="39"/>
    </row>
    <row r="56" spans="1:18" ht="14.5" thickBot="1" x14ac:dyDescent="0.35">
      <c r="A56" s="3">
        <f>IF(B56&lt;&gt;"",COUNTA($B$8:B56),"")</f>
        <v>43</v>
      </c>
      <c r="B56" s="40" t="s">
        <v>60</v>
      </c>
      <c r="C56" s="41" t="s">
        <v>61</v>
      </c>
      <c r="D56" s="42">
        <f>SUM(D46:D55)</f>
        <v>501957.85777774133</v>
      </c>
      <c r="E56" s="42">
        <f t="shared" ref="E56:O56" si="7">SUM(E46:E55)</f>
        <v>493619.81389283616</v>
      </c>
      <c r="F56" s="42">
        <f t="shared" si="7"/>
        <v>431782.54765290004</v>
      </c>
      <c r="G56" s="42">
        <f t="shared" si="7"/>
        <v>396170.08033760003</v>
      </c>
      <c r="H56" s="42">
        <f t="shared" si="7"/>
        <v>458250.71466110001</v>
      </c>
      <c r="I56" s="42">
        <f t="shared" si="7"/>
        <v>627824.51260760007</v>
      </c>
      <c r="J56" s="42">
        <f t="shared" si="7"/>
        <v>672284.51464129996</v>
      </c>
      <c r="K56" s="42">
        <f t="shared" si="7"/>
        <v>637062.66013680003</v>
      </c>
      <c r="L56" s="42">
        <f t="shared" si="7"/>
        <v>529538.49736509996</v>
      </c>
      <c r="M56" s="42">
        <f t="shared" si="7"/>
        <v>419919.19683069992</v>
      </c>
      <c r="N56" s="42">
        <f t="shared" si="7"/>
        <v>472796.64920423616</v>
      </c>
      <c r="O56" s="43">
        <f t="shared" si="7"/>
        <v>508548.23056003614</v>
      </c>
      <c r="P56" s="44">
        <f t="shared" ref="P56" si="8">SUM(P46:P54)</f>
        <v>512479.60630566248</v>
      </c>
      <c r="Q56" s="45"/>
      <c r="R56" s="44">
        <f>SUM(R46:R54)</f>
        <v>541780.35243881214</v>
      </c>
    </row>
    <row r="58" spans="1:18" ht="14" x14ac:dyDescent="0.3">
      <c r="A58" s="3"/>
      <c r="B58" s="49" t="s">
        <v>68</v>
      </c>
    </row>
    <row r="59" spans="1:18" ht="14" x14ac:dyDescent="0.3">
      <c r="B59" s="50"/>
    </row>
    <row r="60" spans="1:18" ht="14" x14ac:dyDescent="0.3">
      <c r="B60" s="50"/>
    </row>
  </sheetData>
  <mergeCells count="8">
    <mergeCell ref="P40:P42"/>
    <mergeCell ref="Q40:Q42"/>
    <mergeCell ref="R40:R42"/>
    <mergeCell ref="A4:R4"/>
    <mergeCell ref="A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BB98-9019-4622-BEE6-7462EFC71D20}">
  <sheetPr>
    <pageSetUpPr fitToPage="1"/>
  </sheetPr>
  <dimension ref="A1:U62"/>
  <sheetViews>
    <sheetView zoomScaleNormal="100" workbookViewId="0">
      <selection activeCell="B3" sqref="B3"/>
    </sheetView>
  </sheetViews>
  <sheetFormatPr defaultColWidth="9.1796875" defaultRowHeight="13" x14ac:dyDescent="0.3"/>
  <cols>
    <col min="1" max="1" width="3.26953125" style="52" bestFit="1" customWidth="1"/>
    <col min="2" max="2" width="27.81640625" style="52" bestFit="1" customWidth="1"/>
    <col min="3" max="3" width="13.81640625" style="52" customWidth="1"/>
    <col min="4" max="16" width="11.54296875" style="52" bestFit="1" customWidth="1"/>
    <col min="17" max="17" width="8.1796875" style="52" bestFit="1" customWidth="1"/>
    <col min="18" max="18" width="15.453125" style="52" customWidth="1"/>
    <col min="19" max="16384" width="9.1796875" style="52"/>
  </cols>
  <sheetData>
    <row r="1" spans="1:20" x14ac:dyDescent="0.3">
      <c r="A1" s="51">
        <v>1</v>
      </c>
    </row>
    <row r="2" spans="1:20" x14ac:dyDescent="0.3">
      <c r="A2" s="51">
        <f>A1+1</f>
        <v>2</v>
      </c>
    </row>
    <row r="3" spans="1:20" ht="14" x14ac:dyDescent="0.3">
      <c r="A3" s="51">
        <f t="shared" ref="A3:A58" si="0">A2+1</f>
        <v>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20" ht="14" x14ac:dyDescent="0.3">
      <c r="A4" s="51">
        <f t="shared" si="0"/>
        <v>4</v>
      </c>
      <c r="B4" s="114" t="s">
        <v>73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</row>
    <row r="5" spans="1:20" ht="14" x14ac:dyDescent="0.3">
      <c r="A5" s="51">
        <f t="shared" si="0"/>
        <v>5</v>
      </c>
      <c r="B5" s="114" t="s">
        <v>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</row>
    <row r="6" spans="1:20" ht="14" x14ac:dyDescent="0.3">
      <c r="A6" s="51">
        <f t="shared" si="0"/>
        <v>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20" ht="14.5" thickBot="1" x14ac:dyDescent="0.35">
      <c r="A7" s="51">
        <f t="shared" si="0"/>
        <v>7</v>
      </c>
      <c r="B7" s="54" t="s">
        <v>1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1:20" ht="14.5" thickBot="1" x14ac:dyDescent="0.35">
      <c r="A8" s="51">
        <f t="shared" si="0"/>
        <v>8</v>
      </c>
      <c r="B8" s="55" t="s">
        <v>2</v>
      </c>
      <c r="C8" s="56" t="s">
        <v>3</v>
      </c>
      <c r="D8" s="57" t="s">
        <v>4</v>
      </c>
      <c r="E8" s="57" t="s">
        <v>5</v>
      </c>
      <c r="F8" s="57" t="s">
        <v>6</v>
      </c>
      <c r="G8" s="57" t="s">
        <v>7</v>
      </c>
      <c r="H8" s="57" t="s">
        <v>8</v>
      </c>
      <c r="I8" s="57" t="s">
        <v>9</v>
      </c>
      <c r="J8" s="57" t="s">
        <v>10</v>
      </c>
      <c r="K8" s="57" t="s">
        <v>11</v>
      </c>
      <c r="L8" s="56" t="s">
        <v>12</v>
      </c>
      <c r="M8" s="57" t="s">
        <v>13</v>
      </c>
      <c r="N8" s="57" t="s">
        <v>14</v>
      </c>
      <c r="O8" s="58" t="s">
        <v>15</v>
      </c>
      <c r="P8" s="57" t="s">
        <v>16</v>
      </c>
      <c r="Q8" s="57" t="s">
        <v>17</v>
      </c>
      <c r="R8" s="57" t="s">
        <v>18</v>
      </c>
    </row>
    <row r="9" spans="1:20" ht="14" x14ac:dyDescent="0.3">
      <c r="A9" s="51">
        <f t="shared" si="0"/>
        <v>9</v>
      </c>
      <c r="B9" s="59" t="s">
        <v>19</v>
      </c>
      <c r="C9" s="60"/>
      <c r="D9" s="61" t="s">
        <v>20</v>
      </c>
      <c r="E9" s="61" t="s">
        <v>21</v>
      </c>
      <c r="F9" s="61" t="s">
        <v>22</v>
      </c>
      <c r="G9" s="61" t="s">
        <v>23</v>
      </c>
      <c r="H9" s="61" t="s">
        <v>24</v>
      </c>
      <c r="I9" s="61" t="s">
        <v>25</v>
      </c>
      <c r="J9" s="61" t="s">
        <v>26</v>
      </c>
      <c r="K9" s="61" t="s">
        <v>27</v>
      </c>
      <c r="L9" s="61" t="s">
        <v>28</v>
      </c>
      <c r="M9" s="62" t="s">
        <v>29</v>
      </c>
      <c r="N9" s="61" t="s">
        <v>30</v>
      </c>
      <c r="O9" s="62" t="s">
        <v>31</v>
      </c>
      <c r="P9" s="115" t="s">
        <v>32</v>
      </c>
      <c r="Q9" s="115" t="s">
        <v>33</v>
      </c>
      <c r="R9" s="115" t="s">
        <v>34</v>
      </c>
    </row>
    <row r="10" spans="1:20" ht="14" x14ac:dyDescent="0.3">
      <c r="A10" s="51">
        <f t="shared" si="0"/>
        <v>10</v>
      </c>
      <c r="B10" s="63" t="s">
        <v>35</v>
      </c>
      <c r="C10" s="64"/>
      <c r="D10" s="65">
        <v>44225</v>
      </c>
      <c r="E10" s="65">
        <v>44228</v>
      </c>
      <c r="F10" s="65">
        <v>44257</v>
      </c>
      <c r="G10" s="65">
        <v>44302</v>
      </c>
      <c r="H10" s="65">
        <v>44342</v>
      </c>
      <c r="I10" s="65">
        <v>44377</v>
      </c>
      <c r="J10" s="65">
        <v>44393</v>
      </c>
      <c r="K10" s="65">
        <v>44434</v>
      </c>
      <c r="L10" s="65">
        <v>44454</v>
      </c>
      <c r="M10" s="66">
        <v>44483</v>
      </c>
      <c r="N10" s="65">
        <v>44529</v>
      </c>
      <c r="O10" s="66">
        <v>44550</v>
      </c>
      <c r="P10" s="116"/>
      <c r="Q10" s="116"/>
      <c r="R10" s="116"/>
    </row>
    <row r="11" spans="1:20" ht="28.5" thickBot="1" x14ac:dyDescent="0.35">
      <c r="A11" s="51">
        <f t="shared" si="0"/>
        <v>11</v>
      </c>
      <c r="B11" s="67" t="s">
        <v>36</v>
      </c>
      <c r="C11" s="64"/>
      <c r="D11" s="68">
        <v>18</v>
      </c>
      <c r="E11" s="68">
        <v>18</v>
      </c>
      <c r="F11" s="68">
        <v>19</v>
      </c>
      <c r="G11" s="68">
        <v>17</v>
      </c>
      <c r="H11" s="68">
        <v>17</v>
      </c>
      <c r="I11" s="68">
        <v>17</v>
      </c>
      <c r="J11" s="68">
        <v>15</v>
      </c>
      <c r="K11" s="68">
        <v>15</v>
      </c>
      <c r="L11" s="68">
        <v>16</v>
      </c>
      <c r="M11" s="69">
        <v>17</v>
      </c>
      <c r="N11" s="68">
        <v>18</v>
      </c>
      <c r="O11" s="69">
        <v>18</v>
      </c>
      <c r="P11" s="117"/>
      <c r="Q11" s="117"/>
      <c r="R11" s="117"/>
      <c r="T11" s="70"/>
    </row>
    <row r="12" spans="1:20" ht="14" x14ac:dyDescent="0.3">
      <c r="A12" s="51">
        <f t="shared" si="0"/>
        <v>12</v>
      </c>
      <c r="B12" s="71" t="s">
        <v>37</v>
      </c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4"/>
      <c r="N12" s="73"/>
      <c r="O12" s="74"/>
      <c r="P12" s="75"/>
      <c r="Q12" s="75"/>
      <c r="R12" s="75"/>
    </row>
    <row r="13" spans="1:20" ht="14" x14ac:dyDescent="0.3">
      <c r="A13" s="51">
        <f t="shared" si="0"/>
        <v>13</v>
      </c>
      <c r="B13" s="76" t="s">
        <v>38</v>
      </c>
      <c r="C13" s="77" t="s">
        <v>39</v>
      </c>
      <c r="D13" s="73"/>
      <c r="E13" s="73"/>
      <c r="F13" s="73"/>
      <c r="G13" s="73"/>
      <c r="H13" s="73"/>
      <c r="I13" s="73"/>
      <c r="J13" s="73"/>
      <c r="K13" s="73"/>
      <c r="L13" s="73"/>
      <c r="M13" s="74"/>
      <c r="N13" s="73"/>
      <c r="O13" s="74"/>
      <c r="P13" s="78"/>
      <c r="Q13" s="78"/>
      <c r="R13" s="78"/>
    </row>
    <row r="14" spans="1:20" ht="6" customHeight="1" x14ac:dyDescent="0.3">
      <c r="A14" s="51">
        <f t="shared" si="0"/>
        <v>14</v>
      </c>
      <c r="B14" s="79"/>
      <c r="C14" s="80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8"/>
      <c r="Q14" s="78"/>
      <c r="R14" s="78"/>
    </row>
    <row r="15" spans="1:20" ht="14" x14ac:dyDescent="0.3">
      <c r="A15" s="51">
        <f t="shared" si="0"/>
        <v>15</v>
      </c>
      <c r="B15" s="81" t="s">
        <v>40</v>
      </c>
      <c r="C15" s="82" t="s">
        <v>41</v>
      </c>
      <c r="D15" s="83">
        <v>1085640.674873</v>
      </c>
      <c r="E15" s="83">
        <v>1025682.1097162</v>
      </c>
      <c r="F15" s="83">
        <v>993654.11844939995</v>
      </c>
      <c r="G15" s="83">
        <v>809645.66145100002</v>
      </c>
      <c r="H15" s="83">
        <v>1068553.6582022</v>
      </c>
      <c r="I15" s="83">
        <v>1783780.4498361</v>
      </c>
      <c r="J15" s="83">
        <v>1482292.0802137998</v>
      </c>
      <c r="K15" s="83">
        <v>1679099.8832549001</v>
      </c>
      <c r="L15" s="83">
        <v>1167954.1330334998</v>
      </c>
      <c r="M15" s="83">
        <v>672533.59478879999</v>
      </c>
      <c r="N15" s="83">
        <v>921446.39206799993</v>
      </c>
      <c r="O15" s="83">
        <v>1023632.8995699</v>
      </c>
      <c r="P15" s="84">
        <f>AVERAGE(D15:O15)</f>
        <v>1142826.3046214001</v>
      </c>
      <c r="Q15" s="85">
        <v>0.94652870805132361</v>
      </c>
      <c r="R15" s="84">
        <f>P15/Q15</f>
        <v>1207386.8387723879</v>
      </c>
    </row>
    <row r="16" spans="1:20" ht="14" x14ac:dyDescent="0.3">
      <c r="A16" s="51">
        <f t="shared" si="0"/>
        <v>16</v>
      </c>
      <c r="B16" s="81" t="s">
        <v>40</v>
      </c>
      <c r="C16" s="82" t="s">
        <v>42</v>
      </c>
      <c r="D16" s="83">
        <v>227615.15495289999</v>
      </c>
      <c r="E16" s="83">
        <v>184575.98206789998</v>
      </c>
      <c r="F16" s="83">
        <v>188778.72541079999</v>
      </c>
      <c r="G16" s="83">
        <v>117533.6309304</v>
      </c>
      <c r="H16" s="83">
        <v>83271.354007500006</v>
      </c>
      <c r="I16" s="83">
        <v>119120.0719929</v>
      </c>
      <c r="J16" s="83">
        <v>96565.094926000005</v>
      </c>
      <c r="K16" s="83">
        <v>107021.15872349999</v>
      </c>
      <c r="L16" s="83">
        <v>73314.369897099998</v>
      </c>
      <c r="M16" s="83">
        <v>53207.640245999995</v>
      </c>
      <c r="N16" s="83">
        <v>131813.40922840001</v>
      </c>
      <c r="O16" s="83">
        <v>144668.47375790001</v>
      </c>
      <c r="P16" s="84">
        <f t="shared" ref="P16:P36" si="1">AVERAGE(D16:O16)</f>
        <v>127290.42217844166</v>
      </c>
      <c r="Q16" s="85">
        <v>0.94652870805132361</v>
      </c>
      <c r="R16" s="84">
        <f t="shared" ref="R16:R36" si="2">P16/Q16</f>
        <v>134481.31165562026</v>
      </c>
    </row>
    <row r="17" spans="1:18" ht="14" x14ac:dyDescent="0.3">
      <c r="A17" s="51">
        <f t="shared" si="0"/>
        <v>17</v>
      </c>
      <c r="B17" s="81" t="s">
        <v>43</v>
      </c>
      <c r="C17" s="82" t="s">
        <v>44</v>
      </c>
      <c r="D17" s="83">
        <v>527160.55000000005</v>
      </c>
      <c r="E17" s="83">
        <v>472202.58999999997</v>
      </c>
      <c r="F17" s="83">
        <v>443122.57</v>
      </c>
      <c r="G17" s="83">
        <v>375381.26</v>
      </c>
      <c r="H17" s="83">
        <v>500821.68</v>
      </c>
      <c r="I17" s="83">
        <v>627926.27</v>
      </c>
      <c r="J17" s="83">
        <v>602099.91</v>
      </c>
      <c r="K17" s="83">
        <v>656793.53999999992</v>
      </c>
      <c r="L17" s="83">
        <v>536396.93999999994</v>
      </c>
      <c r="M17" s="83">
        <v>411030.33</v>
      </c>
      <c r="N17" s="83">
        <v>421647.5</v>
      </c>
      <c r="O17" s="83">
        <v>446893.64</v>
      </c>
      <c r="P17" s="84">
        <f t="shared" si="1"/>
        <v>501789.73166666669</v>
      </c>
      <c r="Q17" s="86">
        <v>0.94668616579745124</v>
      </c>
      <c r="R17" s="84">
        <f t="shared" si="2"/>
        <v>530048.65793510224</v>
      </c>
    </row>
    <row r="18" spans="1:18" ht="14" x14ac:dyDescent="0.3">
      <c r="A18" s="51">
        <f t="shared" si="0"/>
        <v>18</v>
      </c>
      <c r="B18" s="81" t="s">
        <v>43</v>
      </c>
      <c r="C18" s="82" t="s">
        <v>50</v>
      </c>
      <c r="D18" s="83">
        <v>470725.22</v>
      </c>
      <c r="E18" s="83">
        <v>431055.49</v>
      </c>
      <c r="F18" s="83">
        <v>423151.59</v>
      </c>
      <c r="G18" s="83">
        <v>383380.14</v>
      </c>
      <c r="H18" s="83">
        <v>528734.18000000005</v>
      </c>
      <c r="I18" s="83">
        <v>641774.81000000006</v>
      </c>
      <c r="J18" s="83">
        <v>618736.29</v>
      </c>
      <c r="K18" s="83">
        <v>684209.34</v>
      </c>
      <c r="L18" s="83">
        <v>597331.18000000005</v>
      </c>
      <c r="M18" s="83">
        <v>448407.94</v>
      </c>
      <c r="N18" s="83">
        <v>427540.65</v>
      </c>
      <c r="O18" s="83">
        <v>443565.25</v>
      </c>
      <c r="P18" s="84">
        <f t="shared" si="1"/>
        <v>508217.6733333334</v>
      </c>
      <c r="Q18" s="86">
        <v>0.94706281919366397</v>
      </c>
      <c r="R18" s="84">
        <f t="shared" si="2"/>
        <v>536625.09290147573</v>
      </c>
    </row>
    <row r="19" spans="1:18" ht="14" x14ac:dyDescent="0.3">
      <c r="A19" s="51">
        <f t="shared" si="0"/>
        <v>19</v>
      </c>
      <c r="B19" s="81" t="s">
        <v>43</v>
      </c>
      <c r="C19" s="82" t="s">
        <v>46</v>
      </c>
      <c r="D19" s="87">
        <v>317294.65999999997</v>
      </c>
      <c r="E19" s="87">
        <v>307230.69</v>
      </c>
      <c r="F19" s="87">
        <v>299378.46000000002</v>
      </c>
      <c r="G19" s="87">
        <v>294197.8</v>
      </c>
      <c r="H19" s="87">
        <v>394310.9</v>
      </c>
      <c r="I19" s="87">
        <v>436783.55</v>
      </c>
      <c r="J19" s="87">
        <v>436693.68</v>
      </c>
      <c r="K19" s="87">
        <v>474225.22</v>
      </c>
      <c r="L19" s="87">
        <v>436549.14</v>
      </c>
      <c r="M19" s="87">
        <v>364742.3</v>
      </c>
      <c r="N19" s="87">
        <v>308518.32</v>
      </c>
      <c r="O19" s="87">
        <v>306346.49</v>
      </c>
      <c r="P19" s="84">
        <f t="shared" si="1"/>
        <v>364689.26750000002</v>
      </c>
      <c r="Q19" s="86">
        <v>0.98383915036089631</v>
      </c>
      <c r="R19" s="84">
        <f t="shared" si="2"/>
        <v>370679.76748660899</v>
      </c>
    </row>
    <row r="20" spans="1:18" ht="14" x14ac:dyDescent="0.3">
      <c r="A20" s="51">
        <f t="shared" si="0"/>
        <v>20</v>
      </c>
      <c r="B20" s="81" t="s">
        <v>43</v>
      </c>
      <c r="C20" s="82" t="s">
        <v>47</v>
      </c>
      <c r="D20" s="87">
        <v>10714.5</v>
      </c>
      <c r="E20" s="87">
        <v>11720.01</v>
      </c>
      <c r="F20" s="87">
        <v>12000.53</v>
      </c>
      <c r="G20" s="87">
        <v>24015.64</v>
      </c>
      <c r="H20" s="87">
        <v>10484.98</v>
      </c>
      <c r="I20" s="87">
        <v>0</v>
      </c>
      <c r="J20" s="87">
        <v>12474.14</v>
      </c>
      <c r="K20" s="87">
        <v>12357.56</v>
      </c>
      <c r="L20" s="87">
        <v>14918.7</v>
      </c>
      <c r="M20" s="87">
        <v>13210.06</v>
      </c>
      <c r="N20" s="87">
        <v>11993.25</v>
      </c>
      <c r="O20" s="87">
        <v>12291.99</v>
      </c>
      <c r="P20" s="84">
        <f t="shared" si="1"/>
        <v>12181.779999999999</v>
      </c>
      <c r="Q20" s="86">
        <v>0.94652870805132361</v>
      </c>
      <c r="R20" s="84">
        <f t="shared" si="2"/>
        <v>12869.953015032552</v>
      </c>
    </row>
    <row r="21" spans="1:18" ht="14" x14ac:dyDescent="0.3">
      <c r="A21" s="51">
        <f t="shared" si="0"/>
        <v>21</v>
      </c>
      <c r="B21" s="81" t="s">
        <v>48</v>
      </c>
      <c r="C21" s="82" t="s">
        <v>69</v>
      </c>
      <c r="D21" s="87">
        <v>35559.58</v>
      </c>
      <c r="E21" s="87">
        <v>32339.41</v>
      </c>
      <c r="F21" s="87">
        <v>31167.19</v>
      </c>
      <c r="G21" s="87">
        <v>27347.05</v>
      </c>
      <c r="H21" s="87">
        <v>35321.279999999999</v>
      </c>
      <c r="I21" s="87">
        <v>44851.81</v>
      </c>
      <c r="J21" s="87">
        <v>41906.54</v>
      </c>
      <c r="K21" s="87">
        <v>46700.23</v>
      </c>
      <c r="L21" s="87">
        <v>42834.82</v>
      </c>
      <c r="M21" s="87">
        <v>31927.19</v>
      </c>
      <c r="N21" s="87">
        <v>29750.85</v>
      </c>
      <c r="O21" s="87">
        <v>34058.639999999999</v>
      </c>
      <c r="P21" s="84">
        <f t="shared" si="1"/>
        <v>36147.049166666671</v>
      </c>
      <c r="Q21" s="86">
        <v>0.94652870805132361</v>
      </c>
      <c r="R21" s="84">
        <f t="shared" si="2"/>
        <v>38189.06796930101</v>
      </c>
    </row>
    <row r="22" spans="1:18" ht="14" x14ac:dyDescent="0.3">
      <c r="A22" s="51">
        <f t="shared" si="0"/>
        <v>22</v>
      </c>
      <c r="B22" s="81" t="s">
        <v>48</v>
      </c>
      <c r="C22" s="82" t="s">
        <v>50</v>
      </c>
      <c r="D22" s="87">
        <v>70679.12</v>
      </c>
      <c r="E22" s="87">
        <v>65323.22</v>
      </c>
      <c r="F22" s="87">
        <v>63146.1</v>
      </c>
      <c r="G22" s="87">
        <v>58438.42</v>
      </c>
      <c r="H22" s="87">
        <v>90329.5</v>
      </c>
      <c r="I22" s="87">
        <v>110395.56</v>
      </c>
      <c r="J22" s="87">
        <v>105679.2</v>
      </c>
      <c r="K22" s="87">
        <v>111054.82</v>
      </c>
      <c r="L22" s="87">
        <v>99248.48</v>
      </c>
      <c r="M22" s="87">
        <v>73100.570000000007</v>
      </c>
      <c r="N22" s="87">
        <v>63431.48</v>
      </c>
      <c r="O22" s="87">
        <v>64364.56</v>
      </c>
      <c r="P22" s="84">
        <f t="shared" si="1"/>
        <v>81265.919166666674</v>
      </c>
      <c r="Q22" s="86">
        <v>0.9466919664029263</v>
      </c>
      <c r="R22" s="84">
        <f t="shared" si="2"/>
        <v>85841.986676454675</v>
      </c>
    </row>
    <row r="23" spans="1:18" ht="14" x14ac:dyDescent="0.3">
      <c r="A23" s="51">
        <f t="shared" si="0"/>
        <v>23</v>
      </c>
      <c r="B23" s="81" t="s">
        <v>48</v>
      </c>
      <c r="C23" s="82" t="s">
        <v>46</v>
      </c>
      <c r="D23" s="87">
        <v>53699.92</v>
      </c>
      <c r="E23" s="87">
        <v>52475.01</v>
      </c>
      <c r="F23" s="87">
        <v>51035.71</v>
      </c>
      <c r="G23" s="87">
        <v>50103.839999999997</v>
      </c>
      <c r="H23" s="87">
        <v>81340.009999999995</v>
      </c>
      <c r="I23" s="87">
        <v>90748.61</v>
      </c>
      <c r="J23" s="87">
        <v>88736.22</v>
      </c>
      <c r="K23" s="87">
        <v>93787.66</v>
      </c>
      <c r="L23" s="87">
        <v>87180.13</v>
      </c>
      <c r="M23" s="87">
        <v>67362.559999999998</v>
      </c>
      <c r="N23" s="87">
        <v>52793.09</v>
      </c>
      <c r="O23" s="87">
        <v>53277.32</v>
      </c>
      <c r="P23" s="84">
        <f t="shared" si="1"/>
        <v>68545.006666666653</v>
      </c>
      <c r="Q23" s="86">
        <v>0.98383915036089642</v>
      </c>
      <c r="R23" s="84">
        <f t="shared" si="2"/>
        <v>69670.948387775235</v>
      </c>
    </row>
    <row r="24" spans="1:18" ht="14" x14ac:dyDescent="0.3">
      <c r="A24" s="51">
        <f t="shared" si="0"/>
        <v>24</v>
      </c>
      <c r="B24" s="81" t="s">
        <v>48</v>
      </c>
      <c r="C24" s="82" t="s">
        <v>70</v>
      </c>
      <c r="D24" s="87">
        <v>22832.799999999999</v>
      </c>
      <c r="E24" s="87">
        <v>22225.200000000001</v>
      </c>
      <c r="F24" s="87">
        <v>21875.200000000001</v>
      </c>
      <c r="G24" s="87">
        <v>21676.799999999999</v>
      </c>
      <c r="H24" s="87">
        <v>23082</v>
      </c>
      <c r="I24" s="87">
        <v>4000.4</v>
      </c>
      <c r="J24" s="87">
        <v>11196</v>
      </c>
      <c r="K24" s="87">
        <v>8666.7999999999993</v>
      </c>
      <c r="L24" s="87">
        <v>12514</v>
      </c>
      <c r="M24" s="87">
        <v>6165.6</v>
      </c>
      <c r="N24" s="87">
        <v>5401.2</v>
      </c>
      <c r="O24" s="87">
        <v>4173.2</v>
      </c>
      <c r="P24" s="84">
        <f t="shared" si="1"/>
        <v>13650.766666666668</v>
      </c>
      <c r="Q24" s="86">
        <v>0.98383915036089642</v>
      </c>
      <c r="R24" s="84">
        <f t="shared" si="2"/>
        <v>13874.9984300373</v>
      </c>
    </row>
    <row r="25" spans="1:18" ht="14" x14ac:dyDescent="0.3">
      <c r="A25" s="51">
        <f t="shared" si="0"/>
        <v>25</v>
      </c>
      <c r="B25" s="81" t="s">
        <v>48</v>
      </c>
      <c r="C25" s="82" t="s">
        <v>71</v>
      </c>
      <c r="D25" s="87">
        <v>44.64</v>
      </c>
      <c r="E25" s="87">
        <v>46.08</v>
      </c>
      <c r="F25" s="87">
        <v>43.2</v>
      </c>
      <c r="G25" s="87" t="s">
        <v>72</v>
      </c>
      <c r="H25" s="87">
        <v>43.92</v>
      </c>
      <c r="I25" s="87">
        <v>45.36</v>
      </c>
      <c r="J25" s="87">
        <v>46.08</v>
      </c>
      <c r="K25" s="87">
        <v>66.959999999999994</v>
      </c>
      <c r="L25" s="87">
        <v>45.36</v>
      </c>
      <c r="M25" s="87">
        <v>47.52</v>
      </c>
      <c r="N25" s="87">
        <v>48.24</v>
      </c>
      <c r="O25" s="87">
        <v>49.68</v>
      </c>
      <c r="P25" s="84">
        <f t="shared" si="1"/>
        <v>47.912727272727267</v>
      </c>
      <c r="Q25" s="86">
        <v>0.98383915036089642</v>
      </c>
      <c r="R25" s="84">
        <f t="shared" si="2"/>
        <v>48.699756718516127</v>
      </c>
    </row>
    <row r="26" spans="1:18" ht="14" x14ac:dyDescent="0.3">
      <c r="A26" s="51">
        <f t="shared" si="0"/>
        <v>26</v>
      </c>
      <c r="B26" s="81" t="s">
        <v>48</v>
      </c>
      <c r="C26" s="82" t="s">
        <v>52</v>
      </c>
      <c r="D26" s="87">
        <v>1096.58</v>
      </c>
      <c r="E26" s="87">
        <v>997.56</v>
      </c>
      <c r="F26" s="87">
        <v>1050.9100000000001</v>
      </c>
      <c r="G26" s="87">
        <v>852.01</v>
      </c>
      <c r="H26" s="87">
        <v>1150.58</v>
      </c>
      <c r="I26" s="87">
        <v>1313.09</v>
      </c>
      <c r="J26" s="87">
        <v>1302.55</v>
      </c>
      <c r="K26" s="87">
        <v>1364.71</v>
      </c>
      <c r="L26" s="87">
        <v>1233.71</v>
      </c>
      <c r="M26" s="87">
        <v>992.09</v>
      </c>
      <c r="N26" s="87">
        <v>965.81</v>
      </c>
      <c r="O26" s="87">
        <v>981.73</v>
      </c>
      <c r="P26" s="84">
        <f t="shared" si="1"/>
        <v>1108.4441666666667</v>
      </c>
      <c r="Q26" s="86">
        <v>0.94652870805132361</v>
      </c>
      <c r="R26" s="84">
        <f t="shared" si="2"/>
        <v>1171.0623853646111</v>
      </c>
    </row>
    <row r="27" spans="1:18" ht="14" x14ac:dyDescent="0.3">
      <c r="A27" s="51">
        <f t="shared" si="0"/>
        <v>27</v>
      </c>
      <c r="B27" s="81" t="s">
        <v>48</v>
      </c>
      <c r="C27" s="82" t="s">
        <v>53</v>
      </c>
      <c r="D27" s="87">
        <v>1388.13</v>
      </c>
      <c r="E27" s="87">
        <v>1070.01</v>
      </c>
      <c r="F27" s="87">
        <v>950.35</v>
      </c>
      <c r="G27" s="87">
        <v>910.11</v>
      </c>
      <c r="H27" s="87">
        <v>462.16</v>
      </c>
      <c r="I27" s="87">
        <v>562.98</v>
      </c>
      <c r="J27" s="87">
        <v>595.72</v>
      </c>
      <c r="K27" s="87">
        <v>593.85</v>
      </c>
      <c r="L27" s="87">
        <v>846.57</v>
      </c>
      <c r="M27" s="87">
        <v>514.35</v>
      </c>
      <c r="N27" s="87">
        <v>1022.47</v>
      </c>
      <c r="O27" s="87">
        <v>1127.25</v>
      </c>
      <c r="P27" s="84">
        <f t="shared" si="1"/>
        <v>836.99583333333339</v>
      </c>
      <c r="Q27" s="86">
        <v>0.9465287080513235</v>
      </c>
      <c r="R27" s="84">
        <f t="shared" si="2"/>
        <v>884.27939502913534</v>
      </c>
    </row>
    <row r="28" spans="1:18" ht="14" x14ac:dyDescent="0.3">
      <c r="A28" s="51">
        <f t="shared" si="0"/>
        <v>28</v>
      </c>
      <c r="B28" s="81" t="s">
        <v>54</v>
      </c>
      <c r="C28" s="82" t="s">
        <v>55</v>
      </c>
      <c r="D28" s="87">
        <v>129111.11</v>
      </c>
      <c r="E28" s="87">
        <v>110423.25</v>
      </c>
      <c r="F28" s="87">
        <v>113329.60000000001</v>
      </c>
      <c r="G28" s="87">
        <v>104055.01</v>
      </c>
      <c r="H28" s="87">
        <v>125459.2</v>
      </c>
      <c r="I28" s="87">
        <v>198743.62</v>
      </c>
      <c r="J28" s="87">
        <v>230428.85</v>
      </c>
      <c r="K28" s="87">
        <v>237227.35</v>
      </c>
      <c r="L28" s="87">
        <v>179109.48</v>
      </c>
      <c r="M28" s="87">
        <v>118056.89</v>
      </c>
      <c r="N28" s="87">
        <v>105893.19</v>
      </c>
      <c r="O28" s="87">
        <v>113329.74</v>
      </c>
      <c r="P28" s="84">
        <f t="shared" si="1"/>
        <v>147097.27416666664</v>
      </c>
      <c r="Q28" s="86">
        <v>0.94664216730151307</v>
      </c>
      <c r="R28" s="84">
        <f t="shared" si="2"/>
        <v>155388.46593531786</v>
      </c>
    </row>
    <row r="29" spans="1:18" ht="14" x14ac:dyDescent="0.3">
      <c r="A29" s="51">
        <f t="shared" si="0"/>
        <v>29</v>
      </c>
      <c r="B29" s="81" t="s">
        <v>54</v>
      </c>
      <c r="C29" s="82" t="s">
        <v>50</v>
      </c>
      <c r="D29" s="87">
        <v>52165.54</v>
      </c>
      <c r="E29" s="87">
        <v>48793.32</v>
      </c>
      <c r="F29" s="87">
        <v>49599.24</v>
      </c>
      <c r="G29" s="87">
        <v>47154.12</v>
      </c>
      <c r="H29" s="87">
        <v>55480.43</v>
      </c>
      <c r="I29" s="87">
        <v>68586.38</v>
      </c>
      <c r="J29" s="87">
        <v>72985.36</v>
      </c>
      <c r="K29" s="87">
        <v>76955.03</v>
      </c>
      <c r="L29" s="87">
        <v>68584.08</v>
      </c>
      <c r="M29" s="87">
        <v>54052.55</v>
      </c>
      <c r="N29" s="87">
        <v>49147.839999999997</v>
      </c>
      <c r="O29" s="87">
        <v>49927.21</v>
      </c>
      <c r="P29" s="84">
        <f t="shared" si="1"/>
        <v>57785.924999999996</v>
      </c>
      <c r="Q29" s="86">
        <v>0.9488439778078902</v>
      </c>
      <c r="R29" s="84">
        <f t="shared" si="2"/>
        <v>60901.398282046903</v>
      </c>
    </row>
    <row r="30" spans="1:18" ht="14" x14ac:dyDescent="0.3">
      <c r="A30" s="51">
        <f t="shared" si="0"/>
        <v>30</v>
      </c>
      <c r="B30" s="81" t="s">
        <v>54</v>
      </c>
      <c r="C30" s="82" t="s">
        <v>46</v>
      </c>
      <c r="D30" s="87">
        <v>46060.69</v>
      </c>
      <c r="E30" s="87">
        <v>46798.15</v>
      </c>
      <c r="F30" s="87">
        <v>49118.7</v>
      </c>
      <c r="G30" s="87">
        <v>45840.44</v>
      </c>
      <c r="H30" s="87">
        <v>54567.25</v>
      </c>
      <c r="I30" s="87">
        <v>62166.91</v>
      </c>
      <c r="J30" s="87">
        <v>67556.240000000005</v>
      </c>
      <c r="K30" s="87">
        <v>73692.73</v>
      </c>
      <c r="L30" s="87">
        <v>66715.03</v>
      </c>
      <c r="M30" s="87">
        <v>60710.239999999998</v>
      </c>
      <c r="N30" s="87">
        <v>48079.92</v>
      </c>
      <c r="O30" s="87">
        <v>49176.1</v>
      </c>
      <c r="P30" s="84">
        <f t="shared" si="1"/>
        <v>55873.533333333333</v>
      </c>
      <c r="Q30" s="86">
        <v>0.96553153148044291</v>
      </c>
      <c r="R30" s="84">
        <f t="shared" si="2"/>
        <v>57868.16019116727</v>
      </c>
    </row>
    <row r="31" spans="1:18" ht="14" x14ac:dyDescent="0.3">
      <c r="A31" s="51">
        <f t="shared" si="0"/>
        <v>31</v>
      </c>
      <c r="B31" s="81" t="s">
        <v>54</v>
      </c>
      <c r="C31" s="82" t="s">
        <v>52</v>
      </c>
      <c r="D31" s="87">
        <v>219.9</v>
      </c>
      <c r="E31" s="87">
        <v>239.6</v>
      </c>
      <c r="F31" s="87">
        <v>292.26</v>
      </c>
      <c r="G31" s="87">
        <v>236.56</v>
      </c>
      <c r="H31" s="87">
        <v>224.65</v>
      </c>
      <c r="I31" s="87">
        <v>252.54</v>
      </c>
      <c r="J31" s="87">
        <v>401.13</v>
      </c>
      <c r="K31" s="87">
        <v>321.85000000000002</v>
      </c>
      <c r="L31" s="87">
        <v>357.28</v>
      </c>
      <c r="M31" s="87">
        <v>211.59</v>
      </c>
      <c r="N31" s="87">
        <v>250.38</v>
      </c>
      <c r="O31" s="87">
        <v>213.36</v>
      </c>
      <c r="P31" s="84">
        <f t="shared" si="1"/>
        <v>268.42500000000001</v>
      </c>
      <c r="Q31" s="86">
        <v>0.94863213261161594</v>
      </c>
      <c r="R31" s="84">
        <f t="shared" si="2"/>
        <v>282.96005455878566</v>
      </c>
    </row>
    <row r="32" spans="1:18" ht="14" x14ac:dyDescent="0.3">
      <c r="A32" s="51">
        <f t="shared" si="0"/>
        <v>32</v>
      </c>
      <c r="B32" s="81" t="s">
        <v>54</v>
      </c>
      <c r="C32" s="82" t="s">
        <v>53</v>
      </c>
      <c r="D32" s="87">
        <v>2762.8</v>
      </c>
      <c r="E32" s="87">
        <v>1990.1</v>
      </c>
      <c r="F32" s="87">
        <v>2152.0700000000002</v>
      </c>
      <c r="G32" s="87">
        <v>1316.53</v>
      </c>
      <c r="H32" s="87">
        <v>861.7</v>
      </c>
      <c r="I32" s="87">
        <v>1904.12</v>
      </c>
      <c r="J32" s="87">
        <v>1813.74</v>
      </c>
      <c r="K32" s="87">
        <v>1978.34</v>
      </c>
      <c r="L32" s="87">
        <v>1110.8599999999999</v>
      </c>
      <c r="M32" s="87">
        <v>660.41</v>
      </c>
      <c r="N32" s="87">
        <v>1379.64</v>
      </c>
      <c r="O32" s="87">
        <v>1565.37</v>
      </c>
      <c r="P32" s="84">
        <f t="shared" si="1"/>
        <v>1624.64</v>
      </c>
      <c r="Q32" s="86">
        <v>0.94652870805132372</v>
      </c>
      <c r="R32" s="84">
        <f t="shared" si="2"/>
        <v>1716.4191494463441</v>
      </c>
    </row>
    <row r="33" spans="1:21" ht="14" x14ac:dyDescent="0.3">
      <c r="A33" s="51">
        <f t="shared" si="0"/>
        <v>33</v>
      </c>
      <c r="B33" s="81" t="s">
        <v>54</v>
      </c>
      <c r="C33" s="82" t="s">
        <v>56</v>
      </c>
      <c r="D33" s="87">
        <v>1258.1199999999999</v>
      </c>
      <c r="E33" s="87">
        <v>1039.2</v>
      </c>
      <c r="F33" s="87">
        <v>1023.06</v>
      </c>
      <c r="G33" s="87">
        <v>711.4</v>
      </c>
      <c r="H33" s="87">
        <v>366.95</v>
      </c>
      <c r="I33" s="87">
        <v>344.19</v>
      </c>
      <c r="J33" s="87">
        <v>376.34</v>
      </c>
      <c r="K33" s="87">
        <v>518.01</v>
      </c>
      <c r="L33" s="87">
        <v>450.94</v>
      </c>
      <c r="M33" s="87">
        <v>346.97</v>
      </c>
      <c r="N33" s="87">
        <v>839.72</v>
      </c>
      <c r="O33" s="87">
        <v>936.28</v>
      </c>
      <c r="P33" s="84">
        <f t="shared" si="1"/>
        <v>684.26499999999999</v>
      </c>
      <c r="Q33" s="86">
        <v>0.94652870805132361</v>
      </c>
      <c r="R33" s="84">
        <f t="shared" si="2"/>
        <v>722.92049272202007</v>
      </c>
    </row>
    <row r="34" spans="1:21" ht="14" x14ac:dyDescent="0.3">
      <c r="A34" s="51">
        <f t="shared" si="0"/>
        <v>34</v>
      </c>
      <c r="B34" s="81" t="s">
        <v>54</v>
      </c>
      <c r="C34" s="82" t="s">
        <v>57</v>
      </c>
      <c r="D34" s="83">
        <v>6991</v>
      </c>
      <c r="E34" s="83">
        <v>6981</v>
      </c>
      <c r="F34" s="83">
        <v>7003</v>
      </c>
      <c r="G34" s="83">
        <v>6994</v>
      </c>
      <c r="H34" s="83">
        <v>7447</v>
      </c>
      <c r="I34" s="83">
        <v>8879</v>
      </c>
      <c r="J34" s="83">
        <v>9324</v>
      </c>
      <c r="K34" s="83">
        <v>9537</v>
      </c>
      <c r="L34" s="83">
        <v>8594</v>
      </c>
      <c r="M34" s="83">
        <v>8653</v>
      </c>
      <c r="N34" s="83">
        <v>7074</v>
      </c>
      <c r="O34" s="83">
        <v>7183</v>
      </c>
      <c r="P34" s="84">
        <f t="shared" si="1"/>
        <v>7888.333333333333</v>
      </c>
      <c r="Q34" s="86">
        <v>0.94652870805132361</v>
      </c>
      <c r="R34" s="84">
        <f t="shared" si="2"/>
        <v>8333.9609947737626</v>
      </c>
    </row>
    <row r="35" spans="1:21" ht="14" x14ac:dyDescent="0.3">
      <c r="A35" s="51">
        <f t="shared" si="0"/>
        <v>35</v>
      </c>
      <c r="B35" s="81" t="s">
        <v>54</v>
      </c>
      <c r="C35" s="82" t="s">
        <v>58</v>
      </c>
      <c r="D35" s="83">
        <v>204.09911539999999</v>
      </c>
      <c r="E35" s="83">
        <v>117.20602510000001</v>
      </c>
      <c r="F35" s="83">
        <v>122.4270393</v>
      </c>
      <c r="G35" s="83">
        <v>285.4011802</v>
      </c>
      <c r="H35" s="83">
        <v>332.99473849999998</v>
      </c>
      <c r="I35" s="83">
        <v>527.36506139999995</v>
      </c>
      <c r="J35" s="83">
        <v>564.05157280000003</v>
      </c>
      <c r="K35" s="83">
        <v>556.19292099999996</v>
      </c>
      <c r="L35" s="83">
        <v>382.59516050000002</v>
      </c>
      <c r="M35" s="83">
        <v>352.941484</v>
      </c>
      <c r="N35" s="83">
        <v>137.08284269999999</v>
      </c>
      <c r="O35" s="83">
        <v>125.9413138</v>
      </c>
      <c r="P35" s="84">
        <f t="shared" si="1"/>
        <v>309.02487122500003</v>
      </c>
      <c r="Q35" s="86">
        <v>0.94652870805132372</v>
      </c>
      <c r="R35" s="84">
        <f t="shared" si="2"/>
        <v>326.48230169500971</v>
      </c>
    </row>
    <row r="36" spans="1:21" ht="14" x14ac:dyDescent="0.3">
      <c r="A36" s="51">
        <f t="shared" si="0"/>
        <v>36</v>
      </c>
      <c r="B36" s="81" t="s">
        <v>40</v>
      </c>
      <c r="C36" s="82" t="s">
        <v>59</v>
      </c>
      <c r="D36" s="83">
        <v>11799.599685714285</v>
      </c>
      <c r="E36" s="83">
        <v>10816.299711904763</v>
      </c>
      <c r="F36" s="83">
        <v>18682.699502380954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19665.999476190478</v>
      </c>
      <c r="O36" s="83">
        <v>19665.999476190478</v>
      </c>
      <c r="P36" s="84">
        <f t="shared" si="1"/>
        <v>6719.2164876984134</v>
      </c>
      <c r="Q36" s="88">
        <f>Q16</f>
        <v>0.94652870805132361</v>
      </c>
      <c r="R36" s="84">
        <f t="shared" si="2"/>
        <v>7098.7984099623081</v>
      </c>
      <c r="U36" s="86"/>
    </row>
    <row r="37" spans="1:21" ht="14" x14ac:dyDescent="0.3">
      <c r="A37" s="51">
        <f t="shared" si="0"/>
        <v>37</v>
      </c>
      <c r="B37" s="81"/>
      <c r="C37" s="82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9"/>
      <c r="O37" s="90"/>
      <c r="P37" s="84"/>
      <c r="Q37" s="78"/>
      <c r="R37" s="91"/>
    </row>
    <row r="38" spans="1:21" ht="14.5" thickBot="1" x14ac:dyDescent="0.35">
      <c r="A38" s="51">
        <f t="shared" si="0"/>
        <v>38</v>
      </c>
      <c r="B38" s="92" t="s">
        <v>60</v>
      </c>
      <c r="C38" s="93" t="s">
        <v>61</v>
      </c>
      <c r="D38" s="94">
        <f>SUM(D15:D37)</f>
        <v>3075024.3886270141</v>
      </c>
      <c r="E38" s="94">
        <f t="shared" ref="E38:O38" si="3">SUM(E15:E37)</f>
        <v>2834141.487521105</v>
      </c>
      <c r="F38" s="94">
        <f t="shared" si="3"/>
        <v>2770677.710401882</v>
      </c>
      <c r="G38" s="94">
        <f t="shared" si="3"/>
        <v>2370075.823561599</v>
      </c>
      <c r="H38" s="94">
        <f t="shared" si="3"/>
        <v>3062646.3769482002</v>
      </c>
      <c r="I38" s="94">
        <f t="shared" si="3"/>
        <v>4202707.0868904004</v>
      </c>
      <c r="J38" s="94">
        <f t="shared" si="3"/>
        <v>3881773.216712601</v>
      </c>
      <c r="K38" s="94">
        <f t="shared" si="3"/>
        <v>4276728.2348993989</v>
      </c>
      <c r="L38" s="94">
        <f t="shared" si="3"/>
        <v>3395671.7980910991</v>
      </c>
      <c r="M38" s="94">
        <f t="shared" si="3"/>
        <v>2386286.3365188004</v>
      </c>
      <c r="N38" s="94">
        <f t="shared" si="3"/>
        <v>2608840.433615291</v>
      </c>
      <c r="O38" s="95">
        <f t="shared" si="3"/>
        <v>2777554.1241177912</v>
      </c>
      <c r="P38" s="96">
        <f t="shared" ref="P38" si="4">SUM(P15:P36)</f>
        <v>3136847.9108860372</v>
      </c>
      <c r="Q38" s="97"/>
      <c r="R38" s="96">
        <f>SUM(R15:R36)</f>
        <v>3294412.2305785976</v>
      </c>
    </row>
    <row r="39" spans="1:21" ht="14" x14ac:dyDescent="0.3">
      <c r="A39" s="51">
        <f t="shared" si="0"/>
        <v>39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spans="1:21" ht="14" x14ac:dyDescent="0.3">
      <c r="A40" s="51">
        <f t="shared" si="0"/>
        <v>40</v>
      </c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</row>
    <row r="41" spans="1:21" ht="14.5" thickBot="1" x14ac:dyDescent="0.35">
      <c r="A41" s="51">
        <f t="shared" si="0"/>
        <v>41</v>
      </c>
      <c r="B41" s="100" t="s">
        <v>62</v>
      </c>
      <c r="O41" s="98"/>
    </row>
    <row r="42" spans="1:21" ht="14.25" customHeight="1" x14ac:dyDescent="0.3">
      <c r="A42" s="51">
        <f t="shared" si="0"/>
        <v>42</v>
      </c>
      <c r="B42" s="59" t="s">
        <v>19</v>
      </c>
      <c r="C42" s="60"/>
      <c r="D42" s="61" t="s">
        <v>20</v>
      </c>
      <c r="E42" s="61" t="s">
        <v>21</v>
      </c>
      <c r="F42" s="61" t="s">
        <v>22</v>
      </c>
      <c r="G42" s="61" t="s">
        <v>23</v>
      </c>
      <c r="H42" s="61" t="s">
        <v>24</v>
      </c>
      <c r="I42" s="61" t="s">
        <v>25</v>
      </c>
      <c r="J42" s="61" t="s">
        <v>26</v>
      </c>
      <c r="K42" s="61" t="s">
        <v>27</v>
      </c>
      <c r="L42" s="61" t="s">
        <v>28</v>
      </c>
      <c r="M42" s="62" t="s">
        <v>29</v>
      </c>
      <c r="N42" s="61" t="s">
        <v>30</v>
      </c>
      <c r="O42" s="62" t="s">
        <v>31</v>
      </c>
      <c r="P42" s="115" t="s">
        <v>32</v>
      </c>
      <c r="Q42" s="115" t="s">
        <v>33</v>
      </c>
      <c r="R42" s="115" t="s">
        <v>34</v>
      </c>
    </row>
    <row r="43" spans="1:21" ht="14" x14ac:dyDescent="0.3">
      <c r="A43" s="51">
        <f t="shared" si="0"/>
        <v>43</v>
      </c>
      <c r="B43" s="63" t="s">
        <v>35</v>
      </c>
      <c r="C43" s="64"/>
      <c r="D43" s="65">
        <v>44225</v>
      </c>
      <c r="E43" s="65">
        <v>44228</v>
      </c>
      <c r="F43" s="65">
        <v>44257</v>
      </c>
      <c r="G43" s="65">
        <v>44288</v>
      </c>
      <c r="H43" s="65">
        <v>44342</v>
      </c>
      <c r="I43" s="65">
        <v>44376</v>
      </c>
      <c r="J43" s="65">
        <v>44393</v>
      </c>
      <c r="K43" s="65">
        <v>44420</v>
      </c>
      <c r="L43" s="65">
        <v>44454</v>
      </c>
      <c r="M43" s="66">
        <v>44483</v>
      </c>
      <c r="N43" s="65">
        <v>44530</v>
      </c>
      <c r="O43" s="66">
        <v>44550</v>
      </c>
      <c r="P43" s="116"/>
      <c r="Q43" s="116"/>
      <c r="R43" s="116"/>
    </row>
    <row r="44" spans="1:21" ht="28.5" thickBot="1" x14ac:dyDescent="0.35">
      <c r="A44" s="51">
        <f t="shared" si="0"/>
        <v>44</v>
      </c>
      <c r="B44" s="67" t="s">
        <v>36</v>
      </c>
      <c r="C44" s="64"/>
      <c r="D44" s="68">
        <v>19</v>
      </c>
      <c r="E44" s="68">
        <v>18</v>
      </c>
      <c r="F44" s="68">
        <v>19</v>
      </c>
      <c r="G44" s="68">
        <v>19</v>
      </c>
      <c r="H44" s="68">
        <v>17</v>
      </c>
      <c r="I44" s="68">
        <v>17</v>
      </c>
      <c r="J44" s="68">
        <v>16</v>
      </c>
      <c r="K44" s="68">
        <v>17</v>
      </c>
      <c r="L44" s="68">
        <v>17</v>
      </c>
      <c r="M44" s="69">
        <v>18</v>
      </c>
      <c r="N44" s="68">
        <v>18</v>
      </c>
      <c r="O44" s="69">
        <v>18</v>
      </c>
      <c r="P44" s="117"/>
      <c r="Q44" s="117"/>
      <c r="R44" s="117"/>
    </row>
    <row r="45" spans="1:21" ht="14" x14ac:dyDescent="0.3">
      <c r="A45" s="51">
        <f t="shared" si="0"/>
        <v>45</v>
      </c>
      <c r="B45" s="71" t="s">
        <v>37</v>
      </c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4"/>
      <c r="N45" s="73"/>
      <c r="O45" s="74"/>
      <c r="P45" s="75"/>
      <c r="Q45" s="75"/>
      <c r="R45" s="75"/>
    </row>
    <row r="46" spans="1:21" ht="14" x14ac:dyDescent="0.3">
      <c r="A46" s="51">
        <f t="shared" si="0"/>
        <v>46</v>
      </c>
      <c r="B46" s="76" t="s">
        <v>38</v>
      </c>
      <c r="C46" s="77" t="s">
        <v>39</v>
      </c>
      <c r="D46" s="73"/>
      <c r="E46" s="73"/>
      <c r="F46" s="73"/>
      <c r="G46" s="73"/>
      <c r="H46" s="73"/>
      <c r="I46" s="73"/>
      <c r="J46" s="73"/>
      <c r="K46" s="73"/>
      <c r="L46" s="73"/>
      <c r="M46" s="74"/>
      <c r="N46" s="73"/>
      <c r="O46" s="74"/>
      <c r="P46" s="78"/>
      <c r="Q46" s="78"/>
      <c r="R46" s="78"/>
    </row>
    <row r="47" spans="1:21" ht="14" x14ac:dyDescent="0.3">
      <c r="A47" s="51">
        <f t="shared" si="0"/>
        <v>47</v>
      </c>
      <c r="B47" s="79"/>
      <c r="C47" s="80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8"/>
      <c r="Q47" s="78"/>
      <c r="R47" s="78"/>
    </row>
    <row r="48" spans="1:21" ht="14" x14ac:dyDescent="0.3">
      <c r="A48" s="51">
        <f t="shared" si="0"/>
        <v>48</v>
      </c>
      <c r="B48" s="81" t="s">
        <v>63</v>
      </c>
      <c r="C48" s="82" t="s">
        <v>41</v>
      </c>
      <c r="D48" s="83">
        <v>187048.79686610002</v>
      </c>
      <c r="E48" s="83">
        <v>203692.0591639</v>
      </c>
      <c r="F48" s="83">
        <v>183075.37392879999</v>
      </c>
      <c r="G48" s="83">
        <v>147088.91652470001</v>
      </c>
      <c r="H48" s="83">
        <v>204989.7109381</v>
      </c>
      <c r="I48" s="83">
        <v>307920.4969887</v>
      </c>
      <c r="J48" s="83">
        <v>248974.14480399998</v>
      </c>
      <c r="K48" s="83">
        <v>291777.8037165</v>
      </c>
      <c r="L48" s="83">
        <v>216498.20984650002</v>
      </c>
      <c r="M48" s="83">
        <v>136310.39701670001</v>
      </c>
      <c r="N48" s="83">
        <v>183983.5167338</v>
      </c>
      <c r="O48" s="83">
        <v>194767.25874429999</v>
      </c>
      <c r="P48" s="84">
        <f t="shared" ref="P48:P56" si="5">AVERAGE(D48:O48)</f>
        <v>208843.89043934166</v>
      </c>
      <c r="Q48" s="85">
        <v>0.94652870805132361</v>
      </c>
      <c r="R48" s="84">
        <f t="shared" ref="R48:R56" si="6">P48/Q48</f>
        <v>220641.89777117412</v>
      </c>
    </row>
    <row r="49" spans="1:18" ht="14" x14ac:dyDescent="0.3">
      <c r="A49" s="51">
        <f t="shared" si="0"/>
        <v>49</v>
      </c>
      <c r="B49" s="81" t="s">
        <v>63</v>
      </c>
      <c r="C49" s="82" t="s">
        <v>42</v>
      </c>
      <c r="D49" s="83">
        <v>61457.135655099999</v>
      </c>
      <c r="E49" s="83">
        <v>57991.8700388</v>
      </c>
      <c r="F49" s="83">
        <v>55078.280692600005</v>
      </c>
      <c r="G49" s="83">
        <v>40351.828652099997</v>
      </c>
      <c r="H49" s="83">
        <v>27248.872707100003</v>
      </c>
      <c r="I49" s="83">
        <v>37971.255381800001</v>
      </c>
      <c r="J49" s="83">
        <v>31374.4834888</v>
      </c>
      <c r="K49" s="83">
        <v>34148.644785800003</v>
      </c>
      <c r="L49" s="83">
        <v>27864.254380700004</v>
      </c>
      <c r="M49" s="83">
        <v>21442.785875599999</v>
      </c>
      <c r="N49" s="83">
        <v>44338.150222600001</v>
      </c>
      <c r="O49" s="83">
        <v>46188.745995700003</v>
      </c>
      <c r="P49" s="84">
        <f t="shared" si="5"/>
        <v>40454.692323058342</v>
      </c>
      <c r="Q49" s="85">
        <v>0.94652870805132361</v>
      </c>
      <c r="R49" s="84">
        <f t="shared" si="6"/>
        <v>42740.058467264964</v>
      </c>
    </row>
    <row r="50" spans="1:18" ht="14" x14ac:dyDescent="0.3">
      <c r="A50" s="51">
        <f t="shared" si="0"/>
        <v>50</v>
      </c>
      <c r="B50" s="81" t="s">
        <v>63</v>
      </c>
      <c r="C50" s="82">
        <v>23</v>
      </c>
      <c r="D50" s="83">
        <v>8.7738242999999994</v>
      </c>
      <c r="E50" s="83">
        <v>7.2586658999999996</v>
      </c>
      <c r="F50" s="83">
        <v>11.522251199999999</v>
      </c>
      <c r="G50" s="83">
        <v>11.892231799999999</v>
      </c>
      <c r="H50" s="83">
        <v>1.9908477</v>
      </c>
      <c r="I50" s="83">
        <v>6.7829765999999996</v>
      </c>
      <c r="J50" s="83">
        <v>5.2678181999999998</v>
      </c>
      <c r="K50" s="83">
        <v>15.4334741</v>
      </c>
      <c r="L50" s="83">
        <v>7.0296303</v>
      </c>
      <c r="M50" s="83">
        <v>8.8090606000000005</v>
      </c>
      <c r="N50" s="83">
        <v>15.926781500000001</v>
      </c>
      <c r="O50" s="83">
        <v>4.369294</v>
      </c>
      <c r="P50" s="84">
        <f t="shared" si="5"/>
        <v>8.754738016666666</v>
      </c>
      <c r="Q50" s="86">
        <v>0.94652870805132361</v>
      </c>
      <c r="R50" s="84">
        <f t="shared" si="6"/>
        <v>9.2493106043139246</v>
      </c>
    </row>
    <row r="51" spans="1:18" ht="14" x14ac:dyDescent="0.3">
      <c r="A51" s="51">
        <f t="shared" si="0"/>
        <v>51</v>
      </c>
      <c r="B51" s="81" t="s">
        <v>63</v>
      </c>
      <c r="C51" s="82">
        <v>24</v>
      </c>
      <c r="D51" s="83">
        <v>769.19738059999997</v>
      </c>
      <c r="E51" s="83">
        <v>698.93476880000003</v>
      </c>
      <c r="F51" s="83">
        <v>653.78426449999995</v>
      </c>
      <c r="G51" s="83">
        <v>706.70776479999995</v>
      </c>
      <c r="H51" s="83">
        <v>668.39564819999998</v>
      </c>
      <c r="I51" s="83">
        <v>1205.3607494</v>
      </c>
      <c r="J51" s="83">
        <v>841.35894540000004</v>
      </c>
      <c r="K51" s="83">
        <v>1129.7980021000001</v>
      </c>
      <c r="L51" s="83">
        <v>886.29304049999996</v>
      </c>
      <c r="M51" s="83">
        <v>509.83067240000003</v>
      </c>
      <c r="N51" s="83">
        <v>665.63995699999998</v>
      </c>
      <c r="O51" s="83">
        <v>654.92158040000004</v>
      </c>
      <c r="P51" s="84">
        <f t="shared" si="5"/>
        <v>782.51856450833338</v>
      </c>
      <c r="Q51" s="86">
        <v>0.94652870805132361</v>
      </c>
      <c r="R51" s="84">
        <f t="shared" si="6"/>
        <v>826.72459678412929</v>
      </c>
    </row>
    <row r="52" spans="1:18" ht="14" x14ac:dyDescent="0.3">
      <c r="A52" s="51">
        <f t="shared" si="0"/>
        <v>52</v>
      </c>
      <c r="B52" s="81" t="s">
        <v>63</v>
      </c>
      <c r="C52" s="82" t="s">
        <v>55</v>
      </c>
      <c r="D52" s="83">
        <v>90228.72</v>
      </c>
      <c r="E52" s="83">
        <v>81895.58</v>
      </c>
      <c r="F52" s="83">
        <v>82081.89</v>
      </c>
      <c r="G52" s="83">
        <v>66970.89</v>
      </c>
      <c r="H52" s="83">
        <v>84049.16</v>
      </c>
      <c r="I52" s="83">
        <v>113894.27</v>
      </c>
      <c r="J52" s="83">
        <v>101769.35</v>
      </c>
      <c r="K52" s="83">
        <v>107503.55</v>
      </c>
      <c r="L52" s="83">
        <v>94320.65</v>
      </c>
      <c r="M52" s="83">
        <v>73182.22</v>
      </c>
      <c r="N52" s="83">
        <v>83924.09</v>
      </c>
      <c r="O52" s="83">
        <v>84352.78</v>
      </c>
      <c r="P52" s="84">
        <f t="shared" si="5"/>
        <v>88681.095833333326</v>
      </c>
      <c r="Q52" s="86">
        <v>0.9468405115211328</v>
      </c>
      <c r="R52" s="84">
        <f t="shared" si="6"/>
        <v>93660.014283571378</v>
      </c>
    </row>
    <row r="53" spans="1:18" ht="14" x14ac:dyDescent="0.3">
      <c r="A53" s="51">
        <f t="shared" si="0"/>
        <v>53</v>
      </c>
      <c r="B53" s="81" t="s">
        <v>63</v>
      </c>
      <c r="C53" s="82" t="s">
        <v>65</v>
      </c>
      <c r="D53" s="83">
        <v>46298.700000000004</v>
      </c>
      <c r="E53" s="83">
        <v>44506.81</v>
      </c>
      <c r="F53" s="83">
        <v>47143.39</v>
      </c>
      <c r="G53" s="83">
        <v>38992.89</v>
      </c>
      <c r="H53" s="83">
        <v>53262.6</v>
      </c>
      <c r="I53" s="83">
        <v>57057.03</v>
      </c>
      <c r="J53" s="83">
        <v>54893.729999999996</v>
      </c>
      <c r="K53" s="83">
        <v>55953.71</v>
      </c>
      <c r="L53" s="83">
        <v>52662.270000000004</v>
      </c>
      <c r="M53" s="83">
        <v>44046.09</v>
      </c>
      <c r="N53" s="83">
        <v>44779.51</v>
      </c>
      <c r="O53" s="83">
        <v>46983.37</v>
      </c>
      <c r="P53" s="84">
        <f t="shared" si="5"/>
        <v>48881.67500000001</v>
      </c>
      <c r="Q53" s="86">
        <v>0.9496881411746344</v>
      </c>
      <c r="R53" s="84">
        <f t="shared" si="6"/>
        <v>51471.291343640514</v>
      </c>
    </row>
    <row r="54" spans="1:18" ht="14" x14ac:dyDescent="0.3">
      <c r="A54" s="51">
        <f t="shared" si="0"/>
        <v>54</v>
      </c>
      <c r="B54" s="81" t="s">
        <v>63</v>
      </c>
      <c r="C54" s="82" t="s">
        <v>46</v>
      </c>
      <c r="D54" s="83">
        <v>75261.910925000004</v>
      </c>
      <c r="E54" s="83">
        <v>77227.006841900002</v>
      </c>
      <c r="F54" s="83">
        <v>80828.915953999996</v>
      </c>
      <c r="G54" s="83">
        <v>68141.972269399994</v>
      </c>
      <c r="H54" s="83">
        <v>92507.877967299995</v>
      </c>
      <c r="I54" s="83">
        <v>97887.577444299997</v>
      </c>
      <c r="J54" s="83">
        <v>96018.170821599997</v>
      </c>
      <c r="K54" s="83">
        <v>89782.541505600006</v>
      </c>
      <c r="L54" s="83">
        <v>94630.207526400001</v>
      </c>
      <c r="M54" s="83">
        <v>82479.971629399995</v>
      </c>
      <c r="N54" s="83">
        <v>79034.898209000006</v>
      </c>
      <c r="O54" s="83">
        <v>80784.701240199996</v>
      </c>
      <c r="P54" s="84">
        <f t="shared" si="5"/>
        <v>84548.812694508335</v>
      </c>
      <c r="Q54" s="86">
        <v>0.95496035402993218</v>
      </c>
      <c r="R54" s="84">
        <f t="shared" si="6"/>
        <v>88536.463673818915</v>
      </c>
    </row>
    <row r="55" spans="1:18" ht="14" x14ac:dyDescent="0.3">
      <c r="A55" s="51">
        <f t="shared" si="0"/>
        <v>55</v>
      </c>
      <c r="B55" s="81" t="s">
        <v>63</v>
      </c>
      <c r="C55" s="82" t="s">
        <v>67</v>
      </c>
      <c r="D55" s="83">
        <v>44712.500531999998</v>
      </c>
      <c r="E55" s="83">
        <v>46852.628844799998</v>
      </c>
      <c r="F55" s="83">
        <v>41737.2583065</v>
      </c>
      <c r="G55" s="83">
        <v>41998.696237999997</v>
      </c>
      <c r="H55" s="83">
        <v>54096.2511639</v>
      </c>
      <c r="I55" s="83">
        <v>54395.411406500003</v>
      </c>
      <c r="J55" s="83">
        <v>57835.003498899998</v>
      </c>
      <c r="K55" s="83">
        <v>65025.5706814</v>
      </c>
      <c r="L55" s="83">
        <v>63240.887222999998</v>
      </c>
      <c r="M55" s="83">
        <v>73636.274882400001</v>
      </c>
      <c r="N55" s="83">
        <v>50630.7625501</v>
      </c>
      <c r="O55" s="83">
        <v>39625.557156100003</v>
      </c>
      <c r="P55" s="84">
        <f t="shared" si="5"/>
        <v>52815.566873633339</v>
      </c>
      <c r="Q55" s="86">
        <v>0.9816313955713809</v>
      </c>
      <c r="R55" s="84">
        <f t="shared" si="6"/>
        <v>53803.868857404297</v>
      </c>
    </row>
    <row r="56" spans="1:18" ht="14" x14ac:dyDescent="0.3">
      <c r="A56" s="51">
        <f t="shared" si="0"/>
        <v>56</v>
      </c>
      <c r="B56" s="81" t="s">
        <v>63</v>
      </c>
      <c r="C56" s="82" t="s">
        <v>59</v>
      </c>
      <c r="D56" s="83">
        <v>6440.4211084337358</v>
      </c>
      <c r="E56" s="83">
        <v>2790.8491469879527</v>
      </c>
      <c r="F56" s="83">
        <v>5474.3579421686754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6440.4211084337358</v>
      </c>
      <c r="O56" s="83">
        <v>6440.4211084337358</v>
      </c>
      <c r="P56" s="84">
        <f t="shared" si="5"/>
        <v>2298.8725345381531</v>
      </c>
      <c r="Q56" s="88">
        <v>0.94652870805132361</v>
      </c>
      <c r="R56" s="84">
        <f t="shared" si="6"/>
        <v>2428.7404227506022</v>
      </c>
    </row>
    <row r="57" spans="1:18" ht="14" x14ac:dyDescent="0.3">
      <c r="A57" s="51">
        <f t="shared" si="0"/>
        <v>57</v>
      </c>
      <c r="B57" s="81"/>
      <c r="C57" s="82"/>
      <c r="D57" s="89"/>
      <c r="E57" s="89"/>
      <c r="F57" s="89"/>
      <c r="G57" s="89"/>
      <c r="H57" s="89"/>
      <c r="I57" s="89"/>
      <c r="J57" s="89"/>
      <c r="K57" s="89"/>
      <c r="L57" s="89"/>
      <c r="M57" s="90"/>
      <c r="N57" s="89"/>
      <c r="O57" s="90"/>
      <c r="P57" s="84"/>
      <c r="Q57" s="78"/>
      <c r="R57" s="91"/>
    </row>
    <row r="58" spans="1:18" ht="14.5" thickBot="1" x14ac:dyDescent="0.35">
      <c r="A58" s="51">
        <f t="shared" si="0"/>
        <v>58</v>
      </c>
      <c r="B58" s="92" t="s">
        <v>60</v>
      </c>
      <c r="C58" s="93" t="s">
        <v>61</v>
      </c>
      <c r="D58" s="94">
        <f>SUM(D48:D57)</f>
        <v>512226.15629153373</v>
      </c>
      <c r="E58" s="94">
        <f t="shared" ref="E58:O58" si="7">SUM(E48:E57)</f>
        <v>515662.99747108796</v>
      </c>
      <c r="F58" s="94">
        <f t="shared" si="7"/>
        <v>496084.77333976864</v>
      </c>
      <c r="G58" s="94">
        <f t="shared" si="7"/>
        <v>404263.79368080007</v>
      </c>
      <c r="H58" s="94">
        <f t="shared" si="7"/>
        <v>516824.85927230003</v>
      </c>
      <c r="I58" s="94">
        <f t="shared" si="7"/>
        <v>670338.1849473</v>
      </c>
      <c r="J58" s="94">
        <f t="shared" si="7"/>
        <v>591711.50937689992</v>
      </c>
      <c r="K58" s="94">
        <f t="shared" si="7"/>
        <v>645337.05216550012</v>
      </c>
      <c r="L58" s="94">
        <f t="shared" si="7"/>
        <v>550109.80164740002</v>
      </c>
      <c r="M58" s="94">
        <f t="shared" si="7"/>
        <v>431616.37913710001</v>
      </c>
      <c r="N58" s="94">
        <f t="shared" si="7"/>
        <v>493812.91556243377</v>
      </c>
      <c r="O58" s="95">
        <f t="shared" si="7"/>
        <v>499802.12511913368</v>
      </c>
      <c r="P58" s="96">
        <f t="shared" ref="P58" si="8">SUM(P48:P56)</f>
        <v>527315.87900093815</v>
      </c>
      <c r="Q58" s="97"/>
      <c r="R58" s="96">
        <f>SUM(R48:R56)</f>
        <v>554118.30872701318</v>
      </c>
    </row>
    <row r="60" spans="1:18" ht="14" x14ac:dyDescent="0.3">
      <c r="A60" s="101"/>
      <c r="B60" s="102" t="s">
        <v>68</v>
      </c>
    </row>
    <row r="61" spans="1:18" ht="14" x14ac:dyDescent="0.3">
      <c r="B61" s="103"/>
    </row>
    <row r="62" spans="1:18" ht="14" x14ac:dyDescent="0.3">
      <c r="B62" s="103"/>
    </row>
  </sheetData>
  <mergeCells count="8">
    <mergeCell ref="P42:P44"/>
    <mergeCell ref="Q42:Q44"/>
    <mergeCell ref="R42:R44"/>
    <mergeCell ref="B4:R4"/>
    <mergeCell ref="B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B9BD-69F9-41FA-A52E-7904C604B767}">
  <sheetPr>
    <pageSetUpPr fitToPage="1"/>
  </sheetPr>
  <dimension ref="A1:U59"/>
  <sheetViews>
    <sheetView zoomScaleNormal="100" workbookViewId="0">
      <selection activeCell="B3" sqref="B3"/>
    </sheetView>
  </sheetViews>
  <sheetFormatPr defaultColWidth="9.1796875" defaultRowHeight="14" x14ac:dyDescent="0.3"/>
  <cols>
    <col min="1" max="1" width="3.81640625" style="105" bestFit="1" customWidth="1"/>
    <col min="2" max="2" width="27.81640625" style="105" bestFit="1" customWidth="1"/>
    <col min="3" max="3" width="13.81640625" style="105" customWidth="1"/>
    <col min="4" max="16" width="11.54296875" style="105" bestFit="1" customWidth="1"/>
    <col min="17" max="17" width="8.1796875" style="105" bestFit="1" customWidth="1"/>
    <col min="18" max="18" width="15.453125" style="105" customWidth="1"/>
    <col min="19" max="16384" width="9.1796875" style="105"/>
  </cols>
  <sheetData>
    <row r="1" spans="1:20" x14ac:dyDescent="0.3">
      <c r="A1" s="104">
        <v>1</v>
      </c>
    </row>
    <row r="2" spans="1:20" x14ac:dyDescent="0.3">
      <c r="A2" s="104">
        <f>A1+1</f>
        <v>2</v>
      </c>
    </row>
    <row r="3" spans="1:20" x14ac:dyDescent="0.3">
      <c r="A3" s="104">
        <f t="shared" ref="A3:A55" si="0">A2+1</f>
        <v>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20" x14ac:dyDescent="0.3">
      <c r="A4" s="104">
        <f t="shared" si="0"/>
        <v>4</v>
      </c>
      <c r="B4" s="114" t="s">
        <v>73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</row>
    <row r="5" spans="1:20" x14ac:dyDescent="0.3">
      <c r="A5" s="104">
        <f t="shared" si="0"/>
        <v>5</v>
      </c>
      <c r="B5" s="114" t="s">
        <v>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</row>
    <row r="6" spans="1:20" x14ac:dyDescent="0.3">
      <c r="A6" s="104">
        <f t="shared" si="0"/>
        <v>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20" ht="14.5" thickBot="1" x14ac:dyDescent="0.35">
      <c r="A7" s="104">
        <f t="shared" si="0"/>
        <v>7</v>
      </c>
      <c r="B7" s="54" t="s">
        <v>1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1:20" ht="14.5" thickBot="1" x14ac:dyDescent="0.35">
      <c r="A8" s="104">
        <f t="shared" si="0"/>
        <v>8</v>
      </c>
      <c r="B8" s="55" t="s">
        <v>2</v>
      </c>
      <c r="C8" s="56" t="s">
        <v>3</v>
      </c>
      <c r="D8" s="57" t="s">
        <v>4</v>
      </c>
      <c r="E8" s="57" t="s">
        <v>5</v>
      </c>
      <c r="F8" s="57" t="s">
        <v>6</v>
      </c>
      <c r="G8" s="57" t="s">
        <v>7</v>
      </c>
      <c r="H8" s="57" t="s">
        <v>8</v>
      </c>
      <c r="I8" s="57" t="s">
        <v>9</v>
      </c>
      <c r="J8" s="57" t="s">
        <v>10</v>
      </c>
      <c r="K8" s="57" t="s">
        <v>11</v>
      </c>
      <c r="L8" s="56" t="s">
        <v>12</v>
      </c>
      <c r="M8" s="57" t="s">
        <v>13</v>
      </c>
      <c r="N8" s="57" t="s">
        <v>14</v>
      </c>
      <c r="O8" s="58" t="s">
        <v>15</v>
      </c>
      <c r="P8" s="57" t="s">
        <v>16</v>
      </c>
      <c r="Q8" s="57" t="s">
        <v>17</v>
      </c>
      <c r="R8" s="57" t="s">
        <v>18</v>
      </c>
    </row>
    <row r="9" spans="1:20" x14ac:dyDescent="0.3">
      <c r="A9" s="104">
        <f t="shared" si="0"/>
        <v>9</v>
      </c>
      <c r="B9" s="59" t="s">
        <v>19</v>
      </c>
      <c r="C9" s="60"/>
      <c r="D9" s="61" t="s">
        <v>20</v>
      </c>
      <c r="E9" s="61" t="s">
        <v>21</v>
      </c>
      <c r="F9" s="61" t="s">
        <v>22</v>
      </c>
      <c r="G9" s="61" t="s">
        <v>23</v>
      </c>
      <c r="H9" s="61" t="s">
        <v>24</v>
      </c>
      <c r="I9" s="61" t="s">
        <v>25</v>
      </c>
      <c r="J9" s="61" t="s">
        <v>26</v>
      </c>
      <c r="K9" s="61" t="s">
        <v>27</v>
      </c>
      <c r="L9" s="61" t="s">
        <v>28</v>
      </c>
      <c r="M9" s="62" t="s">
        <v>29</v>
      </c>
      <c r="N9" s="61" t="s">
        <v>30</v>
      </c>
      <c r="O9" s="62" t="s">
        <v>31</v>
      </c>
      <c r="P9" s="115" t="s">
        <v>32</v>
      </c>
      <c r="Q9" s="115" t="s">
        <v>33</v>
      </c>
      <c r="R9" s="115" t="s">
        <v>34</v>
      </c>
    </row>
    <row r="10" spans="1:20" x14ac:dyDescent="0.3">
      <c r="A10" s="104">
        <f t="shared" si="0"/>
        <v>10</v>
      </c>
      <c r="B10" s="63" t="s">
        <v>35</v>
      </c>
      <c r="C10" s="106"/>
      <c r="D10" s="65">
        <v>44572</v>
      </c>
      <c r="E10" s="65">
        <v>44606</v>
      </c>
      <c r="F10" s="65">
        <v>44621</v>
      </c>
      <c r="G10" s="65">
        <v>44657</v>
      </c>
      <c r="H10" s="65">
        <v>44703</v>
      </c>
      <c r="I10" s="65">
        <v>44738</v>
      </c>
      <c r="J10" s="65">
        <v>44763</v>
      </c>
      <c r="K10" s="65">
        <v>44781</v>
      </c>
      <c r="L10" s="65">
        <v>44808</v>
      </c>
      <c r="M10" s="66">
        <v>44860</v>
      </c>
      <c r="N10" s="65">
        <v>44886</v>
      </c>
      <c r="O10" s="66">
        <v>44907</v>
      </c>
      <c r="P10" s="116"/>
      <c r="Q10" s="116"/>
      <c r="R10" s="116"/>
    </row>
    <row r="11" spans="1:20" ht="28.5" thickBot="1" x14ac:dyDescent="0.35">
      <c r="A11" s="104">
        <f t="shared" si="0"/>
        <v>11</v>
      </c>
      <c r="B11" s="67" t="s">
        <v>36</v>
      </c>
      <c r="C11" s="106"/>
      <c r="D11" s="68">
        <v>18</v>
      </c>
      <c r="E11" s="68">
        <v>19</v>
      </c>
      <c r="F11" s="68">
        <v>18</v>
      </c>
      <c r="G11" s="68">
        <v>11</v>
      </c>
      <c r="H11" s="68">
        <v>17</v>
      </c>
      <c r="I11" s="68">
        <v>17</v>
      </c>
      <c r="J11" s="68">
        <v>15</v>
      </c>
      <c r="K11" s="68">
        <v>15</v>
      </c>
      <c r="L11" s="68">
        <v>17</v>
      </c>
      <c r="M11" s="69">
        <v>18</v>
      </c>
      <c r="N11" s="68">
        <v>18</v>
      </c>
      <c r="O11" s="69">
        <v>18</v>
      </c>
      <c r="P11" s="117"/>
      <c r="Q11" s="117"/>
      <c r="R11" s="117"/>
      <c r="T11" s="70"/>
    </row>
    <row r="12" spans="1:20" x14ac:dyDescent="0.3">
      <c r="A12" s="104">
        <f t="shared" si="0"/>
        <v>12</v>
      </c>
      <c r="B12" s="71" t="s">
        <v>37</v>
      </c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4"/>
      <c r="N12" s="73"/>
      <c r="O12" s="74"/>
      <c r="P12" s="75"/>
      <c r="Q12" s="75"/>
      <c r="R12" s="75"/>
    </row>
    <row r="13" spans="1:20" x14ac:dyDescent="0.3">
      <c r="A13" s="104">
        <f t="shared" si="0"/>
        <v>13</v>
      </c>
      <c r="B13" s="76" t="s">
        <v>38</v>
      </c>
      <c r="C13" s="77" t="s">
        <v>39</v>
      </c>
      <c r="D13" s="73"/>
      <c r="E13" s="73"/>
      <c r="F13" s="73"/>
      <c r="G13" s="73"/>
      <c r="H13" s="73"/>
      <c r="I13" s="73"/>
      <c r="J13" s="73"/>
      <c r="K13" s="73"/>
      <c r="L13" s="73"/>
      <c r="M13" s="74"/>
      <c r="N13" s="73"/>
      <c r="O13" s="74"/>
      <c r="P13" s="78"/>
      <c r="Q13" s="78"/>
      <c r="R13" s="78"/>
    </row>
    <row r="14" spans="1:20" ht="6" customHeight="1" x14ac:dyDescent="0.3">
      <c r="A14" s="104">
        <f t="shared" si="0"/>
        <v>14</v>
      </c>
      <c r="B14" s="79"/>
      <c r="C14" s="80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8"/>
      <c r="Q14" s="78"/>
      <c r="R14" s="78"/>
    </row>
    <row r="15" spans="1:20" x14ac:dyDescent="0.3">
      <c r="A15" s="104">
        <f t="shared" si="0"/>
        <v>15</v>
      </c>
      <c r="B15" s="81" t="s">
        <v>40</v>
      </c>
      <c r="C15" s="82" t="s">
        <v>41</v>
      </c>
      <c r="D15" s="83">
        <v>1103664.3853185393</v>
      </c>
      <c r="E15" s="83">
        <v>1030995.7735275023</v>
      </c>
      <c r="F15" s="83">
        <v>880465.96555138403</v>
      </c>
      <c r="G15" s="83">
        <v>607189.9542739715</v>
      </c>
      <c r="H15" s="83">
        <v>1341088.6411448999</v>
      </c>
      <c r="I15" s="83">
        <v>1409025.5431002341</v>
      </c>
      <c r="J15" s="83">
        <v>1664919.0747838479</v>
      </c>
      <c r="K15" s="83">
        <v>1719843.3543460215</v>
      </c>
      <c r="L15" s="83">
        <v>1074081.4220222724</v>
      </c>
      <c r="M15" s="83">
        <v>717334.97518716496</v>
      </c>
      <c r="N15" s="83">
        <v>823806.19980102743</v>
      </c>
      <c r="O15" s="83">
        <v>897315.18239061721</v>
      </c>
      <c r="P15" s="84">
        <f>AVERAGE(D15:O15)</f>
        <v>1105810.8726206236</v>
      </c>
      <c r="Q15" s="85">
        <v>0.94652870805132405</v>
      </c>
      <c r="R15" s="84">
        <f>P15/Q15</f>
        <v>1168280.3312930923</v>
      </c>
    </row>
    <row r="16" spans="1:20" x14ac:dyDescent="0.3">
      <c r="A16" s="104">
        <f t="shared" si="0"/>
        <v>16</v>
      </c>
      <c r="B16" s="81" t="s">
        <v>40</v>
      </c>
      <c r="C16" s="82" t="s">
        <v>42</v>
      </c>
      <c r="D16" s="83">
        <v>213808.05483587511</v>
      </c>
      <c r="E16" s="83">
        <v>198904.92710072611</v>
      </c>
      <c r="F16" s="83">
        <v>144186.77713326691</v>
      </c>
      <c r="G16" s="83">
        <v>80998.008863472773</v>
      </c>
      <c r="H16" s="83">
        <v>90826.873134439636</v>
      </c>
      <c r="I16" s="83">
        <v>100081.53440918576</v>
      </c>
      <c r="J16" s="83">
        <v>104232.60645388733</v>
      </c>
      <c r="K16" s="83">
        <v>117007.93463786595</v>
      </c>
      <c r="L16" s="83">
        <v>77012.903687158207</v>
      </c>
      <c r="M16" s="83">
        <v>59063.166589245026</v>
      </c>
      <c r="N16" s="83">
        <v>134371.78945219237</v>
      </c>
      <c r="O16" s="83">
        <v>148193.24005281113</v>
      </c>
      <c r="P16" s="84">
        <f t="shared" ref="P16:P33" si="1">AVERAGE(D16:O16)</f>
        <v>122390.65136251051</v>
      </c>
      <c r="Q16" s="85">
        <v>0.94652870805132361</v>
      </c>
      <c r="R16" s="84">
        <f t="shared" ref="R16:R33" si="2">P16/Q16</f>
        <v>129304.74302727026</v>
      </c>
    </row>
    <row r="17" spans="1:18" x14ac:dyDescent="0.3">
      <c r="A17" s="104">
        <f t="shared" si="0"/>
        <v>17</v>
      </c>
      <c r="B17" s="81" t="s">
        <v>43</v>
      </c>
      <c r="C17" s="82" t="s">
        <v>44</v>
      </c>
      <c r="D17" s="83">
        <v>456133.98643239599</v>
      </c>
      <c r="E17" s="83">
        <v>418862.05675661814</v>
      </c>
      <c r="F17" s="83">
        <v>403478.98638818687</v>
      </c>
      <c r="G17" s="83">
        <v>355485.67995132244</v>
      </c>
      <c r="H17" s="83">
        <v>365417.45648361259</v>
      </c>
      <c r="I17" s="83">
        <v>384541.75852126232</v>
      </c>
      <c r="J17" s="83">
        <v>585595.32557593635</v>
      </c>
      <c r="K17" s="83">
        <v>574857.35256785539</v>
      </c>
      <c r="L17" s="83">
        <v>360175.66576445522</v>
      </c>
      <c r="M17" s="83">
        <v>319261.8642949991</v>
      </c>
      <c r="N17" s="83">
        <v>368487.7725064102</v>
      </c>
      <c r="O17" s="83">
        <v>383934.76585323439</v>
      </c>
      <c r="P17" s="84">
        <f t="shared" si="1"/>
        <v>414686.05592469074</v>
      </c>
      <c r="Q17" s="86">
        <v>0.94668616579745124</v>
      </c>
      <c r="R17" s="84">
        <f t="shared" si="2"/>
        <v>438039.62802749471</v>
      </c>
    </row>
    <row r="18" spans="1:18" x14ac:dyDescent="0.3">
      <c r="A18" s="104">
        <f t="shared" si="0"/>
        <v>18</v>
      </c>
      <c r="B18" s="81" t="s">
        <v>43</v>
      </c>
      <c r="C18" s="82" t="s">
        <v>50</v>
      </c>
      <c r="D18" s="83">
        <v>569691.65685796784</v>
      </c>
      <c r="E18" s="83">
        <v>538694.31772988674</v>
      </c>
      <c r="F18" s="83">
        <v>522293.86601355002</v>
      </c>
      <c r="G18" s="83">
        <v>492278.37465120712</v>
      </c>
      <c r="H18" s="83">
        <v>530735.65999988245</v>
      </c>
      <c r="I18" s="83">
        <v>555337.61258832493</v>
      </c>
      <c r="J18" s="83">
        <v>802783.91835806309</v>
      </c>
      <c r="K18" s="83">
        <v>811543.42175023258</v>
      </c>
      <c r="L18" s="83">
        <v>523850.84517323889</v>
      </c>
      <c r="M18" s="83">
        <v>446905.81045364629</v>
      </c>
      <c r="N18" s="83">
        <v>491072.6590751076</v>
      </c>
      <c r="O18" s="83">
        <v>508668.06992011581</v>
      </c>
      <c r="P18" s="84">
        <f t="shared" si="1"/>
        <v>566154.68438093527</v>
      </c>
      <c r="Q18" s="86">
        <v>0.94706281919366397</v>
      </c>
      <c r="R18" s="84">
        <f t="shared" si="2"/>
        <v>597800.56075157016</v>
      </c>
    </row>
    <row r="19" spans="1:18" x14ac:dyDescent="0.3">
      <c r="A19" s="104">
        <f t="shared" si="0"/>
        <v>19</v>
      </c>
      <c r="B19" s="81" t="s">
        <v>43</v>
      </c>
      <c r="C19" s="82" t="s">
        <v>46</v>
      </c>
      <c r="D19" s="83">
        <v>330180.28607481089</v>
      </c>
      <c r="E19" s="83">
        <v>318762.7248885</v>
      </c>
      <c r="F19" s="83">
        <v>319833.40382141655</v>
      </c>
      <c r="G19" s="83">
        <v>321248.48465850018</v>
      </c>
      <c r="H19" s="83">
        <v>375294.38783193642</v>
      </c>
      <c r="I19" s="83">
        <v>357495.3189966752</v>
      </c>
      <c r="J19" s="83">
        <v>479954.01919276634</v>
      </c>
      <c r="K19" s="83">
        <v>477970.95720482862</v>
      </c>
      <c r="L19" s="83">
        <v>358553.74379861983</v>
      </c>
      <c r="M19" s="83">
        <v>341209.51050211291</v>
      </c>
      <c r="N19" s="83">
        <v>321367.18812760123</v>
      </c>
      <c r="O19" s="83">
        <v>324371.06799839501</v>
      </c>
      <c r="P19" s="84">
        <f t="shared" si="1"/>
        <v>360520.09109134693</v>
      </c>
      <c r="Q19" s="86">
        <v>0.98383915036089631</v>
      </c>
      <c r="R19" s="84">
        <f t="shared" si="2"/>
        <v>366442.106882105</v>
      </c>
    </row>
    <row r="20" spans="1:18" x14ac:dyDescent="0.3">
      <c r="A20" s="104">
        <f t="shared" si="0"/>
        <v>20</v>
      </c>
      <c r="B20" s="81" t="s">
        <v>43</v>
      </c>
      <c r="C20" s="82" t="s">
        <v>47</v>
      </c>
      <c r="D20" s="83">
        <v>11039.982253561042</v>
      </c>
      <c r="E20" s="83">
        <v>12589.014112210403</v>
      </c>
      <c r="F20" s="83">
        <v>11547.978844619262</v>
      </c>
      <c r="G20" s="83">
        <v>12270.621882603491</v>
      </c>
      <c r="H20" s="83">
        <v>11458.542825066759</v>
      </c>
      <c r="I20" s="83">
        <v>10088.383005522404</v>
      </c>
      <c r="J20" s="83">
        <v>5727.4826921423301</v>
      </c>
      <c r="K20" s="83">
        <v>8310.3949368186313</v>
      </c>
      <c r="L20" s="83">
        <v>13783.879333431853</v>
      </c>
      <c r="M20" s="83">
        <v>13000.419802151921</v>
      </c>
      <c r="N20" s="83">
        <v>11444.233061938359</v>
      </c>
      <c r="O20" s="83">
        <v>11204.54452953765</v>
      </c>
      <c r="P20" s="84">
        <f t="shared" si="1"/>
        <v>11038.789773300343</v>
      </c>
      <c r="Q20" s="86">
        <v>0.94652870805132361</v>
      </c>
      <c r="R20" s="84">
        <f t="shared" si="2"/>
        <v>11662.39299389722</v>
      </c>
    </row>
    <row r="21" spans="1:18" x14ac:dyDescent="0.3">
      <c r="A21" s="104">
        <f t="shared" si="0"/>
        <v>21</v>
      </c>
      <c r="B21" s="81" t="s">
        <v>48</v>
      </c>
      <c r="C21" s="82" t="s">
        <v>69</v>
      </c>
      <c r="D21" s="83">
        <v>40241.009010759721</v>
      </c>
      <c r="E21" s="83">
        <v>36892.360368474954</v>
      </c>
      <c r="F21" s="83">
        <v>34774.216237923909</v>
      </c>
      <c r="G21" s="83">
        <v>30763.987518894686</v>
      </c>
      <c r="H21" s="83">
        <v>33298.214763149721</v>
      </c>
      <c r="I21" s="83">
        <v>33876.209257687464</v>
      </c>
      <c r="J21" s="83">
        <v>47259.367510109783</v>
      </c>
      <c r="K21" s="83">
        <v>47551.333439303424</v>
      </c>
      <c r="L21" s="83">
        <v>32133.605393755137</v>
      </c>
      <c r="M21" s="83">
        <v>27338.913181787691</v>
      </c>
      <c r="N21" s="83">
        <v>35072.630433743165</v>
      </c>
      <c r="O21" s="83">
        <v>36961.848640976576</v>
      </c>
      <c r="P21" s="84">
        <v>36346.97464638052</v>
      </c>
      <c r="Q21" s="86">
        <v>0.94652870805132361</v>
      </c>
      <c r="R21" s="84">
        <f t="shared" si="2"/>
        <v>38400.287637561734</v>
      </c>
    </row>
    <row r="22" spans="1:18" x14ac:dyDescent="0.3">
      <c r="A22" s="104">
        <f t="shared" si="0"/>
        <v>22</v>
      </c>
      <c r="B22" s="81" t="s">
        <v>48</v>
      </c>
      <c r="C22" s="82" t="s">
        <v>50</v>
      </c>
      <c r="D22" s="83">
        <v>73612.052523810999</v>
      </c>
      <c r="E22" s="83">
        <v>69173.606319852595</v>
      </c>
      <c r="F22" s="83">
        <v>69542.185451402111</v>
      </c>
      <c r="G22" s="83">
        <v>67031.092527912362</v>
      </c>
      <c r="H22" s="83">
        <v>90131.816481139162</v>
      </c>
      <c r="I22" s="83">
        <v>85689.841550471945</v>
      </c>
      <c r="J22" s="83">
        <v>123214.56077625859</v>
      </c>
      <c r="K22" s="83">
        <v>121445.32750585886</v>
      </c>
      <c r="L22" s="83">
        <v>83862.719432616228</v>
      </c>
      <c r="M22" s="83">
        <v>72786.677688591255</v>
      </c>
      <c r="N22" s="83">
        <v>64790.962736222064</v>
      </c>
      <c r="O22" s="83">
        <v>66840.57971279831</v>
      </c>
      <c r="P22" s="84">
        <f t="shared" si="1"/>
        <v>82343.451892244542</v>
      </c>
      <c r="Q22" s="86">
        <v>0.9466919664029263</v>
      </c>
      <c r="R22" s="84">
        <f t="shared" si="2"/>
        <v>86980.195052376657</v>
      </c>
    </row>
    <row r="23" spans="1:18" x14ac:dyDescent="0.3">
      <c r="A23" s="104">
        <f t="shared" si="0"/>
        <v>23</v>
      </c>
      <c r="B23" s="81" t="s">
        <v>48</v>
      </c>
      <c r="C23" s="82" t="s">
        <v>46</v>
      </c>
      <c r="D23" s="83">
        <v>54638.48</v>
      </c>
      <c r="E23" s="83">
        <v>56269.21</v>
      </c>
      <c r="F23" s="83">
        <v>56872.85</v>
      </c>
      <c r="G23" s="83">
        <v>54715.47</v>
      </c>
      <c r="H23" s="83">
        <v>74156.740000000005</v>
      </c>
      <c r="I23" s="83">
        <v>72992.490000000005</v>
      </c>
      <c r="J23" s="83">
        <v>98889.75</v>
      </c>
      <c r="K23" s="83">
        <v>95511.67</v>
      </c>
      <c r="L23" s="83">
        <v>69512.600000000006</v>
      </c>
      <c r="M23" s="83">
        <v>59918.26</v>
      </c>
      <c r="N23" s="83">
        <v>53746.82</v>
      </c>
      <c r="O23" s="83">
        <v>53766.06</v>
      </c>
      <c r="P23" s="84">
        <f t="shared" si="1"/>
        <v>66749.2</v>
      </c>
      <c r="Q23" s="86">
        <v>0.98383915036089642</v>
      </c>
      <c r="R23" s="84">
        <f t="shared" si="2"/>
        <v>67845.643239054625</v>
      </c>
    </row>
    <row r="24" spans="1:18" x14ac:dyDescent="0.3">
      <c r="A24" s="104">
        <f t="shared" si="0"/>
        <v>24</v>
      </c>
      <c r="B24" s="81" t="s">
        <v>48</v>
      </c>
      <c r="C24" s="82" t="s">
        <v>70</v>
      </c>
      <c r="D24" s="83">
        <v>0</v>
      </c>
      <c r="E24" s="83">
        <v>0</v>
      </c>
      <c r="F24" s="83">
        <v>0</v>
      </c>
      <c r="G24" s="83">
        <v>0</v>
      </c>
      <c r="H24" s="83">
        <v>0</v>
      </c>
      <c r="I24" s="83">
        <f>1.04*1000</f>
        <v>1040</v>
      </c>
      <c r="J24" s="83">
        <v>0</v>
      </c>
      <c r="K24" s="83">
        <f>0.02*1000</f>
        <v>20</v>
      </c>
      <c r="L24" s="83">
        <v>0</v>
      </c>
      <c r="M24" s="83">
        <v>0</v>
      </c>
      <c r="N24" s="83">
        <v>0</v>
      </c>
      <c r="O24" s="83">
        <v>0</v>
      </c>
      <c r="P24" s="84">
        <f t="shared" si="1"/>
        <v>88.333333333333329</v>
      </c>
      <c r="Q24" s="86">
        <v>0.98383915036089642</v>
      </c>
      <c r="R24" s="84">
        <f t="shared" si="2"/>
        <v>89.784324298266128</v>
      </c>
    </row>
    <row r="25" spans="1:18" x14ac:dyDescent="0.3">
      <c r="A25" s="104">
        <f t="shared" si="0"/>
        <v>25</v>
      </c>
      <c r="B25" s="81" t="s">
        <v>48</v>
      </c>
      <c r="C25" s="82" t="s">
        <v>71</v>
      </c>
      <c r="D25" s="83">
        <v>47.52</v>
      </c>
      <c r="E25" s="83">
        <v>49.68</v>
      </c>
      <c r="F25" s="83">
        <v>48.24</v>
      </c>
      <c r="G25" s="83">
        <v>46.8</v>
      </c>
      <c r="H25" s="83">
        <v>46.8</v>
      </c>
      <c r="I25" s="83">
        <v>47.52</v>
      </c>
      <c r="J25" s="83">
        <v>46.8</v>
      </c>
      <c r="K25" s="83">
        <v>49.68</v>
      </c>
      <c r="L25" s="83">
        <v>46.8</v>
      </c>
      <c r="M25" s="83">
        <v>46.8</v>
      </c>
      <c r="N25" s="83">
        <v>46.8</v>
      </c>
      <c r="O25" s="83">
        <v>47.52</v>
      </c>
      <c r="P25" s="84">
        <f t="shared" si="1"/>
        <v>47.580000000000005</v>
      </c>
      <c r="Q25" s="86">
        <v>0.98383915036089642</v>
      </c>
      <c r="R25" s="84">
        <f t="shared" si="2"/>
        <v>48.36156396352645</v>
      </c>
    </row>
    <row r="26" spans="1:18" x14ac:dyDescent="0.3">
      <c r="A26" s="104">
        <f t="shared" si="0"/>
        <v>26</v>
      </c>
      <c r="B26" s="81" t="s">
        <v>48</v>
      </c>
      <c r="C26" s="82" t="s">
        <v>53</v>
      </c>
      <c r="D26" s="83">
        <v>1213.0868098503172</v>
      </c>
      <c r="E26" s="83">
        <v>991.19519385706189</v>
      </c>
      <c r="F26" s="83">
        <v>943.34899933912743</v>
      </c>
      <c r="G26" s="83">
        <v>612.27158522933235</v>
      </c>
      <c r="H26" s="83">
        <v>528.3760574712843</v>
      </c>
      <c r="I26" s="83">
        <v>458.28701710945353</v>
      </c>
      <c r="J26" s="83">
        <v>732.05003540195457</v>
      </c>
      <c r="K26" s="83">
        <v>765.66948338918166</v>
      </c>
      <c r="L26" s="83">
        <v>462.13296462520032</v>
      </c>
      <c r="M26" s="83">
        <v>422.56533509878852</v>
      </c>
      <c r="N26" s="83">
        <v>937.30303947327138</v>
      </c>
      <c r="O26" s="83">
        <v>1112.3425406030858</v>
      </c>
      <c r="P26" s="84">
        <f t="shared" si="1"/>
        <v>764.88575512067155</v>
      </c>
      <c r="Q26" s="86">
        <v>0.9465287080513235</v>
      </c>
      <c r="R26" s="84">
        <f t="shared" si="2"/>
        <v>808.09567487434015</v>
      </c>
    </row>
    <row r="27" spans="1:18" x14ac:dyDescent="0.3">
      <c r="A27" s="104">
        <f t="shared" si="0"/>
        <v>27</v>
      </c>
      <c r="B27" s="81" t="s">
        <v>54</v>
      </c>
      <c r="C27" s="82" t="s">
        <v>55</v>
      </c>
      <c r="D27" s="83">
        <v>141748.25821146209</v>
      </c>
      <c r="E27" s="83">
        <v>128614.1584525603</v>
      </c>
      <c r="F27" s="83">
        <v>119008.342945625</v>
      </c>
      <c r="G27" s="83">
        <v>116157.57918667914</v>
      </c>
      <c r="H27" s="83">
        <v>122636.02308057772</v>
      </c>
      <c r="I27" s="83">
        <v>162823.08083584424</v>
      </c>
      <c r="J27" s="83">
        <v>227130.01475793394</v>
      </c>
      <c r="K27" s="83">
        <v>248044.87619549475</v>
      </c>
      <c r="L27" s="83">
        <v>150243.28448450615</v>
      </c>
      <c r="M27" s="83">
        <v>103468.17845413028</v>
      </c>
      <c r="N27" s="83">
        <v>113492.02480112197</v>
      </c>
      <c r="O27" s="83">
        <v>128059.49884558625</v>
      </c>
      <c r="P27" s="84">
        <v>146785.4433542935</v>
      </c>
      <c r="Q27" s="86">
        <v>0.94664216730151307</v>
      </c>
      <c r="R27" s="84">
        <f t="shared" si="2"/>
        <v>155059.05866492123</v>
      </c>
    </row>
    <row r="28" spans="1:18" x14ac:dyDescent="0.3">
      <c r="A28" s="104">
        <f t="shared" si="0"/>
        <v>28</v>
      </c>
      <c r="B28" s="81" t="s">
        <v>54</v>
      </c>
      <c r="C28" s="82" t="s">
        <v>50</v>
      </c>
      <c r="D28" s="83">
        <v>53860.518882540026</v>
      </c>
      <c r="E28" s="83">
        <v>50793.149757600127</v>
      </c>
      <c r="F28" s="83">
        <v>49810.916356016591</v>
      </c>
      <c r="G28" s="83">
        <v>54974.361929845203</v>
      </c>
      <c r="H28" s="83">
        <v>49686.581641801335</v>
      </c>
      <c r="I28" s="83">
        <v>56138.568142577788</v>
      </c>
      <c r="J28" s="83">
        <v>77074.154888772493</v>
      </c>
      <c r="K28" s="83">
        <v>78786.597429786372</v>
      </c>
      <c r="L28" s="83">
        <v>55302.751869888765</v>
      </c>
      <c r="M28" s="83">
        <v>52446.530363630467</v>
      </c>
      <c r="N28" s="83">
        <v>49599.183000285382</v>
      </c>
      <c r="O28" s="83">
        <v>51185.450596180155</v>
      </c>
      <c r="P28" s="84">
        <f t="shared" si="1"/>
        <v>56638.230404910399</v>
      </c>
      <c r="Q28" s="86">
        <v>0.9488439778078902</v>
      </c>
      <c r="R28" s="84">
        <f t="shared" si="2"/>
        <v>59691.826822531388</v>
      </c>
    </row>
    <row r="29" spans="1:18" x14ac:dyDescent="0.3">
      <c r="A29" s="104">
        <f t="shared" si="0"/>
        <v>29</v>
      </c>
      <c r="B29" s="81" t="s">
        <v>54</v>
      </c>
      <c r="C29" s="82" t="s">
        <v>46</v>
      </c>
      <c r="D29" s="83">
        <v>45749.290994664552</v>
      </c>
      <c r="E29" s="83">
        <v>45691.146634793324</v>
      </c>
      <c r="F29" s="83">
        <v>46491.598511443393</v>
      </c>
      <c r="G29" s="83">
        <v>52585.778646987732</v>
      </c>
      <c r="H29" s="83">
        <v>45016.286441185235</v>
      </c>
      <c r="I29" s="83">
        <v>46660.247123068926</v>
      </c>
      <c r="J29" s="83">
        <v>65695.113322236153</v>
      </c>
      <c r="K29" s="83">
        <v>63948.24209627181</v>
      </c>
      <c r="L29" s="83">
        <v>47965.604347121895</v>
      </c>
      <c r="M29" s="83">
        <v>53209.296663047651</v>
      </c>
      <c r="N29" s="83">
        <v>46914.640050051312</v>
      </c>
      <c r="O29" s="83">
        <v>49194.048152817762</v>
      </c>
      <c r="P29" s="84">
        <f t="shared" si="1"/>
        <v>50760.107748640818</v>
      </c>
      <c r="Q29" s="86">
        <v>0.96553153148044291</v>
      </c>
      <c r="R29" s="84">
        <f t="shared" si="2"/>
        <v>52572.190646959702</v>
      </c>
    </row>
    <row r="30" spans="1:18" x14ac:dyDescent="0.3">
      <c r="A30" s="104">
        <f t="shared" si="0"/>
        <v>30</v>
      </c>
      <c r="B30" s="81" t="s">
        <v>54</v>
      </c>
      <c r="C30" s="82" t="s">
        <v>52</v>
      </c>
      <c r="D30" s="83">
        <v>230.42670905029422</v>
      </c>
      <c r="E30" s="83">
        <v>246.13493678155461</v>
      </c>
      <c r="F30" s="83">
        <v>230.83352196564013</v>
      </c>
      <c r="G30" s="83">
        <v>539.46017174323674</v>
      </c>
      <c r="H30" s="83">
        <v>149.94336679814688</v>
      </c>
      <c r="I30" s="83">
        <v>160.80920853706391</v>
      </c>
      <c r="J30" s="83">
        <v>320.01741140728251</v>
      </c>
      <c r="K30" s="83">
        <v>481.53526179688447</v>
      </c>
      <c r="L30" s="83">
        <v>165.55973354852276</v>
      </c>
      <c r="M30" s="83">
        <v>178.66960782047698</v>
      </c>
      <c r="N30" s="83">
        <v>209.04934649872919</v>
      </c>
      <c r="O30" s="83">
        <v>228.01207755275706</v>
      </c>
      <c r="P30" s="84">
        <f t="shared" si="1"/>
        <v>261.70427945838247</v>
      </c>
      <c r="Q30" s="86">
        <v>0.94863213261161594</v>
      </c>
      <c r="R30" s="84">
        <f t="shared" si="2"/>
        <v>275.87541098560706</v>
      </c>
    </row>
    <row r="31" spans="1:18" x14ac:dyDescent="0.3">
      <c r="A31" s="104">
        <f t="shared" si="0"/>
        <v>31</v>
      </c>
      <c r="B31" s="81" t="s">
        <v>54</v>
      </c>
      <c r="C31" s="82" t="s">
        <v>56</v>
      </c>
      <c r="D31" s="83">
        <v>1318.3046273878488</v>
      </c>
      <c r="E31" s="83">
        <v>1215.5010555273286</v>
      </c>
      <c r="F31" s="83">
        <v>1309.9056427587213</v>
      </c>
      <c r="G31" s="83">
        <v>641.01050689500903</v>
      </c>
      <c r="H31" s="83">
        <v>279.35022876477984</v>
      </c>
      <c r="I31" s="83">
        <v>332.59979131344812</v>
      </c>
      <c r="J31" s="83">
        <v>419.61327207120877</v>
      </c>
      <c r="K31" s="83">
        <v>366.53168921512315</v>
      </c>
      <c r="L31" s="83">
        <v>296.31617771561741</v>
      </c>
      <c r="M31" s="83">
        <v>467.99142353498297</v>
      </c>
      <c r="N31" s="83">
        <v>930.10355782957686</v>
      </c>
      <c r="O31" s="83">
        <v>886.59681745069645</v>
      </c>
      <c r="P31" s="84">
        <f t="shared" si="1"/>
        <v>705.31873253869514</v>
      </c>
      <c r="Q31" s="86">
        <v>0.94652870805132361</v>
      </c>
      <c r="R31" s="84">
        <f t="shared" si="2"/>
        <v>745.16359254520432</v>
      </c>
    </row>
    <row r="32" spans="1:18" x14ac:dyDescent="0.3">
      <c r="A32" s="104">
        <f t="shared" si="0"/>
        <v>32</v>
      </c>
      <c r="B32" s="81" t="s">
        <v>54</v>
      </c>
      <c r="C32" s="82" t="s">
        <v>57</v>
      </c>
      <c r="D32" s="83">
        <v>7946.9585459605396</v>
      </c>
      <c r="E32" s="83">
        <v>7312.6006148360048</v>
      </c>
      <c r="F32" s="83">
        <v>7072.9333121260825</v>
      </c>
      <c r="G32" s="83">
        <v>6887.8693844827849</v>
      </c>
      <c r="H32" s="83">
        <v>8064.2376959620751</v>
      </c>
      <c r="I32" s="83">
        <v>8382.7010656829752</v>
      </c>
      <c r="J32" s="83">
        <v>9741.9140711603268</v>
      </c>
      <c r="K32" s="83">
        <v>10006.56166395157</v>
      </c>
      <c r="L32" s="83">
        <v>8191.3642769546623</v>
      </c>
      <c r="M32" s="83">
        <v>8918.8520849059259</v>
      </c>
      <c r="N32" s="83">
        <v>7288.4133017172371</v>
      </c>
      <c r="O32" s="83">
        <v>7335.3469639413424</v>
      </c>
      <c r="P32" s="84">
        <f t="shared" si="1"/>
        <v>8095.8127484734605</v>
      </c>
      <c r="Q32" s="86">
        <v>0.94652870805132361</v>
      </c>
      <c r="R32" s="84">
        <f t="shared" si="2"/>
        <v>8553.1613353184021</v>
      </c>
    </row>
    <row r="33" spans="1:21" x14ac:dyDescent="0.3">
      <c r="A33" s="104">
        <f t="shared" si="0"/>
        <v>33</v>
      </c>
      <c r="B33" s="81" t="s">
        <v>40</v>
      </c>
      <c r="C33" s="82" t="s">
        <v>59</v>
      </c>
      <c r="D33" s="83">
        <v>18251.905897619046</v>
      </c>
      <c r="E33" s="83">
        <v>19212.532523809525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19212.532523809525</v>
      </c>
      <c r="O33" s="83">
        <v>19212.532523809525</v>
      </c>
      <c r="P33" s="84">
        <f t="shared" si="1"/>
        <v>6324.1252890873011</v>
      </c>
      <c r="Q33" s="88">
        <f>Q16</f>
        <v>0.94652870805132361</v>
      </c>
      <c r="R33" s="84">
        <f t="shared" si="2"/>
        <v>6681.3877226261457</v>
      </c>
      <c r="U33" s="86"/>
    </row>
    <row r="34" spans="1:21" x14ac:dyDescent="0.3">
      <c r="A34" s="104">
        <f t="shared" si="0"/>
        <v>34</v>
      </c>
      <c r="B34" s="81"/>
      <c r="C34" s="82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89"/>
      <c r="O34" s="90"/>
      <c r="P34" s="84"/>
      <c r="Q34" s="78"/>
      <c r="R34" s="91"/>
    </row>
    <row r="35" spans="1:21" ht="14.5" thickBot="1" x14ac:dyDescent="0.35">
      <c r="A35" s="104">
        <f t="shared" si="0"/>
        <v>35</v>
      </c>
      <c r="B35" s="92" t="s">
        <v>60</v>
      </c>
      <c r="C35" s="93" t="s">
        <v>61</v>
      </c>
      <c r="D35" s="94">
        <f t="shared" ref="D35:P35" si="3">SUM(D15:D33)</f>
        <v>3123376.1639862563</v>
      </c>
      <c r="E35" s="94">
        <f t="shared" si="3"/>
        <v>2935270.0899735363</v>
      </c>
      <c r="F35" s="94">
        <f t="shared" si="3"/>
        <v>2667912.3487310247</v>
      </c>
      <c r="G35" s="94">
        <f t="shared" si="3"/>
        <v>2254426.8057397474</v>
      </c>
      <c r="H35" s="94">
        <f t="shared" si="3"/>
        <v>3138815.9311766867</v>
      </c>
      <c r="I35" s="94">
        <f t="shared" si="3"/>
        <v>3285172.5046134982</v>
      </c>
      <c r="J35" s="94">
        <f t="shared" si="3"/>
        <v>4293735.7831019955</v>
      </c>
      <c r="K35" s="94">
        <f t="shared" si="3"/>
        <v>4376511.4402086912</v>
      </c>
      <c r="L35" s="94">
        <f t="shared" si="3"/>
        <v>2855641.1984599079</v>
      </c>
      <c r="M35" s="94">
        <f t="shared" si="3"/>
        <v>2275978.4816318676</v>
      </c>
      <c r="N35" s="94">
        <f t="shared" si="3"/>
        <v>2542790.3048150293</v>
      </c>
      <c r="O35" s="94">
        <f t="shared" si="3"/>
        <v>2688516.7076164274</v>
      </c>
      <c r="P35" s="96">
        <f t="shared" si="3"/>
        <v>3036512.3133378895</v>
      </c>
      <c r="Q35" s="97"/>
      <c r="R35" s="96">
        <f>SUM(R15:R33)</f>
        <v>3189280.7946634465</v>
      </c>
    </row>
    <row r="36" spans="1:21" x14ac:dyDescent="0.3">
      <c r="A36" s="104">
        <f t="shared" si="0"/>
        <v>36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1:21" x14ac:dyDescent="0.3">
      <c r="A37" s="104">
        <f t="shared" si="0"/>
        <v>37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</row>
    <row r="38" spans="1:21" ht="14.5" thickBot="1" x14ac:dyDescent="0.35">
      <c r="A38" s="104">
        <f t="shared" si="0"/>
        <v>38</v>
      </c>
      <c r="B38" s="100" t="s">
        <v>62</v>
      </c>
      <c r="O38" s="98"/>
    </row>
    <row r="39" spans="1:21" ht="14.25" customHeight="1" x14ac:dyDescent="0.3">
      <c r="A39" s="104">
        <f t="shared" si="0"/>
        <v>39</v>
      </c>
      <c r="B39" s="59" t="s">
        <v>19</v>
      </c>
      <c r="C39" s="60"/>
      <c r="D39" s="61" t="s">
        <v>20</v>
      </c>
      <c r="E39" s="61" t="s">
        <v>21</v>
      </c>
      <c r="F39" s="61" t="s">
        <v>22</v>
      </c>
      <c r="G39" s="61" t="s">
        <v>23</v>
      </c>
      <c r="H39" s="61" t="s">
        <v>24</v>
      </c>
      <c r="I39" s="61" t="s">
        <v>25</v>
      </c>
      <c r="J39" s="61" t="s">
        <v>26</v>
      </c>
      <c r="K39" s="61" t="s">
        <v>27</v>
      </c>
      <c r="L39" s="61" t="s">
        <v>28</v>
      </c>
      <c r="M39" s="62" t="s">
        <v>29</v>
      </c>
      <c r="N39" s="61" t="s">
        <v>30</v>
      </c>
      <c r="O39" s="62" t="s">
        <v>31</v>
      </c>
      <c r="P39" s="115" t="s">
        <v>32</v>
      </c>
      <c r="Q39" s="115" t="s">
        <v>33</v>
      </c>
      <c r="R39" s="115" t="s">
        <v>34</v>
      </c>
    </row>
    <row r="40" spans="1:21" x14ac:dyDescent="0.3">
      <c r="A40" s="104">
        <f t="shared" si="0"/>
        <v>40</v>
      </c>
      <c r="B40" s="63" t="s">
        <v>35</v>
      </c>
      <c r="C40" s="106"/>
      <c r="D40" s="65">
        <v>44572</v>
      </c>
      <c r="E40" s="65">
        <v>44606</v>
      </c>
      <c r="F40" s="65">
        <v>44629</v>
      </c>
      <c r="G40" s="65">
        <v>44658</v>
      </c>
      <c r="H40" s="65">
        <v>44712</v>
      </c>
      <c r="I40" s="65">
        <v>44738</v>
      </c>
      <c r="J40" s="65">
        <v>44762</v>
      </c>
      <c r="K40" s="65">
        <v>44782</v>
      </c>
      <c r="L40" s="65">
        <v>44817</v>
      </c>
      <c r="M40" s="66">
        <v>44860</v>
      </c>
      <c r="N40" s="65">
        <v>44886</v>
      </c>
      <c r="O40" s="66">
        <v>44907</v>
      </c>
      <c r="P40" s="116"/>
      <c r="Q40" s="116"/>
      <c r="R40" s="116"/>
    </row>
    <row r="41" spans="1:21" ht="28.5" thickBot="1" x14ac:dyDescent="0.35">
      <c r="A41" s="104">
        <f t="shared" si="0"/>
        <v>41</v>
      </c>
      <c r="B41" s="67" t="s">
        <v>36</v>
      </c>
      <c r="C41" s="106"/>
      <c r="D41" s="68">
        <v>18</v>
      </c>
      <c r="E41" s="68">
        <v>19</v>
      </c>
      <c r="F41" s="68">
        <v>19</v>
      </c>
      <c r="G41" s="68">
        <v>19</v>
      </c>
      <c r="H41" s="68">
        <v>17</v>
      </c>
      <c r="I41" s="68">
        <v>17</v>
      </c>
      <c r="J41" s="68">
        <v>17</v>
      </c>
      <c r="K41" s="68">
        <v>14</v>
      </c>
      <c r="L41" s="68">
        <v>17</v>
      </c>
      <c r="M41" s="69">
        <v>18</v>
      </c>
      <c r="N41" s="68">
        <v>18</v>
      </c>
      <c r="O41" s="69">
        <v>18</v>
      </c>
      <c r="P41" s="117"/>
      <c r="Q41" s="117"/>
      <c r="R41" s="117"/>
    </row>
    <row r="42" spans="1:21" x14ac:dyDescent="0.3">
      <c r="A42" s="104">
        <f t="shared" si="0"/>
        <v>42</v>
      </c>
      <c r="B42" s="71" t="s">
        <v>37</v>
      </c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4"/>
      <c r="N42" s="73"/>
      <c r="O42" s="74"/>
      <c r="P42" s="75"/>
      <c r="Q42" s="75"/>
      <c r="R42" s="75"/>
    </row>
    <row r="43" spans="1:21" x14ac:dyDescent="0.3">
      <c r="A43" s="104">
        <f t="shared" si="0"/>
        <v>43</v>
      </c>
      <c r="B43" s="76" t="s">
        <v>38</v>
      </c>
      <c r="C43" s="77" t="s">
        <v>39</v>
      </c>
      <c r="D43" s="73"/>
      <c r="E43" s="73"/>
      <c r="F43" s="73"/>
      <c r="G43" s="73"/>
      <c r="H43" s="73"/>
      <c r="I43" s="73"/>
      <c r="J43" s="73"/>
      <c r="K43" s="73"/>
      <c r="L43" s="73"/>
      <c r="M43" s="74"/>
      <c r="N43" s="73"/>
      <c r="O43" s="74"/>
      <c r="P43" s="78"/>
      <c r="Q43" s="78"/>
      <c r="R43" s="78"/>
    </row>
    <row r="44" spans="1:21" x14ac:dyDescent="0.3">
      <c r="A44" s="104">
        <f t="shared" si="0"/>
        <v>44</v>
      </c>
      <c r="B44" s="79"/>
      <c r="C44" s="80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8"/>
      <c r="Q44" s="78"/>
      <c r="R44" s="78"/>
    </row>
    <row r="45" spans="1:21" x14ac:dyDescent="0.3">
      <c r="A45" s="104">
        <f t="shared" si="0"/>
        <v>45</v>
      </c>
      <c r="B45" s="81" t="s">
        <v>63</v>
      </c>
      <c r="C45" s="82" t="s">
        <v>41</v>
      </c>
      <c r="D45" s="83">
        <v>200379.902181696</v>
      </c>
      <c r="E45" s="83">
        <v>184532.7399578662</v>
      </c>
      <c r="F45" s="83">
        <v>176948.70955558302</v>
      </c>
      <c r="G45" s="83">
        <v>146031.81958648848</v>
      </c>
      <c r="H45" s="83">
        <v>248418.69914433232</v>
      </c>
      <c r="I45" s="83">
        <v>265866.40372124035</v>
      </c>
      <c r="J45" s="83">
        <v>300178.18391128886</v>
      </c>
      <c r="K45" s="83">
        <v>280462.12306168635</v>
      </c>
      <c r="L45" s="83">
        <v>192927.79013638481</v>
      </c>
      <c r="M45" s="83">
        <v>139446.73912710918</v>
      </c>
      <c r="N45" s="83">
        <v>173028.74963461555</v>
      </c>
      <c r="O45" s="83">
        <v>185096.61128002329</v>
      </c>
      <c r="P45" s="84">
        <f t="shared" ref="P45:P53" si="4">AVERAGE(D45:O45)</f>
        <v>207776.5392748595</v>
      </c>
      <c r="Q45" s="85">
        <v>0.94652870805132361</v>
      </c>
      <c r="R45" s="84">
        <f t="shared" ref="R45:R53" si="5">P45/Q45</f>
        <v>219514.24981353365</v>
      </c>
    </row>
    <row r="46" spans="1:21" x14ac:dyDescent="0.3">
      <c r="A46" s="104">
        <f t="shared" si="0"/>
        <v>46</v>
      </c>
      <c r="B46" s="81" t="s">
        <v>63</v>
      </c>
      <c r="C46" s="82" t="s">
        <v>42</v>
      </c>
      <c r="D46" s="83">
        <v>63599.467966112607</v>
      </c>
      <c r="E46" s="83">
        <v>57878.743004313466</v>
      </c>
      <c r="F46" s="83">
        <v>45564.733258688961</v>
      </c>
      <c r="G46" s="83">
        <v>30007.315552541171</v>
      </c>
      <c r="H46" s="83">
        <v>31817.172800886226</v>
      </c>
      <c r="I46" s="83">
        <v>34541.710741487674</v>
      </c>
      <c r="J46" s="83">
        <v>34014.317206442349</v>
      </c>
      <c r="K46" s="83">
        <v>31998.431009074768</v>
      </c>
      <c r="L46" s="83">
        <v>23674.429573115078</v>
      </c>
      <c r="M46" s="83">
        <v>21242.867618760003</v>
      </c>
      <c r="N46" s="83">
        <v>43226.36696490828</v>
      </c>
      <c r="O46" s="83">
        <v>44862.95066102453</v>
      </c>
      <c r="P46" s="84">
        <f t="shared" si="4"/>
        <v>38535.708863112923</v>
      </c>
      <c r="Q46" s="85">
        <v>0.94652870805132361</v>
      </c>
      <c r="R46" s="84">
        <f t="shared" si="5"/>
        <v>40712.6678095678</v>
      </c>
    </row>
    <row r="47" spans="1:21" x14ac:dyDescent="0.3">
      <c r="A47" s="104">
        <f t="shared" si="0"/>
        <v>47</v>
      </c>
      <c r="B47" s="81" t="s">
        <v>63</v>
      </c>
      <c r="C47" s="82">
        <v>23</v>
      </c>
      <c r="D47" s="83">
        <v>20.716409868278191</v>
      </c>
      <c r="E47" s="83">
        <v>4.4308705529408563</v>
      </c>
      <c r="F47" s="83">
        <v>12.439878080709422</v>
      </c>
      <c r="G47" s="83">
        <v>11.453382372696174</v>
      </c>
      <c r="H47" s="83">
        <v>9.2295869631069891</v>
      </c>
      <c r="I47" s="83">
        <v>9.1292653656819134</v>
      </c>
      <c r="J47" s="83">
        <v>0.81929304563812044</v>
      </c>
      <c r="K47" s="83">
        <v>5.6180094558042555</v>
      </c>
      <c r="L47" s="83">
        <v>11.637305301308814</v>
      </c>
      <c r="M47" s="83">
        <v>21.987150102329153</v>
      </c>
      <c r="N47" s="83">
        <v>9.948558411320036</v>
      </c>
      <c r="O47" s="83">
        <v>4.932478540066235</v>
      </c>
      <c r="P47" s="84">
        <f t="shared" si="4"/>
        <v>10.195182338323347</v>
      </c>
      <c r="Q47" s="86">
        <v>0.94652870805132361</v>
      </c>
      <c r="R47" s="84">
        <f t="shared" si="5"/>
        <v>10.771128494679036</v>
      </c>
    </row>
    <row r="48" spans="1:21" x14ac:dyDescent="0.3">
      <c r="A48" s="104">
        <f t="shared" si="0"/>
        <v>48</v>
      </c>
      <c r="B48" s="81" t="s">
        <v>63</v>
      </c>
      <c r="C48" s="82">
        <v>24</v>
      </c>
      <c r="D48" s="83">
        <v>804.41177843326943</v>
      </c>
      <c r="E48" s="83">
        <v>799.27471545309118</v>
      </c>
      <c r="F48" s="83">
        <v>719.45944154298081</v>
      </c>
      <c r="G48" s="83">
        <v>607.86487480707694</v>
      </c>
      <c r="H48" s="83">
        <v>893.48420510909102</v>
      </c>
      <c r="I48" s="83">
        <v>959.88770462058585</v>
      </c>
      <c r="J48" s="83">
        <v>1244.4157873873539</v>
      </c>
      <c r="K48" s="83">
        <v>1127.7940339760867</v>
      </c>
      <c r="L48" s="83">
        <v>654.60309226870288</v>
      </c>
      <c r="M48" s="83">
        <v>561.9099746431682</v>
      </c>
      <c r="N48" s="83">
        <v>611.86537491952402</v>
      </c>
      <c r="O48" s="83">
        <v>683.12845611369698</v>
      </c>
      <c r="P48" s="84">
        <f t="shared" si="4"/>
        <v>805.67495327288555</v>
      </c>
      <c r="Q48" s="86">
        <v>0.94652870805132361</v>
      </c>
      <c r="R48" s="84">
        <f t="shared" si="5"/>
        <v>851.18913607129537</v>
      </c>
    </row>
    <row r="49" spans="1:18" x14ac:dyDescent="0.3">
      <c r="A49" s="104">
        <f t="shared" si="0"/>
        <v>49</v>
      </c>
      <c r="B49" s="81" t="s">
        <v>63</v>
      </c>
      <c r="C49" s="82" t="s">
        <v>55</v>
      </c>
      <c r="D49" s="83">
        <v>93750.031569923827</v>
      </c>
      <c r="E49" s="83">
        <v>88186.150271639344</v>
      </c>
      <c r="F49" s="83">
        <v>76131.673400529296</v>
      </c>
      <c r="G49" s="83">
        <v>67015.556449707263</v>
      </c>
      <c r="H49" s="83">
        <v>89155.428360912454</v>
      </c>
      <c r="I49" s="83">
        <v>78596.899661439384</v>
      </c>
      <c r="J49" s="83">
        <v>106412.16558758554</v>
      </c>
      <c r="K49" s="83">
        <v>118604.34408705711</v>
      </c>
      <c r="L49" s="83">
        <v>85950.600343407597</v>
      </c>
      <c r="M49" s="83">
        <v>68139.219223975393</v>
      </c>
      <c r="N49" s="83">
        <v>78714.791292444876</v>
      </c>
      <c r="O49" s="83">
        <v>80665.458835431476</v>
      </c>
      <c r="P49" s="84">
        <f t="shared" si="4"/>
        <v>85943.526590337802</v>
      </c>
      <c r="Q49" s="86">
        <v>0.9468405115211328</v>
      </c>
      <c r="R49" s="84">
        <f t="shared" si="5"/>
        <v>90768.746736730231</v>
      </c>
    </row>
    <row r="50" spans="1:18" x14ac:dyDescent="0.3">
      <c r="A50" s="104">
        <f t="shared" si="0"/>
        <v>50</v>
      </c>
      <c r="B50" s="81" t="s">
        <v>63</v>
      </c>
      <c r="C50" s="82" t="s">
        <v>65</v>
      </c>
      <c r="D50" s="83">
        <v>51627.833696617286</v>
      </c>
      <c r="E50" s="83">
        <v>48862.032030085611</v>
      </c>
      <c r="F50" s="83">
        <v>44099.745452208692</v>
      </c>
      <c r="G50" s="83">
        <v>40526.415587632073</v>
      </c>
      <c r="H50" s="83">
        <v>53769.779682181732</v>
      </c>
      <c r="I50" s="83">
        <v>43199.814321895166</v>
      </c>
      <c r="J50" s="83">
        <v>58779.233622382264</v>
      </c>
      <c r="K50" s="83">
        <v>69778.607116707499</v>
      </c>
      <c r="L50" s="83">
        <v>50527.004507464189</v>
      </c>
      <c r="M50" s="83">
        <v>41970.805510070946</v>
      </c>
      <c r="N50" s="83">
        <v>45650.309107076399</v>
      </c>
      <c r="O50" s="83">
        <v>46657.884439603054</v>
      </c>
      <c r="P50" s="84">
        <f t="shared" si="4"/>
        <v>49620.788756160415</v>
      </c>
      <c r="Q50" s="86">
        <v>0.9496881411746344</v>
      </c>
      <c r="R50" s="84">
        <f t="shared" si="5"/>
        <v>52249.561308395707</v>
      </c>
    </row>
    <row r="51" spans="1:18" x14ac:dyDescent="0.3">
      <c r="A51" s="104">
        <f t="shared" si="0"/>
        <v>51</v>
      </c>
      <c r="B51" s="81" t="s">
        <v>63</v>
      </c>
      <c r="C51" s="82" t="s">
        <v>46</v>
      </c>
      <c r="D51" s="83">
        <v>83921.709041356065</v>
      </c>
      <c r="E51" s="83">
        <v>80766.337991701323</v>
      </c>
      <c r="F51" s="83">
        <v>79383.979695242175</v>
      </c>
      <c r="G51" s="83">
        <v>74617.449565143805</v>
      </c>
      <c r="H51" s="83">
        <v>95979.695694772745</v>
      </c>
      <c r="I51" s="83">
        <v>78810.645772774034</v>
      </c>
      <c r="J51" s="83">
        <v>97534.999854799549</v>
      </c>
      <c r="K51" s="83">
        <v>114913.1012538128</v>
      </c>
      <c r="L51" s="83">
        <v>91934.761823278299</v>
      </c>
      <c r="M51" s="83">
        <v>79106.991073704194</v>
      </c>
      <c r="N51" s="83">
        <v>76085.044185435429</v>
      </c>
      <c r="O51" s="83">
        <v>77065.723797198807</v>
      </c>
      <c r="P51" s="84">
        <f t="shared" si="4"/>
        <v>85843.369979101597</v>
      </c>
      <c r="Q51" s="86">
        <v>0.95496035402993218</v>
      </c>
      <c r="R51" s="84">
        <f t="shared" si="5"/>
        <v>89892.077316971976</v>
      </c>
    </row>
    <row r="52" spans="1:18" x14ac:dyDescent="0.3">
      <c r="A52" s="104">
        <f t="shared" si="0"/>
        <v>52</v>
      </c>
      <c r="B52" s="81" t="s">
        <v>63</v>
      </c>
      <c r="C52" s="82" t="s">
        <v>67</v>
      </c>
      <c r="D52" s="83">
        <v>44556.46024931471</v>
      </c>
      <c r="E52" s="83">
        <v>45669.099284875338</v>
      </c>
      <c r="F52" s="83">
        <v>47012.579775203565</v>
      </c>
      <c r="G52" s="83">
        <v>49417.438020705726</v>
      </c>
      <c r="H52" s="83">
        <v>57124.887379176624</v>
      </c>
      <c r="I52" s="83">
        <v>53599.333274651006</v>
      </c>
      <c r="J52" s="83">
        <v>52268.435098599526</v>
      </c>
      <c r="K52" s="83">
        <v>67649.201051873737</v>
      </c>
      <c r="L52" s="83">
        <v>69074.502830350451</v>
      </c>
      <c r="M52" s="83">
        <v>55013.637178426587</v>
      </c>
      <c r="N52" s="83">
        <v>42030.035100689449</v>
      </c>
      <c r="O52" s="83">
        <v>47386.227908058456</v>
      </c>
      <c r="P52" s="84">
        <f t="shared" si="4"/>
        <v>52566.819762660431</v>
      </c>
      <c r="Q52" s="86">
        <v>0.9816313955713809</v>
      </c>
      <c r="R52" s="84">
        <f t="shared" si="5"/>
        <v>53550.467109971272</v>
      </c>
    </row>
    <row r="53" spans="1:18" x14ac:dyDescent="0.3">
      <c r="A53" s="104">
        <f t="shared" si="0"/>
        <v>53</v>
      </c>
      <c r="B53" s="81" t="s">
        <v>63</v>
      </c>
      <c r="C53" s="82" t="s">
        <v>59</v>
      </c>
      <c r="D53" s="83">
        <v>5320.1063734939753</v>
      </c>
      <c r="E53" s="83">
        <v>6258.9486746987941</v>
      </c>
      <c r="F53" s="83">
        <v>4506.4430457831313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6258.9486746987941</v>
      </c>
      <c r="O53" s="83">
        <v>6258.9486746987941</v>
      </c>
      <c r="P53" s="84">
        <f t="shared" si="4"/>
        <v>2383.6162869477907</v>
      </c>
      <c r="Q53" s="88">
        <v>0.94652870805132361</v>
      </c>
      <c r="R53" s="84">
        <f t="shared" si="5"/>
        <v>2518.2715185206448</v>
      </c>
    </row>
    <row r="54" spans="1:18" x14ac:dyDescent="0.3">
      <c r="A54" s="104">
        <f t="shared" si="0"/>
        <v>54</v>
      </c>
      <c r="B54" s="81"/>
      <c r="C54" s="82"/>
      <c r="D54" s="89"/>
      <c r="E54" s="89"/>
      <c r="F54" s="89"/>
      <c r="G54" s="89"/>
      <c r="H54" s="89"/>
      <c r="I54" s="89"/>
      <c r="J54" s="89"/>
      <c r="K54" s="89"/>
      <c r="L54" s="89"/>
      <c r="M54" s="90"/>
      <c r="N54" s="89"/>
      <c r="O54" s="90"/>
      <c r="P54" s="84"/>
      <c r="Q54" s="78"/>
      <c r="R54" s="91"/>
    </row>
    <row r="55" spans="1:18" ht="14.5" thickBot="1" x14ac:dyDescent="0.35">
      <c r="A55" s="104">
        <f t="shared" si="0"/>
        <v>55</v>
      </c>
      <c r="B55" s="92" t="s">
        <v>60</v>
      </c>
      <c r="C55" s="93" t="s">
        <v>61</v>
      </c>
      <c r="D55" s="94">
        <f>SUM(D45:D54)</f>
        <v>543980.63926681608</v>
      </c>
      <c r="E55" s="94">
        <f t="shared" ref="E55:O55" si="6">SUM(E45:E54)</f>
        <v>512957.75680118613</v>
      </c>
      <c r="F55" s="94">
        <f t="shared" si="6"/>
        <v>474379.76350286254</v>
      </c>
      <c r="G55" s="94">
        <f t="shared" si="6"/>
        <v>408235.31301939825</v>
      </c>
      <c r="H55" s="94">
        <f t="shared" si="6"/>
        <v>577168.37685433426</v>
      </c>
      <c r="I55" s="94">
        <f t="shared" si="6"/>
        <v>555583.82446347387</v>
      </c>
      <c r="J55" s="94">
        <f t="shared" si="6"/>
        <v>650432.57036153111</v>
      </c>
      <c r="K55" s="94">
        <f t="shared" si="6"/>
        <v>684539.21962364414</v>
      </c>
      <c r="L55" s="94">
        <f t="shared" si="6"/>
        <v>514755.32961157046</v>
      </c>
      <c r="M55" s="94">
        <f t="shared" si="6"/>
        <v>405504.15685679181</v>
      </c>
      <c r="N55" s="94">
        <f t="shared" si="6"/>
        <v>465616.05889319954</v>
      </c>
      <c r="O55" s="95">
        <f t="shared" si="6"/>
        <v>488681.86653069215</v>
      </c>
      <c r="P55" s="96">
        <f t="shared" ref="P55" si="7">SUM(P45:P53)</f>
        <v>523486.23964879167</v>
      </c>
      <c r="Q55" s="97"/>
      <c r="R55" s="96">
        <f>SUM(R45:R53)</f>
        <v>550068.00187825726</v>
      </c>
    </row>
    <row r="57" spans="1:18" x14ac:dyDescent="0.3">
      <c r="A57" s="101"/>
      <c r="B57" s="102" t="s">
        <v>68</v>
      </c>
    </row>
    <row r="58" spans="1:18" x14ac:dyDescent="0.3">
      <c r="B58" s="103"/>
    </row>
    <row r="59" spans="1:18" x14ac:dyDescent="0.3">
      <c r="B59" s="103"/>
    </row>
  </sheetData>
  <mergeCells count="8">
    <mergeCell ref="P39:P41"/>
    <mergeCell ref="Q39:Q41"/>
    <mergeCell ref="R39:R41"/>
    <mergeCell ref="B4:R4"/>
    <mergeCell ref="B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A7A0-62CB-443F-A13D-C58236A00591}">
  <sheetPr>
    <pageSetUpPr fitToPage="1"/>
  </sheetPr>
  <dimension ref="A1:U59"/>
  <sheetViews>
    <sheetView zoomScaleNormal="100" workbookViewId="0">
      <selection activeCell="B3" sqref="B3"/>
    </sheetView>
  </sheetViews>
  <sheetFormatPr defaultColWidth="9.1796875" defaultRowHeight="14" x14ac:dyDescent="0.3"/>
  <cols>
    <col min="1" max="1" width="3.81640625" style="105" bestFit="1" customWidth="1"/>
    <col min="2" max="2" width="27.81640625" style="105" bestFit="1" customWidth="1"/>
    <col min="3" max="3" width="13.81640625" style="105" customWidth="1"/>
    <col min="4" max="16" width="11.54296875" style="105" bestFit="1" customWidth="1"/>
    <col min="17" max="17" width="8.1796875" style="105" bestFit="1" customWidth="1"/>
    <col min="18" max="18" width="15.453125" style="105" customWidth="1"/>
    <col min="19" max="16384" width="9.1796875" style="105"/>
  </cols>
  <sheetData>
    <row r="1" spans="1:21" x14ac:dyDescent="0.3">
      <c r="A1" s="104">
        <v>1</v>
      </c>
    </row>
    <row r="2" spans="1:21" x14ac:dyDescent="0.3">
      <c r="A2" s="104">
        <f>A1+1</f>
        <v>2</v>
      </c>
    </row>
    <row r="3" spans="1:21" x14ac:dyDescent="0.3">
      <c r="A3" s="104">
        <f t="shared" ref="A3:A55" si="0">A2+1</f>
        <v>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21" x14ac:dyDescent="0.3">
      <c r="A4" s="104">
        <f t="shared" si="0"/>
        <v>4</v>
      </c>
      <c r="B4" s="114" t="s">
        <v>73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</row>
    <row r="5" spans="1:21" x14ac:dyDescent="0.3">
      <c r="A5" s="104">
        <f t="shared" si="0"/>
        <v>5</v>
      </c>
      <c r="B5" s="114" t="s">
        <v>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</row>
    <row r="6" spans="1:21" x14ac:dyDescent="0.3">
      <c r="A6" s="104">
        <f t="shared" si="0"/>
        <v>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21" ht="14.5" thickBot="1" x14ac:dyDescent="0.35">
      <c r="A7" s="104">
        <f t="shared" si="0"/>
        <v>7</v>
      </c>
      <c r="B7" s="54" t="s">
        <v>1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1:21" ht="14.5" thickBot="1" x14ac:dyDescent="0.35">
      <c r="A8" s="104">
        <f t="shared" si="0"/>
        <v>8</v>
      </c>
      <c r="B8" s="55" t="s">
        <v>2</v>
      </c>
      <c r="C8" s="56" t="s">
        <v>3</v>
      </c>
      <c r="D8" s="57" t="s">
        <v>4</v>
      </c>
      <c r="E8" s="57" t="s">
        <v>5</v>
      </c>
      <c r="F8" s="57" t="s">
        <v>6</v>
      </c>
      <c r="G8" s="57" t="s">
        <v>7</v>
      </c>
      <c r="H8" s="57" t="s">
        <v>8</v>
      </c>
      <c r="I8" s="57" t="s">
        <v>9</v>
      </c>
      <c r="J8" s="57" t="s">
        <v>10</v>
      </c>
      <c r="K8" s="57" t="s">
        <v>11</v>
      </c>
      <c r="L8" s="56" t="s">
        <v>12</v>
      </c>
      <c r="M8" s="57" t="s">
        <v>13</v>
      </c>
      <c r="N8" s="57" t="s">
        <v>14</v>
      </c>
      <c r="O8" s="58" t="s">
        <v>15</v>
      </c>
      <c r="P8" s="57" t="s">
        <v>16</v>
      </c>
      <c r="Q8" s="57" t="s">
        <v>17</v>
      </c>
      <c r="R8" s="57" t="s">
        <v>18</v>
      </c>
    </row>
    <row r="9" spans="1:21" x14ac:dyDescent="0.3">
      <c r="A9" s="104">
        <f t="shared" si="0"/>
        <v>9</v>
      </c>
      <c r="B9" s="59" t="s">
        <v>19</v>
      </c>
      <c r="C9" s="60"/>
      <c r="D9" s="61" t="s">
        <v>20</v>
      </c>
      <c r="E9" s="61" t="s">
        <v>21</v>
      </c>
      <c r="F9" s="61" t="s">
        <v>22</v>
      </c>
      <c r="G9" s="61" t="s">
        <v>23</v>
      </c>
      <c r="H9" s="61" t="s">
        <v>24</v>
      </c>
      <c r="I9" s="61" t="s">
        <v>25</v>
      </c>
      <c r="J9" s="61" t="s">
        <v>26</v>
      </c>
      <c r="K9" s="61" t="s">
        <v>27</v>
      </c>
      <c r="L9" s="61" t="s">
        <v>28</v>
      </c>
      <c r="M9" s="62" t="s">
        <v>29</v>
      </c>
      <c r="N9" s="61" t="s">
        <v>30</v>
      </c>
      <c r="O9" s="62" t="s">
        <v>31</v>
      </c>
      <c r="P9" s="115" t="s">
        <v>32</v>
      </c>
      <c r="Q9" s="115" t="s">
        <v>33</v>
      </c>
      <c r="R9" s="115" t="s">
        <v>34</v>
      </c>
      <c r="U9" s="107"/>
    </row>
    <row r="10" spans="1:21" x14ac:dyDescent="0.3">
      <c r="A10" s="104">
        <f t="shared" si="0"/>
        <v>10</v>
      </c>
      <c r="B10" s="63" t="s">
        <v>35</v>
      </c>
      <c r="C10" s="106"/>
      <c r="D10" s="65">
        <v>44949</v>
      </c>
      <c r="E10" s="65">
        <v>44961</v>
      </c>
      <c r="F10" s="65">
        <v>44992</v>
      </c>
      <c r="G10" s="65">
        <v>45029</v>
      </c>
      <c r="H10" s="65">
        <v>45058</v>
      </c>
      <c r="I10" s="65">
        <v>45103</v>
      </c>
      <c r="J10" s="65">
        <v>45134</v>
      </c>
      <c r="K10" s="65">
        <v>45146</v>
      </c>
      <c r="L10" s="65">
        <v>45176</v>
      </c>
      <c r="M10" s="66">
        <v>45203</v>
      </c>
      <c r="N10" s="65">
        <v>45259</v>
      </c>
      <c r="O10" s="66">
        <v>45267</v>
      </c>
      <c r="P10" s="116"/>
      <c r="Q10" s="116"/>
      <c r="R10" s="116"/>
    </row>
    <row r="11" spans="1:21" ht="28.5" thickBot="1" x14ac:dyDescent="0.35">
      <c r="A11" s="104">
        <f t="shared" si="0"/>
        <v>11</v>
      </c>
      <c r="B11" s="67" t="s">
        <v>36</v>
      </c>
      <c r="C11" s="106"/>
      <c r="D11" s="68">
        <v>18</v>
      </c>
      <c r="E11" s="68">
        <v>18</v>
      </c>
      <c r="F11" s="68">
        <v>19</v>
      </c>
      <c r="G11" s="68">
        <v>19</v>
      </c>
      <c r="H11" s="68">
        <v>17</v>
      </c>
      <c r="I11" s="68">
        <v>17</v>
      </c>
      <c r="J11" s="68">
        <v>17</v>
      </c>
      <c r="K11" s="68">
        <v>17</v>
      </c>
      <c r="L11" s="68">
        <v>17</v>
      </c>
      <c r="M11" s="69">
        <v>16</v>
      </c>
      <c r="N11" s="68">
        <v>18</v>
      </c>
      <c r="O11" s="69">
        <v>18</v>
      </c>
      <c r="P11" s="117"/>
      <c r="Q11" s="117"/>
      <c r="R11" s="117"/>
      <c r="T11" s="70"/>
    </row>
    <row r="12" spans="1:21" x14ac:dyDescent="0.3">
      <c r="A12" s="104">
        <f t="shared" si="0"/>
        <v>12</v>
      </c>
      <c r="B12" s="71" t="s">
        <v>37</v>
      </c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4"/>
      <c r="N12" s="73"/>
      <c r="O12" s="74"/>
      <c r="P12" s="75"/>
      <c r="Q12" s="75"/>
      <c r="R12" s="75"/>
    </row>
    <row r="13" spans="1:21" x14ac:dyDescent="0.3">
      <c r="A13" s="104">
        <f t="shared" si="0"/>
        <v>13</v>
      </c>
      <c r="B13" s="76" t="s">
        <v>38</v>
      </c>
      <c r="C13" s="77" t="s">
        <v>39</v>
      </c>
      <c r="D13" s="73"/>
      <c r="E13" s="73"/>
      <c r="F13" s="73"/>
      <c r="G13" s="73"/>
      <c r="H13" s="73"/>
      <c r="I13" s="73"/>
      <c r="J13" s="73"/>
      <c r="K13" s="73"/>
      <c r="L13" s="73"/>
      <c r="M13" s="74"/>
      <c r="N13" s="73"/>
      <c r="O13" s="74"/>
      <c r="P13" s="78"/>
      <c r="Q13" s="78"/>
      <c r="R13" s="78"/>
    </row>
    <row r="14" spans="1:21" ht="6" customHeight="1" x14ac:dyDescent="0.3">
      <c r="A14" s="104">
        <f t="shared" si="0"/>
        <v>14</v>
      </c>
      <c r="B14" s="79"/>
      <c r="C14" s="80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8"/>
      <c r="Q14" s="78"/>
      <c r="R14" s="78"/>
    </row>
    <row r="15" spans="1:21" x14ac:dyDescent="0.3">
      <c r="A15" s="104">
        <f t="shared" si="0"/>
        <v>15</v>
      </c>
      <c r="B15" s="81" t="s">
        <v>40</v>
      </c>
      <c r="C15" s="82" t="s">
        <v>41</v>
      </c>
      <c r="D15" s="83">
        <v>899798.78130598913</v>
      </c>
      <c r="E15" s="83">
        <v>1212751.4919596685</v>
      </c>
      <c r="F15" s="83">
        <v>858600.4177486361</v>
      </c>
      <c r="G15" s="83">
        <v>764654.94967609819</v>
      </c>
      <c r="H15" s="83">
        <v>745849.32113412628</v>
      </c>
      <c r="I15" s="83">
        <v>1181286.065020646</v>
      </c>
      <c r="J15" s="83">
        <v>1600861.0703829622</v>
      </c>
      <c r="K15" s="83">
        <v>1275749.8281797499</v>
      </c>
      <c r="L15" s="83">
        <v>1671512.8903851258</v>
      </c>
      <c r="M15" s="83">
        <v>782546.90441455401</v>
      </c>
      <c r="N15" s="83">
        <v>879570.17388483544</v>
      </c>
      <c r="O15" s="83">
        <v>935362.55657370586</v>
      </c>
      <c r="P15" s="84">
        <f>AVERAGE(D15:O15)</f>
        <v>1067378.7042221746</v>
      </c>
      <c r="Q15" s="85">
        <v>0.94652870805132405</v>
      </c>
      <c r="R15" s="84">
        <f>P15/Q15</f>
        <v>1127677.0531552623</v>
      </c>
    </row>
    <row r="16" spans="1:21" x14ac:dyDescent="0.3">
      <c r="A16" s="104">
        <f t="shared" si="0"/>
        <v>16</v>
      </c>
      <c r="B16" s="81" t="s">
        <v>40</v>
      </c>
      <c r="C16" s="82" t="s">
        <v>42</v>
      </c>
      <c r="D16" s="83">
        <v>121167.75993989286</v>
      </c>
      <c r="E16" s="83">
        <v>183376.26458046984</v>
      </c>
      <c r="F16" s="83">
        <v>113102.74301123308</v>
      </c>
      <c r="G16" s="83">
        <v>66047.160359170477</v>
      </c>
      <c r="H16" s="83">
        <v>66083.651664804551</v>
      </c>
      <c r="I16" s="83">
        <v>78373.40131258707</v>
      </c>
      <c r="J16" s="83">
        <v>91715.77149895177</v>
      </c>
      <c r="K16" s="83">
        <v>81506.942965489594</v>
      </c>
      <c r="L16" s="83">
        <v>91224.171037847293</v>
      </c>
      <c r="M16" s="83">
        <v>65449.192678743195</v>
      </c>
      <c r="N16" s="83">
        <v>115434.60508223411</v>
      </c>
      <c r="O16" s="83">
        <v>117001.10811727229</v>
      </c>
      <c r="P16" s="84">
        <f t="shared" ref="P16:P33" si="1">AVERAGE(D16:O16)</f>
        <v>99206.897687391363</v>
      </c>
      <c r="Q16" s="85">
        <v>0.94652870805132361</v>
      </c>
      <c r="R16" s="84">
        <f t="shared" ref="R16:R33" si="2">P16/Q16</f>
        <v>104811.29293123572</v>
      </c>
    </row>
    <row r="17" spans="1:18" x14ac:dyDescent="0.3">
      <c r="A17" s="104">
        <f t="shared" si="0"/>
        <v>17</v>
      </c>
      <c r="B17" s="81" t="s">
        <v>43</v>
      </c>
      <c r="C17" s="82" t="s">
        <v>44</v>
      </c>
      <c r="D17" s="83">
        <v>401999.86889644503</v>
      </c>
      <c r="E17" s="83">
        <v>449934.6944406894</v>
      </c>
      <c r="F17" s="83">
        <v>379127.22608308046</v>
      </c>
      <c r="G17" s="83">
        <v>370480.45869970153</v>
      </c>
      <c r="H17" s="83">
        <v>381374.08616250742</v>
      </c>
      <c r="I17" s="83">
        <v>440714.49629969575</v>
      </c>
      <c r="J17" s="83">
        <v>517513.44505296263</v>
      </c>
      <c r="K17" s="83">
        <v>446148.00738011929</v>
      </c>
      <c r="L17" s="83">
        <v>554184.90071993822</v>
      </c>
      <c r="M17" s="83">
        <v>414972.56973291776</v>
      </c>
      <c r="N17" s="83">
        <v>388344.35871860373</v>
      </c>
      <c r="O17" s="83">
        <v>405780.06504554686</v>
      </c>
      <c r="P17" s="84">
        <f t="shared" si="1"/>
        <v>429214.5147693507</v>
      </c>
      <c r="Q17" s="86">
        <v>0.94668616579745124</v>
      </c>
      <c r="R17" s="84">
        <f t="shared" si="2"/>
        <v>453386.27549056581</v>
      </c>
    </row>
    <row r="18" spans="1:18" x14ac:dyDescent="0.3">
      <c r="A18" s="104">
        <f t="shared" si="0"/>
        <v>18</v>
      </c>
      <c r="B18" s="81" t="s">
        <v>43</v>
      </c>
      <c r="C18" s="82" t="s">
        <v>50</v>
      </c>
      <c r="D18" s="83">
        <v>513846.8533294237</v>
      </c>
      <c r="E18" s="83">
        <v>547193.55332422908</v>
      </c>
      <c r="F18" s="83">
        <v>462726.87040850893</v>
      </c>
      <c r="G18" s="83">
        <v>470064.8889268135</v>
      </c>
      <c r="H18" s="83">
        <v>533817.58436612412</v>
      </c>
      <c r="I18" s="83">
        <v>615555.11629133171</v>
      </c>
      <c r="J18" s="83">
        <v>687203.91821054998</v>
      </c>
      <c r="K18" s="83">
        <v>629258.23278745648</v>
      </c>
      <c r="L18" s="83">
        <v>700383.71731451992</v>
      </c>
      <c r="M18" s="83">
        <v>609503.63050436857</v>
      </c>
      <c r="N18" s="83">
        <v>502670.78715689585</v>
      </c>
      <c r="O18" s="83">
        <v>518539.01847713097</v>
      </c>
      <c r="P18" s="84">
        <f t="shared" si="1"/>
        <v>565897.01425811264</v>
      </c>
      <c r="Q18" s="86">
        <v>0.94706281919366397</v>
      </c>
      <c r="R18" s="84">
        <f t="shared" si="2"/>
        <v>597528.48785672046</v>
      </c>
    </row>
    <row r="19" spans="1:18" x14ac:dyDescent="0.3">
      <c r="A19" s="104">
        <f t="shared" si="0"/>
        <v>19</v>
      </c>
      <c r="B19" s="81" t="s">
        <v>43</v>
      </c>
      <c r="C19" s="82" t="s">
        <v>46</v>
      </c>
      <c r="D19" s="83">
        <v>320479.55255266186</v>
      </c>
      <c r="E19" s="83">
        <v>316314.56307921931</v>
      </c>
      <c r="F19" s="83">
        <v>299108.21096229955</v>
      </c>
      <c r="G19" s="83">
        <v>338507.00764414034</v>
      </c>
      <c r="H19" s="83">
        <v>351358.16955361835</v>
      </c>
      <c r="I19" s="83">
        <v>401674.54131804989</v>
      </c>
      <c r="J19" s="83">
        <v>450813.22298286285</v>
      </c>
      <c r="K19" s="83">
        <v>417000.61948041199</v>
      </c>
      <c r="L19" s="83">
        <v>450136.16093604575</v>
      </c>
      <c r="M19" s="83">
        <v>400001.45275083021</v>
      </c>
      <c r="N19" s="83">
        <v>310589.77842314175</v>
      </c>
      <c r="O19" s="83">
        <v>316190.26447594224</v>
      </c>
      <c r="P19" s="84">
        <f t="shared" si="1"/>
        <v>364347.79534660204</v>
      </c>
      <c r="Q19" s="86">
        <v>0.98383915036089631</v>
      </c>
      <c r="R19" s="84">
        <f t="shared" si="2"/>
        <v>370332.68620480323</v>
      </c>
    </row>
    <row r="20" spans="1:18" x14ac:dyDescent="0.3">
      <c r="A20" s="104">
        <f t="shared" si="0"/>
        <v>20</v>
      </c>
      <c r="B20" s="81" t="s">
        <v>43</v>
      </c>
      <c r="C20" s="82" t="s">
        <v>47</v>
      </c>
      <c r="D20" s="83">
        <v>15980.516226766882</v>
      </c>
      <c r="E20" s="83">
        <v>15812.751146879002</v>
      </c>
      <c r="F20" s="83">
        <v>12828.674406745626</v>
      </c>
      <c r="G20" s="83">
        <v>14338.560125736556</v>
      </c>
      <c r="H20" s="83">
        <v>13599.67988027291</v>
      </c>
      <c r="I20" s="83">
        <v>11161.732017221362</v>
      </c>
      <c r="J20" s="83">
        <v>110.65356333030451</v>
      </c>
      <c r="K20" s="83">
        <v>18982.440315824497</v>
      </c>
      <c r="L20" s="83">
        <v>0</v>
      </c>
      <c r="M20" s="83">
        <v>13010.717365772902</v>
      </c>
      <c r="N20" s="83">
        <v>7831.416707957681</v>
      </c>
      <c r="O20" s="83">
        <v>12571.672582236532</v>
      </c>
      <c r="P20" s="84">
        <f t="shared" si="1"/>
        <v>11352.401194895354</v>
      </c>
      <c r="Q20" s="86">
        <v>0.94652870805132361</v>
      </c>
      <c r="R20" s="84">
        <f t="shared" si="2"/>
        <v>11993.720949327817</v>
      </c>
    </row>
    <row r="21" spans="1:18" x14ac:dyDescent="0.3">
      <c r="A21" s="104">
        <f t="shared" si="0"/>
        <v>21</v>
      </c>
      <c r="B21" s="81" t="s">
        <v>48</v>
      </c>
      <c r="C21" s="82" t="s">
        <v>69</v>
      </c>
      <c r="D21" s="83">
        <v>36378.377686330736</v>
      </c>
      <c r="E21" s="83">
        <v>41923.437249615032</v>
      </c>
      <c r="F21" s="83">
        <v>34344.544272008854</v>
      </c>
      <c r="G21" s="83">
        <v>32388.099791806446</v>
      </c>
      <c r="H21" s="83">
        <v>34672.61637922714</v>
      </c>
      <c r="I21" s="83">
        <v>38864.437847578003</v>
      </c>
      <c r="J21" s="83">
        <v>43971.276636676332</v>
      </c>
      <c r="K21" s="83">
        <v>39419.691580417108</v>
      </c>
      <c r="L21" s="83">
        <v>45401.310192308141</v>
      </c>
      <c r="M21" s="83">
        <v>35601.283588661325</v>
      </c>
      <c r="N21" s="83">
        <v>34172.199590503413</v>
      </c>
      <c r="O21" s="83">
        <v>35637.841551404897</v>
      </c>
      <c r="P21" s="84">
        <v>36346.97464638052</v>
      </c>
      <c r="Q21" s="86">
        <v>0.94652870805132361</v>
      </c>
      <c r="R21" s="84">
        <f t="shared" si="2"/>
        <v>38400.287637561734</v>
      </c>
    </row>
    <row r="22" spans="1:18" x14ac:dyDescent="0.3">
      <c r="A22" s="104">
        <f t="shared" si="0"/>
        <v>22</v>
      </c>
      <c r="B22" s="81" t="s">
        <v>48</v>
      </c>
      <c r="C22" s="82" t="s">
        <v>50</v>
      </c>
      <c r="D22" s="83">
        <v>68256.09800777401</v>
      </c>
      <c r="E22" s="83">
        <v>71016.949922036627</v>
      </c>
      <c r="F22" s="83">
        <v>66365.868151219198</v>
      </c>
      <c r="G22" s="83">
        <v>78156.194506242158</v>
      </c>
      <c r="H22" s="83">
        <v>82020.480198164718</v>
      </c>
      <c r="I22" s="83">
        <v>102669.57963671462</v>
      </c>
      <c r="J22" s="83">
        <v>121015.75338073503</v>
      </c>
      <c r="K22" s="83">
        <v>106405.14791658281</v>
      </c>
      <c r="L22" s="83">
        <v>115183.39405784871</v>
      </c>
      <c r="M22" s="83">
        <v>93608.81447053561</v>
      </c>
      <c r="N22" s="83">
        <v>67569.406296101661</v>
      </c>
      <c r="O22" s="83">
        <v>68600.657295453813</v>
      </c>
      <c r="P22" s="84">
        <f t="shared" si="1"/>
        <v>86739.028653284084</v>
      </c>
      <c r="Q22" s="86">
        <v>0.9466919664029263</v>
      </c>
      <c r="R22" s="84">
        <f t="shared" si="2"/>
        <v>91623.285853855705</v>
      </c>
    </row>
    <row r="23" spans="1:18" x14ac:dyDescent="0.3">
      <c r="A23" s="104">
        <f t="shared" si="0"/>
        <v>23</v>
      </c>
      <c r="B23" s="81" t="s">
        <v>48</v>
      </c>
      <c r="C23" s="82" t="s">
        <v>46</v>
      </c>
      <c r="D23" s="83">
        <v>60747.389303465534</v>
      </c>
      <c r="E23" s="83">
        <v>61888.364566880744</v>
      </c>
      <c r="F23" s="83">
        <v>58310.460536480001</v>
      </c>
      <c r="G23" s="83">
        <v>67479.53111590333</v>
      </c>
      <c r="H23" s="83">
        <v>70734.628959676949</v>
      </c>
      <c r="I23" s="83">
        <v>85988.466079341146</v>
      </c>
      <c r="J23" s="83">
        <v>105827.17399691611</v>
      </c>
      <c r="K23" s="83">
        <v>92231.948457677587</v>
      </c>
      <c r="L23" s="83">
        <v>96851.262162755491</v>
      </c>
      <c r="M23" s="83">
        <v>80951.478034772605</v>
      </c>
      <c r="N23" s="83">
        <v>55873.795552061842</v>
      </c>
      <c r="O23" s="83">
        <v>57198.524097080888</v>
      </c>
      <c r="P23" s="84">
        <f t="shared" si="1"/>
        <v>74506.918571917675</v>
      </c>
      <c r="Q23" s="86">
        <v>0.98383915036089642</v>
      </c>
      <c r="R23" s="84">
        <f t="shared" si="2"/>
        <v>75730.792522930904</v>
      </c>
    </row>
    <row r="24" spans="1:18" x14ac:dyDescent="0.3">
      <c r="A24" s="104">
        <f t="shared" si="0"/>
        <v>24</v>
      </c>
      <c r="B24" s="81" t="s">
        <v>48</v>
      </c>
      <c r="C24" s="82" t="s">
        <v>70</v>
      </c>
      <c r="D24" s="83">
        <v>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f>0.52*1000</f>
        <v>520</v>
      </c>
      <c r="N24" s="83">
        <v>0</v>
      </c>
      <c r="O24" s="83">
        <v>0</v>
      </c>
      <c r="P24" s="84">
        <f t="shared" si="1"/>
        <v>43.333333333333336</v>
      </c>
      <c r="Q24" s="86">
        <v>0.98383915036089642</v>
      </c>
      <c r="R24" s="84">
        <f t="shared" si="2"/>
        <v>44.04514022179093</v>
      </c>
    </row>
    <row r="25" spans="1:18" x14ac:dyDescent="0.3">
      <c r="A25" s="104">
        <f t="shared" si="0"/>
        <v>25</v>
      </c>
      <c r="B25" s="81" t="s">
        <v>48</v>
      </c>
      <c r="C25" s="82" t="s">
        <v>71</v>
      </c>
      <c r="D25" s="83">
        <v>49.68</v>
      </c>
      <c r="E25" s="83">
        <v>44.64</v>
      </c>
      <c r="F25" s="83">
        <v>48.96</v>
      </c>
      <c r="G25" s="83">
        <v>46.8</v>
      </c>
      <c r="H25" s="83">
        <v>48.24</v>
      </c>
      <c r="I25" s="83">
        <v>47.52</v>
      </c>
      <c r="J25" s="83">
        <v>136.08000000000001</v>
      </c>
      <c r="K25" s="83">
        <v>146.88</v>
      </c>
      <c r="L25" s="83">
        <v>48.96</v>
      </c>
      <c r="M25" s="83">
        <v>48.96</v>
      </c>
      <c r="N25" s="83">
        <v>49.68</v>
      </c>
      <c r="O25" s="83">
        <v>49.68</v>
      </c>
      <c r="P25" s="84">
        <f t="shared" si="1"/>
        <v>63.839999999999996</v>
      </c>
      <c r="Q25" s="86">
        <v>0.98383915036089642</v>
      </c>
      <c r="R25" s="84">
        <f t="shared" si="2"/>
        <v>64.888655809826147</v>
      </c>
    </row>
    <row r="26" spans="1:18" x14ac:dyDescent="0.3">
      <c r="A26" s="104">
        <f t="shared" si="0"/>
        <v>26</v>
      </c>
      <c r="B26" s="81" t="s">
        <v>48</v>
      </c>
      <c r="C26" s="82" t="s">
        <v>53</v>
      </c>
      <c r="D26" s="83">
        <v>1091.7897163150833</v>
      </c>
      <c r="E26" s="83">
        <v>1386.2554779010679</v>
      </c>
      <c r="F26" s="83">
        <v>760.74611019716042</v>
      </c>
      <c r="G26" s="83">
        <v>427.62704762599566</v>
      </c>
      <c r="H26" s="83">
        <v>471.8757792091165</v>
      </c>
      <c r="I26" s="83">
        <v>504.73440577684505</v>
      </c>
      <c r="J26" s="83">
        <v>588.30058441018366</v>
      </c>
      <c r="K26" s="83">
        <v>572.06221312001776</v>
      </c>
      <c r="L26" s="83">
        <v>601.83256048532189</v>
      </c>
      <c r="M26" s="83">
        <v>545.19750478925232</v>
      </c>
      <c r="N26" s="83">
        <v>799.1503564079519</v>
      </c>
      <c r="O26" s="83">
        <v>981.57467682211643</v>
      </c>
      <c r="P26" s="84">
        <f t="shared" si="1"/>
        <v>727.59553608834267</v>
      </c>
      <c r="Q26" s="86">
        <v>0.9465287080513235</v>
      </c>
      <c r="R26" s="84">
        <f t="shared" si="2"/>
        <v>768.69885709677851</v>
      </c>
    </row>
    <row r="27" spans="1:18" x14ac:dyDescent="0.3">
      <c r="A27" s="104">
        <f t="shared" si="0"/>
        <v>27</v>
      </c>
      <c r="B27" s="81" t="s">
        <v>54</v>
      </c>
      <c r="C27" s="82" t="s">
        <v>55</v>
      </c>
      <c r="D27" s="83">
        <v>124475.57442133251</v>
      </c>
      <c r="E27" s="83">
        <v>174017.04014016112</v>
      </c>
      <c r="F27" s="83">
        <v>120572.31393146979</v>
      </c>
      <c r="G27" s="83">
        <v>99051.735210980114</v>
      </c>
      <c r="H27" s="83">
        <v>116178.03062143731</v>
      </c>
      <c r="I27" s="83">
        <v>158344.53610074453</v>
      </c>
      <c r="J27" s="83">
        <v>203415.58069605939</v>
      </c>
      <c r="K27" s="83">
        <v>169484.65224923426</v>
      </c>
      <c r="L27" s="83">
        <v>196205.53150291144</v>
      </c>
      <c r="M27" s="83">
        <v>140850.81127004992</v>
      </c>
      <c r="N27" s="83">
        <v>119455.66682044949</v>
      </c>
      <c r="O27" s="83">
        <v>131743.5532345445</v>
      </c>
      <c r="P27" s="84">
        <v>146785.4433542935</v>
      </c>
      <c r="Q27" s="86">
        <v>0.94664216730151307</v>
      </c>
      <c r="R27" s="84">
        <f t="shared" si="2"/>
        <v>155059.05866492123</v>
      </c>
    </row>
    <row r="28" spans="1:18" x14ac:dyDescent="0.3">
      <c r="A28" s="104">
        <f t="shared" si="0"/>
        <v>28</v>
      </c>
      <c r="B28" s="81" t="s">
        <v>54</v>
      </c>
      <c r="C28" s="82" t="s">
        <v>50</v>
      </c>
      <c r="D28" s="83">
        <v>49773.837311290386</v>
      </c>
      <c r="E28" s="83">
        <v>49926.450795492965</v>
      </c>
      <c r="F28" s="83">
        <v>47462.326808777994</v>
      </c>
      <c r="G28" s="83">
        <v>46857.396985567961</v>
      </c>
      <c r="H28" s="83">
        <v>54454.659285901755</v>
      </c>
      <c r="I28" s="83">
        <v>63174.087789883924</v>
      </c>
      <c r="J28" s="83">
        <v>71913.06128661918</v>
      </c>
      <c r="K28" s="83">
        <v>64948.494128190243</v>
      </c>
      <c r="L28" s="83">
        <v>72269.108720515796</v>
      </c>
      <c r="M28" s="83">
        <v>60514.92309079945</v>
      </c>
      <c r="N28" s="83">
        <v>49075.799600252547</v>
      </c>
      <c r="O28" s="83">
        <v>50614.046408518632</v>
      </c>
      <c r="P28" s="84">
        <f t="shared" si="1"/>
        <v>56748.682684317573</v>
      </c>
      <c r="Q28" s="86">
        <v>0.9488439778078902</v>
      </c>
      <c r="R28" s="84">
        <f t="shared" si="2"/>
        <v>59808.234031714877</v>
      </c>
    </row>
    <row r="29" spans="1:18" x14ac:dyDescent="0.3">
      <c r="A29" s="104">
        <f t="shared" si="0"/>
        <v>29</v>
      </c>
      <c r="B29" s="81" t="s">
        <v>54</v>
      </c>
      <c r="C29" s="82" t="s">
        <v>46</v>
      </c>
      <c r="D29" s="83">
        <v>46560.091067677771</v>
      </c>
      <c r="E29" s="83">
        <v>38052.664098081528</v>
      </c>
      <c r="F29" s="83">
        <v>45114.873512594175</v>
      </c>
      <c r="G29" s="83">
        <v>48969.690433965239</v>
      </c>
      <c r="H29" s="83">
        <v>51079.278605070562</v>
      </c>
      <c r="I29" s="83">
        <v>57590.600247796276</v>
      </c>
      <c r="J29" s="83">
        <v>59048.333163635129</v>
      </c>
      <c r="K29" s="83">
        <v>55518.013005692985</v>
      </c>
      <c r="L29" s="83">
        <v>61155.216284911563</v>
      </c>
      <c r="M29" s="83">
        <v>56447.827535506236</v>
      </c>
      <c r="N29" s="83">
        <v>48648.419377414524</v>
      </c>
      <c r="O29" s="83">
        <v>49434.543459825356</v>
      </c>
      <c r="P29" s="84">
        <f t="shared" si="1"/>
        <v>51468.295899347606</v>
      </c>
      <c r="Q29" s="86">
        <v>0.96553153148044291</v>
      </c>
      <c r="R29" s="84">
        <f t="shared" si="2"/>
        <v>53305.660375929532</v>
      </c>
    </row>
    <row r="30" spans="1:18" x14ac:dyDescent="0.3">
      <c r="A30" s="104">
        <f t="shared" si="0"/>
        <v>30</v>
      </c>
      <c r="B30" s="81" t="s">
        <v>54</v>
      </c>
      <c r="C30" s="82" t="s">
        <v>52</v>
      </c>
      <c r="D30" s="83">
        <v>184.53435982860555</v>
      </c>
      <c r="E30" s="83">
        <v>190.00980492233629</v>
      </c>
      <c r="F30" s="83">
        <v>146.05799204901354</v>
      </c>
      <c r="G30" s="83">
        <v>121.79406117336542</v>
      </c>
      <c r="H30" s="83">
        <v>119.08598905119533</v>
      </c>
      <c r="I30" s="83">
        <v>124.06726040000456</v>
      </c>
      <c r="J30" s="83">
        <v>181.42106523559971</v>
      </c>
      <c r="K30" s="83">
        <v>141.1953223989855</v>
      </c>
      <c r="L30" s="83">
        <v>144.86209158630339</v>
      </c>
      <c r="M30" s="83">
        <v>158.20478269918527</v>
      </c>
      <c r="N30" s="83">
        <v>161.65411543873768</v>
      </c>
      <c r="O30" s="83">
        <v>170.80621319468486</v>
      </c>
      <c r="P30" s="84">
        <f t="shared" si="1"/>
        <v>153.64108816483477</v>
      </c>
      <c r="Q30" s="86">
        <v>0.94863213261161594</v>
      </c>
      <c r="R30" s="84">
        <f t="shared" si="2"/>
        <v>161.96066197110119</v>
      </c>
    </row>
    <row r="31" spans="1:18" x14ac:dyDescent="0.3">
      <c r="A31" s="104">
        <f t="shared" si="0"/>
        <v>31</v>
      </c>
      <c r="B31" s="81" t="s">
        <v>54</v>
      </c>
      <c r="C31" s="82" t="s">
        <v>56</v>
      </c>
      <c r="D31" s="83">
        <v>980.4160794633998</v>
      </c>
      <c r="E31" s="83">
        <v>1185.1183378129008</v>
      </c>
      <c r="F31" s="83">
        <v>1017.3785115378444</v>
      </c>
      <c r="G31" s="83">
        <v>300.67198108987446</v>
      </c>
      <c r="H31" s="83">
        <v>424.81934263139368</v>
      </c>
      <c r="I31" s="83">
        <v>377.24885830240038</v>
      </c>
      <c r="J31" s="83">
        <v>411.55927731320736</v>
      </c>
      <c r="K31" s="83">
        <v>411.06202486377543</v>
      </c>
      <c r="L31" s="83">
        <v>732.28710719683852</v>
      </c>
      <c r="M31" s="83">
        <v>438.74241121548931</v>
      </c>
      <c r="N31" s="83">
        <v>1020.8592786838682</v>
      </c>
      <c r="O31" s="83">
        <v>1153.6256826822084</v>
      </c>
      <c r="P31" s="84">
        <f t="shared" si="1"/>
        <v>704.48240773276666</v>
      </c>
      <c r="Q31" s="86">
        <v>0.94652870805132361</v>
      </c>
      <c r="R31" s="84">
        <f t="shared" si="2"/>
        <v>744.28002208525459</v>
      </c>
    </row>
    <row r="32" spans="1:18" x14ac:dyDescent="0.3">
      <c r="A32" s="104">
        <f t="shared" si="0"/>
        <v>32</v>
      </c>
      <c r="B32" s="81" t="s">
        <v>54</v>
      </c>
      <c r="C32" s="82" t="s">
        <v>57</v>
      </c>
      <c r="D32" s="83">
        <v>6916.2107011425242</v>
      </c>
      <c r="E32" s="83">
        <v>7416.7662603935523</v>
      </c>
      <c r="F32" s="83">
        <v>6715.3676846439776</v>
      </c>
      <c r="G32" s="83">
        <v>7388.0381989715888</v>
      </c>
      <c r="H32" s="83">
        <v>7340.6331288045421</v>
      </c>
      <c r="I32" s="83">
        <v>8726.4755421167738</v>
      </c>
      <c r="J32" s="83">
        <v>8914.5653641132703</v>
      </c>
      <c r="K32" s="83">
        <v>8332.4817507171811</v>
      </c>
      <c r="L32" s="83">
        <v>8884.3107175500299</v>
      </c>
      <c r="M32" s="83">
        <v>8701.7335014567689</v>
      </c>
      <c r="N32" s="83">
        <v>7250.3598240563088</v>
      </c>
      <c r="O32" s="83">
        <v>7221.464470319871</v>
      </c>
      <c r="P32" s="84">
        <f t="shared" si="1"/>
        <v>7817.3672620238658</v>
      </c>
      <c r="Q32" s="86">
        <v>0.94652870805132361</v>
      </c>
      <c r="R32" s="84">
        <f t="shared" si="2"/>
        <v>8258.9859087506775</v>
      </c>
    </row>
    <row r="33" spans="1:21" x14ac:dyDescent="0.3">
      <c r="A33" s="104">
        <f t="shared" si="0"/>
        <v>33</v>
      </c>
      <c r="B33" s="81" t="s">
        <v>40</v>
      </c>
      <c r="C33" s="82" t="s">
        <v>59</v>
      </c>
      <c r="D33" s="83">
        <v>13877.928917460315</v>
      </c>
      <c r="E33" s="83">
        <v>9462.2242619047611</v>
      </c>
      <c r="F33" s="83">
        <v>16401.18872063492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18924.448523809522</v>
      </c>
      <c r="O33" s="83">
        <v>18924.448523809522</v>
      </c>
      <c r="P33" s="84">
        <f t="shared" si="1"/>
        <v>6465.8532456349203</v>
      </c>
      <c r="Q33" s="88">
        <f>Q16</f>
        <v>0.94652870805132361</v>
      </c>
      <c r="R33" s="84">
        <f t="shared" si="2"/>
        <v>6831.1221737231481</v>
      </c>
      <c r="U33" s="86"/>
    </row>
    <row r="34" spans="1:21" x14ac:dyDescent="0.3">
      <c r="A34" s="104">
        <f t="shared" si="0"/>
        <v>34</v>
      </c>
      <c r="B34" s="81"/>
      <c r="C34" s="82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89"/>
      <c r="O34" s="90"/>
      <c r="P34" s="84"/>
      <c r="Q34" s="78"/>
      <c r="R34" s="91"/>
    </row>
    <row r="35" spans="1:21" ht="14.5" thickBot="1" x14ac:dyDescent="0.35">
      <c r="A35" s="104">
        <f t="shared" si="0"/>
        <v>35</v>
      </c>
      <c r="B35" s="92" t="s">
        <v>60</v>
      </c>
      <c r="C35" s="93" t="s">
        <v>61</v>
      </c>
      <c r="D35" s="94">
        <f t="shared" ref="D35:P35" si="3">SUM(D15:D33)</f>
        <v>2682565.2598232599</v>
      </c>
      <c r="E35" s="94">
        <f t="shared" si="3"/>
        <v>3181893.2394463578</v>
      </c>
      <c r="F35" s="94">
        <f t="shared" si="3"/>
        <v>2522754.2288521165</v>
      </c>
      <c r="G35" s="94">
        <f t="shared" si="3"/>
        <v>2405280.6047649863</v>
      </c>
      <c r="H35" s="94">
        <f t="shared" si="3"/>
        <v>2509626.8410506286</v>
      </c>
      <c r="I35" s="94">
        <f t="shared" si="3"/>
        <v>3245177.1060281866</v>
      </c>
      <c r="J35" s="94">
        <f t="shared" si="3"/>
        <v>3963641.1871433342</v>
      </c>
      <c r="K35" s="94">
        <f t="shared" si="3"/>
        <v>3406257.6997579471</v>
      </c>
      <c r="L35" s="94">
        <f t="shared" si="3"/>
        <v>4064919.9157915465</v>
      </c>
      <c r="M35" s="94">
        <f t="shared" si="3"/>
        <v>2763872.4436376714</v>
      </c>
      <c r="N35" s="94">
        <f t="shared" si="3"/>
        <v>2607442.5593088483</v>
      </c>
      <c r="O35" s="94">
        <f t="shared" si="3"/>
        <v>2727175.4508854914</v>
      </c>
      <c r="P35" s="96">
        <f t="shared" si="3"/>
        <v>3005968.7841610461</v>
      </c>
      <c r="Q35" s="97"/>
      <c r="R35" s="96">
        <f>SUM(R15:R33)</f>
        <v>3156530.8170944876</v>
      </c>
    </row>
    <row r="36" spans="1:21" x14ac:dyDescent="0.3">
      <c r="A36" s="104">
        <f t="shared" si="0"/>
        <v>36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1:21" x14ac:dyDescent="0.3">
      <c r="A37" s="104">
        <f t="shared" si="0"/>
        <v>37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</row>
    <row r="38" spans="1:21" ht="14.5" thickBot="1" x14ac:dyDescent="0.35">
      <c r="A38" s="104">
        <f t="shared" si="0"/>
        <v>38</v>
      </c>
      <c r="B38" s="100" t="s">
        <v>62</v>
      </c>
      <c r="O38" s="98"/>
    </row>
    <row r="39" spans="1:21" ht="14.25" customHeight="1" x14ac:dyDescent="0.3">
      <c r="A39" s="104">
        <f t="shared" si="0"/>
        <v>39</v>
      </c>
      <c r="B39" s="59" t="s">
        <v>19</v>
      </c>
      <c r="C39" s="60"/>
      <c r="D39" s="61" t="s">
        <v>20</v>
      </c>
      <c r="E39" s="61" t="s">
        <v>21</v>
      </c>
      <c r="F39" s="61" t="s">
        <v>22</v>
      </c>
      <c r="G39" s="61" t="s">
        <v>23</v>
      </c>
      <c r="H39" s="61" t="s">
        <v>24</v>
      </c>
      <c r="I39" s="61" t="s">
        <v>25</v>
      </c>
      <c r="J39" s="61" t="s">
        <v>26</v>
      </c>
      <c r="K39" s="61" t="s">
        <v>27</v>
      </c>
      <c r="L39" s="61" t="s">
        <v>28</v>
      </c>
      <c r="M39" s="62" t="s">
        <v>29</v>
      </c>
      <c r="N39" s="61" t="s">
        <v>30</v>
      </c>
      <c r="O39" s="62" t="s">
        <v>31</v>
      </c>
      <c r="P39" s="115" t="s">
        <v>32</v>
      </c>
      <c r="Q39" s="115" t="s">
        <v>33</v>
      </c>
      <c r="R39" s="115" t="s">
        <v>34</v>
      </c>
    </row>
    <row r="40" spans="1:21" x14ac:dyDescent="0.3">
      <c r="A40" s="104">
        <f t="shared" si="0"/>
        <v>40</v>
      </c>
      <c r="B40" s="63" t="s">
        <v>35</v>
      </c>
      <c r="C40" s="106"/>
      <c r="D40" s="65">
        <v>44951</v>
      </c>
      <c r="E40" s="65">
        <v>44960</v>
      </c>
      <c r="F40" s="65">
        <v>44992</v>
      </c>
      <c r="G40" s="65">
        <v>45030</v>
      </c>
      <c r="H40" s="65">
        <v>45077</v>
      </c>
      <c r="I40" s="65">
        <v>45103</v>
      </c>
      <c r="J40" s="65">
        <v>45113</v>
      </c>
      <c r="K40" s="65">
        <v>45159</v>
      </c>
      <c r="L40" s="65">
        <v>45176</v>
      </c>
      <c r="M40" s="66">
        <v>45203</v>
      </c>
      <c r="N40" s="65">
        <v>45259</v>
      </c>
      <c r="O40" s="66">
        <v>45281</v>
      </c>
      <c r="P40" s="116"/>
      <c r="Q40" s="116"/>
      <c r="R40" s="116"/>
    </row>
    <row r="41" spans="1:21" ht="28.5" thickBot="1" x14ac:dyDescent="0.35">
      <c r="A41" s="104">
        <f t="shared" si="0"/>
        <v>41</v>
      </c>
      <c r="B41" s="67" t="s">
        <v>36</v>
      </c>
      <c r="C41" s="106"/>
      <c r="D41" s="68">
        <v>18</v>
      </c>
      <c r="E41" s="68">
        <v>19</v>
      </c>
      <c r="F41" s="68">
        <v>19</v>
      </c>
      <c r="G41" s="68">
        <v>17</v>
      </c>
      <c r="H41" s="68">
        <v>18</v>
      </c>
      <c r="I41" s="68">
        <v>17</v>
      </c>
      <c r="J41" s="68">
        <v>17</v>
      </c>
      <c r="K41" s="68">
        <v>17</v>
      </c>
      <c r="L41" s="68">
        <v>17</v>
      </c>
      <c r="M41" s="69">
        <v>17</v>
      </c>
      <c r="N41" s="68">
        <v>18</v>
      </c>
      <c r="O41" s="69">
        <v>19</v>
      </c>
      <c r="P41" s="117"/>
      <c r="Q41" s="117"/>
      <c r="R41" s="117"/>
    </row>
    <row r="42" spans="1:21" x14ac:dyDescent="0.3">
      <c r="A42" s="104">
        <f t="shared" si="0"/>
        <v>42</v>
      </c>
      <c r="B42" s="71" t="s">
        <v>37</v>
      </c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4"/>
      <c r="N42" s="73"/>
      <c r="O42" s="74"/>
      <c r="P42" s="75"/>
      <c r="Q42" s="75"/>
      <c r="R42" s="75"/>
    </row>
    <row r="43" spans="1:21" x14ac:dyDescent="0.3">
      <c r="A43" s="104">
        <f t="shared" si="0"/>
        <v>43</v>
      </c>
      <c r="B43" s="76" t="s">
        <v>38</v>
      </c>
      <c r="C43" s="77" t="s">
        <v>39</v>
      </c>
      <c r="D43" s="73"/>
      <c r="E43" s="73"/>
      <c r="F43" s="73"/>
      <c r="G43" s="73"/>
      <c r="H43" s="73"/>
      <c r="I43" s="73"/>
      <c r="J43" s="73"/>
      <c r="K43" s="73"/>
      <c r="L43" s="73"/>
      <c r="M43" s="74"/>
      <c r="N43" s="73"/>
      <c r="O43" s="74"/>
      <c r="P43" s="78"/>
      <c r="Q43" s="78"/>
      <c r="R43" s="78"/>
    </row>
    <row r="44" spans="1:21" x14ac:dyDescent="0.3">
      <c r="A44" s="104">
        <f t="shared" si="0"/>
        <v>44</v>
      </c>
      <c r="B44" s="79"/>
      <c r="C44" s="80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8"/>
      <c r="Q44" s="78"/>
      <c r="R44" s="78"/>
    </row>
    <row r="45" spans="1:21" x14ac:dyDescent="0.3">
      <c r="A45" s="104">
        <f t="shared" si="0"/>
        <v>45</v>
      </c>
      <c r="B45" s="81" t="s">
        <v>63</v>
      </c>
      <c r="C45" s="82" t="s">
        <v>41</v>
      </c>
      <c r="D45" s="83">
        <v>178354.0954389353</v>
      </c>
      <c r="E45" s="83">
        <v>214427.34786933725</v>
      </c>
      <c r="F45" s="83">
        <v>160951.17157313047</v>
      </c>
      <c r="G45" s="83">
        <v>156373.83915408584</v>
      </c>
      <c r="H45" s="83">
        <v>159265.36824999191</v>
      </c>
      <c r="I45" s="83">
        <v>217292.70329558666</v>
      </c>
      <c r="J45" s="83">
        <v>283307.54958398786</v>
      </c>
      <c r="K45" s="83">
        <v>218166.32969791529</v>
      </c>
      <c r="L45" s="83">
        <v>282209.03244162712</v>
      </c>
      <c r="M45" s="83">
        <v>160659.62163707524</v>
      </c>
      <c r="N45" s="83">
        <v>177802.46553248834</v>
      </c>
      <c r="O45" s="83">
        <v>189683.52513605999</v>
      </c>
      <c r="P45" s="84">
        <f t="shared" ref="P45:P53" si="4">AVERAGE(D45:O45)</f>
        <v>199874.42080085177</v>
      </c>
      <c r="Q45" s="85">
        <v>0.94652870805132361</v>
      </c>
      <c r="R45" s="84">
        <f t="shared" ref="R45:R53" si="5">P45/Q45</f>
        <v>211165.72492803249</v>
      </c>
    </row>
    <row r="46" spans="1:21" x14ac:dyDescent="0.3">
      <c r="A46" s="104">
        <f t="shared" si="0"/>
        <v>46</v>
      </c>
      <c r="B46" s="81" t="s">
        <v>63</v>
      </c>
      <c r="C46" s="82" t="s">
        <v>42</v>
      </c>
      <c r="D46" s="83">
        <v>46798.801150807871</v>
      </c>
      <c r="E46" s="83">
        <v>67785.693203200091</v>
      </c>
      <c r="F46" s="83">
        <v>44428.632514836376</v>
      </c>
      <c r="G46" s="83">
        <v>22118.161208541416</v>
      </c>
      <c r="H46" s="83">
        <v>20175.897390387909</v>
      </c>
      <c r="I46" s="83">
        <v>28875.708750215301</v>
      </c>
      <c r="J46" s="83">
        <v>35483.046636090963</v>
      </c>
      <c r="K46" s="83">
        <v>28685.012622571197</v>
      </c>
      <c r="L46" s="83">
        <v>34230.952471916171</v>
      </c>
      <c r="M46" s="83">
        <v>22973.549534040409</v>
      </c>
      <c r="N46" s="83">
        <v>45335.193585398723</v>
      </c>
      <c r="O46" s="83">
        <v>45766.057832442471</v>
      </c>
      <c r="P46" s="84">
        <f t="shared" si="4"/>
        <v>36888.058908370738</v>
      </c>
      <c r="Q46" s="85">
        <v>0.94652870805132361</v>
      </c>
      <c r="R46" s="84">
        <f t="shared" si="5"/>
        <v>38971.938827206242</v>
      </c>
    </row>
    <row r="47" spans="1:21" x14ac:dyDescent="0.3">
      <c r="A47" s="104">
        <f t="shared" si="0"/>
        <v>47</v>
      </c>
      <c r="B47" s="81" t="s">
        <v>63</v>
      </c>
      <c r="C47" s="82">
        <v>23</v>
      </c>
      <c r="D47" s="83">
        <v>7.2750068395007057</v>
      </c>
      <c r="E47" s="83">
        <v>19.207302825701642</v>
      </c>
      <c r="F47" s="83">
        <v>11.835938279717483</v>
      </c>
      <c r="G47" s="83">
        <v>11.707461337739545</v>
      </c>
      <c r="H47" s="83">
        <v>10.743884272905014</v>
      </c>
      <c r="I47" s="83">
        <v>17.537102579988453</v>
      </c>
      <c r="J47" s="83">
        <v>2.7943734880201383</v>
      </c>
      <c r="K47" s="83">
        <v>12.831634580046497</v>
      </c>
      <c r="L47" s="83">
        <v>3.4849370511515518</v>
      </c>
      <c r="M47" s="83">
        <v>6.5523240408748071</v>
      </c>
      <c r="N47" s="83">
        <v>6.3435490101606584</v>
      </c>
      <c r="O47" s="83">
        <v>8.9933859384556172</v>
      </c>
      <c r="P47" s="84">
        <f t="shared" si="4"/>
        <v>9.9422416870218431</v>
      </c>
      <c r="Q47" s="86">
        <v>0.94652870805132361</v>
      </c>
      <c r="R47" s="84">
        <f t="shared" si="5"/>
        <v>10.503898722195698</v>
      </c>
    </row>
    <row r="48" spans="1:21" x14ac:dyDescent="0.3">
      <c r="A48" s="104">
        <f t="shared" si="0"/>
        <v>48</v>
      </c>
      <c r="B48" s="81" t="s">
        <v>63</v>
      </c>
      <c r="C48" s="82">
        <v>24</v>
      </c>
      <c r="D48" s="83">
        <v>713.95739065797693</v>
      </c>
      <c r="E48" s="83">
        <v>900.41580437910989</v>
      </c>
      <c r="F48" s="83">
        <v>753.99720180361032</v>
      </c>
      <c r="G48" s="83">
        <v>591.15403305576388</v>
      </c>
      <c r="H48" s="83">
        <v>628.07213219386961</v>
      </c>
      <c r="I48" s="83">
        <v>645.89259124261582</v>
      </c>
      <c r="J48" s="83">
        <v>1133.826480695378</v>
      </c>
      <c r="K48" s="83">
        <v>687.33094879687508</v>
      </c>
      <c r="L48" s="83">
        <v>1281.8047418120052</v>
      </c>
      <c r="M48" s="83">
        <v>613.6078067347961</v>
      </c>
      <c r="N48" s="83">
        <v>716.53906388233031</v>
      </c>
      <c r="O48" s="83">
        <v>768.36004089880919</v>
      </c>
      <c r="P48" s="84">
        <f t="shared" si="4"/>
        <v>786.24651967942839</v>
      </c>
      <c r="Q48" s="86">
        <v>0.94652870805132361</v>
      </c>
      <c r="R48" s="84">
        <f t="shared" si="5"/>
        <v>830.6631515679245</v>
      </c>
    </row>
    <row r="49" spans="1:18" x14ac:dyDescent="0.3">
      <c r="A49" s="104">
        <f t="shared" si="0"/>
        <v>49</v>
      </c>
      <c r="B49" s="81" t="s">
        <v>63</v>
      </c>
      <c r="C49" s="82" t="s">
        <v>55</v>
      </c>
      <c r="D49" s="83">
        <v>77492.008226515172</v>
      </c>
      <c r="E49" s="83">
        <v>84630.114331875156</v>
      </c>
      <c r="F49" s="83">
        <v>72854.576336737256</v>
      </c>
      <c r="G49" s="83">
        <v>86044.432181850687</v>
      </c>
      <c r="H49" s="83">
        <v>75063.11571405048</v>
      </c>
      <c r="I49" s="83">
        <v>88061.639291462416</v>
      </c>
      <c r="J49" s="83">
        <v>102110.69258838137</v>
      </c>
      <c r="K49" s="83">
        <v>92046.230074532941</v>
      </c>
      <c r="L49" s="83">
        <v>108134.06351527423</v>
      </c>
      <c r="M49" s="83">
        <v>88094.384075532129</v>
      </c>
      <c r="N49" s="83">
        <v>77951.719312670204</v>
      </c>
      <c r="O49" s="83">
        <v>75302.473665054116</v>
      </c>
      <c r="P49" s="84">
        <f t="shared" si="4"/>
        <v>85648.787442828005</v>
      </c>
      <c r="Q49" s="86">
        <v>0.9468405115211328</v>
      </c>
      <c r="R49" s="84">
        <f t="shared" si="5"/>
        <v>90457.45973123837</v>
      </c>
    </row>
    <row r="50" spans="1:18" x14ac:dyDescent="0.3">
      <c r="A50" s="104">
        <f t="shared" si="0"/>
        <v>50</v>
      </c>
      <c r="B50" s="81" t="s">
        <v>63</v>
      </c>
      <c r="C50" s="82" t="s">
        <v>65</v>
      </c>
      <c r="D50" s="83">
        <v>42035.095937391474</v>
      </c>
      <c r="E50" s="83">
        <v>44968.328721379847</v>
      </c>
      <c r="F50" s="83">
        <v>39714.812199288921</v>
      </c>
      <c r="G50" s="83">
        <v>41469.643288616091</v>
      </c>
      <c r="H50" s="83">
        <v>40595.591876043152</v>
      </c>
      <c r="I50" s="83">
        <v>45287.145178630984</v>
      </c>
      <c r="J50" s="83">
        <v>51045.955200577919</v>
      </c>
      <c r="K50" s="83">
        <v>46845.716893759884</v>
      </c>
      <c r="L50" s="83">
        <v>53765.918964087643</v>
      </c>
      <c r="M50" s="83">
        <v>44655.604404288351</v>
      </c>
      <c r="N50" s="83">
        <v>41811.531079984496</v>
      </c>
      <c r="O50" s="83">
        <v>40832.893657955843</v>
      </c>
      <c r="P50" s="84">
        <f t="shared" si="4"/>
        <v>44419.019783500378</v>
      </c>
      <c r="Q50" s="86">
        <v>0.9496881411746344</v>
      </c>
      <c r="R50" s="84">
        <f t="shared" si="5"/>
        <v>46772.216960148755</v>
      </c>
    </row>
    <row r="51" spans="1:18" x14ac:dyDescent="0.3">
      <c r="A51" s="104">
        <f t="shared" si="0"/>
        <v>51</v>
      </c>
      <c r="B51" s="81" t="s">
        <v>63</v>
      </c>
      <c r="C51" s="82" t="s">
        <v>46</v>
      </c>
      <c r="D51" s="83">
        <v>76531.62433146649</v>
      </c>
      <c r="E51" s="83">
        <v>76255.746422273398</v>
      </c>
      <c r="F51" s="83">
        <v>73057.483210023333</v>
      </c>
      <c r="G51" s="83">
        <v>82204.164034598827</v>
      </c>
      <c r="H51" s="83">
        <v>78642.557318737076</v>
      </c>
      <c r="I51" s="83">
        <v>86850.971442582566</v>
      </c>
      <c r="J51" s="83">
        <v>93934.591875874466</v>
      </c>
      <c r="K51" s="83">
        <v>90831.097405070934</v>
      </c>
      <c r="L51" s="83">
        <v>96204.037092432132</v>
      </c>
      <c r="M51" s="83">
        <v>88461.959215053343</v>
      </c>
      <c r="N51" s="83">
        <v>74769.826214833869</v>
      </c>
      <c r="O51" s="83">
        <v>71595.866705356151</v>
      </c>
      <c r="P51" s="84">
        <f t="shared" si="4"/>
        <v>82444.993772358561</v>
      </c>
      <c r="Q51" s="86">
        <v>0.95496035402993218</v>
      </c>
      <c r="R51" s="84">
        <f t="shared" si="5"/>
        <v>86333.420465510149</v>
      </c>
    </row>
    <row r="52" spans="1:18" x14ac:dyDescent="0.3">
      <c r="A52" s="104">
        <f t="shared" si="0"/>
        <v>52</v>
      </c>
      <c r="B52" s="81" t="s">
        <v>63</v>
      </c>
      <c r="C52" s="82" t="s">
        <v>67</v>
      </c>
      <c r="D52" s="83">
        <v>48180.612751640751</v>
      </c>
      <c r="E52" s="83">
        <v>53434.800160484076</v>
      </c>
      <c r="F52" s="83">
        <v>54341.334144770495</v>
      </c>
      <c r="G52" s="83">
        <v>59827.622704562586</v>
      </c>
      <c r="H52" s="83">
        <v>54058.304477215264</v>
      </c>
      <c r="I52" s="83">
        <v>65558.374532756934</v>
      </c>
      <c r="J52" s="83">
        <v>58528.908263732228</v>
      </c>
      <c r="K52" s="83">
        <v>61094.223324342318</v>
      </c>
      <c r="L52" s="83">
        <v>68670.987472014895</v>
      </c>
      <c r="M52" s="83">
        <v>56720.631813552216</v>
      </c>
      <c r="N52" s="83">
        <v>48678.941312313866</v>
      </c>
      <c r="O52" s="83">
        <v>41824.525181907273</v>
      </c>
      <c r="P52" s="84">
        <f t="shared" si="4"/>
        <v>55909.938844941069</v>
      </c>
      <c r="Q52" s="86">
        <v>0.9816313955713809</v>
      </c>
      <c r="R52" s="84">
        <f t="shared" si="5"/>
        <v>56956.143718689251</v>
      </c>
    </row>
    <row r="53" spans="1:18" x14ac:dyDescent="0.3">
      <c r="A53" s="104">
        <f t="shared" si="0"/>
        <v>53</v>
      </c>
      <c r="B53" s="81" t="s">
        <v>63</v>
      </c>
      <c r="C53" s="82" t="s">
        <v>59</v>
      </c>
      <c r="D53" s="83">
        <v>3571.6013004295605</v>
      </c>
      <c r="E53" s="83">
        <v>6122.7450864506754</v>
      </c>
      <c r="F53" s="83">
        <v>4694.1045662788511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6122.7450864506754</v>
      </c>
      <c r="O53" s="83">
        <v>6122.7450864506754</v>
      </c>
      <c r="P53" s="84">
        <f t="shared" si="4"/>
        <v>2219.4950938383699</v>
      </c>
      <c r="Q53" s="88">
        <v>0.94652870805132361</v>
      </c>
      <c r="R53" s="84">
        <f t="shared" si="5"/>
        <v>2344.8787923271548</v>
      </c>
    </row>
    <row r="54" spans="1:18" x14ac:dyDescent="0.3">
      <c r="A54" s="104">
        <f t="shared" si="0"/>
        <v>54</v>
      </c>
      <c r="B54" s="81"/>
      <c r="C54" s="82"/>
      <c r="D54" s="89"/>
      <c r="E54" s="89"/>
      <c r="F54" s="89"/>
      <c r="G54" s="89"/>
      <c r="H54" s="89"/>
      <c r="I54" s="89"/>
      <c r="J54" s="89"/>
      <c r="K54" s="89"/>
      <c r="L54" s="89"/>
      <c r="M54" s="90"/>
      <c r="N54" s="89"/>
      <c r="O54" s="90"/>
      <c r="P54" s="84"/>
      <c r="Q54" s="78"/>
      <c r="R54" s="91"/>
    </row>
    <row r="55" spans="1:18" ht="14.5" thickBot="1" x14ac:dyDescent="0.35">
      <c r="A55" s="104">
        <f t="shared" si="0"/>
        <v>55</v>
      </c>
      <c r="B55" s="92" t="s">
        <v>60</v>
      </c>
      <c r="C55" s="93" t="s">
        <v>61</v>
      </c>
      <c r="D55" s="94">
        <f>SUM(D45:D54)</f>
        <v>473685.0715346841</v>
      </c>
      <c r="E55" s="94">
        <f t="shared" ref="E55:O55" si="6">SUM(E45:E54)</f>
        <v>548544.39890220528</v>
      </c>
      <c r="F55" s="94">
        <f t="shared" si="6"/>
        <v>450807.94768514903</v>
      </c>
      <c r="G55" s="94">
        <f t="shared" si="6"/>
        <v>448640.72406664898</v>
      </c>
      <c r="H55" s="94">
        <f t="shared" si="6"/>
        <v>428439.65104289254</v>
      </c>
      <c r="I55" s="94">
        <f t="shared" si="6"/>
        <v>532589.97218505747</v>
      </c>
      <c r="J55" s="94">
        <f t="shared" si="6"/>
        <v>625547.36500282818</v>
      </c>
      <c r="K55" s="94">
        <f t="shared" si="6"/>
        <v>538368.77260156942</v>
      </c>
      <c r="L55" s="94">
        <f t="shared" si="6"/>
        <v>644500.28163621528</v>
      </c>
      <c r="M55" s="94">
        <f t="shared" si="6"/>
        <v>462185.91081031738</v>
      </c>
      <c r="N55" s="94">
        <f t="shared" si="6"/>
        <v>473195.30473703268</v>
      </c>
      <c r="O55" s="95">
        <f t="shared" si="6"/>
        <v>471905.44069206383</v>
      </c>
      <c r="P55" s="96">
        <f t="shared" ref="P55" si="7">SUM(P45:P53)</f>
        <v>508200.90340805531</v>
      </c>
      <c r="Q55" s="97"/>
      <c r="R55" s="96">
        <f>SUM(R45:R53)</f>
        <v>533842.95047344256</v>
      </c>
    </row>
    <row r="57" spans="1:18" x14ac:dyDescent="0.3">
      <c r="A57" s="101"/>
      <c r="B57" s="102" t="s">
        <v>68</v>
      </c>
    </row>
    <row r="58" spans="1:18" x14ac:dyDescent="0.3">
      <c r="B58" s="103"/>
    </row>
    <row r="59" spans="1:18" x14ac:dyDescent="0.3">
      <c r="B59" s="103"/>
    </row>
  </sheetData>
  <mergeCells count="8">
    <mergeCell ref="P39:P41"/>
    <mergeCell ref="Q39:Q41"/>
    <mergeCell ref="R39:R41"/>
    <mergeCell ref="B4:R4"/>
    <mergeCell ref="B5:R5"/>
    <mergeCell ref="P9:P11"/>
    <mergeCell ref="Q9:Q11"/>
    <mergeCell ref="R9:R11"/>
  </mergeCells>
  <pageMargins left="0.7" right="0.7" top="0.75" bottom="0.75" header="0.3" footer="0.3"/>
  <pageSetup scale="57" orientation="landscape" r:id="rId1"/>
  <headerFooter>
    <oddHeader>&amp;R&amp;"Times New Roman,Regular"&amp;12NSTAR Electric Company 
d/b/a Eversource Energy
D.P.U. 25-55
Attachment DOER 2-3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2017</vt:lpstr>
      <vt:lpstr>2018</vt:lpstr>
      <vt:lpstr>2019</vt:lpstr>
      <vt:lpstr>2020</vt:lpstr>
      <vt:lpstr>2021</vt:lpstr>
      <vt:lpstr>2022</vt:lpstr>
      <vt:lpstr>2023</vt:lpstr>
      <vt:lpstr>'2017'!Print_Area</vt:lpstr>
      <vt:lpstr>'2018'!Print_Area</vt:lpstr>
      <vt:lpstr>'2019'!Print_Area</vt:lpstr>
      <vt:lpstr>'2020'!Print_Area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2025-06-18T12:43:44Z</dcterms:created>
  <dcterms:modified xsi:type="dcterms:W3CDTF">2025-06-18T12:43:48Z</dcterms:modified>
</cp:coreProperties>
</file>