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10. NATIONAL GRID MA\23-150 MECO Electric Rate Case\Compliance Filings\Interim Heat Pump Rate\Finals for Filing\"/>
    </mc:Choice>
  </mc:AlternateContent>
  <xr:revisionPtr revIDLastSave="0" documentId="8_{1F1FDEDC-38B7-4A9A-BC50-27E9EA636931}" xr6:coauthVersionLast="47" xr6:coauthVersionMax="47" xr10:uidLastSave="{00000000-0000-0000-0000-000000000000}"/>
  <bookViews>
    <workbookView xWindow="-110" yWindow="-110" windowWidth="19420" windowHeight="10420" tabRatio="829" xr2:uid="{F391FF69-9595-4763-A203-9F02FC0803E7}"/>
  </bookViews>
  <sheets>
    <sheet name="R-1_R-2_Heat-Pump Rate" sheetId="1" r:id="rId1"/>
    <sheet name="R-1 Factor &amp; Bill Impacts" sheetId="4" r:id="rId2"/>
    <sheet name="R-2 Factor &amp; Bill Impacts" sheetId="6" r:id="rId3"/>
    <sheet name="Resi Typical Bill (3 Ton HP)" sheetId="3" r:id="rId4"/>
    <sheet name="Resi Typical Bill (5 Ton HP)" sheetId="7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</externalReferences>
  <definedNames>
    <definedName name="\A">#REF!</definedName>
    <definedName name="\B">'[1]My Worksheet'!#REF!</definedName>
    <definedName name="\C">#REF!</definedName>
    <definedName name="\D">#REF!</definedName>
    <definedName name="\E">#REF!</definedName>
    <definedName name="\F">[2]LIIncSt!#REF!</definedName>
    <definedName name="\G">[2]LIIncSt!#REF!</definedName>
    <definedName name="\H">[2]LIIncSt!#REF!</definedName>
    <definedName name="\I">#REF!</definedName>
    <definedName name="\K">'[3]PAGE 7'!#REF!</definedName>
    <definedName name="\L">[2]LIIncSt!#REF!</definedName>
    <definedName name="\M">#REF!</definedName>
    <definedName name="\N">#REF!</definedName>
    <definedName name="\O">#REF!</definedName>
    <definedName name="\P">#REF!</definedName>
    <definedName name="\Q">[2]LIIncSt!#REF!</definedName>
    <definedName name="\R">#REF!</definedName>
    <definedName name="\S">#REF!</definedName>
    <definedName name="\T">#REF!</definedName>
    <definedName name="\V">'[4]Var. Anal.'!#REF!</definedName>
    <definedName name="\W">#REF!</definedName>
    <definedName name="\Z">#REF!</definedName>
    <definedName name="______BUV2">'[5]FYTD 12 Gas'!$E$346</definedName>
    <definedName name="______SEG2">'[5]FYTD 12 Gas'!$B$347</definedName>
    <definedName name="_____BUV2">'[5]FYTD 12 Elec '!$E$386</definedName>
    <definedName name="_____FYR10">#REF!</definedName>
    <definedName name="_____FYR11">#REF!</definedName>
    <definedName name="_____FYR12">#REF!</definedName>
    <definedName name="_____FYR2">#REF!</definedName>
    <definedName name="_____FYR3">#REF!</definedName>
    <definedName name="_____FYR4">#REF!</definedName>
    <definedName name="_____FYR5">#REF!</definedName>
    <definedName name="_____FYR6">#REF!</definedName>
    <definedName name="_____FYR7">#REF!</definedName>
    <definedName name="_____FYR8">#REF!</definedName>
    <definedName name="_____FYR9">#REF!</definedName>
    <definedName name="_____PC1">#REF!</definedName>
    <definedName name="_____PC10">#REF!</definedName>
    <definedName name="_____PC11">#REF!</definedName>
    <definedName name="_____PC12">#REF!</definedName>
    <definedName name="_____PC2">#REF!</definedName>
    <definedName name="_____PC3">#REF!</definedName>
    <definedName name="_____PC4">#REF!</definedName>
    <definedName name="_____PC5">#REF!</definedName>
    <definedName name="_____PC6">#REF!</definedName>
    <definedName name="_____PC7">#REF!</definedName>
    <definedName name="_____PC8">#REF!</definedName>
    <definedName name="_____PC9">#REF!</definedName>
    <definedName name="_____PER1">#REF!</definedName>
    <definedName name="_____PER10">#REF!</definedName>
    <definedName name="_____PER11">#REF!</definedName>
    <definedName name="_____PER12">#REF!</definedName>
    <definedName name="_____PER2">#REF!</definedName>
    <definedName name="_____PER3">#REF!</definedName>
    <definedName name="_____PER4">#REF!</definedName>
    <definedName name="_____PER5">#REF!</definedName>
    <definedName name="_____PER6">#REF!</definedName>
    <definedName name="_____PER7">#REF!</definedName>
    <definedName name="_____PER8">#REF!</definedName>
    <definedName name="_____PER9">#REF!</definedName>
    <definedName name="_____SEG2">'[5]FYTD 12 Elec '!$B$387</definedName>
    <definedName name="____BUV2">#REF!</definedName>
    <definedName name="____FYR10">#REF!</definedName>
    <definedName name="____FYR11">#REF!</definedName>
    <definedName name="____FYR12">#REF!</definedName>
    <definedName name="____FYR2">#REF!</definedName>
    <definedName name="____FYR3">#REF!</definedName>
    <definedName name="____FYR4">#REF!</definedName>
    <definedName name="____FYR5">#REF!</definedName>
    <definedName name="____FYR6">#REF!</definedName>
    <definedName name="____FYR7">#REF!</definedName>
    <definedName name="____FYR8">#REF!</definedName>
    <definedName name="____FYR9">#REF!</definedName>
    <definedName name="____PC1">#REF!</definedName>
    <definedName name="____PC10">#REF!</definedName>
    <definedName name="____PC11">#REF!</definedName>
    <definedName name="____PC12">#REF!</definedName>
    <definedName name="____PC2">#REF!</definedName>
    <definedName name="____PC3">#REF!</definedName>
    <definedName name="____PC4">#REF!</definedName>
    <definedName name="____PC5">#REF!</definedName>
    <definedName name="____PC6">#REF!</definedName>
    <definedName name="____PC7">#REF!</definedName>
    <definedName name="____PC8">#REF!</definedName>
    <definedName name="____PC9">#REF!</definedName>
    <definedName name="____PER1">#REF!</definedName>
    <definedName name="____PER10">#REF!</definedName>
    <definedName name="____PER11">#REF!</definedName>
    <definedName name="____PER12">#REF!</definedName>
    <definedName name="____PER2">#REF!</definedName>
    <definedName name="____PER3">#REF!</definedName>
    <definedName name="____PER4">#REF!</definedName>
    <definedName name="____PER5">#REF!</definedName>
    <definedName name="____PER6">#REF!</definedName>
    <definedName name="____PER7">#REF!</definedName>
    <definedName name="____PER8">#REF!</definedName>
    <definedName name="____PER9">#REF!</definedName>
    <definedName name="____SEG2">#REF!</definedName>
    <definedName name="____Yr1">#REF!</definedName>
    <definedName name="___2A">#REF!</definedName>
    <definedName name="___BUV2">#REF!</definedName>
    <definedName name="___C">#REF!</definedName>
    <definedName name="___CO1">#REF!</definedName>
    <definedName name="___CO2">#REF!</definedName>
    <definedName name="___EXH1">#REF!</definedName>
    <definedName name="___FYR10">#REF!</definedName>
    <definedName name="___FYR11">#REF!</definedName>
    <definedName name="___FYR12">#REF!</definedName>
    <definedName name="___FYR2">#REF!</definedName>
    <definedName name="___FYR3">#REF!</definedName>
    <definedName name="___FYR4">#REF!</definedName>
    <definedName name="___FYR5">#REF!</definedName>
    <definedName name="___FYR6">#REF!</definedName>
    <definedName name="___FYR7">#REF!</definedName>
    <definedName name="___FYR8">#REF!</definedName>
    <definedName name="___FYR9">#REF!</definedName>
    <definedName name="___PC1">#REF!</definedName>
    <definedName name="___PC10">#REF!</definedName>
    <definedName name="___PC11">#REF!</definedName>
    <definedName name="___PC12">#REF!</definedName>
    <definedName name="___PC2">#REF!</definedName>
    <definedName name="___PC3">#REF!</definedName>
    <definedName name="___PC4">#REF!</definedName>
    <definedName name="___PC5">#REF!</definedName>
    <definedName name="___PC6">#REF!</definedName>
    <definedName name="___PC7">#REF!</definedName>
    <definedName name="___PC8">#REF!</definedName>
    <definedName name="___PC9">#REF!</definedName>
    <definedName name="___PER1">#REF!</definedName>
    <definedName name="___PER10">#REF!</definedName>
    <definedName name="___PER11">#REF!</definedName>
    <definedName name="___PER12">#REF!</definedName>
    <definedName name="___PER2">#REF!</definedName>
    <definedName name="___PER3">#REF!</definedName>
    <definedName name="___PER4">#REF!</definedName>
    <definedName name="___PER5">#REF!</definedName>
    <definedName name="___PER6">#REF!</definedName>
    <definedName name="___PER7">#REF!</definedName>
    <definedName name="___PER8">#REF!</definedName>
    <definedName name="___PER9">#REF!</definedName>
    <definedName name="___PGI1">#REF!</definedName>
    <definedName name="___PGI10">#REF!</definedName>
    <definedName name="___PGI11">#REF!</definedName>
    <definedName name="___PGI2">#REF!</definedName>
    <definedName name="___PGI3">#REF!</definedName>
    <definedName name="___PGI4">#REF!</definedName>
    <definedName name="___PGI5">#REF!</definedName>
    <definedName name="___PGI6">#REF!</definedName>
    <definedName name="___PGI7">#REF!</definedName>
    <definedName name="___PGI8">#REF!</definedName>
    <definedName name="___PGI9">#REF!</definedName>
    <definedName name="___qtr1">[6]FY2000!$BS$70:$CF$119</definedName>
    <definedName name="___qtr2">[6]FY2000!$BS$122:$CF$172</definedName>
    <definedName name="___SEG2">#REF!</definedName>
    <definedName name="__123Graph_A" hidden="1">#REF!</definedName>
    <definedName name="__123Graph_ACITYGATE" hidden="1">[7]A!$D$246:$J$246</definedName>
    <definedName name="__123Graph_ACNG" hidden="1">[7]A!$D$434:$J$434</definedName>
    <definedName name="__123Graph_AGRAPH2" hidden="1">[7]A!$BB$258:$BB$264</definedName>
    <definedName name="__123Graph_AMARGIN" hidden="1">[7]A!$D$385:$K$385</definedName>
    <definedName name="__123Graph_AMINBD" hidden="1">[7]A!$D$241:$K$241</definedName>
    <definedName name="__123Graph_AMINTAKE" hidden="1">[7]A!$D$381:$K$381</definedName>
    <definedName name="__123Graph_ASTORE" hidden="1">[7]A!$D$276:$K$276</definedName>
    <definedName name="__123Graph_ASTOREBD" hidden="1">[7]A!$D$431:$J$431</definedName>
    <definedName name="__123Graph_ATENN" hidden="1">[7]A!$D$433:$J$433</definedName>
    <definedName name="__123Graph_ATETCO" hidden="1">[7]A!$D$432:$J$432</definedName>
    <definedName name="__123Graph_ATOTAL" hidden="1">[7]A!$O$264:$V$264</definedName>
    <definedName name="__123Graph_ATRANSCO" hidden="1">[7]A!$D$431:$J$431</definedName>
    <definedName name="__123Graph_B" hidden="1">[7]A!$BC$258:$BC$264</definedName>
    <definedName name="__123Graph_BCITYGATE" hidden="1">[7]A!$D$247:$J$247</definedName>
    <definedName name="__123Graph_BCNG" hidden="1">[7]A!$N$440:$T$440</definedName>
    <definedName name="__123Graph_BGRAPH2" hidden="1">[7]A!$BC$258:$BC$264</definedName>
    <definedName name="__123Graph_BSTOREBD" hidden="1">[7]A!$D$432:$J$432</definedName>
    <definedName name="__123Graph_BTENN" hidden="1">[7]A!$N$439:$T$439</definedName>
    <definedName name="__123Graph_BTETCO" hidden="1">[7]A!$N$438:$T$438</definedName>
    <definedName name="__123Graph_BTOTAL" hidden="1">[7]A!$D$276:$K$276</definedName>
    <definedName name="__123Graph_BTRANSCO" hidden="1">[7]A!$N$437:$T$437</definedName>
    <definedName name="__123Graph_C" hidden="1">[7]A!$BD$258:$BD$264</definedName>
    <definedName name="__123Graph_CCITYGATE" hidden="1">[7]A!$D$248:$J$248</definedName>
    <definedName name="__123Graph_CGRAPH2" hidden="1">[7]A!$BD$258:$BD$264</definedName>
    <definedName name="__123Graph_CMINBD" hidden="1">[7]A!$D$240:$K$240</definedName>
    <definedName name="__123Graph_CSTOREBD" hidden="1">[7]A!$D$433:$J$433</definedName>
    <definedName name="__123Graph_DCITYGATE" hidden="1">[7]A!$O$259:$U$259</definedName>
    <definedName name="__123Graph_DSTOREBD" hidden="1">[7]A!$D$434:$J$434</definedName>
    <definedName name="__123Graph_ECITYGATE" hidden="1">[7]A!$O$260:$U$260</definedName>
    <definedName name="__123Graph_X" hidden="1">[7]A!$BA$258:$BA$264</definedName>
    <definedName name="__123Graph_XCITYGATE" hidden="1">[7]A!$D$244:$J$244</definedName>
    <definedName name="__123Graph_XCNG" hidden="1">[7]A!$D$244:$J$244</definedName>
    <definedName name="__123Graph_XGRAPH2" hidden="1">[7]A!$BA$258:$BA$264</definedName>
    <definedName name="__123Graph_XMARGIN" hidden="1">[7]A!$D$244:$K$244</definedName>
    <definedName name="__123Graph_XMINBD" hidden="1">[7]A!$D$244:$K$244</definedName>
    <definedName name="__123Graph_XMINTAKE" hidden="1">[7]A!$D$244:$K$244</definedName>
    <definedName name="__123Graph_XSTORE" hidden="1">[7]A!$D$244:$K$244</definedName>
    <definedName name="__123Graph_XSTOREBD" hidden="1">[7]A!$D$244:$J$244</definedName>
    <definedName name="__123Graph_XTENN" hidden="1">[7]A!$D$244:$J$244</definedName>
    <definedName name="__123Graph_XTETCO" hidden="1">[7]A!$D$244:$J$244</definedName>
    <definedName name="__123Graph_XTOTAL" hidden="1">[7]A!$D$244:$K$244</definedName>
    <definedName name="__123Graph_XTRANSCO" hidden="1">[7]A!$D$244:$J$244</definedName>
    <definedName name="__2A">#REF!</definedName>
    <definedName name="__AMY1">#REF!</definedName>
    <definedName name="__BUV2">#REF!</definedName>
    <definedName name="__C">#REF!</definedName>
    <definedName name="__CO1">#REF!</definedName>
    <definedName name="__CO2">#REF!</definedName>
    <definedName name="__EXH1">#REF!</definedName>
    <definedName name="__FYR10">#REF!</definedName>
    <definedName name="__FYR11">#REF!</definedName>
    <definedName name="__FYR12">#REF!</definedName>
    <definedName name="__FYR2">#REF!</definedName>
    <definedName name="__FYR3">#REF!</definedName>
    <definedName name="__FYR4">#REF!</definedName>
    <definedName name="__FYR5">#REF!</definedName>
    <definedName name="__FYR6">#REF!</definedName>
    <definedName name="__FYR7">#REF!</definedName>
    <definedName name="__FYR8">#REF!</definedName>
    <definedName name="__FYR9">#REF!</definedName>
    <definedName name="__PC1">#REF!</definedName>
    <definedName name="__PC10">#REF!</definedName>
    <definedName name="__PC11">#REF!</definedName>
    <definedName name="__PC12">#REF!</definedName>
    <definedName name="__PC2">#REF!</definedName>
    <definedName name="__PC3">#REF!</definedName>
    <definedName name="__PC4">#REF!</definedName>
    <definedName name="__PC5">#REF!</definedName>
    <definedName name="__PC6">#REF!</definedName>
    <definedName name="__PC7">#REF!</definedName>
    <definedName name="__PC8">#REF!</definedName>
    <definedName name="__PC9">#REF!</definedName>
    <definedName name="__PER1">#REF!</definedName>
    <definedName name="__PER10">#REF!</definedName>
    <definedName name="__PER11">#REF!</definedName>
    <definedName name="__PER12">#REF!</definedName>
    <definedName name="__PER2">#REF!</definedName>
    <definedName name="__PER3">#REF!</definedName>
    <definedName name="__PER4">#REF!</definedName>
    <definedName name="__PER5">#REF!</definedName>
    <definedName name="__PER6">#REF!</definedName>
    <definedName name="__PER7">#REF!</definedName>
    <definedName name="__PER8">#REF!</definedName>
    <definedName name="__PER9">#REF!</definedName>
    <definedName name="__PGI1">#REF!</definedName>
    <definedName name="__PGI10">#REF!</definedName>
    <definedName name="__PGI11">#REF!</definedName>
    <definedName name="__PGI2">#REF!</definedName>
    <definedName name="__PGI3">#REF!</definedName>
    <definedName name="__PGI4">#REF!</definedName>
    <definedName name="__PGI5">#REF!</definedName>
    <definedName name="__PGI6">#REF!</definedName>
    <definedName name="__PGI7">#REF!</definedName>
    <definedName name="__PGI8">#REF!</definedName>
    <definedName name="__PGI9">#REF!</definedName>
    <definedName name="__qtr1">[6]FY2000!$BS$70:$CF$119</definedName>
    <definedName name="__qtr2">[6]FY2000!$BS$122:$CF$172</definedName>
    <definedName name="__SEG2">#REF!</definedName>
    <definedName name="__SUM3">#REF!</definedName>
    <definedName name="__Yr1">#REF!</definedName>
    <definedName name="_00301_PS">#REF!</definedName>
    <definedName name="_1__123Graph_ACHART_1" hidden="1">[8]TME11_2010!#REF!</definedName>
    <definedName name="_1_2A">#REF!</definedName>
    <definedName name="_10YR">#REF!</definedName>
    <definedName name="_12__123Graph_CCHART_1" hidden="1">[8]TME11_2010!#REF!</definedName>
    <definedName name="_15YR">#REF!</definedName>
    <definedName name="_16__123Graph_XCHART_1" hidden="1">[8]TME11_2010!#REF!</definedName>
    <definedName name="_18__123Graph_BCHART_1" hidden="1">[8]TME11_2010!#REF!</definedName>
    <definedName name="_1A">#REF!</definedName>
    <definedName name="_1ACCESS_RECON">'[9]Basic-Default'!#REF!</definedName>
    <definedName name="_1B">#REF!</definedName>
    <definedName name="_1塅Ep_rates___________Ş________耀_____top_rmsሻ__________ş________耀_____to">#REF!</definedName>
    <definedName name="_2__123Graph_ACHART_1" hidden="1">[8]TME11_2010!#REF!</definedName>
    <definedName name="_2__123Graph_BCHART_1" hidden="1">[8]TME11_2010!#REF!</definedName>
    <definedName name="_2_2A">#REF!</definedName>
    <definedName name="_27__123Graph_CCHART_1" hidden="1">[8]TME11_2010!#REF!</definedName>
    <definedName name="_2A">#REF!</definedName>
    <definedName name="_2A_G">#REF!</definedName>
    <definedName name="_2PAGE_3">#REF!</definedName>
    <definedName name="_3__123Graph_CCHART_1" hidden="1">[8]TME11_2010!#REF!</definedName>
    <definedName name="_36__123Graph_XCHART_1" hidden="1">[8]TME11_2010!#REF!</definedName>
    <definedName name="_3PREPARED_BY">'[10]Start Balance'!$C$15</definedName>
    <definedName name="_4__123Graph_ACHART_1" hidden="1">[8]TME11_2010!#REF!</definedName>
    <definedName name="_4__123Graph_BCHART_1" hidden="1">[8]TME11_2010!#REF!</definedName>
    <definedName name="_4__123Graph_XCHART_1" hidden="1">[8]TME11_2010!#REF!</definedName>
    <definedName name="_4_7_14">#REF!</definedName>
    <definedName name="_4A">#REF!</definedName>
    <definedName name="_4A_G">#REF!</definedName>
    <definedName name="_4B">#REF!</definedName>
    <definedName name="_4TRANS_RECON">[11]trans!#REF!</definedName>
    <definedName name="_6__123Graph_CCHART_1" hidden="1">[8]TME11_2010!#REF!</definedName>
    <definedName name="_6B">#REF!</definedName>
    <definedName name="_7">#REF!</definedName>
    <definedName name="_8__123Graph_BCHART_1" hidden="1">[8]TME11_2010!#REF!</definedName>
    <definedName name="_8__123Graph_XCHART_1" hidden="1">[8]TME11_2010!#REF!</definedName>
    <definedName name="_9__123Graph_ACHART_1" hidden="1">[8]TME11_2010!#REF!</definedName>
    <definedName name="_94AVGUSE">#REF!</definedName>
    <definedName name="_94CUST">#REF!</definedName>
    <definedName name="_94NORMAR">#REF!</definedName>
    <definedName name="_94NORMARNOCC">#REF!</definedName>
    <definedName name="_94NORVOL">#REF!</definedName>
    <definedName name="_94RTNOCC">#REF!</definedName>
    <definedName name="_94RTWCC">#REF!</definedName>
    <definedName name="_94WTHRT">#REF!</definedName>
    <definedName name="_95AVGUSE">#REF!</definedName>
    <definedName name="_95BDAY">#REF!</definedName>
    <definedName name="_95BDAYRTCL">#REF!</definedName>
    <definedName name="_95CUST">#REF!</definedName>
    <definedName name="_95NORMAR">#REF!</definedName>
    <definedName name="_95NORMARNOCC">#REF!</definedName>
    <definedName name="_95NORVOL">#REF!</definedName>
    <definedName name="_95RTNOCC">#REF!</definedName>
    <definedName name="_95RTWCC">#REF!</definedName>
    <definedName name="_96BDAY">#REF!</definedName>
    <definedName name="_96BDAYRTCL">#REF!</definedName>
    <definedName name="_97VOL">#REF!</definedName>
    <definedName name="_AMY1">#REF!</definedName>
    <definedName name="_BDD0111">#REF!</definedName>
    <definedName name="_BDD0311">#REF!</definedName>
    <definedName name="_BDD0411">#REF!</definedName>
    <definedName name="_BDD0509">#REF!</definedName>
    <definedName name="_BDD0511">#REF!</definedName>
    <definedName name="_BDD0611">#REF!</definedName>
    <definedName name="_BDD0811">[12]BDD1211!$A$1:$M$27</definedName>
    <definedName name="_BUN2">#REF!</definedName>
    <definedName name="_BUV2">#REF!</definedName>
    <definedName name="_C">#REF!</definedName>
    <definedName name="_Cat1">#REF!</definedName>
    <definedName name="_CGP1">'[13]Page 1-Peak'!$A$4:$I$30</definedName>
    <definedName name="_CGP10">'[13]Page 10'!$A$4:$J$38</definedName>
    <definedName name="_CGP11">'[13]Page 11'!$A$4:$K$37</definedName>
    <definedName name="_CGP12">#REF!</definedName>
    <definedName name="_CGP13">'[13]Page 14'!$A$4:$G$32</definedName>
    <definedName name="_CGP14">'[13]Page 15'!$A$4:$K$23</definedName>
    <definedName name="_CGP16">'[13]Page 17'!$A$8:$S$69</definedName>
    <definedName name="_CGP17">'[13]Page 18'!$A$2:$R$48</definedName>
    <definedName name="_CGP18">'[13]Page 19'!$A$5:$O$34</definedName>
    <definedName name="_CGP19">'[13]Page 20'!$A$3:$R$11</definedName>
    <definedName name="_CGP2">'[13]Page 2'!$A$4:$I$42</definedName>
    <definedName name="_CGP20">'[13]Page 21'!$B$7:$R$18</definedName>
    <definedName name="_CGP21">'[13]Page 22'!$A$3:$R$14</definedName>
    <definedName name="_CGP22">'[13]Page 23'!$B$4:$F$64</definedName>
    <definedName name="_CGP23">#REF!</definedName>
    <definedName name="_CGP24">#REF!</definedName>
    <definedName name="_CGP3">'[13]Page 3'!$A$4:$I$40</definedName>
    <definedName name="_CGP4">#REF!</definedName>
    <definedName name="_CGP5">'[14]Page 5'!#REF!</definedName>
    <definedName name="_CGP6">#REF!</definedName>
    <definedName name="_CGP7">'[13]Page 6'!$A$1:$E$52</definedName>
    <definedName name="_CGP8">'[13]Page 7'!$A$1:$G$54</definedName>
    <definedName name="_CGP9">'[13]Page 9'!$A$1:$I$48</definedName>
    <definedName name="_CNG1">#REF!</definedName>
    <definedName name="_CNG5">[15]CNG!#REF!</definedName>
    <definedName name="_CO1">#REF!</definedName>
    <definedName name="_CO2">#REF!</definedName>
    <definedName name="_Co49">'[16]Liabilities Rec List'!#REF!</definedName>
    <definedName name="_ex3">[17]NY_FSO!#REF!</definedName>
    <definedName name="_ex4">[17]NY_HDD!#REF!</definedName>
    <definedName name="_EXH1">#REF!</definedName>
    <definedName name="_Fill" hidden="1">#REF!</definedName>
    <definedName name="_FIT1">'[2]LISIT-FIT'!#REF!</definedName>
    <definedName name="_FYR10">#REF!</definedName>
    <definedName name="_FYR11">#REF!</definedName>
    <definedName name="_FYR12">#REF!</definedName>
    <definedName name="_FYR2">#REF!</definedName>
    <definedName name="_FYR3">#REF!</definedName>
    <definedName name="_FYR4">#REF!</definedName>
    <definedName name="_FYR5">#REF!</definedName>
    <definedName name="_FYR6">#REF!</definedName>
    <definedName name="_FYR7">#REF!</definedName>
    <definedName name="_FYR8">#REF!</definedName>
    <definedName name="_FYR9">#REF!</definedName>
    <definedName name="_JE903">#REF!</definedName>
    <definedName name="_Key1" hidden="1">#REF!</definedName>
    <definedName name="_KEY2">#REF!</definedName>
    <definedName name="_KEY3">#REF!</definedName>
    <definedName name="_KEY4">#REF!</definedName>
    <definedName name="_LDP1">'[13]LDAC Page 1'!$A$4:$U$18</definedName>
    <definedName name="_LDP10">'[14]LDAC Page 11'!#REF!</definedName>
    <definedName name="_LDP2">'[13]LDAC Page 2'!$A$4:$E$25</definedName>
    <definedName name="_LDP3">'[13]LDAC Page 3'!$A$3:$E$28</definedName>
    <definedName name="_LDP4">#REF!</definedName>
    <definedName name="_LDP5">#REF!</definedName>
    <definedName name="_LDP6">'[13]LDAC Page 7'!$A$5:$E$48</definedName>
    <definedName name="_LDP7">'[13]LDAC Page 8'!$A$22:$E$35</definedName>
    <definedName name="_LDP8">'[13]LDAC Page 9'!$B$7:$R$23</definedName>
    <definedName name="_LDP9">'[13]LDAC Page 10'!$A$3:$E$91</definedName>
    <definedName name="_M">#REF!</definedName>
    <definedName name="_Mar1" hidden="1">[18]Apr!#REF!</definedName>
    <definedName name="_MSG1">#REF!</definedName>
    <definedName name="_MSG4">#REF!</definedName>
    <definedName name="_nm2008">#REF!</definedName>
    <definedName name="_nm2009">#REF!</definedName>
    <definedName name="_OPP1">#REF!</definedName>
    <definedName name="_opp2">#REF!</definedName>
    <definedName name="_Order1" hidden="1">255</definedName>
    <definedName name="_Order2" hidden="1">0</definedName>
    <definedName name="_org1">#REF!</definedName>
    <definedName name="_org2">#REF!</definedName>
    <definedName name="_P">#REF!</definedName>
    <definedName name="_PC1">#REF!</definedName>
    <definedName name="_PC10">#REF!</definedName>
    <definedName name="_PC11">#REF!</definedName>
    <definedName name="_PC12">#REF!</definedName>
    <definedName name="_PC2">#REF!</definedName>
    <definedName name="_PC3">#REF!</definedName>
    <definedName name="_PC4">#REF!</definedName>
    <definedName name="_PC5">#REF!</definedName>
    <definedName name="_PC6">#REF!</definedName>
    <definedName name="_PC7">#REF!</definedName>
    <definedName name="_PC8">#REF!</definedName>
    <definedName name="_PC9">#REF!</definedName>
    <definedName name="_PER1">#REF!</definedName>
    <definedName name="_PER10">#REF!</definedName>
    <definedName name="_PER11">#REF!</definedName>
    <definedName name="_PER12">#REF!</definedName>
    <definedName name="_PER2">#REF!</definedName>
    <definedName name="_PER3">#REF!</definedName>
    <definedName name="_PER4">#REF!</definedName>
    <definedName name="_PER5">#REF!</definedName>
    <definedName name="_PER6">#REF!</definedName>
    <definedName name="_PER7">#REF!</definedName>
    <definedName name="_PER8">#REF!</definedName>
    <definedName name="_PER9">#REF!</definedName>
    <definedName name="_PG1">'[19]1'!#REF!</definedName>
    <definedName name="_PG18">#REF!</definedName>
    <definedName name="_PG24">#REF!</definedName>
    <definedName name="_PG25">#REF!</definedName>
    <definedName name="_PG63">#REF!</definedName>
    <definedName name="_PG72">#REF!</definedName>
    <definedName name="_PG7277">#REF!</definedName>
    <definedName name="_PG73">#REF!</definedName>
    <definedName name="_PG74">#REF!</definedName>
    <definedName name="_PG75">#REF!</definedName>
    <definedName name="_PG76">#REF!</definedName>
    <definedName name="_PG77">#REF!</definedName>
    <definedName name="_PG83">#REF!</definedName>
    <definedName name="_PG84">#REF!</definedName>
    <definedName name="_PG85">#REF!</definedName>
    <definedName name="_PG89">#REF!</definedName>
    <definedName name="_PG90">#REF!</definedName>
    <definedName name="_PG91">#REF!</definedName>
    <definedName name="_PG92">#REF!</definedName>
    <definedName name="_PGI1">#REF!</definedName>
    <definedName name="_PGI10">#REF!</definedName>
    <definedName name="_PGI11">#REF!</definedName>
    <definedName name="_PGI2">#REF!</definedName>
    <definedName name="_PGI3">#REF!</definedName>
    <definedName name="_PGI4">#REF!</definedName>
    <definedName name="_PGI5">#REF!</definedName>
    <definedName name="_PGI6">#REF!</definedName>
    <definedName name="_PGI7">#REF!</definedName>
    <definedName name="_PGI8">#REF!</definedName>
    <definedName name="_PGI9">#REF!</definedName>
    <definedName name="_qtr1">[6]FY2000!$BS$70:$CF$119</definedName>
    <definedName name="_qtr2">[6]FY2000!$BS$122:$CF$172</definedName>
    <definedName name="_qtr3">#REF!</definedName>
    <definedName name="_qtr4">#REF!</definedName>
    <definedName name="_R1OLDCC">'[20]Rate Table'!#REF!</definedName>
    <definedName name="_R1OLDCCOP">'[20]Rate Table'!#REF!</definedName>
    <definedName name="_R1OLDOPHB">'[20]Rate Table'!#REF!</definedName>
    <definedName name="_R1OLDOPTB">'[20]Rate Table'!#REF!</definedName>
    <definedName name="_R1OLDPHB">'[20]Rate Table'!#REF!</definedName>
    <definedName name="_R1OLDPTB">'[20]Rate Table'!#REF!</definedName>
    <definedName name="_R2OLDCC">'[20]Rate Table'!#REF!</definedName>
    <definedName name="_R2OLDCCOP">'[20]Rate Table'!#REF!</definedName>
    <definedName name="_R2OLDOPHB">'[20]Rate Table'!#REF!</definedName>
    <definedName name="_R2OLDOPTB">'[20]Rate Table'!#REF!</definedName>
    <definedName name="_R2OLDPHB">'[20]Rate Table'!#REF!</definedName>
    <definedName name="_R2OLDPTB">'[20]Rate Table'!#REF!</definedName>
    <definedName name="_R3OLDCC">'[20]Rate Table'!#REF!</definedName>
    <definedName name="_R3OLDCCOP">'[20]Rate Table'!#REF!</definedName>
    <definedName name="_R3OLDOPHB">'[20]Rate Table'!#REF!</definedName>
    <definedName name="_R3OLDOPTB">'[20]Rate Table'!#REF!</definedName>
    <definedName name="_R3OLDPHB">'[20]Rate Table'!#REF!</definedName>
    <definedName name="_R3OLDPTB">'[20]Rate Table'!#REF!</definedName>
    <definedName name="_R4OLDCC">'[20]Rate Table'!#REF!</definedName>
    <definedName name="_R4OLDCCOP">'[20]Rate Table'!#REF!</definedName>
    <definedName name="_R4OLDOPHB">'[20]Rate Table'!#REF!</definedName>
    <definedName name="_R4OLDOPTB">'[20]Rate Table'!#REF!</definedName>
    <definedName name="_R4OLDPHB">'[20]Rate Table'!#REF!</definedName>
    <definedName name="_R4OLDPTB">'[20]Rate Table'!#REF!</definedName>
    <definedName name="_Rad1">#REF!</definedName>
    <definedName name="_Rad2">#REF!</definedName>
    <definedName name="_SC7">#REF!</definedName>
    <definedName name="_SEG2">#REF!</definedName>
    <definedName name="_SET1">#REF!</definedName>
    <definedName name="_SET2">#REF!</definedName>
    <definedName name="_SET3">#REF!</definedName>
    <definedName name="_Sort" hidden="1">#REF!</definedName>
    <definedName name="_SQL1">#REF!</definedName>
    <definedName name="_STA65">#REF!</definedName>
    <definedName name="_SUM3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var2">'[21]Var. Anal.'!#REF!</definedName>
    <definedName name="_var3">'[21]Var. Anal.'!#REF!</definedName>
    <definedName name="_Yr1">#REF!</definedName>
    <definedName name="_ZN1">#REF!</definedName>
    <definedName name="a">'[22]Workings 1'!$A$3:$A$21</definedName>
    <definedName name="abc">'[23]COS p1'!$R$1</definedName>
    <definedName name="ACC_INT_EXP">#REF!</definedName>
    <definedName name="Access_Button" hidden="1">"MKTTERM_DATA_List"</definedName>
    <definedName name="AccessDatabase" hidden="1">"S:\LO\EASTERN\Mktterm23.mdb"</definedName>
    <definedName name="Accounts">#REF!</definedName>
    <definedName name="ACT_Electricity_Delivery">#REF!</definedName>
    <definedName name="ACT_NE_Gas_Distribution">#REF!</definedName>
    <definedName name="ACT_New_Summary_for_UK">#REF!</definedName>
    <definedName name="ACT_NY_Gas_Distribution">#REF!</definedName>
    <definedName name="ACT_Total_Gas_Distribution">#REF!</definedName>
    <definedName name="ACT_vs_BUD_Main_Distribution_and_Gas">#REF!</definedName>
    <definedName name="ACT_vs_BUD_Summ_Var_Anal_Combined">#REF!</definedName>
    <definedName name="ACT_vs_BUD_Summ_Var_Anal_NE">#REF!</definedName>
    <definedName name="ACT_vs_BUD_Summ_Var_Anal_NY">#REF!</definedName>
    <definedName name="Actual">'[24]Actual0910 £'!$A$38:$AX$145</definedName>
    <definedName name="ActualCategory">[25]Settings!$C$5</definedName>
    <definedName name="addsintang">#REF!</definedName>
    <definedName name="addslease">#REF!</definedName>
    <definedName name="addslse">#REF!</definedName>
    <definedName name="addsplant">#REF!</definedName>
    <definedName name="ADJUST">#REF!</definedName>
    <definedName name="AFUDC">#REF!</definedName>
    <definedName name="AG" localSheetId="1" hidden="1">{#N/A,#N/A,FALSE,"OIT summ";#N/A,#N/A,FALSE,"otb summ-dental";#N/A,#N/A,FALSE,"otb summ-vision"}</definedName>
    <definedName name="AG" localSheetId="2" hidden="1">{#N/A,#N/A,FALSE,"OIT summ";#N/A,#N/A,FALSE,"otb summ-dental";#N/A,#N/A,FALSE,"otb summ-vision"}</definedName>
    <definedName name="AG" hidden="1">{#N/A,#N/A,FALSE,"OIT summ";#N/A,#N/A,FALSE,"otb summ-dental";#N/A,#N/A,FALSE,"otb summ-vision"}</definedName>
    <definedName name="ALL">#REF!</definedName>
    <definedName name="ALL_PRICING_INFORMATION">#REF!</definedName>
    <definedName name="ALL_SPENDING_BY_PT___SEG_____KEY">#REF!</definedName>
    <definedName name="ANE_BOUNDARY_CITYGATE_BACKUP">#REF!</definedName>
    <definedName name="anscount" hidden="1">1</definedName>
    <definedName name="app">#REF!</definedName>
    <definedName name="APPL">#REF!</definedName>
    <definedName name="Application">[25]Settings!$C$19</definedName>
    <definedName name="Approval">#REF!</definedName>
    <definedName name="approval_by">#REF!</definedName>
    <definedName name="APPSTR">#REF!</definedName>
    <definedName name="apr">[6]FY2000!$W$137:$AG$177</definedName>
    <definedName name="Apr_10">'[26]Apr 10'!$C$2:$G$80</definedName>
    <definedName name="Apr_2004_MCG">#REF!</definedName>
    <definedName name="APRIL_2003_MCG">#REF!</definedName>
    <definedName name="Arrays">[27]Arrays!$A$2:$B$10</definedName>
    <definedName name="ASD">#REF!</definedName>
    <definedName name="asset">'[28]Workings 1'!$C$2:$C$18</definedName>
    <definedName name="AttName">[29]Increase!$J$1</definedName>
    <definedName name="aug">[6]FY2000!$W$311:$AG$351</definedName>
    <definedName name="AUG_2003_MCG">#REF!</definedName>
    <definedName name="Aug_2004_MCG">#REF!</definedName>
    <definedName name="average">#REF!</definedName>
    <definedName name="AVG_RATE">'[21]Data EntryS&amp;T'!#REF!</definedName>
    <definedName name="AVGCOG">#REF!</definedName>
    <definedName name="avgnew">#REF!</definedName>
    <definedName name="b">#REF!</definedName>
    <definedName name="b_icurve">'[30]B &amp; I Curves'!$B$2:$G$312</definedName>
    <definedName name="BACKHAUL">#REF!</definedName>
    <definedName name="basis">#REF!</definedName>
    <definedName name="Basis_Detail">#REF!</definedName>
    <definedName name="basis2">#REF!</definedName>
    <definedName name="Basisprices">#REF!</definedName>
    <definedName name="BDD">#REF!</definedName>
    <definedName name="BDD0611a">#REF!</definedName>
    <definedName name="BF_Cust">#REF!</definedName>
    <definedName name="BFMARGIN">#REF!</definedName>
    <definedName name="BFNORMVOL">#REF!</definedName>
    <definedName name="BFR.Blks.BosEsx">[31]Input.Essex!$D$160:$D$241</definedName>
    <definedName name="BG_BIL_AF">[32]RI_BIL_AF!$A$5:$AT$176</definedName>
    <definedName name="BG_BIL_NF">[32]RI_BIL_NF!$A$5:$AT$176</definedName>
    <definedName name="BG_MC_AF">[32]RI_MC_AF!$A$5:$AT$176</definedName>
    <definedName name="BG_UBL_AF">[32]RI_UBL_AF!$A$5:$AT$175</definedName>
    <definedName name="BG_UBL_NF">[32]RI_UBL_NF!$A$5:$AT$175</definedName>
    <definedName name="BG_VOL_AF">[32]RI_VOL_AF!$A$5:$AT$176</definedName>
    <definedName name="BG_VOL_NF">[32]RI_VOL_NF!$A$5:$AT$176</definedName>
    <definedName name="BG_VOL_NF_2">[33]RI_VOL_NF!$A$5:$AT$176</definedName>
    <definedName name="bi_curve">#REF!</definedName>
    <definedName name="bi_curve2">#REF!</definedName>
    <definedName name="Billed_Fuel_Rev">[34]GcaSummary!$A$16:$DK$79</definedName>
    <definedName name="Billed_Net_Margin_Rev">[34]MarginSummary!$A$19:$DK$82</definedName>
    <definedName name="BKAFUDC">#REF!</definedName>
    <definedName name="BL4Inject">[35]Dispatch!#REF!</definedName>
    <definedName name="blocation">#REF!</definedName>
    <definedName name="BMENU">#REF!</definedName>
    <definedName name="bMTM_Val">#REF!</definedName>
    <definedName name="BNY">#REF!</definedName>
    <definedName name="BNYTOTALS">#REF!</definedName>
    <definedName name="BOAR">#REF!</definedName>
    <definedName name="bondReserve">'[36]Invest-WorkCap-Cap Calcs'!$D$14</definedName>
    <definedName name="BookedFom">[35]Dispatch!#REF!</definedName>
    <definedName name="Bridge99_Index_Recon_List">#REF!</definedName>
    <definedName name="Brief_PL_Summary">'[37]Profit Summary'!#REF!</definedName>
    <definedName name="BROKER">'[38]Nucleus Trade Detail_Futures'!$B$2:$B$268</definedName>
    <definedName name="BU">'[39]Classified-Dec'!$C$256</definedName>
    <definedName name="Budget">'[24]Budget0910 £'!$A$38:$AX$145</definedName>
    <definedName name="BUN">#REF!</definedName>
    <definedName name="BUV">#REF!</definedName>
    <definedName name="BUYSELL">'[40]Nucleus Trade Detail_Futures'!$G$2:$G$500</definedName>
    <definedName name="bvolume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6">#REF!</definedName>
    <definedName name="C_7">#REF!</definedName>
    <definedName name="C_8">#REF!</definedName>
    <definedName name="C_9">#REF!</definedName>
    <definedName name="C_BLOG">#REF!</definedName>
    <definedName name="C_INTERR">#REF!</definedName>
    <definedName name="C_REPA">#REF!</definedName>
    <definedName name="calc">'[28]Workings 1'!$F$13:$F$17</definedName>
    <definedName name="callstkopt">#REF!</definedName>
    <definedName name="CAP_MANAGED">#REF!</definedName>
    <definedName name="Capacity1">[35]Dispatch!#REF!</definedName>
    <definedName name="capex">#REF!</definedName>
    <definedName name="CapexGross">#REF!</definedName>
    <definedName name="CapexIncome">#REF!</definedName>
    <definedName name="CAPSTRUC">[2]LICapStructure!#REF!</definedName>
    <definedName name="CASH">#REF!</definedName>
    <definedName name="Cash_Estimate_August_gas_initial">#REF!</definedName>
    <definedName name="CAT">#REF!</definedName>
    <definedName name="categoryName">#REF!</definedName>
    <definedName name="categoryName_40">'[41]E Chin''s Extract'!#REF!</definedName>
    <definedName name="categoryName_41">'[41]E Chin''s Extract'!#REF!</definedName>
    <definedName name="ce">'[39]Classified-Dec'!$C$255</definedName>
    <definedName name="CELLTOUSE">#REF!</definedName>
    <definedName name="CHANGE_ROW_HEIGHT">#REF!</definedName>
    <definedName name="CHANGE_ROW_HEIGHT_OTHER">#REF!</definedName>
    <definedName name="chAprilMDQ">#REF!</definedName>
    <definedName name="Chg_Impact">#REF!</definedName>
    <definedName name="Chgs_Since_Board">#REF!</definedName>
    <definedName name="Ckopt">#REF!</definedName>
    <definedName name="Classification">#REF!</definedName>
    <definedName name="closing">#REF!</definedName>
    <definedName name="Cmdy">[35]Dispatch!#REF!</definedName>
    <definedName name="cmdyFSS">[35]Dispatch!#REF!</definedName>
    <definedName name="cmdyGSS">[35]Dispatch!#REF!</definedName>
    <definedName name="cmdySS1">[35]Dispatch!#REF!</definedName>
    <definedName name="CNG_GSS_II__APEC__STORAGE__20">#REF!</definedName>
    <definedName name="CngStorage1">#REF!</definedName>
    <definedName name="CngStorage10">[15]CNG!#REF!</definedName>
    <definedName name="CngStorage11">[15]CNG!#REF!</definedName>
    <definedName name="CngStorage12">[15]CNG!#REF!</definedName>
    <definedName name="CngStorage13">[15]CNG!#REF!</definedName>
    <definedName name="CngStorage2">[15]CNG!#REF!</definedName>
    <definedName name="CngStorage3">#REF!</definedName>
    <definedName name="CngStorage4">#REF!</definedName>
    <definedName name="CngStorage5">[15]CNG!#REF!</definedName>
    <definedName name="CngStorage6">[15]CNG!#REF!</definedName>
    <definedName name="CngStorage7">#REF!</definedName>
    <definedName name="CngStorage8">[15]CNG!#REF!</definedName>
    <definedName name="CngStorage9">[15]CNG!#REF!</definedName>
    <definedName name="CO">'[42]Start Balance'!$C$13</definedName>
    <definedName name="COGENTOTALS">#REF!</definedName>
    <definedName name="CombGross">[43]Verify!$B$66</definedName>
    <definedName name="Combined_ACT_vs_BUD_By_P_L">#REF!</definedName>
    <definedName name="Combined_ACT_vs_BUD_By_Type">#REF!</definedName>
    <definedName name="Combined_ACT_vs_BUD_Var_Anal">#REF!</definedName>
    <definedName name="Combined_ACT_vs_BUD_Var_Anal_YTD">#REF!</definedName>
    <definedName name="CombineSeparate">'[44]Input_Rates.Base.New'!#REF!</definedName>
    <definedName name="Comment">[45]Data!$E$91:$E$104</definedName>
    <definedName name="COMMODITY_BACKUP_FOR_STORAGE_INJECTIONS">#REF!</definedName>
    <definedName name="Comp_Yr1">#REF!</definedName>
    <definedName name="Comp_Yr2">#REF!</definedName>
    <definedName name="Comp_Yr3">#REF!</definedName>
    <definedName name="Comp_Yr4">#REF!</definedName>
    <definedName name="Comp_Yr5">#REF!</definedName>
    <definedName name="COMP1">#REF!</definedName>
    <definedName name="COMP2">#REF!</definedName>
    <definedName name="Company">[46]Index!$A$10</definedName>
    <definedName name="Component">#REF!</definedName>
    <definedName name="composite">#REF!</definedName>
    <definedName name="CON">#REF!</definedName>
    <definedName name="Consumption">#REF!</definedName>
    <definedName name="CONTRACTMONTH">'[38]Nucleus Trade Detail_Futures'!$D$2:$D$268</definedName>
    <definedName name="CONTRACTS">'[38]Nucleus Trade Detail_Futures'!$G$2:$G$268</definedName>
    <definedName name="Controllable_Opex">#REF!</definedName>
    <definedName name="CORE_ADJUST">#REF!</definedName>
    <definedName name="CORRFACTOR">#REF!</definedName>
    <definedName name="COSTCONTROL">[2]LIIncSt!#REF!</definedName>
    <definedName name="counterparty">#REF!</definedName>
    <definedName name="cover">#REF!</definedName>
    <definedName name="CP_Billed">[47]CP_Billed!$A$1:$AH$85</definedName>
    <definedName name="CP_fctMC">[47]CP_fctMC!$A$1:$AH$85</definedName>
    <definedName name="CP_fctVol">[47]CP_fctVol!$A$1:$AH$172</definedName>
    <definedName name="CP_His_MC">[47]CP_His_MC!$A$1:$AH$112</definedName>
    <definedName name="CP_His_Vol">[47]CP_His_Vol!$A$1:$AH$112</definedName>
    <definedName name="CP_Inp_MC">[47]CP_Inp_MC!$A$1:$AH$112</definedName>
    <definedName name="CP_NorBld">[47]CP_NorBld!$A$1:$AH$89</definedName>
    <definedName name="CP_NorUBD">[47]CP_NorUBD!$A$1:$AH$89</definedName>
    <definedName name="CP_NorVol">[47]CP_NorVol!$A$1:$AH$89</definedName>
    <definedName name="CP_rawCus">[47]CP_rawCus!$A$1:$AH$90</definedName>
    <definedName name="CP_rawVol">[47]CP_rawVol!$A$1:$AH$90</definedName>
    <definedName name="CP_Unbilled">[47]CP_Unbilled!$A$1:$AH$85</definedName>
    <definedName name="CR">!$A1:$IV1</definedName>
    <definedName name="crap" localSheetId="1" hidden="1">{#N/A,#N/A,FALSE,"OIT summ";#N/A,#N/A,FALSE,"otb summ-dental";#N/A,#N/A,FALSE,"otb summ-vision"}</definedName>
    <definedName name="crap" localSheetId="2" hidden="1">{#N/A,#N/A,FALSE,"OIT summ";#N/A,#N/A,FALSE,"otb summ-dental";#N/A,#N/A,FALSE,"otb summ-vision"}</definedName>
    <definedName name="crap" hidden="1">{#N/A,#N/A,FALSE,"OIT summ";#N/A,#N/A,FALSE,"otb summ-dental";#N/A,#N/A,FALSE,"otb summ-vision"}</definedName>
    <definedName name="CRIS_meters">#REF!</definedName>
    <definedName name="CS">'[39]Classified-Dec'!$C$254</definedName>
    <definedName name="Cum_Growth">#REF!</definedName>
    <definedName name="Cum3ps">[35]Dispatch!#REF!</definedName>
    <definedName name="cum3psFSS">[35]Dispatch!#REF!</definedName>
    <definedName name="cum3psGSS">[35]Dispatch!#REF!</definedName>
    <definedName name="cum3psSS1">[35]Dispatch!#REF!</definedName>
    <definedName name="Cum3rdParty4Inject">[35]Dispatch!#REF!</definedName>
    <definedName name="CumBL4Inject">[35]Dispatch!#REF!</definedName>
    <definedName name="CumBLinject">[35]Dispatch!#REF!</definedName>
    <definedName name="CUMDIFF">#REF!</definedName>
    <definedName name="cumFom4FSS">[35]Dispatch!#REF!</definedName>
    <definedName name="cumFom4GSS">[35]Dispatch!#REF!</definedName>
    <definedName name="cumFom4SS1">[35]Dispatch!#REF!</definedName>
    <definedName name="cumFomInjected">[48]Dispatch!#REF!</definedName>
    <definedName name="cumGDM4FSS">[35]Dispatch!#REF!</definedName>
    <definedName name="cumGDM4GSS">[35]Dispatch!#REF!</definedName>
    <definedName name="cumGDM4SS1">[35]Dispatch!#REF!</definedName>
    <definedName name="Current_month">#REF!</definedName>
    <definedName name="current_month_year">#REF!</definedName>
    <definedName name="current_mtm">'[30]MTM Summary'!#REF!</definedName>
    <definedName name="current_realized">'[30]MTM Summary'!#REF!</definedName>
    <definedName name="current_total">'[30]MTM Summary'!#REF!</definedName>
    <definedName name="current_unrealized">'[30]MTM Summary'!#REF!</definedName>
    <definedName name="current_vol">'[30]MTM Summary'!#REF!</definedName>
    <definedName name="currentBDD0109">#REF!</definedName>
    <definedName name="currentBDD0110">#REF!</definedName>
    <definedName name="currentBDD0209">#REF!</definedName>
    <definedName name="currentBDD0210">#REF!</definedName>
    <definedName name="currentBDD0309">#REF!</definedName>
    <definedName name="currentBDD0310">#REF!</definedName>
    <definedName name="currentBDD0311">#REF!</definedName>
    <definedName name="currentBDD0409">#REF!</definedName>
    <definedName name="currentBDD0410">#REF!</definedName>
    <definedName name="currentBDD0509">#REF!</definedName>
    <definedName name="currentBDD0510">#REF!</definedName>
    <definedName name="currentBDD0609">#REF!</definedName>
    <definedName name="currentBDD0610">#REF!</definedName>
    <definedName name="currentBDD0709">#REF!</definedName>
    <definedName name="currentBDD0710">#REF!</definedName>
    <definedName name="currentBDD0809">#REF!</definedName>
    <definedName name="currentBDD0810">#REF!</definedName>
    <definedName name="currentBDD0909">#REF!</definedName>
    <definedName name="currentBDD0910">#REF!</definedName>
    <definedName name="currentBDD1009">#REF!</definedName>
    <definedName name="currentBDD1010">#REF!</definedName>
    <definedName name="currentBDD1109">#REF!</definedName>
    <definedName name="currentBDD1110">#REF!</definedName>
    <definedName name="currentBDD1209">#REF!</definedName>
    <definedName name="currentBDD1210">#REF!</definedName>
    <definedName name="currentMonthB">#REF!</definedName>
    <definedName name="Curve">#REF!</definedName>
    <definedName name="CUST">#REF!</definedName>
    <definedName name="cust_actual">#REF!</definedName>
    <definedName name="cust_budget">#REF!</definedName>
    <definedName name="CUSTCH">#REF!</definedName>
    <definedName name="Customer_Charges_Rev">[34]MarginSummary!$A$84:$DK$147</definedName>
    <definedName name="CUSTOMERCHG">#REF!</definedName>
    <definedName name="CustomerID">#REF!</definedName>
    <definedName name="CycDD">#REF!</definedName>
    <definedName name="CycDD2">#REF!</definedName>
    <definedName name="d">#REF!</definedName>
    <definedName name="DailyDetailsTable">OFFSET(#REF!,0,0,COUNTA(#REF!),COUNTA(#REF!))</definedName>
    <definedName name="DATA">#REF!</definedName>
    <definedName name="Data_LI">#REF!</definedName>
    <definedName name="Data_NE">#REF!</definedName>
    <definedName name="Data_NY">[49]NY!$C$11:$DO$63</definedName>
    <definedName name="data1">'[50]East of England'!#REF!</definedName>
    <definedName name="Data2">'[50]East of England'!$A$5:$AZ$48</definedName>
    <definedName name="data2004">#REF!</definedName>
    <definedName name="data5">#REF!</definedName>
    <definedName name="data6">#REF!</definedName>
    <definedName name="_xlnm.Database" hidden="1">#REF!</definedName>
    <definedName name="DataCanvas">#REF!</definedName>
    <definedName name="Date">#REF!</definedName>
    <definedName name="date1base">#REF!</definedName>
    <definedName name="date1contract">#REF!</definedName>
    <definedName name="date1posting">#REF!</definedName>
    <definedName name="date1wtd">#REF!</definedName>
    <definedName name="date3base">#REF!</definedName>
    <definedName name="date3contract">#REF!</definedName>
    <definedName name="date3posting">#REF!</definedName>
    <definedName name="date3wtd">#REF!</definedName>
    <definedName name="date7base">#REF!</definedName>
    <definedName name="date7contract">#REF!</definedName>
    <definedName name="date7posting">#REF!</definedName>
    <definedName name="date7wtd">#REF!</definedName>
    <definedName name="DateBargeIC">#REF!</definedName>
    <definedName name="DateBargeKero">#REF!</definedName>
    <definedName name="DateIgnition">#REF!</definedName>
    <definedName name="DateStamp">#NAME?</definedName>
    <definedName name="DateTruckIC">#REF!</definedName>
    <definedName name="DateTruckKero">#REF!</definedName>
    <definedName name="DateTruckTax">#REF!</definedName>
    <definedName name="DateTruckTaxIC">#REF!</definedName>
    <definedName name="DateTruckTaxKero">#REF!</definedName>
    <definedName name="Day4_Flash_Consolidated">#REF!</definedName>
    <definedName name="days">#REF!</definedName>
    <definedName name="daysout">#REF!</definedName>
    <definedName name="DaysPast">#REF!</definedName>
    <definedName name="dccost">#REF!</definedName>
    <definedName name="dddd">'[51]12mo Print View'!#REF!</definedName>
    <definedName name="dddddddddddd" localSheetId="1" hidden="1">{#N/A,#N/A,FALSE,"OIT summ";#N/A,#N/A,FALSE,"otb summ-dental";#N/A,#N/A,FALSE,"otb summ-vision"}</definedName>
    <definedName name="dddddddddddd" localSheetId="2" hidden="1">{#N/A,#N/A,FALSE,"OIT summ";#N/A,#N/A,FALSE,"otb summ-dental";#N/A,#N/A,FALSE,"otb summ-vision"}</definedName>
    <definedName name="dddddddddddd" hidden="1">{#N/A,#N/A,FALSE,"OIT summ";#N/A,#N/A,FALSE,"otb summ-dental";#N/A,#N/A,FALSE,"otb summ-vision"}</definedName>
    <definedName name="DEALTYPE">'[40]Nucleus Trade Detail_Futures'!$A$2:$A$500</definedName>
    <definedName name="dec">[6]FY2000!$W$480:$AG$520</definedName>
    <definedName name="Dec_09">'[26]Dec 09'!$C$2:$G$80</definedName>
    <definedName name="DEC_2003_MCG">#REF!</definedName>
    <definedName name="DEF_GAS_COST_JE">#REF!</definedName>
    <definedName name="DEF_WC_JE">#REF!</definedName>
    <definedName name="DEMAND">#REF!</definedName>
    <definedName name="Description">#REF!</definedName>
    <definedName name="Detail">#REF!</definedName>
    <definedName name="Detail_EarningPlan">#REF!</definedName>
    <definedName name="diPrice1">[35]Dispatch!#REF!</definedName>
    <definedName name="diPrice2">[35]Dispatch!#REF!</definedName>
    <definedName name="diPrice3">[35]Dispatch!#REF!</definedName>
    <definedName name="direc">'[28]Workings 1'!$C$20:$C$24</definedName>
    <definedName name="discount">#REF!</definedName>
    <definedName name="DiscountRate">'[52]General Inputs'!$B$5</definedName>
    <definedName name="DISTOFADJ">[2]LIIncSt!#REF!</definedName>
    <definedName name="DKT">#REF!</definedName>
    <definedName name="DNE_Deal_Nom_Est_Detail">#REF!</definedName>
    <definedName name="Docket">[46]Index!$D$4</definedName>
    <definedName name="DOMcomm">[53]Rates!#REF!</definedName>
    <definedName name="DOMfuel">[53]Rates!#REF!</definedName>
    <definedName name="DOMgsstgpcomm">[54]Rates!#REF!</definedName>
    <definedName name="DOMgsstgpfuel">[54]Rates!#REF!</definedName>
    <definedName name="domserv">#REF!</definedName>
    <definedName name="DPUHeader">#REF!</definedName>
    <definedName name="DPUpp">[46]Index!$G$70</definedName>
    <definedName name="DSM">#REF!</definedName>
    <definedName name="DSMMAR">#REF!</definedName>
    <definedName name="DSMRTCL">#REF!</definedName>
    <definedName name="dsPrice1">[35]Dispatch!#REF!</definedName>
    <definedName name="dsPrice2">[35]Dispatch!#REF!</definedName>
    <definedName name="dsPrice3">[35]Dispatch!#REF!</definedName>
    <definedName name="DSUB">#REF!</definedName>
    <definedName name="DTIwdFirm">[35]Dispatch!#REF!</definedName>
    <definedName name="DTIwdIT">[35]Dispatch!#REF!</definedName>
    <definedName name="e">'[22]Workings 1'!$C$2:$C$18</definedName>
    <definedName name="Econ_Dvpt_Dis">#REF!</definedName>
    <definedName name="ELA">[35]Dispatch!#REF!</definedName>
    <definedName name="ELA3ps">[35]Dispatch!#REF!</definedName>
    <definedName name="ELECPLANTS">#REF!</definedName>
    <definedName name="ELPasoGSS">[15]CNG!#REF!</definedName>
    <definedName name="ENRON">#REF!</definedName>
    <definedName name="ent">#REF!</definedName>
    <definedName name="entity">[55]Data!$B$8:$B$19</definedName>
    <definedName name="entity1">#REF!</definedName>
    <definedName name="entity2">#REF!</definedName>
    <definedName name="ENTRY">#REF!</definedName>
    <definedName name="Eqcallopt">#REF!</definedName>
    <definedName name="EssActuals">#REF!</definedName>
    <definedName name="EssLatest">"P1"</definedName>
    <definedName name="EssOptions">"A1110000000111000010001101000_01000"</definedName>
    <definedName name="ESTIMATED_STORAGE_INJECTIONS_FOR_CITYGATE_BACKUP">#REF!</definedName>
    <definedName name="ESTTAX">#REF!</definedName>
    <definedName name="ETX">#REF!</definedName>
    <definedName name="ETX3ps">[35]Dispatch!#REF!</definedName>
    <definedName name="EVER_NU">#REF!</definedName>
    <definedName name="ew">#REF!</definedName>
    <definedName name="ex">'[56]Total Opex'!$N$4:$AA$24</definedName>
    <definedName name="Excel_BuiltIn_Print_Area_10">#REF!</definedName>
    <definedName name="Excel_BuiltIn_Print_Area_11">#REF!</definedName>
    <definedName name="Excel_BuiltIn_Print_Area_12">#REF!</definedName>
    <definedName name="Excel_BuiltIn_Print_Area_13">#REF!</definedName>
    <definedName name="Excel_BuiltIn_Print_Area_3">#REF!</definedName>
    <definedName name="Excel_BuiltIn_Print_Area_4">#REF!</definedName>
    <definedName name="EXCHANGESUPPLIES">#REF!</definedName>
    <definedName name="Exclude_negative_spread">#REF!</definedName>
    <definedName name="Exh_Name">[46]Index!$D$5</definedName>
    <definedName name="EXH2PAGE1">#REF!</definedName>
    <definedName name="EXH2PAGE3">#REF!</definedName>
    <definedName name="EXH2PAGE4">#REF!</definedName>
    <definedName name="EXH2PAGE5">#REF!</definedName>
    <definedName name="EXH2PAGE6">#REF!</definedName>
    <definedName name="EXH2PAGE7">#REF!</definedName>
    <definedName name="EXH2PAGE8">#REF!</definedName>
    <definedName name="EXH2PAGE9">#REF!</definedName>
    <definedName name="ExpbyCompany">'[57]Exp by Company'!#REF!</definedName>
    <definedName name="Export4ToMDB">#REF!</definedName>
    <definedName name="EXTRA_STORAGE">#REF!</definedName>
    <definedName name="f">'[22]Workings 1'!$F$13:$F$17</definedName>
    <definedName name="FA">#REF!</definedName>
    <definedName name="FC_Combined_FC_vs_BUD_by_P_L">#REF!</definedName>
    <definedName name="FC_Combined_FC_vs_BUD_by_type">#REF!</definedName>
    <definedName name="FC_Combined_FC_vs_BUD_Summary">#REF!</definedName>
    <definedName name="FC_Combined_FC_vs_BUD_Summary_YTD">#REF!</definedName>
    <definedName name="FC_Commodity">#REF!</definedName>
    <definedName name="FC_Electricity_Delivery">#REF!</definedName>
    <definedName name="FC_Main_Distrib_NEG_only">#REF!</definedName>
    <definedName name="FC_Main_Distrib_not_NEG">#REF!</definedName>
    <definedName name="FC_Main_Distribution">#REF!</definedName>
    <definedName name="FC_Main_Distribution_and_Gas">#REF!</definedName>
    <definedName name="FC_Main_Distribution_Detail">#REF!</definedName>
    <definedName name="FC_NE_DIST_FC_vs_BUD">#REF!</definedName>
    <definedName name="FC_NE_DIST_Reg_Assets">#REF!</definedName>
    <definedName name="FC_NE_DIST_Summary">#REF!</definedName>
    <definedName name="FC_NE_FC_vs_BUD_by_P_L">#REF!</definedName>
    <definedName name="FC_NE_FC_vs_BUD_by_type">#REF!</definedName>
    <definedName name="FC_NE_FC_vs_BUD_Summary">#REF!</definedName>
    <definedName name="FC_NE_FC_vs_BUD_Summary_YTD">#REF!</definedName>
    <definedName name="FC_NE_Gas_Distribution">#REF!</definedName>
    <definedName name="FC_NE_GAS_FC_vs_BUD">#REF!</definedName>
    <definedName name="FC_NE_GAS_Reg_Assets">#REF!</definedName>
    <definedName name="FC_NE_GAS_Summary">#REF!</definedName>
    <definedName name="FC_NE_Other_FC_vs_BUD">#REF!</definedName>
    <definedName name="FC_NE_Other_Reg_Assets">#REF!</definedName>
    <definedName name="FC_NE_Other_Summary">#REF!</definedName>
    <definedName name="FC_NE_STD_FC_Summary">#REF!</definedName>
    <definedName name="FC_NE_STD_FC_vs_BUD">#REF!</definedName>
    <definedName name="FC_NE_STD_Reg_Assets">#REF!</definedName>
    <definedName name="FC_NE_STD_Summary">#REF!</definedName>
    <definedName name="FC_NY_DIST_FC_vs_BUD">#REF!</definedName>
    <definedName name="FC_NY_DIST_Reg_Assets">#REF!</definedName>
    <definedName name="FC_NY_DIST_Summary">#REF!</definedName>
    <definedName name="FC_NY_FC_vs_BUD_by_P_L">#REF!</definedName>
    <definedName name="FC_NY_FC_vs_BUD_by_type">#REF!</definedName>
    <definedName name="FC_NY_FC_vs_BUD_Summary">#REF!</definedName>
    <definedName name="FC_NY_FC_vs_BUD_Summary_YTD">#REF!</definedName>
    <definedName name="FC_NY_Gas_Distribution">#REF!</definedName>
    <definedName name="FC_NY_GAS_FC_vs_BUD">#REF!</definedName>
    <definedName name="FC_NY_GAS_Reg_Assets">#REF!</definedName>
    <definedName name="FC_NY_GAS_Summary">#REF!</definedName>
    <definedName name="FC_NY_STD_FC_vs_BUD">#REF!</definedName>
    <definedName name="FC_NY_STD_Reg_Assets">#REF!</definedName>
    <definedName name="FC_NY_STD_Summary">#REF!</definedName>
    <definedName name="FC_Over_Under_FC_vs_BUD_Summary">#REF!</definedName>
    <definedName name="FC_Over_Unders">#REF!</definedName>
    <definedName name="FC_Over_Unders_Month">#REF!</definedName>
    <definedName name="FC_Over_Unders_YTD">#REF!</definedName>
    <definedName name="FC_Stranded">#REF!</definedName>
    <definedName name="FC_Summary">#REF!</definedName>
    <definedName name="FC_Summary_for_UK">#REF!</definedName>
    <definedName name="FC_Total_Gas_Distribution">#REF!</definedName>
    <definedName name="FC_Volatility">#REF!</definedName>
    <definedName name="feb">[6]FY2000!$W$49:$AG$89</definedName>
    <definedName name="Feb_10">'[26]Feb 10'!$C$2:$G$80</definedName>
    <definedName name="FEB_2003_MCG">#REF!</definedName>
    <definedName name="Feb_2004_MCG">#REF!</definedName>
    <definedName name="FEopt">#REF!</definedName>
    <definedName name="ffg" localSheetId="1">'R-1 Factor &amp; Bill Impacts'!ffg</definedName>
    <definedName name="ffg" localSheetId="2">'R-2 Factor &amp; Bill Impacts'!ffg</definedName>
    <definedName name="ffg">[0]!ffg</definedName>
    <definedName name="FILE">#REF!</definedName>
    <definedName name="FileDate">[29]Increase!$J$3</definedName>
    <definedName name="Filing_Date">[46]Index!$D$6</definedName>
    <definedName name="fin">#REF!</definedName>
    <definedName name="Fin_Categories">'[28]Workings 1'!$N$3:$N$16</definedName>
    <definedName name="FINA1_CITYGATE_BACKUP">#REF!</definedName>
    <definedName name="FINA2_CITYGATE_BACKUP">#REF!</definedName>
    <definedName name="Finance">'[28]Workings 1'!$A$23:$A$28</definedName>
    <definedName name="FinancialPriceBase">[25]Settings!$G$15</definedName>
    <definedName name="Firm_Base">#REF!</definedName>
    <definedName name="Firm_Slope">#REF!</definedName>
    <definedName name="FIT">'[58]NIMO-2MRR'!$C$33</definedName>
    <definedName name="FITalt">#REF!</definedName>
    <definedName name="fitalt1">#REF!</definedName>
    <definedName name="FITalt2">'[58]3MRR'!$C$34</definedName>
    <definedName name="FITID">'[2]LISIT-FIT'!#REF!</definedName>
    <definedName name="Flash_Report">#REF!</definedName>
    <definedName name="Flash_Validation">#REF!</definedName>
    <definedName name="FOM4FSS">[35]Dispatch!#REF!</definedName>
    <definedName name="FOM4GSS">[35]Dispatch!#REF!</definedName>
    <definedName name="FOM4SS1">[35]Dispatch!#REF!</definedName>
    <definedName name="fordata">#REF!</definedName>
    <definedName name="ForecastCategory">[25]Settings!$C$3</definedName>
    <definedName name="Forecst">#REF!</definedName>
    <definedName name="fPrice1">[35]Dispatch!#REF!</definedName>
    <definedName name="fPrice2">[35]Dispatch!#REF!</definedName>
    <definedName name="fPrice3">[35]Dispatch!#REF!</definedName>
    <definedName name="FRAN">#REF!</definedName>
    <definedName name="FRBS">#REF!</definedName>
    <definedName name="FREQ">#REF!</definedName>
    <definedName name="FSSinjAft3ps">[35]Dispatch!#REF!</definedName>
    <definedName name="FSSinjAftFOM">[35]Dispatch!#REF!</definedName>
    <definedName name="FT_Var">#REF!</definedName>
    <definedName name="fts5Fuel">[59]Variables!$D$42</definedName>
    <definedName name="fts8Fuel">[59]Variables!$D$44</definedName>
    <definedName name="fuelFSS">[35]Dispatch!#REF!</definedName>
    <definedName name="fuelGSS">[35]Dispatch!#REF!</definedName>
    <definedName name="fuelSS1">[35]Dispatch!#REF!</definedName>
    <definedName name="FY05_Combined_by_P_L">#REF!</definedName>
    <definedName name="FY05_Combined_by_Segment_Full_Year">#REF!</definedName>
    <definedName name="FY05_Combined_by_Segment_Half_Year">#REF!</definedName>
    <definedName name="FY05_Combined_by_Type">#REF!</definedName>
    <definedName name="FY05_Commodity">#REF!</definedName>
    <definedName name="FY05_Cover">#REF!</definedName>
    <definedName name="FY05_Electricity_Delivery">#REF!</definedName>
    <definedName name="FY05_Main_Distrib_NEG_only">#REF!</definedName>
    <definedName name="FY05_Main_Distrib_not_NEG">#REF!</definedName>
    <definedName name="FY05_Main_Distribution">#REF!</definedName>
    <definedName name="FY05_Main_Distribution_and_Gas">#REF!</definedName>
    <definedName name="FY05_Main_Distribution_Detail">#REF!</definedName>
    <definedName name="FY05_NE_by_P_L">#REF!</definedName>
    <definedName name="FY05_NE_by_Segment_Full_Year">#REF!</definedName>
    <definedName name="FY05_NE_by_Segment_Half_Year">#REF!</definedName>
    <definedName name="FY05_NE_by_Type">#REF!</definedName>
    <definedName name="FY05_NE_Distribution">#REF!</definedName>
    <definedName name="FY05_NE_Gas">#REF!</definedName>
    <definedName name="FY05_NE_Gas_Distribution">#REF!</definedName>
    <definedName name="FY05_NE_Other">#REF!</definedName>
    <definedName name="FY05_NE_Stranded">#REF!</definedName>
    <definedName name="FY05_NY_by_P_L">#REF!</definedName>
    <definedName name="FY05_NY_by_Segment_Full_Year">#REF!</definedName>
    <definedName name="FY05_NY_by_Segment_Half_Year">#REF!</definedName>
    <definedName name="FY05_NY_by_Type">#REF!</definedName>
    <definedName name="FY05_NY_Distribution">#REF!</definedName>
    <definedName name="FY05_NY_Gas">#REF!</definedName>
    <definedName name="FY05_NY_Gas_Distribution">#REF!</definedName>
    <definedName name="FY05_NY_Stranded">#REF!</definedName>
    <definedName name="FY05_Over_Under_Variance_Analysis">#REF!</definedName>
    <definedName name="FY05_Stranded">#REF!</definedName>
    <definedName name="FY05_Summary">#REF!</definedName>
    <definedName name="FY05_Summary_for_UK">#REF!</definedName>
    <definedName name="FY05_Total_Gas_Distribution">#REF!</definedName>
    <definedName name="FY05_Volatility">#REF!</definedName>
    <definedName name="FY2007_Actual_IAS_adjustments">#REF!</definedName>
    <definedName name="fynn">#REF!</definedName>
    <definedName name="FYR">#REF!</definedName>
    <definedName name="FYR10A">#REF!</definedName>
    <definedName name="FYR10B">#REF!</definedName>
    <definedName name="FYR11A">#REF!</definedName>
    <definedName name="FYR11B">#REF!</definedName>
    <definedName name="FYR12A">#REF!</definedName>
    <definedName name="FYR12B">#REF!</definedName>
    <definedName name="FYR8A">#REF!</definedName>
    <definedName name="FYR8B">#REF!</definedName>
    <definedName name="FYR9A">#REF!</definedName>
    <definedName name="FYR9B">#REF!</definedName>
    <definedName name="FZRPT">#REF!</definedName>
    <definedName name="g">'[22]Workings 1'!$H$3:$H$10</definedName>
    <definedName name="G41OLDCC">'[20]Rate Table'!#REF!</definedName>
    <definedName name="G41OLDCCOP">'[20]Rate Table'!#REF!</definedName>
    <definedName name="G41OLDOPHB">'[20]Rate Table'!#REF!</definedName>
    <definedName name="G41OLDOPTB">'[20]Rate Table'!#REF!</definedName>
    <definedName name="G41OLDPHB">'[20]Rate Table'!#REF!</definedName>
    <definedName name="G41OLDPTB">'[20]Rate Table'!#REF!</definedName>
    <definedName name="G42OLDCC">'[20]Rate Table'!#REF!</definedName>
    <definedName name="G42OLDCCOP">'[20]Rate Table'!#REF!</definedName>
    <definedName name="G42OLDOPHB">'[20]Rate Table'!#REF!</definedName>
    <definedName name="G42OLDOPTB">'[20]Rate Table'!#REF!</definedName>
    <definedName name="G42OLDPHB">'[20]Rate Table'!#REF!</definedName>
    <definedName name="G42OLDPTB">'[20]Rate Table'!#REF!</definedName>
    <definedName name="G43OLDCC">'[20]Rate Table'!#REF!</definedName>
    <definedName name="G43OLDCCOP">'[20]Rate Table'!#REF!</definedName>
    <definedName name="G43OLDOPHB">'[20]Rate Table'!#REF!</definedName>
    <definedName name="G43OLDOPTB">'[20]Rate Table'!#REF!</definedName>
    <definedName name="G43OLDPHB">'[20]Rate Table'!#REF!</definedName>
    <definedName name="G43OLDPTB">'[20]Rate Table'!#REF!</definedName>
    <definedName name="G51OLDCC">'[20]Rate Table'!#REF!</definedName>
    <definedName name="G51OLDCCOP">'[20]Rate Table'!#REF!</definedName>
    <definedName name="G51OLDOPHB">'[20]Rate Table'!#REF!</definedName>
    <definedName name="G51OLDOPTB">'[20]Rate Table'!#REF!</definedName>
    <definedName name="G51OLDPHB">'[20]Rate Table'!#REF!</definedName>
    <definedName name="G51OLDPTB">'[20]Rate Table'!#REF!</definedName>
    <definedName name="G52OLDCC">'[20]Rate Table'!#REF!</definedName>
    <definedName name="G52OLDCCOP">'[20]Rate Table'!#REF!</definedName>
    <definedName name="G52OLDOPHB">'[20]Rate Table'!#REF!</definedName>
    <definedName name="G52OLDOPTB">'[20]Rate Table'!#REF!</definedName>
    <definedName name="G52OLDPHB">'[20]Rate Table'!#REF!</definedName>
    <definedName name="G52OLDPTB">'[20]Rate Table'!#REF!</definedName>
    <definedName name="G53OLDCC">'[20]Rate Table'!#REF!</definedName>
    <definedName name="G53OLDCCOP">'[20]Rate Table'!#REF!</definedName>
    <definedName name="G53OLDOPHB">'[20]Rate Table'!#REF!</definedName>
    <definedName name="G53OLDOPTB">'[20]Rate Table'!#REF!</definedName>
    <definedName name="G53OLDPHB">'[20]Rate Table'!#REF!</definedName>
    <definedName name="G53OLDPTB">'[20]Rate Table'!#REF!</definedName>
    <definedName name="G61OLDCC">'[20]Rate Table'!#REF!</definedName>
    <definedName name="G61OLDCCOP">'[20]Rate Table'!#REF!</definedName>
    <definedName name="G61OLDOPHB">'[20]Rate Table'!#REF!</definedName>
    <definedName name="G61OLDOPTB">'[20]Rate Table'!#REF!</definedName>
    <definedName name="G61OLDPHB">'[20]Rate Table'!#REF!</definedName>
    <definedName name="G61OLDPTB">'[20]Rate Table'!#REF!</definedName>
    <definedName name="G62OLDCC">'[20]Rate Table'!#REF!</definedName>
    <definedName name="G62OLDCCOP">'[20]Rate Table'!#REF!</definedName>
    <definedName name="G62OLDOPHB">'[20]Rate Table'!#REF!</definedName>
    <definedName name="G62OLDOPTB">'[20]Rate Table'!#REF!</definedName>
    <definedName name="G62OLDPHB">'[20]Rate Table'!#REF!</definedName>
    <definedName name="G62OLDPTB">'[20]Rate Table'!#REF!</definedName>
    <definedName name="G63OLDCC">'[20]Rate Table'!#REF!</definedName>
    <definedName name="G63OLDCCOP">'[20]Rate Table'!#REF!</definedName>
    <definedName name="G63OLDOPHB">'[20]Rate Table'!#REF!</definedName>
    <definedName name="G63OLDOPTB">'[20]Rate Table'!#REF!</definedName>
    <definedName name="G63OLDPHB">'[20]Rate Table'!#REF!</definedName>
    <definedName name="G63OLDPTB">'[20]Rate Table'!#REF!</definedName>
    <definedName name="GACDATE">#REF!</definedName>
    <definedName name="gascost">#REF!</definedName>
    <definedName name="GASCOSTSUM">#REF!</definedName>
    <definedName name="GASPAYBACKS">#REF!</definedName>
    <definedName name="GASSWAPS">#REF!</definedName>
    <definedName name="GateFom">[35]Dispatch!#REF!</definedName>
    <definedName name="GCStorage">#REF!</definedName>
    <definedName name="GDD">#REF!</definedName>
    <definedName name="GDM4FSS">[35]Dispatch!#REF!</definedName>
    <definedName name="GDM4GSS">[35]Dispatch!#REF!</definedName>
    <definedName name="GDM4Inject">[35]Dispatch!#REF!</definedName>
    <definedName name="GDM4SS1">[35]Dispatch!#REF!</definedName>
    <definedName name="GDMinjTot">[35]Dispatch!#REF!</definedName>
    <definedName name="gl_items">'[60]Recon items - in Lawson'!$G$2:$G$244</definedName>
    <definedName name="GLD">#REF!</definedName>
    <definedName name="GLData">#REF!</definedName>
    <definedName name="GLENTRIE">#REF!</definedName>
    <definedName name="GLFILE">'[61]DB GL FILE'!#REF!</definedName>
    <definedName name="GLFILE2">'[62]DB GL'!#REF!</definedName>
    <definedName name="GLFILE3">'[63]DB GL'!#REF!</definedName>
    <definedName name="GRAPH_DATA">#REF!</definedName>
    <definedName name="GRAPHS">#REF!</definedName>
    <definedName name="GROSS">#REF!</definedName>
    <definedName name="GrossGrowthByClass">#REF!</definedName>
    <definedName name="GrossMarGrowthByClass">#REF!</definedName>
    <definedName name="GrossRepex">#REF!</definedName>
    <definedName name="GSCSTRCL">#REF!</definedName>
    <definedName name="GSSinjAft3ps">[35]Dispatch!#REF!</definedName>
    <definedName name="GSSinjAftFOM">[35]Dispatch!#REF!</definedName>
    <definedName name="H">#REF!</definedName>
    <definedName name="HATT">#REF!</definedName>
    <definedName name="HDD">#REF!</definedName>
    <definedName name="HDD0611a">#REF!</definedName>
    <definedName name="HeadingDate">#REF!</definedName>
    <definedName name="Hearing_Officer">[46]Index!$D$8</definedName>
    <definedName name="HeatTypeLIst">'[52]General Inputs'!$C$57:$C$60</definedName>
    <definedName name="HESS1_CITYGATE_BACKUP">#REF!</definedName>
    <definedName name="HESS2_CITYGATE_BACKUP">#REF!</definedName>
    <definedName name="HESS3_CITYGATE_BACKUP">#REF!</definedName>
    <definedName name="HILOW">#REF!</definedName>
    <definedName name="home">#REF!</definedName>
    <definedName name="HTML_CodePage" hidden="1">1252</definedName>
    <definedName name="HTML_Control" localSheetId="1" hidden="1">{"'Worksheet'!$A$3:$R$184"}</definedName>
    <definedName name="HTML_Control" localSheetId="2" hidden="1">{"'Worksheet'!$A$3:$R$184"}</definedName>
    <definedName name="HTML_Control" hidden="1">{"'Worksheet'!$A$3:$R$184"}</definedName>
    <definedName name="HTML_Description" hidden="1">""</definedName>
    <definedName name="HTML_Email" hidden="1">""</definedName>
    <definedName name="HTML_Header" hidden="1">"Worksheet"</definedName>
    <definedName name="HTML_LastUpdate" hidden="1">"3/19/1999"</definedName>
    <definedName name="HTML_LineAfter" hidden="1">FALSE</definedName>
    <definedName name="HTML_LineBefore" hidden="1">FALSE</definedName>
    <definedName name="HTML_Name" hidden="1">"Al Kinne"</definedName>
    <definedName name="HTML_OBDlg2" hidden="1">TRUE</definedName>
    <definedName name="HTML_OBDlg4" hidden="1">TRUE</definedName>
    <definedName name="HTML_OS" hidden="1">0</definedName>
    <definedName name="HTML_PathFile" hidden="1">"N:\excel\work\MyHTML.htm"</definedName>
    <definedName name="HTML_Title" hidden="1">"Interconnection Rev's &amp; Purch's for 1999"</definedName>
    <definedName name="HUBLine3ps">[35]Dispatch!#REF!</definedName>
    <definedName name="HVM">#REF!</definedName>
    <definedName name="i">#REF!</definedName>
    <definedName name="ICC_CITYGATE_BACKUP">#REF!</definedName>
    <definedName name="ICNarrow">#REF!</definedName>
    <definedName name="ICWide">#REF!</definedName>
    <definedName name="iec">[64]FinPlanLI!#REF!</definedName>
    <definedName name="IF_Col_Gulf_LA35886">#REF!</definedName>
    <definedName name="IncRepex">#REF!</definedName>
    <definedName name="Index_Curve">[30]indexcurve!$A$3:$N$21</definedName>
    <definedName name="Index_Detail">#REF!</definedName>
    <definedName name="Index_Start">#REF!</definedName>
    <definedName name="Inflation">'[52]General Inputs'!$B$6</definedName>
    <definedName name="initial_profit_summary_July_2001">#REF!</definedName>
    <definedName name="Inj._Daily">#REF!</definedName>
    <definedName name="InjectedFom">[48]Dispatch!#REF!</definedName>
    <definedName name="injectedFSS">[35]Dispatch!#REF!</definedName>
    <definedName name="injectedGSS">[35]Dispatch!#REF!</definedName>
    <definedName name="injectedSS1">[35]Dispatch!#REF!</definedName>
    <definedName name="injectFSS">[35]Dispatch!#REF!</definedName>
    <definedName name="InjectFuel">[35]Dispatch!#REF!</definedName>
    <definedName name="injectGSS">[35]Dispatch!#REF!</definedName>
    <definedName name="InjectionPrice">#REF!</definedName>
    <definedName name="InjectionVol">#REF!</definedName>
    <definedName name="injectSS1">[35]Dispatch!#REF!</definedName>
    <definedName name="inputadds">#REF!</definedName>
    <definedName name="INPUTS">#REF!</definedName>
    <definedName name="Interest">#REF!</definedName>
    <definedName name="Inventory_Storage_Costs">#REF!</definedName>
    <definedName name="Investd">'[28]Workings 1'!$A$3:$A$21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40164.5046875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oquois_EN">#REF!</definedName>
    <definedName name="IROQUOISFT">#REF!</definedName>
    <definedName name="IROQUOISIT">#REF!</definedName>
    <definedName name="IsAuto_Open">#REF!</definedName>
    <definedName name="isc">[64]FinPlanLI!#REF!</definedName>
    <definedName name="ITTHRES">#REF!</definedName>
    <definedName name="J">#REF!</definedName>
    <definedName name="jan">[6]FY2000!$W$5:$AG$45</definedName>
    <definedName name="Jan_10">'[26]Jan 10'!$C$2:$G$80</definedName>
    <definedName name="JAN_2003_MCG">#REF!</definedName>
    <definedName name="Jan_2004_MCG">#REF!</definedName>
    <definedName name="JANREV">[65]TRIGEN!#REF!</definedName>
    <definedName name="JE">#REF!</definedName>
    <definedName name="JJSForecast">#REF!</definedName>
    <definedName name="Jour_Prefix">[66]IS!#REF!</definedName>
    <definedName name="JourAppl">#REF!</definedName>
    <definedName name="JourCat">#REF!</definedName>
    <definedName name="JourDB">#REF!</definedName>
    <definedName name="JourDesc">#REF!</definedName>
    <definedName name="JourEntity">#REF!</definedName>
    <definedName name="JourFreq">#REF!</definedName>
    <definedName name="JOURNAL">#REF!</definedName>
    <definedName name="JourRef">#REF!</definedName>
    <definedName name="jul">[6]FY2000!$W$268:$AG$308</definedName>
    <definedName name="Jul_2004_MCG">#REF!</definedName>
    <definedName name="JULY_2003_MCG">#REF!</definedName>
    <definedName name="JulyPricing_ICTRUCK__List">#REF!</definedName>
    <definedName name="jun">[6]FY2000!$W$225:$AG$265</definedName>
    <definedName name="Jun_2004_MCG">#REF!</definedName>
    <definedName name="JUNE_2003_MCG">#REF!</definedName>
    <definedName name="JUNK">#REF!</definedName>
    <definedName name="KIAC">#REF!</definedName>
    <definedName name="KMENU">#REF!</definedName>
    <definedName name="Kopt">#REF!</definedName>
    <definedName name="L">#REF!</definedName>
    <definedName name="LASTYEAR">'[67]Start Balance'!$C$10</definedName>
    <definedName name="LDAF_recon1">#REF!</definedName>
    <definedName name="LDAF_recon2">#REF!</definedName>
    <definedName name="LDGRTH">#REF!</definedName>
    <definedName name="lev">#REF!</definedName>
    <definedName name="LI_Bill_Fuel_Com_Rev">#REF!</definedName>
    <definedName name="LI10yrNormal">#REF!</definedName>
    <definedName name="LI20yrNormal">#REF!</definedName>
    <definedName name="LI30yrNormal">#REF!</definedName>
    <definedName name="LineLossCapacity">'[52]General Inputs'!$B$8</definedName>
    <definedName name="LineLossEnergy">'[52]General Inputs'!$B$7</definedName>
    <definedName name="LNG">#REF!</definedName>
    <definedName name="LNG_Value">#REF!</definedName>
    <definedName name="loadfac">#REF!</definedName>
    <definedName name="location">#REF!</definedName>
    <definedName name="Locationact">'[50]East of England'!$B$7</definedName>
    <definedName name="Log_Gasday">#REF!</definedName>
    <definedName name="Log_GasdayHour">#REF!</definedName>
    <definedName name="Log_GasdayHourPoints">#REF!</definedName>
    <definedName name="Long_Val">#REF!</definedName>
    <definedName name="Long_Vol">#REF!</definedName>
    <definedName name="LossByClass">#REF!</definedName>
    <definedName name="LossMarByClass">#REF!</definedName>
    <definedName name="LYCAT">#REF!</definedName>
    <definedName name="LYPER">#REF!</definedName>
    <definedName name="LYR">#REF!</definedName>
    <definedName name="m" hidden="1">#REF!</definedName>
    <definedName name="M33ps">[35]Dispatch!#REF!</definedName>
    <definedName name="Macro_pivot_table" localSheetId="1">'R-1 Factor &amp; Bill Impacts'!Macro_pivot_table</definedName>
    <definedName name="Macro_pivot_table" localSheetId="2">'R-2 Factor &amp; Bill Impacts'!Macro_pivot_table</definedName>
    <definedName name="Macro_pivot_table">[0]!Macro_pivot_table</definedName>
    <definedName name="mainli">#REF!</definedName>
    <definedName name="MAINMENU">#REF!</definedName>
    <definedName name="mainne">#REF!</definedName>
    <definedName name="mainny">#REF!</definedName>
    <definedName name="Mains">#REF!</definedName>
    <definedName name="man">#REF!</definedName>
    <definedName name="mand">#REF!</definedName>
    <definedName name="mar">[6]FY2000!$W$93:$AG$133</definedName>
    <definedName name="Mar_10">'[26]Mar 10'!$C$2:$G$81</definedName>
    <definedName name="Mar_2004_MCG">#REF!</definedName>
    <definedName name="Mar09Table">[68]Mar09!$B$3:$K$54</definedName>
    <definedName name="MarByRate">#REF!</definedName>
    <definedName name="MARCH_2003_MCG">#REF!</definedName>
    <definedName name="MARGIN">#REF!</definedName>
    <definedName name="Margins">#REF!</definedName>
    <definedName name="MarginSummary">#REF!</definedName>
    <definedName name="MARGRTCL">#REF!</definedName>
    <definedName name="MARKETER">#REF!</definedName>
    <definedName name="Mass_Dist">#REF!</definedName>
    <definedName name="MaxLBMPYear">'[52]General Inputs'!$B$71</definedName>
    <definedName name="MaxRows">#REF!</definedName>
    <definedName name="may">[6]FY2000!$W$181:$AG$221</definedName>
    <definedName name="MAY_2003_MCG">#REF!</definedName>
    <definedName name="May_2004_MCG">#REF!</definedName>
    <definedName name="MDCQADJ">#REF!</definedName>
    <definedName name="MeasureCount">'[52]General Inputs'!$B$70</definedName>
    <definedName name="MENU">[69]Menu!#REF!</definedName>
    <definedName name="MergeHead1">#REF!</definedName>
    <definedName name="MergeHead2">#REF!</definedName>
    <definedName name="MergeHead3">#REF!</definedName>
    <definedName name="meterli">#REF!</definedName>
    <definedName name="MeterNe">#REF!</definedName>
    <definedName name="MeterNY">#REF!</definedName>
    <definedName name="meterwk">#REF!</definedName>
    <definedName name="MgnSummary_5Yrs">'[70]Comparison_5yrs(LI)'!$A$1:$F$43</definedName>
    <definedName name="Midconstorage">#REF!</definedName>
    <definedName name="migration">#REF!</definedName>
    <definedName name="MISC">#REF!</definedName>
    <definedName name="MOBIL1_CITYGATE_BACKUP">#REF!</definedName>
    <definedName name="MOBIL2_CITYGATE_BACKUP">#REF!</definedName>
    <definedName name="MODATE">#REF!</definedName>
    <definedName name="MONTH">#REF!</definedName>
    <definedName name="MonthA">'[67]Start Balance'!$D$7</definedName>
    <definedName name="monthInYear">[36]Inputs!$D$10</definedName>
    <definedName name="monthlist">'[71]Range Lists'!$P$2:$U$14</definedName>
    <definedName name="Monthly">[6]FY2000!$E$5:$P$105</definedName>
    <definedName name="MONTHREMAIN">'[10]Start Balance'!$D$8</definedName>
    <definedName name="Months">#REF!</definedName>
    <definedName name="MOORE_ENERGY_CITYGATE_BACKUP">#REF!</definedName>
    <definedName name="MR">#REF!</definedName>
    <definedName name="MRAA">'[72]12mo Print View'!#REF!</definedName>
    <definedName name="MRBA">'[72]12mo Print View'!#REF!</definedName>
    <definedName name="MRFA">'[72]12mo Print View'!#REF!</definedName>
    <definedName name="MRPFA">'[72]12mo Print View'!#REF!</definedName>
    <definedName name="MTM">[73]Pivots!$B$4:$V$58</definedName>
    <definedName name="MTM_Dol">#REF!</definedName>
    <definedName name="MTM_Value">#REF!</definedName>
    <definedName name="N.Unbilled_NonFuel_Rev">[34]MarginSummary!$A$149:$DK$212</definedName>
    <definedName name="NAME">#REF!</definedName>
    <definedName name="NATeftcomm">[53]Rates!#REF!</definedName>
    <definedName name="NATeftfuel">[53]Rates!#REF!</definedName>
    <definedName name="NATesscomm">[53]Rates!#REF!</definedName>
    <definedName name="NATessfuel">[53]Rates!#REF!</definedName>
    <definedName name="NatlFuel_EN">'[74]Pivot Table -12-31-06'!$B$7:$I$8</definedName>
    <definedName name="NATURALCHOICE">#REF!</definedName>
    <definedName name="NCP">#REF!</definedName>
    <definedName name="NDEC">#REF!</definedName>
    <definedName name="NE_ACT_vs_BUD_By_P_L">#REF!</definedName>
    <definedName name="NE_ACT_vs_BUD_By_Type">#REF!</definedName>
    <definedName name="NE_ACT_vs_BUD_Var_Anal">#REF!</definedName>
    <definedName name="NE_ACT_vs_BUD_Var_Anal_YTD">#REF!</definedName>
    <definedName name="NE_DIST_ACT_Reg_Assets">#REF!</definedName>
    <definedName name="NE_DIST_ACT_Summary_Month">#REF!</definedName>
    <definedName name="NE_DIST_ACT_Summary_YTD">#REF!</definedName>
    <definedName name="NE_DIST_BUD_Reg_Assets">#REF!</definedName>
    <definedName name="NE_DIST_BUD_Summary_Month">#REF!</definedName>
    <definedName name="NE_DIST_BUD_Summary_YTD">#REF!</definedName>
    <definedName name="NE_DIST_BUD_vs_ACT">#REF!</definedName>
    <definedName name="NE_DIST_BUD_YTD">#REF!</definedName>
    <definedName name="NE_GAS_ACT_Reg_Assets">#REF!</definedName>
    <definedName name="NE_GAS_ACT_Summary_Month">#REF!</definedName>
    <definedName name="NE_GAS_ACT_Summary_YTD">#REF!</definedName>
    <definedName name="NE_GAS_BUD_vs_ACT">#REF!</definedName>
    <definedName name="NE_Other_ACT_Reg_Assets">#REF!</definedName>
    <definedName name="NE_Other_ACT_Summary_Month">#REF!</definedName>
    <definedName name="NE_Other_ACT_Summary_YTD">#REF!</definedName>
    <definedName name="NE_Other_BUD_Reg_Assets">#REF!</definedName>
    <definedName name="NE_Other_BUD_Summary_Month">#REF!</definedName>
    <definedName name="NE_Other_BUD_Summary_YTD">#REF!</definedName>
    <definedName name="NE_Other_BUD_vs_ACT">#REF!</definedName>
    <definedName name="NE_STD_ACT_Reg_Assets">#REF!</definedName>
    <definedName name="NE_STD_ACT_Summary_Month">#REF!</definedName>
    <definedName name="NE_STD_ACT_Summary_YTD">#REF!</definedName>
    <definedName name="NE_STD_BUD_Reg_Assets">#REF!</definedName>
    <definedName name="NE_STD_BUD_Summary_Month">#REF!</definedName>
    <definedName name="NE_STD_BUD_Summary_YTD">#REF!</definedName>
    <definedName name="NE_STD_BUD_vs_ACT">#REF!</definedName>
    <definedName name="NET">#REF!</definedName>
    <definedName name="NetGrowthByClass">#REF!</definedName>
    <definedName name="NetLockCust">[75]Input!$AS$9:$BL$116</definedName>
    <definedName name="NetMarGrowthByClass">#REF!</definedName>
    <definedName name="NetRepex">#REF!</definedName>
    <definedName name="Network">'[28]Workings 1'!$H$3:$H$10</definedName>
    <definedName name="NEW">#REF!</definedName>
    <definedName name="New_England_Distribution">#REF!</definedName>
    <definedName name="New_Rate">#REF!</definedName>
    <definedName name="newAG" localSheetId="1" hidden="1">{#N/A,#N/A,FALSE,"OIT summ";#N/A,#N/A,FALSE,"otb summ-dental";#N/A,#N/A,FALSE,"otb summ-vision"}</definedName>
    <definedName name="newAG" localSheetId="2" hidden="1">{#N/A,#N/A,FALSE,"OIT summ";#N/A,#N/A,FALSE,"otb summ-dental";#N/A,#N/A,FALSE,"otb summ-vision"}</definedName>
    <definedName name="newAG" hidden="1">{#N/A,#N/A,FALSE,"OIT summ";#N/A,#N/A,FALSE,"otb summ-dental";#N/A,#N/A,FALSE,"otb summ-vision"}</definedName>
    <definedName name="newname" localSheetId="1" hidden="1">{"'Worksheet'!$A$3:$R$184"}</definedName>
    <definedName name="newname" localSheetId="2" hidden="1">{"'Worksheet'!$A$3:$R$184"}</definedName>
    <definedName name="newname" hidden="1">{"'Worksheet'!$A$3:$R$184"}</definedName>
    <definedName name="neww">[76]JE301919!$A$1:$J$31</definedName>
    <definedName name="NF">[77]Dispatch!#REF!</definedName>
    <definedName name="NigasStorage">#REF!</definedName>
    <definedName name="NIMO_DEALTYPE">[78]Data!$A$2:$A$222</definedName>
    <definedName name="NIMO_MONTH">[78]Data!$E$2:$E$222</definedName>
    <definedName name="NIMO_MTM">'[79]Raw Data'!$O$2:$O$500</definedName>
    <definedName name="NIMO_PNL">[78]Data!$N$2:$N$222</definedName>
    <definedName name="nm2008cus">[12]nm2008cus!$A$1:$O$27</definedName>
    <definedName name="nm2008thm">[12]nm2008thm!$A$1:$O$27</definedName>
    <definedName name="nm2009cus">[12]nm2009cus!$A$1:$I$27</definedName>
    <definedName name="nm2009thm">[12]nm2009thm!$A$1:$D$27</definedName>
    <definedName name="nm2010cus">[12]nm2010cus!$A$1:$D$27</definedName>
    <definedName name="nm2010thm">[12]nm2010thm!$A$1:$D$27</definedName>
    <definedName name="nm2011cus">[12]nm2011cus!$A$1:$D$30</definedName>
    <definedName name="nm2011cus6D">[12]nm2011cus_6D!$A$1:$G$30</definedName>
    <definedName name="nm2011thm">[12]nm2011thm!$A$1:$D$30</definedName>
    <definedName name="nm2011thm6D">[12]nm2011thm_6D!$A$1:$G$30</definedName>
    <definedName name="nondomserv">#REF!</definedName>
    <definedName name="Nonpolover">#REF!</definedName>
    <definedName name="Nonpolunder">#REF!</definedName>
    <definedName name="nonrechargedivers">#REF!</definedName>
    <definedName name="norm_1">#REF!</definedName>
    <definedName name="norm_2">#REF!</definedName>
    <definedName name="norm_3">#REF!</definedName>
    <definedName name="Norm_Billed_Vol">#REF!</definedName>
    <definedName name="NOTE2">#REF!</definedName>
    <definedName name="nov">[6]FY2000!$W$438:$AG$478</definedName>
    <definedName name="Nov_09">'[26]Nov 09'!$C$2:$G$69</definedName>
    <definedName name="NOV_2003_MCG">#REF!</definedName>
    <definedName name="NR">!$A2:$IV2</definedName>
    <definedName name="NvsASD">"V2008-12-31"</definedName>
    <definedName name="NvsAutoDrillOk">"VN"</definedName>
    <definedName name="NvsElapsedTime">0.0000462962998426519</definedName>
    <definedName name="NvsEndTime">39267.0697453704</definedName>
    <definedName name="NvsInstLang">"VENG"</definedName>
    <definedName name="NvsInstSpec">"%,FBUSINESS_UNIT,V00005"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"V2003-11-14"</definedName>
    <definedName name="NvsPanelSetid">"VSHARE"</definedName>
    <definedName name="NvsReqBU">"VNVSDD"</definedName>
    <definedName name="NvsReqBUOnly">"VN"</definedName>
    <definedName name="NvsStyleNme">"NoFormat.xls"</definedName>
    <definedName name="NvsTransLed">"VN"</definedName>
    <definedName name="NvsTreeASD">"V2008-12-31"</definedName>
    <definedName name="NvsValTbl.ACCOUNT">"GL_ACCOUNT_TBL"</definedName>
    <definedName name="NvsValTbl.AFFILIATE_INTRA1">"AFFINTRA1_VW"</definedName>
    <definedName name="NvsValTbl.BUSINESS_UNIT">"BUS_UNIT_TBL_FS"</definedName>
    <definedName name="NvsValTbl.CHARTFIELD2">"CHARTFIELD2_TBL"</definedName>
    <definedName name="NvsValTbl.CHARTFIELD3">"CHARTFIELD3_TBL"</definedName>
    <definedName name="NvsValTbl.CURRENCY_CD">"CHARTFIELD2_TBL"</definedName>
    <definedName name="NvsValTbl.OPERATING_UNIT">"OPER_UNIT_TBL"</definedName>
    <definedName name="NvsValTbl.PRODUCT">"PRODUCT_TBL"</definedName>
    <definedName name="NvsValTbl.PROGRAM_CODE">"PROGRAM_TBL"</definedName>
    <definedName name="NvsValTbl.SCENARIO">"BD_SCENARIO_TBL"</definedName>
    <definedName name="NvsValTbl.STATISTICS_CODE">"STAT_TBL"</definedName>
    <definedName name="NvsValTbl.TREE_NODE">"TREE_NODE_VW"</definedName>
    <definedName name="NY_ACT_vs_BUD_By_Type">#REF!</definedName>
    <definedName name="NY_ACT_vs_BUD_Var_Anal">#REF!</definedName>
    <definedName name="NY_ACT_vs_BUD_Var_Anal_YTD">#REF!</definedName>
    <definedName name="NY_Base">#REF!</definedName>
    <definedName name="NY_BUD_vs_ACT_By_P_L">#REF!</definedName>
    <definedName name="NY_Cust_Dis">#REF!</definedName>
    <definedName name="NY_DIST_ACT_Reg_Assets">#REF!</definedName>
    <definedName name="NY_DIST_ACT_Summary_Month">#REF!</definedName>
    <definedName name="NY_DIST_ACT_Summary_YTD">#REF!</definedName>
    <definedName name="NY_DIST_BUD_Reg_Assets">#REF!</definedName>
    <definedName name="NY_DIST_BUD_Summary_Month">#REF!</definedName>
    <definedName name="NY_DIST_BUD_Summary_YTD">#REF!</definedName>
    <definedName name="NY_DIST_BUD_vs_ACT">#REF!</definedName>
    <definedName name="NY_FIRM_SLOPE">#REF!</definedName>
    <definedName name="NY_GAS_ACT_Reg_Assets">#REF!</definedName>
    <definedName name="NY_GAS_ACT_Summary_Month">#REF!</definedName>
    <definedName name="NY_GAS_ACT_Summary_YTD">#REF!</definedName>
    <definedName name="NY_GAS_BUD_Reg_Assets">#REF!</definedName>
    <definedName name="NY_GAS_BUD_Summary_Month">#REF!</definedName>
    <definedName name="NY_GAS_BUD_Summary_YTD">#REF!</definedName>
    <definedName name="NY_GAS_BUD_vs_ACT">#REF!</definedName>
    <definedName name="NY_STD_ACT_Reg_Assets">#REF!</definedName>
    <definedName name="NY_STD_ACT_Summary_Month">#REF!</definedName>
    <definedName name="NY_STD_ACT_Summary_YTD">#REF!</definedName>
    <definedName name="NY_STD_BUD_Reg_Assets">#REF!</definedName>
    <definedName name="NY_STD_BUD_Summary_Month">#REF!</definedName>
    <definedName name="NY_STD_BUD_Summary_YTD">#REF!</definedName>
    <definedName name="NY_STD_BUD_vs_ACT">#REF!</definedName>
    <definedName name="NY_TCBASE">#REF!</definedName>
    <definedName name="NY_TCSLOPE">#REF!</definedName>
    <definedName name="NY20yrNormal">#REF!</definedName>
    <definedName name="NY30yrNormal">#REF!</definedName>
    <definedName name="NYC">#REF!</definedName>
    <definedName name="NYMEX">#REF!</definedName>
    <definedName name="NYPA">#REF!</definedName>
    <definedName name="NYPAPILG">#REF!</definedName>
    <definedName name="Oct">[6]FY2000!$W$396:$AG$436</definedName>
    <definedName name="Oct_16_2008">#REF!</definedName>
    <definedName name="OCT_2003_MCG">#REF!</definedName>
    <definedName name="Oct2004_MCG">#REF!</definedName>
    <definedName name="OFFSYSTEMSALES">#REF!</definedName>
    <definedName name="OFFSYSTEMTRANSP">#REF!</definedName>
    <definedName name="Old_Rate">#REF!</definedName>
    <definedName name="OP">'[13]Page 1-Off Peak'!$I$7</definedName>
    <definedName name="opco">#REF!</definedName>
    <definedName name="optAdders">#REF!</definedName>
    <definedName name="Options">#REF!</definedName>
    <definedName name="org">#REF!</definedName>
    <definedName name="Originator">[66]IS!#REF!</definedName>
    <definedName name="OTCOPT_MONTH">[80]OPTIONS!$H$2:$H$100</definedName>
    <definedName name="OTCOPT_PNL">[80]OPTIONS!$AF$2:$AF$100</definedName>
    <definedName name="OUTCMP">'[21]Var. Anal.'!#REF!</definedName>
    <definedName name="OUTPUT">#REF!</definedName>
    <definedName name="Over_Under_ACT_mth">#REF!</definedName>
    <definedName name="Over_Under_ACT_YTD">#REF!</definedName>
    <definedName name="Over_Under_BUD">#REF!</definedName>
    <definedName name="Over_Under_BUD_mth">#REF!</definedName>
    <definedName name="Over_Under_BUD_vs_ACT">#REF!</definedName>
    <definedName name="Over_Under_BUD_ytd">#REF!</definedName>
    <definedName name="Over_Unders_ACT">#REF!</definedName>
    <definedName name="PAGE1">#REF!</definedName>
    <definedName name="page10">'[6]Not in Use'!$B$4:$Q$67</definedName>
    <definedName name="PAGE11">#REF!</definedName>
    <definedName name="page12">#REF!</definedName>
    <definedName name="PAGE123">#REF!</definedName>
    <definedName name="page13">#REF!</definedName>
    <definedName name="page14">#REF!</definedName>
    <definedName name="page15">#REF!</definedName>
    <definedName name="PAGE16">#REF!</definedName>
    <definedName name="PAGE16A">#REF!</definedName>
    <definedName name="page17">#REF!</definedName>
    <definedName name="page18">#REF!</definedName>
    <definedName name="page19">#REF!</definedName>
    <definedName name="PAGE1A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5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5">#REF!</definedName>
    <definedName name="PAGE5A">#REF!</definedName>
    <definedName name="page6">#REF!</definedName>
    <definedName name="page7">#REF!</definedName>
    <definedName name="page8">#REF!</definedName>
    <definedName name="PAGE8A">#REF!</definedName>
    <definedName name="page9">#REF!</definedName>
    <definedName name="PAGE9A">#REF!</definedName>
    <definedName name="pageg">#REF!</definedName>
    <definedName name="PageI1">#REF!</definedName>
    <definedName name="PageI2">#REF!</definedName>
    <definedName name="PageI3">#REF!</definedName>
    <definedName name="PageI4">#REF!</definedName>
    <definedName name="PageI5">#REF!</definedName>
    <definedName name="PageOff">'[81]6P1_Index'!$J$5</definedName>
    <definedName name="PC10A">#REF!</definedName>
    <definedName name="PC10B">#REF!</definedName>
    <definedName name="PC11A">#REF!</definedName>
    <definedName name="PC11B">#REF!</definedName>
    <definedName name="PC12A">#REF!</definedName>
    <definedName name="PC12B">#REF!</definedName>
    <definedName name="PC1A">#REF!</definedName>
    <definedName name="PC1B">#REF!</definedName>
    <definedName name="PC2A">#REF!</definedName>
    <definedName name="PC2B">#REF!</definedName>
    <definedName name="PC3A">#REF!</definedName>
    <definedName name="PC3B">#REF!</definedName>
    <definedName name="PC4A">#REF!</definedName>
    <definedName name="PC4B">#REF!</definedName>
    <definedName name="PC5A">#REF!</definedName>
    <definedName name="PC5B">#REF!</definedName>
    <definedName name="PC6A">#REF!</definedName>
    <definedName name="PC6B">#REF!</definedName>
    <definedName name="PC7A">#REF!</definedName>
    <definedName name="PC7B">#REF!</definedName>
    <definedName name="PC8A">#REF!</definedName>
    <definedName name="PC8B">#REF!</definedName>
    <definedName name="PC9A">#REF!</definedName>
    <definedName name="PC9B">#REF!</definedName>
    <definedName name="PCR">'[28]Workings 1'!$K$23:$K$24</definedName>
    <definedName name="pdate1base">#REF!</definedName>
    <definedName name="pdate1contract">#REF!</definedName>
    <definedName name="pdate1posting">#REF!</definedName>
    <definedName name="pdate3base">#REF!</definedName>
    <definedName name="pdate3contract">#REF!</definedName>
    <definedName name="pdate3posting">#REF!</definedName>
    <definedName name="pdate7base">#REF!</definedName>
    <definedName name="pdate7contract">#REF!</definedName>
    <definedName name="pdate7posting">#REF!</definedName>
    <definedName name="PdateBargeIC">#REF!</definedName>
    <definedName name="PdateBargeKero">#REF!</definedName>
    <definedName name="PdateIgnition">#REF!</definedName>
    <definedName name="PdateTruckIC">#REF!</definedName>
    <definedName name="PdateTruckKero">#REF!</definedName>
    <definedName name="PdateTruckTaxIC">#REF!</definedName>
    <definedName name="PdateTruckTaxKero">#REF!</definedName>
    <definedName name="Peachtree">#REF!</definedName>
    <definedName name="PeakAdjs">#REF!</definedName>
    <definedName name="PeakAdjs_LI">#REF!</definedName>
    <definedName name="PeakDem">'[13]Page 8'!$A$26:$E$27</definedName>
    <definedName name="penny">[82]GLEntry!$A$1:$D$40</definedName>
    <definedName name="PER">#REF!</definedName>
    <definedName name="PER10A">#REF!</definedName>
    <definedName name="PER10B">#REF!</definedName>
    <definedName name="PER11A">#REF!</definedName>
    <definedName name="PER11B">#REF!</definedName>
    <definedName name="PER12A">#REF!</definedName>
    <definedName name="PER12B">#REF!</definedName>
    <definedName name="PER1A">#REF!</definedName>
    <definedName name="PER1B">#REF!</definedName>
    <definedName name="PER2A">#REF!</definedName>
    <definedName name="PER2B">#REF!</definedName>
    <definedName name="PER3A">#REF!</definedName>
    <definedName name="PER3B">#REF!</definedName>
    <definedName name="PER4A">#REF!</definedName>
    <definedName name="PER4B">#REF!</definedName>
    <definedName name="PER5A">#REF!</definedName>
    <definedName name="PER5B">#REF!</definedName>
    <definedName name="PER6A">#REF!</definedName>
    <definedName name="PER6B">#REF!</definedName>
    <definedName name="PER7A">#REF!</definedName>
    <definedName name="PER7B">#REF!</definedName>
    <definedName name="PER8A">#REF!</definedName>
    <definedName name="PER8B">#REF!</definedName>
    <definedName name="PER9A">#REF!</definedName>
    <definedName name="PER9B">#REF!</definedName>
    <definedName name="Period">#REF!</definedName>
    <definedName name="Period0405">[25]Settings!$C$7</definedName>
    <definedName name="Period0506">[25]Settings!$C$8</definedName>
    <definedName name="Period0607">[25]Settings!$C$9</definedName>
    <definedName name="Period0708">[25]Settings!$C$10</definedName>
    <definedName name="Period0809">[25]Settings!$C$11</definedName>
    <definedName name="Period0910">[25]Settings!$C$12</definedName>
    <definedName name="Period1011">[25]Settings!$C$13</definedName>
    <definedName name="Period1112">[25]Settings!$C$14</definedName>
    <definedName name="Period1213">[25]Settings!$C$15</definedName>
    <definedName name="PeriodA">[83]Start!$C$26</definedName>
    <definedName name="PeriodIndex">#REF!</definedName>
    <definedName name="PeriodTable">#REF!</definedName>
    <definedName name="PF">'[13]Page 1-Peak'!$A$4:$I$30</definedName>
    <definedName name="PG24A">#REF!</definedName>
    <definedName name="PG25A">#REF!</definedName>
    <definedName name="PG7_8">#REF!</definedName>
    <definedName name="PG85A">#REF!</definedName>
    <definedName name="Pillar">#REF!</definedName>
    <definedName name="PILLAR1">#REF!</definedName>
    <definedName name="PILLAR2">#REF!</definedName>
    <definedName name="PILLAR3">#REF!</definedName>
    <definedName name="pipeline">[84]Data!$C$20:$C$32</definedName>
    <definedName name="Pivot_BookValue">#REF!</definedName>
    <definedName name="Pivot_Location">#REF!</definedName>
    <definedName name="Pivot_MTM">#REF!</definedName>
    <definedName name="Pivot_Realized">#REF!</definedName>
    <definedName name="Pivot_Unrealized">#REF!</definedName>
    <definedName name="Pivot_Wacog">#REF!</definedName>
    <definedName name="Pivot_Wasp">#REF!</definedName>
    <definedName name="pklook">#REF!</definedName>
    <definedName name="PlanFrequency">[25]Settings!$C$17</definedName>
    <definedName name="Pmcall">#REF!</definedName>
    <definedName name="pmdata">#REF!</definedName>
    <definedName name="PMPG10">'[19]10'!#REF!</definedName>
    <definedName name="PMPG12">'[85]12'!#REF!</definedName>
    <definedName name="PMPG18">#REF!</definedName>
    <definedName name="PMPG24">#REF!</definedName>
    <definedName name="PMPG24A">#REF!</definedName>
    <definedName name="PMPG25">#REF!</definedName>
    <definedName name="PMPG26">'[19]2627'!#REF!</definedName>
    <definedName name="PMPG27">'[19]2627'!#REF!</definedName>
    <definedName name="PMPG28">'[19]2829'!#REF!</definedName>
    <definedName name="PMPG29">'[19]2829'!#REF!</definedName>
    <definedName name="PMPG43">'[19]43'!#REF!</definedName>
    <definedName name="PMPG47">'[19]47'!#REF!</definedName>
    <definedName name="PMPG63">#REF!</definedName>
    <definedName name="PMPG7_8">#REF!</definedName>
    <definedName name="PMPG70_71">'[19]7071'!#REF!</definedName>
    <definedName name="PMPG72_77">#REF!</definedName>
    <definedName name="PMPG81">'[85]8181a'!#REF!</definedName>
    <definedName name="PMPG83">#REF!</definedName>
    <definedName name="PMPG84">#REF!</definedName>
    <definedName name="PMPG85">'[19]85'!#REF!</definedName>
    <definedName name="PMPG85A">#REF!</definedName>
    <definedName name="PMPG86">'[19]86'!#REF!</definedName>
    <definedName name="PMPG89_90">#REF!</definedName>
    <definedName name="PMPG91_92">#REF!</definedName>
    <definedName name="PNL">'[38]Nucleus Trade Detail_Futures'!$L$2:$L$268</definedName>
    <definedName name="pnymex">#REF!</definedName>
    <definedName name="point">[84]Data!$D$34:$D$96</definedName>
    <definedName name="pointNameHeader">#REF!</definedName>
    <definedName name="Policyover">#REF!</definedName>
    <definedName name="Policyunder">#REF!</definedName>
    <definedName name="Pool_Codes">[86]Points!$C$2:$C$27</definedName>
    <definedName name="POS">[87]DATA!#REF!</definedName>
    <definedName name="PPData">#REF!</definedName>
    <definedName name="PPData2">#REF!</definedName>
    <definedName name="PR">!$A65536:$IV65536</definedName>
    <definedName name="PRad1">#REF!</definedName>
    <definedName name="PRad2">#REF!</definedName>
    <definedName name="PRad2Tax">#REF!</definedName>
    <definedName name="PRadIgnition">#REF!</definedName>
    <definedName name="Premopt">#REF!</definedName>
    <definedName name="price">#REF!</definedName>
    <definedName name="Price_Summary">#REF!</definedName>
    <definedName name="prices">#REF!</definedName>
    <definedName name="PRINT">#REF!</definedName>
    <definedName name="Print_1">#REF!</definedName>
    <definedName name="_xlnm.Print_Area" localSheetId="1">'R-1 Factor &amp; Bill Impacts'!$A$1:$G$43</definedName>
    <definedName name="_xlnm.Print_Area" localSheetId="0">'R-1_R-2_Heat-Pump Rate'!$A$1:$E$37</definedName>
    <definedName name="_xlnm.Print_Area" localSheetId="2">'R-2 Factor &amp; Bill Impacts'!$A$1:$G$45</definedName>
    <definedName name="_xlnm.Print_Area" localSheetId="3">'Resi Typical Bill (3 Ton HP)'!$A$1:$I$67</definedName>
    <definedName name="_xlnm.Print_Area" localSheetId="4">'Resi Typical Bill (5 Ton HP)'!$A$1:$I$67</definedName>
    <definedName name="_xlnm.Print_Area">#REF!</definedName>
    <definedName name="Print_Area_MI">#REF!</definedName>
    <definedName name="print_Area1">[88]IS!$A$1:$BG$77</definedName>
    <definedName name="Print_Area2">#REF!</definedName>
    <definedName name="Print_Area3">#REF!</definedName>
    <definedName name="print_summary">#REF!</definedName>
    <definedName name="_xlnm.Print_Titles">#N/A</definedName>
    <definedName name="Print_Titles_MI">#REF!</definedName>
    <definedName name="print1">#REF!</definedName>
    <definedName name="PRINT2">#REF!</definedName>
    <definedName name="PRINT3">#REF!</definedName>
    <definedName name="PRINT5">#REF!</definedName>
    <definedName name="printarea_12">'[17]FSO Data'!#REF!</definedName>
    <definedName name="Prior_month">#REF!</definedName>
    <definedName name="prior_month_year">#REF!</definedName>
    <definedName name="Prior_Year">'[24]Actual0809 £'!$A$38:$AX$145</definedName>
    <definedName name="PriorVol">'[89]Summary Graphs'!$BP$6:$CE$70</definedName>
    <definedName name="Process">#REF!</definedName>
    <definedName name="projinfo">#REF!</definedName>
    <definedName name="proposed">#REF!</definedName>
    <definedName name="proptax1">'[90]General Taxes'!#REF!</definedName>
    <definedName name="proptax2">'[90]General Taxes'!#REF!</definedName>
    <definedName name="proptax3">'[90]General Taxes'!#REF!</definedName>
    <definedName name="proptax4">'[90]General Taxes'!#REF!</definedName>
    <definedName name="proptax5">'[90]General Taxes'!#REF!</definedName>
    <definedName name="proptax6">'[90]General Taxes'!#REF!</definedName>
    <definedName name="prtpge1">#REF!</definedName>
    <definedName name="prtpge2">#REF!</definedName>
    <definedName name="prtpge3">#REF!</definedName>
    <definedName name="prtpge4">#REF!</definedName>
    <definedName name="prtpge5">#REF!</definedName>
    <definedName name="prtpge6">#REF!</definedName>
    <definedName name="prtpge7">#REF!</definedName>
    <definedName name="prtpge8">#REF!</definedName>
    <definedName name="prtpge9">#REF!</definedName>
    <definedName name="PSDATA">#REF!</definedName>
    <definedName name="PSEG">[91]Optimals!#REF!</definedName>
    <definedName name="pswaps">#REF!</definedName>
    <definedName name="pupu">#REF!</definedName>
    <definedName name="PURCHASEDOLLARS">'[40]Nucleus Trade Detail_Futures'!$K$2:$K$500</definedName>
    <definedName name="PURCHASES">#REF!</definedName>
    <definedName name="PYE">'[89]Summary Graphs'!$CM$6:$DA$75</definedName>
    <definedName name="q_eco_NMD">#REF!</definedName>
    <definedName name="q_eco_NMD_M">#REF!</definedName>
    <definedName name="QUARCMP">'[21]Var. Anal.'!#REF!</definedName>
    <definedName name="R_">#REF!</definedName>
    <definedName name="RAC">#REF!</definedName>
    <definedName name="Rad1Tax">#REF!</definedName>
    <definedName name="Rad2Tax">#REF!</definedName>
    <definedName name="RadIgnition">#REF!</definedName>
    <definedName name="RANGE2">#REF!</definedName>
    <definedName name="Ratchet">[35]Dispatch!#REF!</definedName>
    <definedName name="ratchetFSS">[35]Dispatch!#REF!</definedName>
    <definedName name="ratchetGSS">[35]Dispatch!#REF!</definedName>
    <definedName name="ratchetSS1">[35]Dispatch!#REF!</definedName>
    <definedName name="rate_1a">#REF!</definedName>
    <definedName name="Rate_1b">#REF!</definedName>
    <definedName name="Rate_table">#REF!</definedName>
    <definedName name="RATE6">#REF!</definedName>
    <definedName name="RATEG17">#REF!</definedName>
    <definedName name="RATEG41">#REF!</definedName>
    <definedName name="RATEG42">#REF!</definedName>
    <definedName name="RATEG43">#REF!</definedName>
    <definedName name="RATEG45">#REF!</definedName>
    <definedName name="RATEG51">#REF!</definedName>
    <definedName name="RATEG52">#REF!</definedName>
    <definedName name="RATEG53">#REF!</definedName>
    <definedName name="RATEG54">#REF!</definedName>
    <definedName name="RATEG55">#REF!</definedName>
    <definedName name="RATEG61">#REF!</definedName>
    <definedName name="RATEG62">#REF!</definedName>
    <definedName name="RATEG63">#REF!</definedName>
    <definedName name="RATEG7">#REF!</definedName>
    <definedName name="RATEG7A">#REF!</definedName>
    <definedName name="RATEITHLF">#REF!</definedName>
    <definedName name="RATEITLLF">#REF!</definedName>
    <definedName name="RATER1">#REF!</definedName>
    <definedName name="RATER2">#REF!</definedName>
    <definedName name="RATER3">#REF!</definedName>
    <definedName name="RATER4">#REF!</definedName>
    <definedName name="Rates">#REF!</definedName>
    <definedName name="RATES1">#REF!</definedName>
    <definedName name="RB">#REF!</definedName>
    <definedName name="rCapEx">'[81]Inputs SL'!$B$2</definedName>
    <definedName name="rDate">[81]Global!$C$16</definedName>
    <definedName name="rDiff">'[81]Inputs SL'!$B$12</definedName>
    <definedName name="rDocket">[81]Global!$C$7</definedName>
    <definedName name="REACQUISITION">#REF!</definedName>
    <definedName name="REC">#REF!</definedName>
    <definedName name="rechargedivers">#REF!</definedName>
    <definedName name="Recon">'[92]Basic-Default'!#REF!</definedName>
    <definedName name="RECONCILIATION">#REF!</definedName>
    <definedName name="Reference">[66]IS!#REF!</definedName>
    <definedName name="reg">#REF!</definedName>
    <definedName name="Region">#REF!</definedName>
    <definedName name="RegionList">'[52]General Inputs'!$C$64:$C$65</definedName>
    <definedName name="reinover">#REF!</definedName>
    <definedName name="reinunder">#REF!</definedName>
    <definedName name="RemainStorageVolume">[35]Dispatch!#REF!</definedName>
    <definedName name="RemBL4Inject">[35]Dispatch!#REF!</definedName>
    <definedName name="RemGDM4Inject">[35]Dispatch!#REF!</definedName>
    <definedName name="RemInjRat1">[35]Dispatch!#REF!</definedName>
    <definedName name="RemInjVol1">[35]Dispatch!#REF!</definedName>
    <definedName name="RemPipCap1">[35]Dispatch!#REF!</definedName>
    <definedName name="RemSup1">[35]Dispatch!#REF!</definedName>
    <definedName name="RepexData">#REF!</definedName>
    <definedName name="REQ">#REF!</definedName>
    <definedName name="Resid">#REF!</definedName>
    <definedName name="RET">'[93]Cap Structure'!$I$24</definedName>
    <definedName name="retireinput">#REF!</definedName>
    <definedName name="Rev_Chg">#REF!</definedName>
    <definedName name="Revenue">#REF!</definedName>
    <definedName name="Reverse_auction">#REF!</definedName>
    <definedName name="Review">#REF!</definedName>
    <definedName name="revised">#REF!</definedName>
    <definedName name="REVREQ">[2]LIRevReq!#REF!</definedName>
    <definedName name="REVSUM">#REF!</definedName>
    <definedName name="rExh4">[81]Global!$C$9</definedName>
    <definedName name="rExh5">[81]Global!$C$10</definedName>
    <definedName name="rExh6">[81]Global!$C$11</definedName>
    <definedName name="rExhRRP5">[81]Global!$C$14</definedName>
    <definedName name="rFuncTitle">[43]Functions!$B$1:$B$65536</definedName>
    <definedName name="rgeClasses1">[94]Total!$F$7:$AA$7</definedName>
    <definedName name="rgeClasses2">[94]Total!$F$8:$AA$8</definedName>
    <definedName name="rgeClasses3">[94]Total!$F$9:$AA$9</definedName>
    <definedName name="RH_1">[46]Index!$D$1</definedName>
    <definedName name="RH_2">[46]Index!$D$2</definedName>
    <definedName name="RH_3">[46]Index!$D$3</definedName>
    <definedName name="rHO_Name">[81]Global!$C$18</definedName>
    <definedName name="rLast">[46]Index!$G$68</definedName>
    <definedName name="rlo">'[95]COS p1'!$R$8</definedName>
    <definedName name="rMECO">[81]Global!$C$20</definedName>
    <definedName name="rNECO">[81]Global!$C$21</definedName>
    <definedName name="ROLL">#REF!</definedName>
    <definedName name="rPages">[46]Index!$F$18:$G$66</definedName>
    <definedName name="rSL_Inc">'[81]Inputs SL'!$B$10</definedName>
    <definedName name="rSL_Inc1">'[81]Inputs SL'!$B$15</definedName>
    <definedName name="rSmart">'[81]Inputs SL'!$B$4</definedName>
    <definedName name="rSolar">'[81]Inputs SL'!$B$3</definedName>
    <definedName name="rTitle1">[81]Global!$C$4</definedName>
    <definedName name="rTitle2">[81]Global!$C$5</definedName>
    <definedName name="rTitle3">[81]Global!$C$6</definedName>
    <definedName name="rTitleGrid">[81]Global!$C$23</definedName>
    <definedName name="rTotRates">'[81]6P1_Index'!$H$2</definedName>
    <definedName name="RWE">#REF!</definedName>
    <definedName name="SALES">#REF!</definedName>
    <definedName name="SALES2">#REF!</definedName>
    <definedName name="SALESSUMMARY">#REF!</definedName>
    <definedName name="SalesVol">'[96]Graph-SalesVol(NY)'!$B$3:$M$38</definedName>
    <definedName name="SCALE">#REF!</definedName>
    <definedName name="scdata">#REF!</definedName>
    <definedName name="SCHEDULE_1">#REF!</definedName>
    <definedName name="SCHEDULE_1.EXT">#REF!</definedName>
    <definedName name="SCHEDULE_3">#REF!</definedName>
    <definedName name="SCHEDULE_4.EXT">#REF!</definedName>
    <definedName name="SCHEDULE_5.EXT">#REF!</definedName>
    <definedName name="SCHEDULE_6">#REF!</definedName>
    <definedName name="SCHEDULE_6.EXT">#REF!</definedName>
    <definedName name="SCHEDULE_7.1">#REF!</definedName>
    <definedName name="SCHEDULE_7.2">#REF!</definedName>
    <definedName name="SCHEDULE_8">#REF!</definedName>
    <definedName name="SCHEDULE_9.1">#REF!</definedName>
    <definedName name="SCHEDULE_9.2">#REF!</definedName>
    <definedName name="SCHEDULEA">#REF!</definedName>
    <definedName name="SCN">#REF!</definedName>
    <definedName name="sdate">#REF!</definedName>
    <definedName name="SDVolume">[35]Dispatch!#REF!</definedName>
    <definedName name="SEG">#REF!</definedName>
    <definedName name="SEGNAME">#REF!</definedName>
    <definedName name="SENDOUT">#REF!</definedName>
    <definedName name="sens">'[97]Int Model'!$C$1</definedName>
    <definedName name="sep">[6]FY2000!$W$354:$AG$394</definedName>
    <definedName name="Sep2004_MCG">#REF!</definedName>
    <definedName name="SEPT_2003_MCG">#REF!</definedName>
    <definedName name="Services">#REF!</definedName>
    <definedName name="SFV">#REF!</definedName>
    <definedName name="sheetno27">#REF!</definedName>
    <definedName name="SHELL1_CITYGATE_BACKUP">#REF!</definedName>
    <definedName name="SHELL2_CITYGATE_BACKUP">#REF!</definedName>
    <definedName name="Short_Val">#REF!</definedName>
    <definedName name="Short_Vol">#REF!</definedName>
    <definedName name="SIT">'[58]NIMO-2MRR'!$C$34</definedName>
    <definedName name="SITalt">#REF!</definedName>
    <definedName name="SITalt2">'[58]3MRR'!$C$35</definedName>
    <definedName name="Sorted">#REF!</definedName>
    <definedName name="SPOT_FIRM_ON_TEXAS_GAS">#REF!</definedName>
    <definedName name="SPP_ANE_BOUNDARY_CITYGATE">#REF!</definedName>
    <definedName name="SPP_ANE_BOUNDARY_SUMMARY">#REF!</definedName>
    <definedName name="SS1injAft3ps">[35]Dispatch!#REF!</definedName>
    <definedName name="SS1injAftFOM">[35]Dispatch!#REF!</definedName>
    <definedName name="StartYear">'[52]General Inputs'!$B$69</definedName>
    <definedName name="stat">#REF!</definedName>
    <definedName name="stat1">#REF!</definedName>
    <definedName name="Status">#REF!</definedName>
    <definedName name="stgdatabase">#REF!</definedName>
    <definedName name="STKopt">#REF!</definedName>
    <definedName name="STMT">#REF!</definedName>
    <definedName name="stor1">#REF!</definedName>
    <definedName name="stor10">#REF!</definedName>
    <definedName name="stor11">#REF!</definedName>
    <definedName name="stor12">#REF!</definedName>
    <definedName name="stor13">#REF!</definedName>
    <definedName name="stor14">#REF!</definedName>
    <definedName name="stor15">#REF!</definedName>
    <definedName name="stor16">#REF!</definedName>
    <definedName name="stor17">#REF!</definedName>
    <definedName name="stor18">#REF!</definedName>
    <definedName name="stor19">#REF!</definedName>
    <definedName name="stor2">#REF!</definedName>
    <definedName name="stor20">#REF!</definedName>
    <definedName name="stor21">#REF!</definedName>
    <definedName name="stor22">#REF!</definedName>
    <definedName name="stor23">#REF!</definedName>
    <definedName name="stor24">#REF!</definedName>
    <definedName name="stor25">#REF!</definedName>
    <definedName name="stor26">#REF!</definedName>
    <definedName name="stor27">#REF!</definedName>
    <definedName name="stor28">#REF!</definedName>
    <definedName name="stor3">#REF!</definedName>
    <definedName name="stor4">#REF!</definedName>
    <definedName name="stor5">#REF!</definedName>
    <definedName name="stor6">#REF!</definedName>
    <definedName name="stor7">#REF!</definedName>
    <definedName name="stor8">#REF!</definedName>
    <definedName name="stor9">#REF!</definedName>
    <definedName name="STORAGE_DEMAND_AND_SPACE_CHARGE_CITYGATE_BACKUP">#REF!</definedName>
    <definedName name="STORAGE_SPOT">#REF!</definedName>
    <definedName name="STORAGEINJECT">#REF!</definedName>
    <definedName name="STORAGES">#REF!</definedName>
    <definedName name="STORAGEWITHDR">#REF!</definedName>
    <definedName name="STRATEGY">#REF!</definedName>
    <definedName name="STX">[35]Dispatch!#REF!</definedName>
    <definedName name="STX3ps">[35]Dispatch!#REF!</definedName>
    <definedName name="SUBT">#REF!</definedName>
    <definedName name="SUM_SCHED">#REF!</definedName>
    <definedName name="SUM_SENDOUT">#REF!</definedName>
    <definedName name="summary">#REF!</definedName>
    <definedName name="Summary_ACT_vs_BUD_Commodity">#REF!</definedName>
    <definedName name="Summary_ACT_vs_BUD_Cover">#REF!</definedName>
    <definedName name="Summary_ACT_vs_BUD_Stranded">#REF!</definedName>
    <definedName name="Summary_ACT_vs_BUD_US_Distrib_NEG_only">#REF!</definedName>
    <definedName name="Summary_ACT_vs_BUD_US_Distrib_not_NEG">#REF!</definedName>
    <definedName name="Summary_ACT_vs_BUD_US_Distribution_and_Stranded">#REF!</definedName>
    <definedName name="Summary_ACT_vs_BUD_US_Distribution_Detail">#REF!</definedName>
    <definedName name="Summary_ACT_vs_BUD_US_Distribution_Summary">#REF!</definedName>
    <definedName name="Summary_ACT_vs_BUD_Volatility">#REF!</definedName>
    <definedName name="Summary_Commodity">#REF!</definedName>
    <definedName name="Summary_FC_vs_BUD_Cover">#REF!</definedName>
    <definedName name="SUMMARY_PAGE">#REF!</definedName>
    <definedName name="Summary_Stranded">#REF!</definedName>
    <definedName name="Summary_US_Distribution_and_Stranded">#REF!</definedName>
    <definedName name="Summary_US_Distribution_Detail">#REF!</definedName>
    <definedName name="Summary_US_Distribution_Summary">#REF!</definedName>
    <definedName name="Summary_Volatility">#REF!</definedName>
    <definedName name="Summmary_OffPK">[98]Summary!#REF!</definedName>
    <definedName name="sundries">#REF!</definedName>
    <definedName name="SupplyGone">[35]Dispatch!#REF!</definedName>
    <definedName name="supportcosts">#REF!</definedName>
    <definedName name="Surcharge_5YrsSummary">'[99]Comparison_5yrs(LI)'!#REF!</definedName>
    <definedName name="Surcharge_Yr1">#REF!</definedName>
    <definedName name="Surcharge_Yr2">#REF!</definedName>
    <definedName name="Surcharge_Yr3">#REF!</definedName>
    <definedName name="Surcharge_Yr4">#REF!</definedName>
    <definedName name="Surcharge_Yr5">#REF!</definedName>
    <definedName name="SurchargeSummary">#REF!</definedName>
    <definedName name="SUSAN">#REF!</definedName>
    <definedName name="svcli">#REF!</definedName>
    <definedName name="svcNe">#REF!</definedName>
    <definedName name="svcNY">#REF!</definedName>
    <definedName name="SWP_MONTH">'[80]SWAPS&amp;FUTUREs'!$I$2:$I$172</definedName>
    <definedName name="SWP_PNL">'[80]SWAPS&amp;FUTUREs'!$AU$2:$AU$172</definedName>
    <definedName name="T">[2]LIIncSt!#REF!</definedName>
    <definedName name="TABLE">#REF!</definedName>
    <definedName name="table81">#REF!</definedName>
    <definedName name="table82">#REF!</definedName>
    <definedName name="table83">#REF!</definedName>
    <definedName name="table84">#REF!</definedName>
    <definedName name="table85">#REF!</definedName>
    <definedName name="table86">#REF!</definedName>
    <definedName name="table87">#REF!</definedName>
    <definedName name="table88">#REF!</definedName>
    <definedName name="table89">#REF!</definedName>
    <definedName name="table90">#REF!</definedName>
    <definedName name="table91">#REF!</definedName>
    <definedName name="TABLE92">#REF!</definedName>
    <definedName name="TABLE93">#REF!</definedName>
    <definedName name="TABLE94">#REF!</definedName>
    <definedName name="TABLE95">#REF!</definedName>
    <definedName name="TABLE96">#REF!</definedName>
    <definedName name="TABLE97">#REF!</definedName>
    <definedName name="TABLE98">#REF!</definedName>
    <definedName name="table99">#REF!</definedName>
    <definedName name="tableHeaderLoc">#REF!</definedName>
    <definedName name="Talk_to_Annette_regarding_United_storage_management">#REF!</definedName>
    <definedName name="TARGETGRT">[43]Verify!$E$63</definedName>
    <definedName name="TAXRATE">#REF!</definedName>
    <definedName name="TB_Dol">#REF!</definedName>
    <definedName name="TBG">#REF!</definedName>
    <definedName name="tblPages">'[81]6P1_Index'!$B$14:$F$57</definedName>
    <definedName name="TC_Base">#REF!</definedName>
    <definedName name="TC_Forecast">#REF!</definedName>
    <definedName name="TC_Slope">#REF!</definedName>
    <definedName name="TC_Var">#REF!</definedName>
    <definedName name="tcoFuel">[59]Variables!$D$48</definedName>
    <definedName name="TechnologyList">'[52]General Inputs'!$C$52:$C$56</definedName>
    <definedName name="temporary" hidden="1">'[100]Nov 02'!#REF!</definedName>
    <definedName name="temporary2" hidden="1">'[100]Nov 02'!#REF!</definedName>
    <definedName name="TENN1">#REF!</definedName>
    <definedName name="TENNESSEEFT">#REF!</definedName>
    <definedName name="TENNESSEEIT">#REF!</definedName>
    <definedName name="Test">'[39]Classified-Dec'!$C$250</definedName>
    <definedName name="test_base">#REF!</definedName>
    <definedName name="Tetco_Commodity">#REF!</definedName>
    <definedName name="Tetco_Fuel">#REF!</definedName>
    <definedName name="TETCO1">#REF!</definedName>
    <definedName name="TETCOFSSwd">[35]Dispatch!#REF!</definedName>
    <definedName name="TETCOFT">#REF!</definedName>
    <definedName name="TETCOIT">#REF!</definedName>
    <definedName name="TETCOSS1wd">[35]Dispatch!#REF!</definedName>
    <definedName name="TETelam2comm">[53]Rates!#REF!</definedName>
    <definedName name="TETelam2fuel">[53]Rates!#REF!</definedName>
    <definedName name="TETetxm2comm">[53]Rates!#REF!</definedName>
    <definedName name="TETetxm2fuel">[53]Rates!#REF!</definedName>
    <definedName name="TETstxm2comm">[53]Rates!#REF!</definedName>
    <definedName name="TETstxm2fuel">[53]Rates!#REF!</definedName>
    <definedName name="TETwlam2comm">[53]Rates!#REF!</definedName>
    <definedName name="TETwlam2fuel">[53]Rates!#REF!</definedName>
    <definedName name="TGP_Col">[101]PivotTable!$C$37:$I$43</definedName>
    <definedName name="TGP_EN">'[74]Pivot Table -12-31-06'!$B$12:$I$19</definedName>
    <definedName name="tgtFuel">[59]Variables!$D$45</definedName>
    <definedName name="Title">#REF!</definedName>
    <definedName name="Title_RY">[46]Index!$G$2</definedName>
    <definedName name="Title_TY">[46]Index!$G$1</definedName>
    <definedName name="Title_TY_RY">[46]Index!$A$12</definedName>
    <definedName name="To_Do">#REF!</definedName>
    <definedName name="TOC">'[13]T O C'!$A$3:$C$39</definedName>
    <definedName name="TOCLD">[13]TOCLD!$A$3:$D$22</definedName>
    <definedName name="Today">#REF!</definedName>
    <definedName name="Todayb">#REF!</definedName>
    <definedName name="TOP">#REF!</definedName>
    <definedName name="top_rms">#REF!</definedName>
    <definedName name="Total_Opex">#REF!</definedName>
    <definedName name="totInject">[35]Dispatch!#REF!</definedName>
    <definedName name="tport">#REF!</definedName>
    <definedName name="tport_rates">#REF!</definedName>
    <definedName name="TRAN1">#REF!</definedName>
    <definedName name="trans_type">[84]Data!$A$2:$A$6</definedName>
    <definedName name="TRANSCO">#REF!</definedName>
    <definedName name="TRANSCO_FS_CITYGATE_BACKUP">#REF!</definedName>
    <definedName name="TRANSCOFT">#REF!</definedName>
    <definedName name="TRANSCOIT">#REF!</definedName>
    <definedName name="TranscoS2Fuel">'[102]Lookup Tables, Misc.'!$E$6:$H$10</definedName>
    <definedName name="transcoz2Z6Fuel">[59]Variables!$D$47</definedName>
    <definedName name="transfers">#REF!</definedName>
    <definedName name="TranZ6Z6comm">[53]Rates!#REF!</definedName>
    <definedName name="TranZ6Z6fuel">[53]Rates!#REF!</definedName>
    <definedName name="Two_Year_History">#REF!</definedName>
    <definedName name="TXOKStorage">#REF!</definedName>
    <definedName name="type">#REF!</definedName>
    <definedName name="UNBILLED">#REF!</definedName>
    <definedName name="Unbilled_Fuel_Rev">[34]GcaSummary!$A$81:$DK$144</definedName>
    <definedName name="UNFUND">#REF!</definedName>
    <definedName name="Unfund_DIT">#REF!</definedName>
    <definedName name="unidentified">#REF!</definedName>
    <definedName name="UnitedGSS">[15]CNG!#REF!</definedName>
    <definedName name="US_Distribution">#REF!</definedName>
    <definedName name="US_Distribution_and_Stranded">#REF!</definedName>
    <definedName name="US_Distribution_Detail">#REF!</definedName>
    <definedName name="US_Distribution_Summary">#REF!</definedName>
    <definedName name="USDEOM">#REF!</definedName>
    <definedName name="USV" localSheetId="1" hidden="1">{#N/A,#N/A,FALSE,"OIT ee contribs 00";#N/A,#N/A,FALSE,"OITeecontribs-DentalVision";#N/A,#N/A,FALSE,"OIT-pc01";#N/A,#N/A,FALSE,"pc-dent&amp;vision01";#N/A,#N/A,FALSE,"OIT-tc01";#N/A,#N/A,FALSE,"tc-dent&amp;vision01"}</definedName>
    <definedName name="USV" localSheetId="2" hidden="1">{#N/A,#N/A,FALSE,"OIT ee contribs 00";#N/A,#N/A,FALSE,"OITeecontribs-DentalVision";#N/A,#N/A,FALSE,"OIT-pc01";#N/A,#N/A,FALSE,"pc-dent&amp;vision01";#N/A,#N/A,FALSE,"OIT-tc01";#N/A,#N/A,FALSE,"tc-dent&amp;vision01"}</definedName>
    <definedName name="USV" hidden="1">{#N/A,#N/A,FALSE,"OIT ee contribs 00";#N/A,#N/A,FALSE,"OITeecontribs-DentalVision";#N/A,#N/A,FALSE,"OIT-pc01";#N/A,#N/A,FALSE,"pc-dent&amp;vision01";#N/A,#N/A,FALSE,"OIT-tc01";#N/A,#N/A,FALSE,"tc-dent&amp;vision01"}</definedName>
    <definedName name="VARIABLES">'[103]CY2002 Actual'!#REF!</definedName>
    <definedName name="Vol_Price">#REF!</definedName>
    <definedName name="VolByRate">#REF!</definedName>
    <definedName name="VOLRTCL">#REF!</definedName>
    <definedName name="volume">#REF!</definedName>
    <definedName name="Volumes">#REF!</definedName>
    <definedName name="W3B">#REF!</definedName>
    <definedName name="WEATHER">#REF!</definedName>
    <definedName name="WEATHERVOL">'[21]Ld. Grth:Weather'!$B$2:$G$34</definedName>
    <definedName name="WESCO">#REF!</definedName>
    <definedName name="WglGSS">[15]CNG!#REF!</definedName>
    <definedName name="WITCO">#REF!</definedName>
    <definedName name="With._Daily">#REF!</definedName>
    <definedName name="WithdrawalPrice">#REF!</definedName>
    <definedName name="WithdrawalVol">#REF!</definedName>
    <definedName name="WLA">[35]Dispatch!#REF!</definedName>
    <definedName name="WLA3ps">[35]Dispatch!#REF!</definedName>
    <definedName name="work">'[50]East of England'!$A$4:$AZ$26</definedName>
    <definedName name="workload">'[50]East of England'!$A$4:$AZ$26</definedName>
    <definedName name="WorkStatus">'[104]Reliability Change Tracking'!$V$1:$V$6</definedName>
    <definedName name="wrn.2004._.Feb." localSheetId="1" hidden="1">{"2004 Feb Therms",#N/A,FALSE,"Feb";"2004 Feb Gas Gross Margin Act vs act",#N/A,FALSE,"Feb";"2004 Feb Gas Gross Margin Bud vs Act",#N/A,FALSE,"Feb";"2004 Feb Norm vs Norm wna",#N/A,FALSE,"Feb";"2004 Feb Act vs Act wna",#N/A,FALSE,"Feb";"2004 Feb Budget vs norm wna",#N/A,FALSE,"Feb";"2004 Feb Bud vs act wna",#N/A,FALSE,"Feb";"2004 Feb Weather norm",#N/A,FALSE,"Feb";"2004 Feb var analy part 2",#N/A,FALSE,"Feb";"2004 Var analysis part 1",#N/A,FALSE,"Feb";"2004 Feb Act Margin Calc",#N/A,FALSE,"Feb";"2004 Feb Budget Breakdown",#N/A,FALSE,"Feb"}</definedName>
    <definedName name="wrn.2004._.Feb." localSheetId="2" hidden="1">{"2004 Feb Therms",#N/A,FALSE,"Feb";"2004 Feb Gas Gross Margin Act vs act",#N/A,FALSE,"Feb";"2004 Feb Gas Gross Margin Bud vs Act",#N/A,FALSE,"Feb";"2004 Feb Norm vs Norm wna",#N/A,FALSE,"Feb";"2004 Feb Act vs Act wna",#N/A,FALSE,"Feb";"2004 Feb Budget vs norm wna",#N/A,FALSE,"Feb";"2004 Feb Bud vs act wna",#N/A,FALSE,"Feb";"2004 Feb Weather norm",#N/A,FALSE,"Feb";"2004 Feb var analy part 2",#N/A,FALSE,"Feb";"2004 Var analysis part 1",#N/A,FALSE,"Feb";"2004 Feb Act Margin Calc",#N/A,FALSE,"Feb";"2004 Feb Budget Breakdown",#N/A,FALSE,"Feb"}</definedName>
    <definedName name="wrn.2004._.Feb." hidden="1">{"2004 Feb Therms",#N/A,FALSE,"Feb";"2004 Feb Gas Gross Margin Act vs act",#N/A,FALSE,"Feb";"2004 Feb Gas Gross Margin Bud vs Act",#N/A,FALSE,"Feb";"2004 Feb Norm vs Norm wna",#N/A,FALSE,"Feb";"2004 Feb Act vs Act wna",#N/A,FALSE,"Feb";"2004 Feb Budget vs norm wna",#N/A,FALSE,"Feb";"2004 Feb Bud vs act wna",#N/A,FALSE,"Feb";"2004 Feb Weather norm",#N/A,FALSE,"Feb";"2004 Feb var analy part 2",#N/A,FALSE,"Feb";"2004 Var analysis part 1",#N/A,FALSE,"Feb";"2004 Feb Act Margin Calc",#N/A,FALSE,"Feb";"2004 Feb Budget Breakdown",#N/A,FALSE,"Feb"}</definedName>
    <definedName name="wrn.2005." localSheetId="1" hidden="1">{#N/A,#N/A,FALSE,"Jan2005";#N/A,#N/A,FALSE,"Feb2005";#N/A,#N/A,FALSE,"Mar2005";#N/A,#N/A,FALSE,"Apr2005";#N/A,#N/A,FALSE,"May2005";#N/A,#N/A,FALSE,"Jun2005";#N/A,#N/A,FALSE,"Jul2005";#N/A,#N/A,FALSE,"Aug2005";#N/A,#N/A,FALSE,"Sep2005";#N/A,#N/A,FALSE,"Oct2005";#N/A,#N/A,FALSE,"Nov2005";#N/A,#N/A,FALSE,"Dec2005"}</definedName>
    <definedName name="wrn.2005." localSheetId="2" hidden="1">{#N/A,#N/A,FALSE,"Jan2005";#N/A,#N/A,FALSE,"Feb2005";#N/A,#N/A,FALSE,"Mar2005";#N/A,#N/A,FALSE,"Apr2005";#N/A,#N/A,FALSE,"May2005";#N/A,#N/A,FALSE,"Jun2005";#N/A,#N/A,FALSE,"Jul2005";#N/A,#N/A,FALSE,"Aug2005";#N/A,#N/A,FALSE,"Sep2005";#N/A,#N/A,FALSE,"Oct2005";#N/A,#N/A,FALSE,"Nov2005";#N/A,#N/A,FALSE,"Dec2005"}</definedName>
    <definedName name="wrn.2005." hidden="1">{#N/A,#N/A,FALSE,"Jan2005";#N/A,#N/A,FALSE,"Feb2005";#N/A,#N/A,FALSE,"Mar2005";#N/A,#N/A,FALSE,"Apr2005";#N/A,#N/A,FALSE,"May2005";#N/A,#N/A,FALSE,"Jun2005";#N/A,#N/A,FALSE,"Jul2005";#N/A,#N/A,FALSE,"Aug2005";#N/A,#N/A,FALSE,"Sep2005";#N/A,#N/A,FALSE,"Oct2005";#N/A,#N/A,FALSE,"Nov2005";#N/A,#N/A,FALSE,"Dec2005"}</definedName>
    <definedName name="wrn.2006." localSheetId="1" hidden="1">{#N/A,#N/A,FALSE,"Jan2006";#N/A,#N/A,FALSE,"Feb2006";#N/A,#N/A,FALSE,"Mar2006";#N/A,#N/A,FALSE,"Apr2006";#N/A,#N/A,FALSE,"May2006";#N/A,#N/A,FALSE,"Jun2006";#N/A,#N/A,FALSE,"Jul2006";#N/A,#N/A,FALSE,"Aug2006";#N/A,#N/A,FALSE,"Sep2006";#N/A,#N/A,FALSE,"Oct2006";#N/A,#N/A,FALSE,"Nov2006";#N/A,#N/A,FALSE,"Dec2006"}</definedName>
    <definedName name="wrn.2006." localSheetId="2" hidden="1">{#N/A,#N/A,FALSE,"Jan2006";#N/A,#N/A,FALSE,"Feb2006";#N/A,#N/A,FALSE,"Mar2006";#N/A,#N/A,FALSE,"Apr2006";#N/A,#N/A,FALSE,"May2006";#N/A,#N/A,FALSE,"Jun2006";#N/A,#N/A,FALSE,"Jul2006";#N/A,#N/A,FALSE,"Aug2006";#N/A,#N/A,FALSE,"Sep2006";#N/A,#N/A,FALSE,"Oct2006";#N/A,#N/A,FALSE,"Nov2006";#N/A,#N/A,FALSE,"Dec2006"}</definedName>
    <definedName name="wrn.2006." hidden="1">{#N/A,#N/A,FALSE,"Jan2006";#N/A,#N/A,FALSE,"Feb2006";#N/A,#N/A,FALSE,"Mar2006";#N/A,#N/A,FALSE,"Apr2006";#N/A,#N/A,FALSE,"May2006";#N/A,#N/A,FALSE,"Jun2006";#N/A,#N/A,FALSE,"Jul2006";#N/A,#N/A,FALSE,"Aug2006";#N/A,#N/A,FALSE,"Sep2006";#N/A,#N/A,FALSE,"Oct2006";#N/A,#N/A,FALSE,"Nov2006";#N/A,#N/A,FALSE,"Dec2006"}</definedName>
    <definedName name="wrn.2007." localSheetId="1" hidden="1">{#N/A,#N/A,FALSE,"Jan2007";#N/A,#N/A,FALSE,"Feb2007";#N/A,#N/A,FALSE,"Mar2007";#N/A,#N/A,FALSE,"Apr2007";#N/A,#N/A,FALSE,"May2007";#N/A,#N/A,FALSE,"Jun2007";#N/A,#N/A,FALSE,"Jul2007";#N/A,#N/A,FALSE,"Aug2007";#N/A,#N/A,FALSE,"Sept2007";#N/A,#N/A,FALSE,"Oct2007"}</definedName>
    <definedName name="wrn.2007." localSheetId="2" hidden="1">{#N/A,#N/A,FALSE,"Jan2007";#N/A,#N/A,FALSE,"Feb2007";#N/A,#N/A,FALSE,"Mar2007";#N/A,#N/A,FALSE,"Apr2007";#N/A,#N/A,FALSE,"May2007";#N/A,#N/A,FALSE,"Jun2007";#N/A,#N/A,FALSE,"Jul2007";#N/A,#N/A,FALSE,"Aug2007";#N/A,#N/A,FALSE,"Sept2007";#N/A,#N/A,FALSE,"Oct2007"}</definedName>
    <definedName name="wrn.2007." hidden="1">{#N/A,#N/A,FALSE,"Jan2007";#N/A,#N/A,FALSE,"Feb2007";#N/A,#N/A,FALSE,"Mar2007";#N/A,#N/A,FALSE,"Apr2007";#N/A,#N/A,FALSE,"May2007";#N/A,#N/A,FALSE,"Jun2007";#N/A,#N/A,FALSE,"Jul2007";#N/A,#N/A,FALSE,"Aug2007";#N/A,#N/A,FALSE,"Sept2007";#N/A,#N/A,FALSE,"Oct2007"}</definedName>
    <definedName name="wrn.All." localSheetId="1" hidden="1">{"Main",#N/A,FALSE,"Main";"Input Data",#N/A,FALSE,"Input Data";"Sendout",#N/A,FALSE,"Sendout";"Sales",#N/A,FALSE,"Sales";"Commodity",#N/A,FALSE,"Commodity";"Demand",#N/A,FALSE,"Demand";"Base",#N/A,FALSE,"Base";"Remaining",#N/A,FALSE,"Remaining";"NewCGA",#N/A,FALSE,"NewCGA";"Approx Old CGA",#N/A,FALSE,"Approx Old CGA";"Comparison of Results",#N/A,FALSE,"Comparison of Results"}</definedName>
    <definedName name="wrn.All." localSheetId="2" hidden="1">{"Main",#N/A,FALSE,"Main";"Input Data",#N/A,FALSE,"Input Data";"Sendout",#N/A,FALSE,"Sendout";"Sales",#N/A,FALSE,"Sales";"Commodity",#N/A,FALSE,"Commodity";"Demand",#N/A,FALSE,"Demand";"Base",#N/A,FALSE,"Base";"Remaining",#N/A,FALSE,"Remaining";"NewCGA",#N/A,FALSE,"NewCGA";"Approx Old CGA",#N/A,FALSE,"Approx Old CGA";"Comparison of Results",#N/A,FALSE,"Comparison of Results"}</definedName>
    <definedName name="wrn.All." hidden="1">{"Main",#N/A,FALSE,"Main";"Input Data",#N/A,FALSE,"Input Data";"Sendout",#N/A,FALSE,"Sendout";"Sales",#N/A,FALSE,"Sales";"Commodity",#N/A,FALSE,"Commodity";"Demand",#N/A,FALSE,"Demand";"Base",#N/A,FALSE,"Base";"Remaining",#N/A,FALSE,"Remaining";"NewCGA",#N/A,FALSE,"NewCGA";"Approx Old CGA",#N/A,FALSE,"Approx Old CGA";"Comparison of Results",#N/A,FALSE,"Comparison of Results"}</definedName>
    <definedName name="wrn.All._.Sheets." localSheetId="1" hidden="1">{#N/A,#N/A,FALSE,"Totals";#N/A,#N/A,FALSE,"First-Of-Month";#N/A,#N/A,FALSE,"March 1-2";#N/A,#N/A,FALSE,"March 3";#N/A,#N/A,FALSE,"March 4";#N/A,#N/A,FALSE,"March 5";#N/A,#N/A,FALSE,"March 6";#N/A,#N/A,FALSE,"March 7-9";#N/A,#N/A,FALSE,"March 10";#N/A,#N/A,FALSE,"March 11";#N/A,#N/A,FALSE,"March 12";#N/A,#N/A,FALSE,"March 13";#N/A,#N/A,FALSE,"March 14-16";#N/A,#N/A,FALSE,"March 17";#N/A,#N/A,FALSE,"March 18";#N/A,#N/A,FALSE,"March 19";#N/A,#N/A,FALSE,"March 20";#N/A,#N/A,FALSE,"March 21-23";#N/A,#N/A,FALSE,"March 24"}</definedName>
    <definedName name="wrn.All._.Sheets." localSheetId="2" hidden="1">{#N/A,#N/A,FALSE,"Totals";#N/A,#N/A,FALSE,"First-Of-Month";#N/A,#N/A,FALSE,"March 1-2";#N/A,#N/A,FALSE,"March 3";#N/A,#N/A,FALSE,"March 4";#N/A,#N/A,FALSE,"March 5";#N/A,#N/A,FALSE,"March 6";#N/A,#N/A,FALSE,"March 7-9";#N/A,#N/A,FALSE,"March 10";#N/A,#N/A,FALSE,"March 11";#N/A,#N/A,FALSE,"March 12";#N/A,#N/A,FALSE,"March 13";#N/A,#N/A,FALSE,"March 14-16";#N/A,#N/A,FALSE,"March 17";#N/A,#N/A,FALSE,"March 18";#N/A,#N/A,FALSE,"March 19";#N/A,#N/A,FALSE,"March 20";#N/A,#N/A,FALSE,"March 21-23";#N/A,#N/A,FALSE,"March 24"}</definedName>
    <definedName name="wrn.All._.Sheets." hidden="1">{#N/A,#N/A,FALSE,"Totals";#N/A,#N/A,FALSE,"First-Of-Month";#N/A,#N/A,FALSE,"March 1-2";#N/A,#N/A,FALSE,"March 3";#N/A,#N/A,FALSE,"March 4";#N/A,#N/A,FALSE,"March 5";#N/A,#N/A,FALSE,"March 6";#N/A,#N/A,FALSE,"March 7-9";#N/A,#N/A,FALSE,"March 10";#N/A,#N/A,FALSE,"March 11";#N/A,#N/A,FALSE,"March 12";#N/A,#N/A,FALSE,"March 13";#N/A,#N/A,FALSE,"March 14-16";#N/A,#N/A,FALSE,"March 17";#N/A,#N/A,FALSE,"March 18";#N/A,#N/A,FALSE,"March 19";#N/A,#N/A,FALSE,"March 20";#N/A,#N/A,FALSE,"March 21-23";#N/A,#N/A,FALSE,"March 24"}</definedName>
    <definedName name="wrn.Apr._.2003." localSheetId="1" hidden="1">{"Apr Actual Margin Calc",#N/A,FALSE,"Apr";"Apr Gas Gross Mar Act vs Budget",#N/A,FALSE,"Apr";"Apr Budget vs Normalized Var",#N/A,FALSE,"Apr";"Apr Budget vs Actual Var",#N/A,FALSE,"Apr";"Apr Budget Breakdown",#N/A,FALSE,"Apr";"Apr Variance anal by comp1",#N/A,FALSE,"Apr";"Apr var analy by comp2",#N/A,FALSE,"Apr";"Apr weath norm revenue margin",#N/A,FALSE,"Apr";"Apr budget vs norm margin var",#N/A,FALSE,"Apr";"Apr Act vs Act Margin Var",#N/A,FALSE,"Apr";"Apr norm vs norm var",#N/A,FALSE,"Apr";"Apr Gas Gross Mar Act vs Act",#N/A,FALSE,"Apr";"Apr Therm comparison",#N/A,FALSE,"Apr";"Apr Therms",#N/A,FALSE,"Apr"}</definedName>
    <definedName name="wrn.Apr._.2003." localSheetId="2" hidden="1">{"Apr Actual Margin Calc",#N/A,FALSE,"Apr";"Apr Gas Gross Mar Act vs Budget",#N/A,FALSE,"Apr";"Apr Budget vs Normalized Var",#N/A,FALSE,"Apr";"Apr Budget vs Actual Var",#N/A,FALSE,"Apr";"Apr Budget Breakdown",#N/A,FALSE,"Apr";"Apr Variance anal by comp1",#N/A,FALSE,"Apr";"Apr var analy by comp2",#N/A,FALSE,"Apr";"Apr weath norm revenue margin",#N/A,FALSE,"Apr";"Apr budget vs norm margin var",#N/A,FALSE,"Apr";"Apr Act vs Act Margin Var",#N/A,FALSE,"Apr";"Apr norm vs norm var",#N/A,FALSE,"Apr";"Apr Gas Gross Mar Act vs Act",#N/A,FALSE,"Apr";"Apr Therm comparison",#N/A,FALSE,"Apr";"Apr Therms",#N/A,FALSE,"Apr"}</definedName>
    <definedName name="wrn.Apr._.2003." hidden="1">{"Apr Actual Margin Calc",#N/A,FALSE,"Apr";"Apr Gas Gross Mar Act vs Budget",#N/A,FALSE,"Apr";"Apr Budget vs Normalized Var",#N/A,FALSE,"Apr";"Apr Budget vs Actual Var",#N/A,FALSE,"Apr";"Apr Budget Breakdown",#N/A,FALSE,"Apr";"Apr Variance anal by comp1",#N/A,FALSE,"Apr";"Apr var analy by comp2",#N/A,FALSE,"Apr";"Apr weath norm revenue margin",#N/A,FALSE,"Apr";"Apr budget vs norm margin var",#N/A,FALSE,"Apr";"Apr Act vs Act Margin Var",#N/A,FALSE,"Apr";"Apr norm vs norm var",#N/A,FALSE,"Apr";"Apr Gas Gross Mar Act vs Act",#N/A,FALSE,"Apr";"Apr Therm comparison",#N/A,FALSE,"Apr";"Apr Therms",#N/A,FALSE,"Apr"}</definedName>
    <definedName name="wrn.April._.2003._.Report." localSheetId="1" hidden="1">{"Apr Gas Gross Mar Act vs Budget",#N/A,TRUE,"Apr";"Apr Gas Gross Mar Act vs Act",#N/A,TRUE,"Apr";"Apr Therm comparison",#N/A,TRUE,"Apr";"Apr Actual Margin Calc",#N/A,TRUE,"Apr";"Apr Budget vs Normalized Var",#N/A,TRUE,"Apr";"apr bud vs act margin var",#N/A,TRUE,"Apr";"Apr Budget Breakdown",#N/A,TRUE,"Apr";"Apr Variance anal by comp1",#N/A,TRUE,"Apr";"Apr var analy by comp2",#N/A,TRUE,"Apr";"Apr Act vs Act Margin Var",#N/A,TRUE,"Apr";"Apr norm vs norm var",#N/A,TRUE,"Apr"}</definedName>
    <definedName name="wrn.April._.2003._.Report." localSheetId="2" hidden="1">{"Apr Gas Gross Mar Act vs Budget",#N/A,TRUE,"Apr";"Apr Gas Gross Mar Act vs Act",#N/A,TRUE,"Apr";"Apr Therm comparison",#N/A,TRUE,"Apr";"Apr Actual Margin Calc",#N/A,TRUE,"Apr";"Apr Budget vs Normalized Var",#N/A,TRUE,"Apr";"apr bud vs act margin var",#N/A,TRUE,"Apr";"Apr Budget Breakdown",#N/A,TRUE,"Apr";"Apr Variance anal by comp1",#N/A,TRUE,"Apr";"Apr var analy by comp2",#N/A,TRUE,"Apr";"Apr Act vs Act Margin Var",#N/A,TRUE,"Apr";"Apr norm vs norm var",#N/A,TRUE,"Apr"}</definedName>
    <definedName name="wrn.April._.2003._.Report." hidden="1">{"Apr Gas Gross Mar Act vs Budget",#N/A,TRUE,"Apr";"Apr Gas Gross Mar Act vs Act",#N/A,TRUE,"Apr";"Apr Therm comparison",#N/A,TRUE,"Apr";"Apr Actual Margin Calc",#N/A,TRUE,"Apr";"Apr Budget vs Normalized Var",#N/A,TRUE,"Apr";"apr bud vs act margin var",#N/A,TRUE,"Apr";"Apr Budget Breakdown",#N/A,TRUE,"Apr";"Apr Variance anal by comp1",#N/A,TRUE,"Apr";"Apr var analy by comp2",#N/A,TRUE,"Apr";"Apr Act vs Act Margin Var",#N/A,TRUE,"Apr";"Apr norm vs norm var",#N/A,TRUE,"Apr"}</definedName>
    <definedName name="wrn.August._.2003." localSheetId="1" hidden="1">{"Aug Gas Gross Margin Act vs Act",#N/A,FALSE,"Aug";"Aug Gas Gross Margin Act vs Budget",#N/A,FALSE,"Aug";"Aug Norm vs Norm var anal",#N/A,FALSE,"Aug";"Aug Act vs Act Var",#N/A,FALSE,"Aug";"Aug Budget vs Nor",#N/A,FALSE,"Aug";"Aug Act Margin Var WNA",#N/A,FALSE,"Aug";"Aug WNA Margin",#N/A,FALSE,"Aug";"Aug Var anal part 2",#N/A,FALSE,"Aug";"Aug Var by component",#N/A,FALSE,"Aug";"Aug Budget Breakdown",#N/A,FALSE,"Aug";"Aug Act Margin Calc",#N/A,FALSE,"Aug";"Aug GG Act vs Act",#N/A,FALSE,"Aug";"Aug GG Act vs Budget",#N/A,FALSE,"Aug"}</definedName>
    <definedName name="wrn.August._.2003." localSheetId="2" hidden="1">{"Aug Gas Gross Margin Act vs Act",#N/A,FALSE,"Aug";"Aug Gas Gross Margin Act vs Budget",#N/A,FALSE,"Aug";"Aug Norm vs Norm var anal",#N/A,FALSE,"Aug";"Aug Act vs Act Var",#N/A,FALSE,"Aug";"Aug Budget vs Nor",#N/A,FALSE,"Aug";"Aug Act Margin Var WNA",#N/A,FALSE,"Aug";"Aug WNA Margin",#N/A,FALSE,"Aug";"Aug Var anal part 2",#N/A,FALSE,"Aug";"Aug Var by component",#N/A,FALSE,"Aug";"Aug Budget Breakdown",#N/A,FALSE,"Aug";"Aug Act Margin Calc",#N/A,FALSE,"Aug";"Aug GG Act vs Act",#N/A,FALSE,"Aug";"Aug GG Act vs Budget",#N/A,FALSE,"Aug"}</definedName>
    <definedName name="wrn.August._.2003." hidden="1">{"Aug Gas Gross Margin Act vs Act",#N/A,FALSE,"Aug";"Aug Gas Gross Margin Act vs Budget",#N/A,FALSE,"Aug";"Aug Norm vs Norm var anal",#N/A,FALSE,"Aug";"Aug Act vs Act Var",#N/A,FALSE,"Aug";"Aug Budget vs Nor",#N/A,FALSE,"Aug";"Aug Act Margin Var WNA",#N/A,FALSE,"Aug";"Aug WNA Margin",#N/A,FALSE,"Aug";"Aug Var anal part 2",#N/A,FALSE,"Aug";"Aug Var by component",#N/A,FALSE,"Aug";"Aug Budget Breakdown",#N/A,FALSE,"Aug";"Aug Act Margin Calc",#N/A,FALSE,"Aug";"Aug GG Act vs Act",#N/A,FALSE,"Aug";"Aug GG Act vs Budget",#N/A,FALSE,"Aug"}</definedName>
    <definedName name="wrn.CGAC." localSheetId="1" hidden="1">{"FormII",#N/A,FALSE,"Main";"GAF Summary",#N/A,FALSE,"Main";"Sendout",#N/A,FALSE,"Main";"Sales",#N/A,FALSE,"Main";"Commodity",#N/A,FALSE,"Main";"Remaining",#N/A,FALSE,"Main";"Demand",#N/A,FALSE,"Main";"Base",#N/A,FALSE,"Main";"NewCGA",#N/A,FALSE,"Main";"Working Capital",#N/A,FALSE,"Main";"IS&amp;CR",#N/A,FALSE,"Main";"IS&amp;CR Margin Cr.",#N/A,FALSE,"Main";"Sept CGA",#N/A,FALSE,"Main";"Adders",#N/A,FALSE,"Main";"IFC",#N/A,FALSE,"Main";"Refunds",#N/A,FALSE,"Main";"Bad Debt",#N/A,FALSE,"Main"}</definedName>
    <definedName name="wrn.CGAC." localSheetId="2" hidden="1">{"FormII",#N/A,FALSE,"Main";"GAF Summary",#N/A,FALSE,"Main";"Sendout",#N/A,FALSE,"Main";"Sales",#N/A,FALSE,"Main";"Commodity",#N/A,FALSE,"Main";"Remaining",#N/A,FALSE,"Main";"Demand",#N/A,FALSE,"Main";"Base",#N/A,FALSE,"Main";"NewCGA",#N/A,FALSE,"Main";"Working Capital",#N/A,FALSE,"Main";"IS&amp;CR",#N/A,FALSE,"Main";"IS&amp;CR Margin Cr.",#N/A,FALSE,"Main";"Sept CGA",#N/A,FALSE,"Main";"Adders",#N/A,FALSE,"Main";"IFC",#N/A,FALSE,"Main";"Refunds",#N/A,FALSE,"Main";"Bad Debt",#N/A,FALSE,"Main"}</definedName>
    <definedName name="wrn.CGAC." hidden="1">{"FormII",#N/A,FALSE,"Main";"GAF Summary",#N/A,FALSE,"Main";"Sendout",#N/A,FALSE,"Main";"Sales",#N/A,FALSE,"Main";"Commodity",#N/A,FALSE,"Main";"Remaining",#N/A,FALSE,"Main";"Demand",#N/A,FALSE,"Main";"Base",#N/A,FALSE,"Main";"NewCGA",#N/A,FALSE,"Main";"Working Capital",#N/A,FALSE,"Main";"IS&amp;CR",#N/A,FALSE,"Main";"IS&amp;CR Margin Cr.",#N/A,FALSE,"Main";"Sept CGA",#N/A,FALSE,"Main";"Adders",#N/A,FALSE,"Main";"IFC",#N/A,FALSE,"Main";"Refunds",#N/A,FALSE,"Main";"Bad Debt",#N/A,FALSE,"Main"}</definedName>
    <definedName name="wrn.Client._.Deliverable._.Jen" localSheetId="1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Jen" localSheetId="2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Jen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1." localSheetId="1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1." localSheetId="2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1.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2." localSheetId="1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2." localSheetId="2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2.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s._.Baseline." localSheetId="1" hidden="1">{#N/A,#N/A,FALSE,"OIT ee contribs 00";#N/A,#N/A,FALSE,"OITeecontribs-DentalVision";#N/A,#N/A,FALSE,"OIT-pc00";#N/A,#N/A,FALSE,"OIT-pc01";#N/A,#N/A,FALSE,"pc-dent&amp;vision00";#N/A,#N/A,FALSE,"pc-dent&amp;vision01";#N/A,#N/A,FALSE,"OIT-tc00";#N/A,#N/A,FALSE,"OIT-tc01";#N/A,#N/A,FALSE,"tc-dent&amp;vision00";#N/A,#N/A,FALSE,"tc-dent&amp;vision01"}</definedName>
    <definedName name="wrn.Client._.Deliverables._.Baseline." localSheetId="2" hidden="1">{#N/A,#N/A,FALSE,"OIT ee contribs 00";#N/A,#N/A,FALSE,"OITeecontribs-DentalVision";#N/A,#N/A,FALSE,"OIT-pc00";#N/A,#N/A,FALSE,"OIT-pc01";#N/A,#N/A,FALSE,"pc-dent&amp;vision00";#N/A,#N/A,FALSE,"pc-dent&amp;vision01";#N/A,#N/A,FALSE,"OIT-tc00";#N/A,#N/A,FALSE,"OIT-tc01";#N/A,#N/A,FALSE,"tc-dent&amp;vision00";#N/A,#N/A,FALSE,"tc-dent&amp;vision01"}</definedName>
    <definedName name="wrn.Client._.Deliverables._.Baseline." hidden="1">{#N/A,#N/A,FALSE,"OIT ee contribs 00";#N/A,#N/A,FALSE,"OITeecontribs-DentalVision";#N/A,#N/A,FALSE,"OIT-pc00";#N/A,#N/A,FALSE,"OIT-pc01";#N/A,#N/A,FALSE,"pc-dent&amp;vision00";#N/A,#N/A,FALSE,"pc-dent&amp;vision01";#N/A,#N/A,FALSE,"OIT-tc00";#N/A,#N/A,FALSE,"OIT-tc01";#N/A,#N/A,FALSE,"tc-dent&amp;vision00";#N/A,#N/A,FALSE,"tc-dent&amp;vision01"}</definedName>
    <definedName name="wrn.Dec._.2003." localSheetId="1" hidden="1">{"Dec Therms",#N/A,FALSE,"Dec";"Dec Gas Gross Margin Act vs Act",#N/A,FALSE,"Dec";"Dec Gas Gross Margin Actual vs Budget",#N/A,FALSE,"Dec";"Dec Normalized vs Normalized WNA",#N/A,FALSE,"Dec";"Dec Actual vs Actual WNA",#N/A,FALSE,"Dec";"Dec Budget vs Normalized WNA",#N/A,FALSE,"Dec";"Dec Budget vs Actual WNC",#N/A,FALSE,"Dec";"Dec Weather Normalization",#N/A,FALSE,"Dec";"Dec Variance Analysis Part 2",#N/A,FALSE,"Dec";"Dec Variance analysis part 1",#N/A,FALSE,"Dec";"Dec Budget Breakdown",#N/A,FALSE,"Dec";"Dec Actual Margin Calculation",#N/A,FALSE,"Dec"}</definedName>
    <definedName name="wrn.Dec._.2003." localSheetId="2" hidden="1">{"Dec Therms",#N/A,FALSE,"Dec";"Dec Gas Gross Margin Act vs Act",#N/A,FALSE,"Dec";"Dec Gas Gross Margin Actual vs Budget",#N/A,FALSE,"Dec";"Dec Normalized vs Normalized WNA",#N/A,FALSE,"Dec";"Dec Actual vs Actual WNA",#N/A,FALSE,"Dec";"Dec Budget vs Normalized WNA",#N/A,FALSE,"Dec";"Dec Budget vs Actual WNC",#N/A,FALSE,"Dec";"Dec Weather Normalization",#N/A,FALSE,"Dec";"Dec Variance Analysis Part 2",#N/A,FALSE,"Dec";"Dec Variance analysis part 1",#N/A,FALSE,"Dec";"Dec Budget Breakdown",#N/A,FALSE,"Dec";"Dec Actual Margin Calculation",#N/A,FALSE,"Dec"}</definedName>
    <definedName name="wrn.Dec._.2003." hidden="1">{"Dec Therms",#N/A,FALSE,"Dec";"Dec Gas Gross Margin Act vs Act",#N/A,FALSE,"Dec";"Dec Gas Gross Margin Actual vs Budget",#N/A,FALSE,"Dec";"Dec Normalized vs Normalized WNA",#N/A,FALSE,"Dec";"Dec Actual vs Actual WNA",#N/A,FALSE,"Dec";"Dec Budget vs Normalized WNA",#N/A,FALSE,"Dec";"Dec Budget vs Actual WNC",#N/A,FALSE,"Dec";"Dec Weather Normalization",#N/A,FALSE,"Dec";"Dec Variance Analysis Part 2",#N/A,FALSE,"Dec";"Dec Variance analysis part 1",#N/A,FALSE,"Dec";"Dec Budget Breakdown",#N/A,FALSE,"Dec";"Dec Actual Margin Calculation",#N/A,FALSE,"Dec"}</definedName>
    <definedName name="wrn.DFR._.IV._.A._.Future._.Revenue." localSheetId="1" hidden="1">{"Page_1A",#N/A,FALSE,"Page 1 A";"Page_1B",#N/A,FALSE,"Page 1 B";"Page_1C",#N/A,FALSE,"Page 1 C";"Page 2",#N/A,FALSE,"Page 2";"Page 3",#N/A,FALSE,"Page 3";"Page 4",#N/A,FALSE,"Page 4";"Page 5",#N/A,FALSE,"Page 5";"Page 6",#N/A,FALSE,"Page 6";"Page 7",#N/A,FALSE,"Page 7";"Page 8",#N/A,FALSE,"Page 8";"Page 9",#N/A,FALSE,"Page 9";"Page 10",#N/A,FALSE,"Page 10";"Page 11",#N/A,FALSE,"Page 11"}</definedName>
    <definedName name="wrn.DFR._.IV._.A._.Future._.Revenue." localSheetId="2" hidden="1">{"Page_1A",#N/A,FALSE,"Page 1 A";"Page_1B",#N/A,FALSE,"Page 1 B";"Page_1C",#N/A,FALSE,"Page 1 C";"Page 2",#N/A,FALSE,"Page 2";"Page 3",#N/A,FALSE,"Page 3";"Page 4",#N/A,FALSE,"Page 4";"Page 5",#N/A,FALSE,"Page 5";"Page 6",#N/A,FALSE,"Page 6";"Page 7",#N/A,FALSE,"Page 7";"Page 8",#N/A,FALSE,"Page 8";"Page 9",#N/A,FALSE,"Page 9";"Page 10",#N/A,FALSE,"Page 10";"Page 11",#N/A,FALSE,"Page 11"}</definedName>
    <definedName name="wrn.DFR._.IV._.A._.Future._.Revenue." localSheetId="3" hidden="1">{"Page_1A",#N/A,FALSE,"Page 1 A";"Page_1B",#N/A,FALSE,"Page 1 B";"Page_1C",#N/A,FALSE,"Page 1 C";"Page 2",#N/A,FALSE,"Page 2";"Page 3",#N/A,FALSE,"Page 3";"Page 4",#N/A,FALSE,"Page 4";"Page 5",#N/A,FALSE,"Page 5";"Page 6",#N/A,FALSE,"Page 6";"Page 7",#N/A,FALSE,"Page 7";"Page 8",#N/A,FALSE,"Page 8";"Page 9",#N/A,FALSE,"Page 9";"Page 10",#N/A,FALSE,"Page 10";"Page 11",#N/A,FALSE,"Page 11"}</definedName>
    <definedName name="wrn.DFR._.IV._.A._.Future._.Revenue." localSheetId="4" hidden="1">{"Page_1A",#N/A,FALSE,"Page 1 A";"Page_1B",#N/A,FALSE,"Page 1 B";"Page_1C",#N/A,FALSE,"Page 1 C";"Page 2",#N/A,FALSE,"Page 2";"Page 3",#N/A,FALSE,"Page 3";"Page 4",#N/A,FALSE,"Page 4";"Page 5",#N/A,FALSE,"Page 5";"Page 6",#N/A,FALSE,"Page 6";"Page 7",#N/A,FALSE,"Page 7";"Page 8",#N/A,FALSE,"Page 8";"Page 9",#N/A,FALSE,"Page 9";"Page 10",#N/A,FALSE,"Page 10";"Page 11",#N/A,FALSE,"Page 11"}</definedName>
    <definedName name="wrn.DFR._.IV._.A._.Future._.Revenue." hidden="1">{"Page_1A",#N/A,FALSE,"Page 1 A";"Page_1B",#N/A,FALSE,"Page 1 B";"Page_1C",#N/A,FALSE,"Page 1 C";"Page 2",#N/A,FALSE,"Page 2";"Page 3",#N/A,FALSE,"Page 3";"Page 4",#N/A,FALSE,"Page 4";"Page 5",#N/A,FALSE,"Page 5";"Page 6",#N/A,FALSE,"Page 6";"Page 7",#N/A,FALSE,"Page 7";"Page 8",#N/A,FALSE,"Page 8";"Page 9",#N/A,FALSE,"Page 9";"Page 10",#N/A,FALSE,"Page 10";"Page 11",#N/A,FALSE,"Page 11"}</definedName>
    <definedName name="wrn.Explanations." localSheetId="1" hidden="1">{"exp SC1",#N/A,FALSE,"Mar";"exp SC2",#N/A,FALSE,"Mar";"exp SC2MB",#N/A,FALSE,"Mar";"exp SC1MB",#N/A,FALSE,"Mar";"exp roll up for tables",#N/A,FALSE,"Mar"}</definedName>
    <definedName name="wrn.Explanations." localSheetId="2" hidden="1">{"exp SC1",#N/A,FALSE,"Mar";"exp SC2",#N/A,FALSE,"Mar";"exp SC2MB",#N/A,FALSE,"Mar";"exp SC1MB",#N/A,FALSE,"Mar";"exp roll up for tables",#N/A,FALSE,"Mar"}</definedName>
    <definedName name="wrn.Explanations." hidden="1">{"exp SC1",#N/A,FALSE,"Mar";"exp SC2",#N/A,FALSE,"Mar";"exp SC2MB",#N/A,FALSE,"Mar";"exp SC1MB",#N/A,FALSE,"Mar";"exp roll up for tables",#N/A,FALSE,"Mar"}</definedName>
    <definedName name="wrn.Feb._.all._.sheets." localSheetId="1" hidden="1">{"FEB 03 Budget Breakdown",#N/A,FALSE,"Feb";"FEB 03 Actual Margin Calculation",#N/A,FALSE,"Feb";"FEB 03 Variance Analysis by Component",#N/A,FALSE,"Feb";"FEB 03 Variance Analysis part 2 by component",#N/A,FALSE,"Feb";"FEB 03 Weather Normalized Revenue Margin",#N/A,FALSE,"Feb";"FEB 03 Budget vs Actual Margin Variance",#N/A,FALSE,"Feb";"FEB 03 Budget vs Normalized Margin Variance",#N/A,FALSE,"Feb";"FEB 03 Actual vs Actual Margin Variance",#N/A,FALSE,"Feb";"FEB 03 Normalized vs Normalized Margin Variance",#N/A,FALSE,"Feb";"FEB 03 Gas Gross Margin Actuals vs Budget",#N/A,FALSE,"Feb";"FEB 03 Gas Gross Margin Actual vs Actual",#N/A,FALSE,"Feb"}</definedName>
    <definedName name="wrn.Feb._.all._.sheets." localSheetId="2" hidden="1">{"FEB 03 Budget Breakdown",#N/A,FALSE,"Feb";"FEB 03 Actual Margin Calculation",#N/A,FALSE,"Feb";"FEB 03 Variance Analysis by Component",#N/A,FALSE,"Feb";"FEB 03 Variance Analysis part 2 by component",#N/A,FALSE,"Feb";"FEB 03 Weather Normalized Revenue Margin",#N/A,FALSE,"Feb";"FEB 03 Budget vs Actual Margin Variance",#N/A,FALSE,"Feb";"FEB 03 Budget vs Normalized Margin Variance",#N/A,FALSE,"Feb";"FEB 03 Actual vs Actual Margin Variance",#N/A,FALSE,"Feb";"FEB 03 Normalized vs Normalized Margin Variance",#N/A,FALSE,"Feb";"FEB 03 Gas Gross Margin Actuals vs Budget",#N/A,FALSE,"Feb";"FEB 03 Gas Gross Margin Actual vs Actual",#N/A,FALSE,"Feb"}</definedName>
    <definedName name="wrn.Feb._.all._.sheets." hidden="1">{"FEB 03 Budget Breakdown",#N/A,FALSE,"Feb";"FEB 03 Actual Margin Calculation",#N/A,FALSE,"Feb";"FEB 03 Variance Analysis by Component",#N/A,FALSE,"Feb";"FEB 03 Variance Analysis part 2 by component",#N/A,FALSE,"Feb";"FEB 03 Weather Normalized Revenue Margin",#N/A,FALSE,"Feb";"FEB 03 Budget vs Actual Margin Variance",#N/A,FALSE,"Feb";"FEB 03 Budget vs Normalized Margin Variance",#N/A,FALSE,"Feb";"FEB 03 Actual vs Actual Margin Variance",#N/A,FALSE,"Feb";"FEB 03 Normalized vs Normalized Margin Variance",#N/A,FALSE,"Feb";"FEB 03 Gas Gross Margin Actuals vs Budget",#N/A,FALSE,"Feb";"FEB 03 Gas Gross Margin Actual vs Actual",#N/A,FALSE,"Feb"}</definedName>
    <definedName name="wrn.Feb._.Package." localSheetId="1" hidden="1">{"FEB 03 Gas Gross Margin Actuals vs Budget",#N/A,FALSE,"Feb";"FEB 03 Gas Gross Margin Actual vs Actual",#N/A,FALSE,"Feb";"FEB 03 Actual Margin Calculation",#N/A,FALSE,"Feb";"FEB 03 Variance Analysis by Component",#N/A,FALSE,"Feb";"FEB 03 Variance Analysis part 2 by component",#N/A,FALSE,"Feb";"FEB 03 Budget vs Actual Margin Variance",#N/A,FALSE,"Feb";"FEB 03 Budget vs Normalized Margin Variance",#N/A,FALSE,"Feb";"FEB 03 Normalized vs Normalized Margin Variance",#N/A,FALSE,"Feb";"FEB 03 Actual vs Actual Margin Variance",#N/A,FALSE,"Feb";"FEB 03 Weather Normalized Revenue Margin",#N/A,FALSE,"Feb";"FEB 03 Budget Breakdown",#N/A,FALSE,"Feb";"YTD Gas Gross Margin Actual vs Budget",#N/A,FALSE,"Feb";"YTD Gas Gross Margin Actual vs Actual",#N/A,FALSE,"Feb";"YTD Actual Margin Calculaton",#N/A,FALSE,"Feb";"YTD Variance Analysis by Component part 1",#N/A,FALSE,"Feb";"YTD Budget vs Actual Margin Variance",#N/A,FALSE,"Feb";"YTD Budget vs Normalized Margin Variance",#N/A,FALSE,"Feb";"YTD Normalized vs Normalized Margin Variance",#N/A,FALSE,"Feb"}</definedName>
    <definedName name="wrn.Feb._.Package." localSheetId="2" hidden="1">{"FEB 03 Gas Gross Margin Actuals vs Budget",#N/A,FALSE,"Feb";"FEB 03 Gas Gross Margin Actual vs Actual",#N/A,FALSE,"Feb";"FEB 03 Actual Margin Calculation",#N/A,FALSE,"Feb";"FEB 03 Variance Analysis by Component",#N/A,FALSE,"Feb";"FEB 03 Variance Analysis part 2 by component",#N/A,FALSE,"Feb";"FEB 03 Budget vs Actual Margin Variance",#N/A,FALSE,"Feb";"FEB 03 Budget vs Normalized Margin Variance",#N/A,FALSE,"Feb";"FEB 03 Normalized vs Normalized Margin Variance",#N/A,FALSE,"Feb";"FEB 03 Actual vs Actual Margin Variance",#N/A,FALSE,"Feb";"FEB 03 Weather Normalized Revenue Margin",#N/A,FALSE,"Feb";"FEB 03 Budget Breakdown",#N/A,FALSE,"Feb";"YTD Gas Gross Margin Actual vs Budget",#N/A,FALSE,"Feb";"YTD Gas Gross Margin Actual vs Actual",#N/A,FALSE,"Feb";"YTD Actual Margin Calculaton",#N/A,FALSE,"Feb";"YTD Variance Analysis by Component part 1",#N/A,FALSE,"Feb";"YTD Budget vs Actual Margin Variance",#N/A,FALSE,"Feb";"YTD Budget vs Normalized Margin Variance",#N/A,FALSE,"Feb";"YTD Normalized vs Normalized Margin Variance",#N/A,FALSE,"Feb"}</definedName>
    <definedName name="wrn.Feb._.Package." hidden="1">{"FEB 03 Gas Gross Margin Actuals vs Budget",#N/A,FALSE,"Feb";"FEB 03 Gas Gross Margin Actual vs Actual",#N/A,FALSE,"Feb";"FEB 03 Actual Margin Calculation",#N/A,FALSE,"Feb";"FEB 03 Variance Analysis by Component",#N/A,FALSE,"Feb";"FEB 03 Variance Analysis part 2 by component",#N/A,FALSE,"Feb";"FEB 03 Budget vs Actual Margin Variance",#N/A,FALSE,"Feb";"FEB 03 Budget vs Normalized Margin Variance",#N/A,FALSE,"Feb";"FEB 03 Normalized vs Normalized Margin Variance",#N/A,FALSE,"Feb";"FEB 03 Actual vs Actual Margin Variance",#N/A,FALSE,"Feb";"FEB 03 Weather Normalized Revenue Margin",#N/A,FALSE,"Feb";"FEB 03 Budget Breakdown",#N/A,FALSE,"Feb";"YTD Gas Gross Margin Actual vs Budget",#N/A,FALSE,"Feb";"YTD Gas Gross Margin Actual vs Actual",#N/A,FALSE,"Feb";"YTD Actual Margin Calculaton",#N/A,FALSE,"Feb";"YTD Variance Analysis by Component part 1",#N/A,FALSE,"Feb";"YTD Budget vs Actual Margin Variance",#N/A,FALSE,"Feb";"YTD Budget vs Normalized Margin Variance",#N/A,FALSE,"Feb";"YTD Normalized vs Normalized Margin Variance",#N/A,FALSE,"Feb"}</definedName>
    <definedName name="wrn.Full._.Report." localSheetId="1" hidden="1">{"Page1",#N/A,FALSE,"pg1";"Page2",#N/A,FALSE,"pg2";"Page3",#N/A,FALSE,"pg3";"Page4",#N/A,FALSE,"PL";"Page5",#N/A,FALSE,"BS";"Page6",#N/A,FALSE,"CF";"Page7",#N/A,FALSE,"pg7";"Page8",#N/A,FALSE,"pg8";"Page9",#N/A,FALSE,"pg9";"Page10",#N/A,FALSE,"pg10";"Page11",#N/A,FALSE,"pg11";"Page12",#N/A,FALSE,"pg12";"Page13",#N/A,FALSE,"pg13";"Page14",#N/A,FALSE,"pg14";"Page15",#N/A,FALSE,"pg15";"Page16",#N/A,FALSE,"pg16";"Page17",#N/A,FALSE,"pg17";"Page18",#N/A,FALSE,"pg18";"Page19",#N/A,FALSE,"pg19";"Page20",#N/A,FALSE,"pg20";"Page21",#N/A,FALSE,"pg21";"Page22",#N/A,FALSE,"pg22";"Page23",#N/A,FALSE,"pg23";"Page24",#N/A,FALSE,"pg24";"Page25",#N/A,FALSE,"pg25";"Page26",#N/A,FALSE,"pg26";"Page27",#N/A,FALSE,"pg27";"Page28",#N/A,FALSE,"pg28"}</definedName>
    <definedName name="wrn.Full._.Report." localSheetId="2" hidden="1">{"Page1",#N/A,FALSE,"pg1";"Page2",#N/A,FALSE,"pg2";"Page3",#N/A,FALSE,"pg3";"Page4",#N/A,FALSE,"PL";"Page5",#N/A,FALSE,"BS";"Page6",#N/A,FALSE,"CF";"Page7",#N/A,FALSE,"pg7";"Page8",#N/A,FALSE,"pg8";"Page9",#N/A,FALSE,"pg9";"Page10",#N/A,FALSE,"pg10";"Page11",#N/A,FALSE,"pg11";"Page12",#N/A,FALSE,"pg12";"Page13",#N/A,FALSE,"pg13";"Page14",#N/A,FALSE,"pg14";"Page15",#N/A,FALSE,"pg15";"Page16",#N/A,FALSE,"pg16";"Page17",#N/A,FALSE,"pg17";"Page18",#N/A,FALSE,"pg18";"Page19",#N/A,FALSE,"pg19";"Page20",#N/A,FALSE,"pg20";"Page21",#N/A,FALSE,"pg21";"Page22",#N/A,FALSE,"pg22";"Page23",#N/A,FALSE,"pg23";"Page24",#N/A,FALSE,"pg24";"Page25",#N/A,FALSE,"pg25";"Page26",#N/A,FALSE,"pg26";"Page27",#N/A,FALSE,"pg27";"Page28",#N/A,FALSE,"pg28"}</definedName>
    <definedName name="wrn.Full._.Report." hidden="1">{"Page1",#N/A,FALSE,"pg1";"Page2",#N/A,FALSE,"pg2";"Page3",#N/A,FALSE,"pg3";"Page4",#N/A,FALSE,"PL";"Page5",#N/A,FALSE,"BS";"Page6",#N/A,FALSE,"CF";"Page7",#N/A,FALSE,"pg7";"Page8",#N/A,FALSE,"pg8";"Page9",#N/A,FALSE,"pg9";"Page10",#N/A,FALSE,"pg10";"Page11",#N/A,FALSE,"pg11";"Page12",#N/A,FALSE,"pg12";"Page13",#N/A,FALSE,"pg13";"Page14",#N/A,FALSE,"pg14";"Page15",#N/A,FALSE,"pg15";"Page16",#N/A,FALSE,"pg16";"Page17",#N/A,FALSE,"pg17";"Page18",#N/A,FALSE,"pg18";"Page19",#N/A,FALSE,"pg19";"Page20",#N/A,FALSE,"pg20";"Page21",#N/A,FALSE,"pg21";"Page22",#N/A,FALSE,"pg22";"Page23",#N/A,FALSE,"pg23";"Page24",#N/A,FALSE,"pg24";"Page25",#N/A,FALSE,"pg25";"Page26",#N/A,FALSE,"pg26";"Page27",#N/A,FALSE,"pg27";"Page28",#N/A,FALSE,"pg28"}</definedName>
    <definedName name="wrn.GAC._.RECO." localSheetId="1" hidden="1">{#N/A,#N/A,FALSE,"EST TRANS ";#N/A,#N/A,FALSE,"PIPELINE REF";#N/A,#N/A,FALSE,"GAC COST REC";#N/A,#N/A,FALSE,"INT ON PIPELINE";#N/A,#N/A,FALSE,"PIPELINE REF";#N/A,#N/A,FALSE,"Monthly Imbalan";#N/A,#N/A,FALSE,"PRORATED T.A.C.";#N/A,#N/A,FALSE,"TRAN REF SUR";#N/A,#N/A,FALSE,"INTERRUPTIBLE";#N/A,#N/A,FALSE,"PRIOR  TRANS";#N/A,#N/A,FALSE,"EST TRANS "}</definedName>
    <definedName name="wrn.GAC._.RECO." localSheetId="2" hidden="1">{#N/A,#N/A,FALSE,"EST TRANS ";#N/A,#N/A,FALSE,"PIPELINE REF";#N/A,#N/A,FALSE,"GAC COST REC";#N/A,#N/A,FALSE,"INT ON PIPELINE";#N/A,#N/A,FALSE,"PIPELINE REF";#N/A,#N/A,FALSE,"Monthly Imbalan";#N/A,#N/A,FALSE,"PRORATED T.A.C.";#N/A,#N/A,FALSE,"TRAN REF SUR";#N/A,#N/A,FALSE,"INTERRUPTIBLE";#N/A,#N/A,FALSE,"PRIOR  TRANS";#N/A,#N/A,FALSE,"EST TRANS "}</definedName>
    <definedName name="wrn.GAC._.RECO." hidden="1">{#N/A,#N/A,FALSE,"EST TRANS ";#N/A,#N/A,FALSE,"PIPELINE REF";#N/A,#N/A,FALSE,"GAC COST REC";#N/A,#N/A,FALSE,"INT ON PIPELINE";#N/A,#N/A,FALSE,"PIPELINE REF";#N/A,#N/A,FALSE,"Monthly Imbalan";#N/A,#N/A,FALSE,"PRORATED T.A.C.";#N/A,#N/A,FALSE,"TRAN REF SUR";#N/A,#N/A,FALSE,"INTERRUPTIBLE";#N/A,#N/A,FALSE,"PRIOR  TRANS";#N/A,#N/A,FALSE,"EST TRANS "}</definedName>
    <definedName name="wrn.Goals._.Backup." localSheetId="1" hidden="1">{#N/A,#N/A,FALSE,"Summary";#N/A,#N/A,FALSE,"PSA Incentive";#N/A,#N/A,FALSE,"LI Steam F.O. Lost MWHRs";#N/A,#N/A,FALSE,"LI IC F.O.F. ";#N/A,#N/A,FALSE,"LI Accident Reduction";#N/A,#N/A,FALSE,"RavIC FOF";#N/A,#N/A,FALSE,"Rav Steam EFOR";#N/A,#N/A,FALSE,"RavIC Summer DMNC";#N/A,#N/A,FALSE,"Rav OSHA Lost Time Accid"}</definedName>
    <definedName name="wrn.Goals._.Backup." localSheetId="2" hidden="1">{#N/A,#N/A,FALSE,"Summary";#N/A,#N/A,FALSE,"PSA Incentive";#N/A,#N/A,FALSE,"LI Steam F.O. Lost MWHRs";#N/A,#N/A,FALSE,"LI IC F.O.F. ";#N/A,#N/A,FALSE,"LI Accident Reduction";#N/A,#N/A,FALSE,"RavIC FOF";#N/A,#N/A,FALSE,"Rav Steam EFOR";#N/A,#N/A,FALSE,"RavIC Summer DMNC";#N/A,#N/A,FALSE,"Rav OSHA Lost Time Accid"}</definedName>
    <definedName name="wrn.Goals._.Backup." hidden="1">{#N/A,#N/A,FALSE,"Summary";#N/A,#N/A,FALSE,"PSA Incentive";#N/A,#N/A,FALSE,"LI Steam F.O. Lost MWHRs";#N/A,#N/A,FALSE,"LI IC F.O.F. ";#N/A,#N/A,FALSE,"LI Accident Reduction";#N/A,#N/A,FALSE,"RavIC FOF";#N/A,#N/A,FALSE,"Rav Steam EFOR";#N/A,#N/A,FALSE,"RavIC Summer DMNC";#N/A,#N/A,FALSE,"Rav OSHA Lost Time Accid"}</definedName>
    <definedName name="wrn.Jan._.2004." localSheetId="1" hidden="1">{"2004 Jan GGross Margin Act vs Act",#N/A,FALSE,"Jan";"2004 Jan GGross Margin Act vs Budget",#N/A,FALSE,"Jan";"2004 Jan Norm vs Norm",#N/A,FALSE,"Jan";"2004 Jan Act vs Act",#N/A,FALSE,"Jan";"2004 Jan Budget vs Normalized",#N/A,FALSE,"Jan";"2004 Jan Act vs Budget",#N/A,FALSE,"Jan";"2004 Jan Weather Norm",#N/A,FALSE,"Jan";"2004 Jan Varance Anal by component",#N/A,FALSE,"Jan";"2004 Jan Budget",#N/A,FALSE,"Jan";"2004 Jan Actual Margin Calc",#N/A,FALSE,"Jan";"2004 Jan Therms",#N/A,FALSE,"Jan"}</definedName>
    <definedName name="wrn.Jan._.2004." localSheetId="2" hidden="1">{"2004 Jan GGross Margin Act vs Act",#N/A,FALSE,"Jan";"2004 Jan GGross Margin Act vs Budget",#N/A,FALSE,"Jan";"2004 Jan Norm vs Norm",#N/A,FALSE,"Jan";"2004 Jan Act vs Act",#N/A,FALSE,"Jan";"2004 Jan Budget vs Normalized",#N/A,FALSE,"Jan";"2004 Jan Act vs Budget",#N/A,FALSE,"Jan";"2004 Jan Weather Norm",#N/A,FALSE,"Jan";"2004 Jan Varance Anal by component",#N/A,FALSE,"Jan";"2004 Jan Budget",#N/A,FALSE,"Jan";"2004 Jan Actual Margin Calc",#N/A,FALSE,"Jan";"2004 Jan Therms",#N/A,FALSE,"Jan"}</definedName>
    <definedName name="wrn.Jan._.2004." hidden="1">{"2004 Jan GGross Margin Act vs Act",#N/A,FALSE,"Jan";"2004 Jan GGross Margin Act vs Budget",#N/A,FALSE,"Jan";"2004 Jan Norm vs Norm",#N/A,FALSE,"Jan";"2004 Jan Act vs Act",#N/A,FALSE,"Jan";"2004 Jan Budget vs Normalized",#N/A,FALSE,"Jan";"2004 Jan Act vs Budget",#N/A,FALSE,"Jan";"2004 Jan Weather Norm",#N/A,FALSE,"Jan";"2004 Jan Varance Anal by component",#N/A,FALSE,"Jan";"2004 Jan Budget",#N/A,FALSE,"Jan";"2004 Jan Actual Margin Calc",#N/A,FALSE,"Jan";"2004 Jan Therms",#N/A,FALSE,"Jan"}</definedName>
    <definedName name="wrn.Jan._.Package._.2003." localSheetId="1" hidden="1">{"Jan Gas Gross Margin Actual vs Budget",#N/A,FALSE,"Jan";"Jan Gas Gross Margin Actual vs Actual",#N/A,FALSE,"Jan";"Jan Actual margin calculation clean",#N/A,FALSE,"Jan";"Jan Variance Analysis by Component",#N/A,FALSE,"Jan";"Jan Variance Analysis by Component 2",#N/A,FALSE,"Jan";"Jan Budget vs Actual",#N/A,FALSE,"Jan";"Jan Budget vs Normalized",#N/A,FALSE,"Jan";"Jan Normalized vs Normalized",#N/A,FALSE,"Jan";"JAN Actual To Actual Margin Variance",#N/A,FALSE,"Jan";"JAN Weather Normalized Revenue Margin",#N/A,FALSE,"Jan";"JAN Budget Breakdown",#N/A,FALSE,"Jan";"YTD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Jan._.Package._.2003." localSheetId="2" hidden="1">{"Jan Gas Gross Margin Actual vs Budget",#N/A,FALSE,"Jan";"Jan Gas Gross Margin Actual vs Actual",#N/A,FALSE,"Jan";"Jan Actual margin calculation clean",#N/A,FALSE,"Jan";"Jan Variance Analysis by Component",#N/A,FALSE,"Jan";"Jan Variance Analysis by Component 2",#N/A,FALSE,"Jan";"Jan Budget vs Actual",#N/A,FALSE,"Jan";"Jan Budget vs Normalized",#N/A,FALSE,"Jan";"Jan Normalized vs Normalized",#N/A,FALSE,"Jan";"JAN Actual To Actual Margin Variance",#N/A,FALSE,"Jan";"JAN Weather Normalized Revenue Margin",#N/A,FALSE,"Jan";"JAN Budget Breakdown",#N/A,FALSE,"Jan";"YTD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Jan._.Package._.2003." hidden="1">{"Jan Gas Gross Margin Actual vs Budget",#N/A,FALSE,"Jan";"Jan Gas Gross Margin Actual vs Actual",#N/A,FALSE,"Jan";"Jan Actual margin calculation clean",#N/A,FALSE,"Jan";"Jan Variance Analysis by Component",#N/A,FALSE,"Jan";"Jan Variance Analysis by Component 2",#N/A,FALSE,"Jan";"Jan Budget vs Actual",#N/A,FALSE,"Jan";"Jan Budget vs Normalized",#N/A,FALSE,"Jan";"Jan Normalized vs Normalized",#N/A,FALSE,"Jan";"JAN Actual To Actual Margin Variance",#N/A,FALSE,"Jan";"JAN Weather Normalized Revenue Margin",#N/A,FALSE,"Jan";"JAN Budget Breakdown",#N/A,FALSE,"Jan";"YTD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July._.2003." localSheetId="1" hidden="1">{"July Therms",#N/A,FALSE,"Jul";"July Normalized vs Normalized",#N/A,FALSE,"Jul";"July Act vs Actual Margin Var",#N/A,FALSE,"Jul";"July Budget vs Normalized",#N/A,FALSE,"Jul";"July Bud vs Act Marg Variance",#N/A,FALSE,"Jul";"July Weather Normalized Revenue",#N/A,FALSE,"Jul";"July Variance Analy part 2",#N/A,FALSE,"Jul";"July Var Analysis part 1",#N/A,FALSE,"Jul";"Jul Actual Margin Calc",#N/A,FALSE,"Jul"}</definedName>
    <definedName name="wrn.July._.2003." localSheetId="2" hidden="1">{"July Therms",#N/A,FALSE,"Jul";"July Normalized vs Normalized",#N/A,FALSE,"Jul";"July Act vs Actual Margin Var",#N/A,FALSE,"Jul";"July Budget vs Normalized",#N/A,FALSE,"Jul";"July Bud vs Act Marg Variance",#N/A,FALSE,"Jul";"July Weather Normalized Revenue",#N/A,FALSE,"Jul";"July Variance Analy part 2",#N/A,FALSE,"Jul";"July Var Analysis part 1",#N/A,FALSE,"Jul";"Jul Actual Margin Calc",#N/A,FALSE,"Jul"}</definedName>
    <definedName name="wrn.July._.2003." hidden="1">{"July Therms",#N/A,FALSE,"Jul";"July Normalized vs Normalized",#N/A,FALSE,"Jul";"July Act vs Actual Margin Var",#N/A,FALSE,"Jul";"July Budget vs Normalized",#N/A,FALSE,"Jul";"July Bud vs Act Marg Variance",#N/A,FALSE,"Jul";"July Weather Normalized Revenue",#N/A,FALSE,"Jul";"July Variance Analy part 2",#N/A,FALSE,"Jul";"July Var Analysis part 1",#N/A,FALSE,"Jul";"Jul Actual Margin Calc",#N/A,FALSE,"Jul"}</definedName>
    <definedName name="wrn.June._.2003." localSheetId="1" hidden="1">{"June 03 Therm Comparison",#N/A,FALSE,"Jun";"June 03 Act vs Act Margin Var",#N/A,FALSE,"Jun";"June 03 Budget vs Norm Margin Var",#N/A,FALSE,"Jun";"June 03 Budget vs Act Margin Var",#N/A,FALSE,"Jun";"June 03 Weather Norm Rev Margin",#N/A,FALSE,"Jun";"June 03 Act Margin Calc",#N/A,FALSE,"Jun";"June 03 Budget Breakdown",#N/A,FALSE,"Jun";"June 03 Variance by comp p1",#N/A,FALSE,"Jun";"June 03 Var Analys by comp p2",#N/A,FALSE,"Jun";"June 03 Gas Gross Budg vs Act",#N/A,FALSE,"Jun";"June 03 Gas Gross Act vs Act",#N/A,FALSE,"Jun"}</definedName>
    <definedName name="wrn.June._.2003." localSheetId="2" hidden="1">{"June 03 Therm Comparison",#N/A,FALSE,"Jun";"June 03 Act vs Act Margin Var",#N/A,FALSE,"Jun";"June 03 Budget vs Norm Margin Var",#N/A,FALSE,"Jun";"June 03 Budget vs Act Margin Var",#N/A,FALSE,"Jun";"June 03 Weather Norm Rev Margin",#N/A,FALSE,"Jun";"June 03 Act Margin Calc",#N/A,FALSE,"Jun";"June 03 Budget Breakdown",#N/A,FALSE,"Jun";"June 03 Variance by comp p1",#N/A,FALSE,"Jun";"June 03 Var Analys by comp p2",#N/A,FALSE,"Jun";"June 03 Gas Gross Budg vs Act",#N/A,FALSE,"Jun";"June 03 Gas Gross Act vs Act",#N/A,FALSE,"Jun"}</definedName>
    <definedName name="wrn.June._.2003." hidden="1">{"June 03 Therm Comparison",#N/A,FALSE,"Jun";"June 03 Act vs Act Margin Var",#N/A,FALSE,"Jun";"June 03 Budget vs Norm Margin Var",#N/A,FALSE,"Jun";"June 03 Budget vs Act Margin Var",#N/A,FALSE,"Jun";"June 03 Weather Norm Rev Margin",#N/A,FALSE,"Jun";"June 03 Act Margin Calc",#N/A,FALSE,"Jun";"June 03 Budget Breakdown",#N/A,FALSE,"Jun";"June 03 Variance by comp p1",#N/A,FALSE,"Jun";"June 03 Var Analys by comp p2",#N/A,FALSE,"Jun";"June 03 Gas Gross Budg vs Act",#N/A,FALSE,"Jun";"June 03 Gas Gross Act vs Act",#N/A,FALSE,"Jun"}</definedName>
    <definedName name="wrn.March._.2003." localSheetId="1" hidden="1">{"MAR 03 Gas Gross Margin Actual vs Actual",#N/A,FALSE,"Mar";"MAR 03 Gas Gross Margin Actuals vs Budget",#N/A,FALSE,"Mar";"MAR 03 Normalized vs Normalized Margin Variance",#N/A,FALSE,"Mar";"MAR 03 Actual vs Actual Margin Variance",#N/A,FALSE,"Mar";"MAR 03 Budget vs Normalized Margin Variance",#N/A,FALSE,"Mar";"MAR 03 Budget vs Actual Margin",#N/A,FALSE,"Mar";"MAR 03 Weather Normalized Revenue Margin",#N/A,FALSE,"Mar";"MAR 03 Variance Analysis part 2 by component",#N/A,FALSE,"Mar";"MAR 03 Variance Analysis by Component",#N/A,FALSE,"Mar";"MAR 03 Actual Margin Calculation",#N/A,FALSE,"Mar";"MAR 03 Budget Breakdown",#N/A,FALSE,"Mar"}</definedName>
    <definedName name="wrn.March._.2003." localSheetId="2" hidden="1">{"MAR 03 Gas Gross Margin Actual vs Actual",#N/A,FALSE,"Mar";"MAR 03 Gas Gross Margin Actuals vs Budget",#N/A,FALSE,"Mar";"MAR 03 Normalized vs Normalized Margin Variance",#N/A,FALSE,"Mar";"MAR 03 Actual vs Actual Margin Variance",#N/A,FALSE,"Mar";"MAR 03 Budget vs Normalized Margin Variance",#N/A,FALSE,"Mar";"MAR 03 Budget vs Actual Margin",#N/A,FALSE,"Mar";"MAR 03 Weather Normalized Revenue Margin",#N/A,FALSE,"Mar";"MAR 03 Variance Analysis part 2 by component",#N/A,FALSE,"Mar";"MAR 03 Variance Analysis by Component",#N/A,FALSE,"Mar";"MAR 03 Actual Margin Calculation",#N/A,FALSE,"Mar";"MAR 03 Budget Breakdown",#N/A,FALSE,"Mar"}</definedName>
    <definedName name="wrn.March._.2003." hidden="1">{"MAR 03 Gas Gross Margin Actual vs Actual",#N/A,FALSE,"Mar";"MAR 03 Gas Gross Margin Actuals vs Budget",#N/A,FALSE,"Mar";"MAR 03 Normalized vs Normalized Margin Variance",#N/A,FALSE,"Mar";"MAR 03 Actual vs Actual Margin Variance",#N/A,FALSE,"Mar";"MAR 03 Budget vs Normalized Margin Variance",#N/A,FALSE,"Mar";"MAR 03 Budget vs Actual Margin",#N/A,FALSE,"Mar";"MAR 03 Weather Normalized Revenue Margin",#N/A,FALSE,"Mar";"MAR 03 Variance Analysis part 2 by component",#N/A,FALSE,"Mar";"MAR 03 Variance Analysis by Component",#N/A,FALSE,"Mar";"MAR 03 Actual Margin Calculation",#N/A,FALSE,"Mar";"MAR 03 Budget Breakdown",#N/A,FALSE,"Mar"}</definedName>
    <definedName name="wrn.March._.Package." localSheetId="1" hidden="1">{"MAR 03 Gas Gross Margin Actuals vs Budget",#N/A,FALSE,"Mar";"MAR 03 Gas Gross Margin Actual vs Actual",#N/A,FALSE,"Mar";"MAR 03 Actual Margin Calculation",#N/A,FALSE,"Mar";"MAR 03 Variance Analysis by Component",#N/A,FALSE,"Mar";"MAR 03 Variance Analysis part 2 by component",#N/A,FALSE,"Mar";"MAR 03 Budget vs Actual Margin",#N/A,FALSE,"Mar";"MAR 03 Budget vs Normalized Margin Variance",#N/A,FALSE,"Mar";"MAR 03 Normalized vs Normalized Margin Variance",#N/A,FALSE,"Mar";"MAR 03 Actual vs Actual Margin Variance",#N/A,FALSE,"Mar";"MAR 03 Weather Normalized Revenue Margin",#N/A,FALSE,"Mar";"MAR 03 Budget Breakdown",#N/A,FALSE,"Mar";"YTD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March._.Package." localSheetId="2" hidden="1">{"MAR 03 Gas Gross Margin Actuals vs Budget",#N/A,FALSE,"Mar";"MAR 03 Gas Gross Margin Actual vs Actual",#N/A,FALSE,"Mar";"MAR 03 Actual Margin Calculation",#N/A,FALSE,"Mar";"MAR 03 Variance Analysis by Component",#N/A,FALSE,"Mar";"MAR 03 Variance Analysis part 2 by component",#N/A,FALSE,"Mar";"MAR 03 Budget vs Actual Margin",#N/A,FALSE,"Mar";"MAR 03 Budget vs Normalized Margin Variance",#N/A,FALSE,"Mar";"MAR 03 Normalized vs Normalized Margin Variance",#N/A,FALSE,"Mar";"MAR 03 Actual vs Actual Margin Variance",#N/A,FALSE,"Mar";"MAR 03 Weather Normalized Revenue Margin",#N/A,FALSE,"Mar";"MAR 03 Budget Breakdown",#N/A,FALSE,"Mar";"YTD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March._.Package." hidden="1">{"MAR 03 Gas Gross Margin Actuals vs Budget",#N/A,FALSE,"Mar";"MAR 03 Gas Gross Margin Actual vs Actual",#N/A,FALSE,"Mar";"MAR 03 Actual Margin Calculation",#N/A,FALSE,"Mar";"MAR 03 Variance Analysis by Component",#N/A,FALSE,"Mar";"MAR 03 Variance Analysis part 2 by component",#N/A,FALSE,"Mar";"MAR 03 Budget vs Actual Margin",#N/A,FALSE,"Mar";"MAR 03 Budget vs Normalized Margin Variance",#N/A,FALSE,"Mar";"MAR 03 Normalized vs Normalized Margin Variance",#N/A,FALSE,"Mar";"MAR 03 Actual vs Actual Margin Variance",#N/A,FALSE,"Mar";"MAR 03 Weather Normalized Revenue Margin",#N/A,FALSE,"Mar";"MAR 03 Budget Breakdown",#N/A,FALSE,"Mar";"YTD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May._.2003." localSheetId="1" hidden="1">{"May Actual Margin Calculation",#N/A,FALSE,"May";"May Gas Gross Actual vs Budget",#N/A,FALSE,"May";"May Gas Gross Actual Actual",#N/A,FALSE,"May";"May Budget Breakdown",#N/A,FALSE,"May";"May Variance analysis by component",#N/A,FALSE,"May";"May Variance Analysis part 2",#N/A,FALSE,"May";"May WNA",#N/A,FALSE,"May";"May Budget vs Actual Variance",#N/A,FALSE,"May";"May Budget vs Normalized Variance",#N/A,FALSE,"May";"May Act vs Act Margin Variance",#N/A,FALSE,"May";"May Norm vs Norm Margin Variance",#N/A,FALSE,"May";"May Therms",#N/A,FALSE,"May"}</definedName>
    <definedName name="wrn.May._.2003." localSheetId="2" hidden="1">{"May Actual Margin Calculation",#N/A,FALSE,"May";"May Gas Gross Actual vs Budget",#N/A,FALSE,"May";"May Gas Gross Actual Actual",#N/A,FALSE,"May";"May Budget Breakdown",#N/A,FALSE,"May";"May Variance analysis by component",#N/A,FALSE,"May";"May Variance Analysis part 2",#N/A,FALSE,"May";"May WNA",#N/A,FALSE,"May";"May Budget vs Actual Variance",#N/A,FALSE,"May";"May Budget vs Normalized Variance",#N/A,FALSE,"May";"May Act vs Act Margin Variance",#N/A,FALSE,"May";"May Norm vs Norm Margin Variance",#N/A,FALSE,"May";"May Therms",#N/A,FALSE,"May"}</definedName>
    <definedName name="wrn.May._.2003." hidden="1">{"May Actual Margin Calculation",#N/A,FALSE,"May";"May Gas Gross Actual vs Budget",#N/A,FALSE,"May";"May Gas Gross Actual Actual",#N/A,FALSE,"May";"May Budget Breakdown",#N/A,FALSE,"May";"May Variance analysis by component",#N/A,FALSE,"May";"May Variance Analysis part 2",#N/A,FALSE,"May";"May WNA",#N/A,FALSE,"May";"May Budget vs Actual Variance",#N/A,FALSE,"May";"May Budget vs Normalized Variance",#N/A,FALSE,"May";"May Act vs Act Margin Variance",#N/A,FALSE,"May";"May Norm vs Norm Margin Variance",#N/A,FALSE,"May";"May Therms",#N/A,FALSE,"May"}</definedName>
    <definedName name="wrn.MISC." localSheetId="1" hidden="1">{"Apr Gas Gross Mar Act vs Budget",#N/A,FALSE,"Apr";"May Gas Gross Actual vs Budget",#N/A,FALSE,"May";"June 03 Gas Gross Budg vs Act",#N/A,FALSE,"Jun";"Jul Gas Gross Act vs Budget",#N/A,FALSE,"Jul";"Aug GG Act vs Budget",#N/A,FALSE,"Aug"}</definedName>
    <definedName name="wrn.MISC." localSheetId="2" hidden="1">{"Apr Gas Gross Mar Act vs Budget",#N/A,FALSE,"Apr";"May Gas Gross Actual vs Budget",#N/A,FALSE,"May";"June 03 Gas Gross Budg vs Act",#N/A,FALSE,"Jun";"Jul Gas Gross Act vs Budget",#N/A,FALSE,"Jul";"Aug GG Act vs Budget",#N/A,FALSE,"Aug"}</definedName>
    <definedName name="wrn.MISC." hidden="1">{"Apr Gas Gross Mar Act vs Budget",#N/A,FALSE,"Apr";"May Gas Gross Actual vs Budget",#N/A,FALSE,"May";"June 03 Gas Gross Budg vs Act",#N/A,FALSE,"Jun";"Jul Gas Gross Act vs Budget",#N/A,FALSE,"Jul";"Aug GG Act vs Budget",#N/A,FALSE,"Aug"}</definedName>
    <definedName name="wrn.Nov._.2003." localSheetId="1" hidden="1">{"Nov Therms",#N/A,FALSE,"Nov";"Nov Varance analysis part 2",#N/A,FALSE,"Nov";"NOV 2002 Actuals vs Budget",#N/A,FALSE,"Nov";"Nov Budget Breakdown",#N/A,FALSE,"Nov";"NOV Budget vs Normalized Margin Variance",#N/A,FALSE,"Nov";"NOV Weather Normalized Revenue Margin",#N/A,FALSE,"Nov";"NOV Actual 2002 vs Actual 2001",#N/A,FALSE,"Nov";"Nov Actual Margin Calculation",#N/A,FALSE,"Nov";"NOV Variance analysis by component part 1",#N/A,FALSE,"Nov";"NOV Budget vs Actual Margin Variance",#N/A,FALSE,"Nov"}</definedName>
    <definedName name="wrn.Nov._.2003." localSheetId="2" hidden="1">{"Nov Therms",#N/A,FALSE,"Nov";"Nov Varance analysis part 2",#N/A,FALSE,"Nov";"NOV 2002 Actuals vs Budget",#N/A,FALSE,"Nov";"Nov Budget Breakdown",#N/A,FALSE,"Nov";"NOV Budget vs Normalized Margin Variance",#N/A,FALSE,"Nov";"NOV Weather Normalized Revenue Margin",#N/A,FALSE,"Nov";"NOV Actual 2002 vs Actual 2001",#N/A,FALSE,"Nov";"Nov Actual Margin Calculation",#N/A,FALSE,"Nov";"NOV Variance analysis by component part 1",#N/A,FALSE,"Nov";"NOV Budget vs Actual Margin Variance",#N/A,FALSE,"Nov"}</definedName>
    <definedName name="wrn.Nov._.2003." hidden="1">{"Nov Therms",#N/A,FALSE,"Nov";"Nov Varance analysis part 2",#N/A,FALSE,"Nov";"NOV 2002 Actuals vs Budget",#N/A,FALSE,"Nov";"Nov Budget Breakdown",#N/A,FALSE,"Nov";"NOV Budget vs Normalized Margin Variance",#N/A,FALSE,"Nov";"NOV Weather Normalized Revenue Margin",#N/A,FALSE,"Nov";"NOV Actual 2002 vs Actual 2001",#N/A,FALSE,"Nov";"Nov Actual Margin Calculation",#N/A,FALSE,"Nov";"NOV Variance analysis by component part 1",#N/A,FALSE,"Nov";"NOV Budget vs Actual Margin Variance",#N/A,FALSE,"Nov"}</definedName>
    <definedName name="wrn.Oct._.2003." localSheetId="1" hidden="1">{"Oct Therms",#N/A,FALSE,"Oct";"Oct Act vs Act",#N/A,FALSE,"Oct";"Oct Act vs Budget",#N/A,FALSE,"Oct";"Oct WNA Revenue Margin",#N/A,FALSE,"Oct";"Oct Variance Analysis by Component",#N/A,FALSE,"Oct";"Oct Actual Margin Calc",#N/A,FALSE,"Oct";"Oct Var Analysis part 2",#N/A,FALSE,"Oct";"Oct Budget vs Actual Margin Varinance",#N/A,FALSE,"Oct";"Oct Budget vs Normalized Margin Variance",#N/A,FALSE,"Oct";"Oct Act vs Act Margin Variance",#N/A,FALSE,"Oct";"Oct Norm vs Norm Margin Variance",#N/A,FALSE,"Oct"}</definedName>
    <definedName name="wrn.Oct._.2003." localSheetId="2" hidden="1">{"Oct Therms",#N/A,FALSE,"Oct";"Oct Act vs Act",#N/A,FALSE,"Oct";"Oct Act vs Budget",#N/A,FALSE,"Oct";"Oct WNA Revenue Margin",#N/A,FALSE,"Oct";"Oct Variance Analysis by Component",#N/A,FALSE,"Oct";"Oct Actual Margin Calc",#N/A,FALSE,"Oct";"Oct Var Analysis part 2",#N/A,FALSE,"Oct";"Oct Budget vs Actual Margin Varinance",#N/A,FALSE,"Oct";"Oct Budget vs Normalized Margin Variance",#N/A,FALSE,"Oct";"Oct Act vs Act Margin Variance",#N/A,FALSE,"Oct";"Oct Norm vs Norm Margin Variance",#N/A,FALSE,"Oct"}</definedName>
    <definedName name="wrn.Oct._.2003." hidden="1">{"Oct Therms",#N/A,FALSE,"Oct";"Oct Act vs Act",#N/A,FALSE,"Oct";"Oct Act vs Budget",#N/A,FALSE,"Oct";"Oct WNA Revenue Margin",#N/A,FALSE,"Oct";"Oct Variance Analysis by Component",#N/A,FALSE,"Oct";"Oct Actual Margin Calc",#N/A,FALSE,"Oct";"Oct Var Analysis part 2",#N/A,FALSE,"Oct";"Oct Budget vs Actual Margin Varinance",#N/A,FALSE,"Oct";"Oct Budget vs Normalized Margin Variance",#N/A,FALSE,"Oct";"Oct Act vs Act Margin Variance",#N/A,FALSE,"Oct";"Oct Norm vs Norm Margin Variance",#N/A,FALSE,"Oct"}</definedName>
    <definedName name="wrn.OIT._.Sum._.Pages.Manual._.Input._.First." localSheetId="1" hidden="1">{#N/A,#N/A,FALSE,"OIT summ";#N/A,#N/A,FALSE,"otb summ-dental";#N/A,#N/A,FALSE,"otb summ-vision"}</definedName>
    <definedName name="wrn.OIT._.Sum._.Pages.Manual._.Input._.First." localSheetId="2" hidden="1">{#N/A,#N/A,FALSE,"OIT summ";#N/A,#N/A,FALSE,"otb summ-dental";#N/A,#N/A,FALSE,"otb summ-vision"}</definedName>
    <definedName name="wrn.OIT._.Sum._.Pages.Manual._.Input._.First." hidden="1">{#N/A,#N/A,FALSE,"OIT summ";#N/A,#N/A,FALSE,"otb summ-dental";#N/A,#N/A,FALSE,"otb summ-vision"}</definedName>
    <definedName name="wrn.PRINT._.ALL." localSheetId="1" hidden="1">{#N/A,#N/A,FALSE,"JV167";#N/A,#N/A,FALSE,"INPUT AREA"}</definedName>
    <definedName name="wrn.PRINT._.ALL." localSheetId="2" hidden="1">{#N/A,#N/A,FALSE,"JV167";#N/A,#N/A,FALSE,"INPUT AREA"}</definedName>
    <definedName name="wrn.PRINT._.ALL." hidden="1">{#N/A,#N/A,FALSE,"JV167";#N/A,#N/A,FALSE,"INPUT AREA"}</definedName>
    <definedName name="wrn.Print._.Report." localSheetId="1" hidden="1">{#N/A,#N/A,FALSE,"COG Reco";#N/A,#N/A,FALSE,"Gas Cost Accrual Analysis";#N/A,#N/A,FALSE,"Analysis of Unbilled Adjustment"}</definedName>
    <definedName name="wrn.Print._.Report." localSheetId="2" hidden="1">{#N/A,#N/A,FALSE,"COG Reco";#N/A,#N/A,FALSE,"Gas Cost Accrual Analysis";#N/A,#N/A,FALSE,"Analysis of Unbilled Adjustment"}</definedName>
    <definedName name="wrn.Print._.Report." hidden="1">{#N/A,#N/A,FALSE,"COG Reco";#N/A,#N/A,FALSE,"Gas Cost Accrual Analysis";#N/A,#N/A,FALSE,"Analysis of Unbilled Adjustment"}</definedName>
    <definedName name="wrn.Schedule._.JLH_3." localSheetId="1" hidden="1">{"3-1",#N/A,FALSE,"Main";"3-2",#N/A,FALSE,"Sendout";"3-5",#N/A,FALSE,"Commodity";"3-7",#N/A,FALSE,"Demand";"3-8",#N/A,FALSE,"Base";"3-9",#N/A,FALSE,"Remaining";"3-12",#N/A,FALSE,"NewCGA"}</definedName>
    <definedName name="wrn.Schedule._.JLH_3." localSheetId="2" hidden="1">{"3-1",#N/A,FALSE,"Main";"3-2",#N/A,FALSE,"Sendout";"3-5",#N/A,FALSE,"Commodity";"3-7",#N/A,FALSE,"Demand";"3-8",#N/A,FALSE,"Base";"3-9",#N/A,FALSE,"Remaining";"3-12",#N/A,FALSE,"NewCGA"}</definedName>
    <definedName name="wrn.Schedule._.JLH_3." hidden="1">{"3-1",#N/A,FALSE,"Main";"3-2",#N/A,FALSE,"Sendout";"3-5",#N/A,FALSE,"Commodity";"3-7",#N/A,FALSE,"Demand";"3-8",#N/A,FALSE,"Base";"3-9",#N/A,FALSE,"Remaining";"3-12",#N/A,FALSE,"NewCGA"}</definedName>
    <definedName name="wrn.Sep._.2003." localSheetId="1" hidden="1">{"sep act vs act ggm",#N/A,FALSE,"Sep";"sep act vs budget",#N/A,FALSE,"Sep";"sep actual margin calc",#N/A,FALSE,"Sep";"sep therms",#N/A,FALSE,"Sep";"sep var analysis by component",#N/A,FALSE,"Sep";"sep weather norm credits",#N/A,FALSE,"Sep";"sep bud vs act margin var",#N/A,FALSE,"Sep";"sep actual vs actual margin variance",#N/A,FALSE,"Sep"}</definedName>
    <definedName name="wrn.Sep._.2003." localSheetId="2" hidden="1">{"sep act vs act ggm",#N/A,FALSE,"Sep";"sep act vs budget",#N/A,FALSE,"Sep";"sep actual margin calc",#N/A,FALSE,"Sep";"sep therms",#N/A,FALSE,"Sep";"sep var analysis by component",#N/A,FALSE,"Sep";"sep weather norm credits",#N/A,FALSE,"Sep";"sep bud vs act margin var",#N/A,FALSE,"Sep";"sep actual vs actual margin variance",#N/A,FALSE,"Sep"}</definedName>
    <definedName name="wrn.Sep._.2003." hidden="1">{"sep act vs act ggm",#N/A,FALSE,"Sep";"sep act vs budget",#N/A,FALSE,"Sep";"sep actual margin calc",#N/A,FALSE,"Sep";"sep therms",#N/A,FALSE,"Sep";"sep var analysis by component",#N/A,FALSE,"Sep";"sep weather norm credits",#N/A,FALSE,"Sep";"sep bud vs act margin var",#N/A,FALSE,"Sep";"sep actual vs actual margin variance",#N/A,FALSE,"Sep"}</definedName>
    <definedName name="wrn.Slide._.Add._.Ons." localSheetId="1" hidden="1">{"Sec2Sch1",#N/A,FALSE,"Sheet1";"Sec2Sch2",#N/A,FALSE,"Sheet1";"Sec2Sch3",#N/A,FALSE,"Sheet1"}</definedName>
    <definedName name="wrn.Slide._.Add._.Ons." localSheetId="2" hidden="1">{"Sec2Sch1",#N/A,FALSE,"Sheet1";"Sec2Sch2",#N/A,FALSE,"Sheet1";"Sec2Sch3",#N/A,FALSE,"Sheet1"}</definedName>
    <definedName name="wrn.Slide._.Add._.Ons." localSheetId="3" hidden="1">{"Sec2Sch1",#N/A,FALSE,"Sheet1";"Sec2Sch2",#N/A,FALSE,"Sheet1";"Sec2Sch3",#N/A,FALSE,"Sheet1"}</definedName>
    <definedName name="wrn.Slide._.Add._.Ons." localSheetId="4" hidden="1">{"Sec2Sch1",#N/A,FALSE,"Sheet1";"Sec2Sch2",#N/A,FALSE,"Sheet1";"Sec2Sch3",#N/A,FALSE,"Sheet1"}</definedName>
    <definedName name="wrn.Slide._.Add._.Ons." hidden="1">{"Sec2Sch1",#N/A,FALSE,"Sheet1";"Sec2Sch2",#N/A,FALSE,"Sheet1";"Sec2Sch3",#N/A,FALSE,"Sheet1"}</definedName>
    <definedName name="wrn.Storage." localSheetId="1" hidden="1">{"Storage",#N/A,FALSE,"Storage"}</definedName>
    <definedName name="wrn.Storage." localSheetId="2" hidden="1">{"Storage",#N/A,FALSE,"Storage"}</definedName>
    <definedName name="wrn.Storage." hidden="1">{"Storage",#N/A,FALSE,"Storage"}</definedName>
    <definedName name="wrn.Temp." localSheetId="1" hidden="1">{"Working Capital",#N/A,FALSE,"Main";"Sept CGA",#N/A,FALSE,"Main";"Adders",#N/A,FALSE,"Main";"Bad Debt",#N/A,FALSE,"Main"}</definedName>
    <definedName name="wrn.Temp." localSheetId="2" hidden="1">{"Working Capital",#N/A,FALSE,"Main";"Sept CGA",#N/A,FALSE,"Main";"Adders",#N/A,FALSE,"Main";"Bad Debt",#N/A,FALSE,"Main"}</definedName>
    <definedName name="wrn.Temp." hidden="1">{"Working Capital",#N/A,FALSE,"Main";"Sept CGA",#N/A,FALSE,"Main";"Adders",#N/A,FALSE,"Main";"Bad Debt",#N/A,FALSE,"Main"}</definedName>
    <definedName name="wrn.year._.2004." localSheetId="1" hidden="1">{"2004 4 April",#N/A,FALSE,"Apr2004";"2004 5 May",#N/A,FALSE,"May2004";"2004 6 June",#N/A,FALSE,"Jun2004";"2004 7 July",#N/A,FALSE,"Jul2004";"2004 8 August",#N/A,FALSE,"Aug2004";"2004 9 Sept",#N/A,FALSE,"Sep2004";"2004 10 Oct",#N/A,FALSE,"Oct2004";#N/A,#N/A,FALSE,"Nov2004";#N/A,#N/A,FALSE,"Dec2004"}</definedName>
    <definedName name="wrn.year._.2004." localSheetId="2" hidden="1">{"2004 4 April",#N/A,FALSE,"Apr2004";"2004 5 May",#N/A,FALSE,"May2004";"2004 6 June",#N/A,FALSE,"Jun2004";"2004 7 July",#N/A,FALSE,"Jul2004";"2004 8 August",#N/A,FALSE,"Aug2004";"2004 9 Sept",#N/A,FALSE,"Sep2004";"2004 10 Oct",#N/A,FALSE,"Oct2004";#N/A,#N/A,FALSE,"Nov2004";#N/A,#N/A,FALSE,"Dec2004"}</definedName>
    <definedName name="wrn.year._.2004." hidden="1">{"2004 4 April",#N/A,FALSE,"Apr2004";"2004 5 May",#N/A,FALSE,"May2004";"2004 6 June",#N/A,FALSE,"Jun2004";"2004 7 July",#N/A,FALSE,"Jul2004";"2004 8 August",#N/A,FALSE,"Aug2004";"2004 9 Sept",#N/A,FALSE,"Sep2004";"2004 10 Oct",#N/A,FALSE,"Oct2004";#N/A,#N/A,FALSE,"Nov2004";#N/A,#N/A,FALSE,"Dec2004"}</definedName>
    <definedName name="wrn.YTD._.2003._.2004." localSheetId="1" hidden="1">{"YTD Therms",#N/A,FALSE,"YTD";"YTD Gas Gross Margin Actual vs Actual",#N/A,FALSE,"YTD";"YTD Gas Gross Margin Actual vs Budget",#N/A,FALSE,"YTD";"YTD Normalized vs Normalized WNA",#N/A,FALSE,"YTD";"YTD Actual vs Actual WNA",#N/A,FALSE,"YTD";"YTD Budget vs Normalized WNA",#N/A,FALSE,"YTD";"YTD Budget vs Actual WNA",#N/A,FALSE,"YTD";"YTD Weather Normalization",#N/A,FALSE,"YTD";"YTD Variance Analysis by Components",#N/A,FALSE,"YTD";"YTD Budget Breakdown",#N/A,FALSE,"YTD";"YTD Actual Margin Calculation",#N/A,FALSE,"YTD"}</definedName>
    <definedName name="wrn.YTD._.2003._.2004." localSheetId="2" hidden="1">{"YTD Therms",#N/A,FALSE,"YTD";"YTD Gas Gross Margin Actual vs Actual",#N/A,FALSE,"YTD";"YTD Gas Gross Margin Actual vs Budget",#N/A,FALSE,"YTD";"YTD Normalized vs Normalized WNA",#N/A,FALSE,"YTD";"YTD Actual vs Actual WNA",#N/A,FALSE,"YTD";"YTD Budget vs Normalized WNA",#N/A,FALSE,"YTD";"YTD Budget vs Actual WNA",#N/A,FALSE,"YTD";"YTD Weather Normalization",#N/A,FALSE,"YTD";"YTD Variance Analysis by Components",#N/A,FALSE,"YTD";"YTD Budget Breakdown",#N/A,FALSE,"YTD";"YTD Actual Margin Calculation",#N/A,FALSE,"YTD"}</definedName>
    <definedName name="wrn.YTD._.2003._.2004." hidden="1">{"YTD Therms",#N/A,FALSE,"YTD";"YTD Gas Gross Margin Actual vs Actual",#N/A,FALSE,"YTD";"YTD Gas Gross Margin Actual vs Budget",#N/A,FALSE,"YTD";"YTD Normalized vs Normalized WNA",#N/A,FALSE,"YTD";"YTD Actual vs Actual WNA",#N/A,FALSE,"YTD";"YTD Budget vs Normalized WNA",#N/A,FALSE,"YTD";"YTD Budget vs Actual WNA",#N/A,FALSE,"YTD";"YTD Weather Normalization",#N/A,FALSE,"YTD";"YTD Variance Analysis by Components",#N/A,FALSE,"YTD";"YTD Budget Breakdown",#N/A,FALSE,"YTD";"YTD Actual Margin Calculation",#N/A,FALSE,"YTD"}</definedName>
    <definedName name="WSS">#REF!</definedName>
    <definedName name="WSS_FS">#REF!</definedName>
    <definedName name="x" localSheetId="1" hidden="1">{#N/A,#N/A,FALSE,"OIT ee contribs 00";#N/A,#N/A,FALSE,"OITeecontribs-DentalVision";#N/A,#N/A,FALSE,"OIT-pc01";#N/A,#N/A,FALSE,"pc-dent&amp;vision01";#N/A,#N/A,FALSE,"OIT-tc01";#N/A,#N/A,FALSE,"tc-dent&amp;vision01"}</definedName>
    <definedName name="x" localSheetId="2" hidden="1">{#N/A,#N/A,FALSE,"OIT ee contribs 00";#N/A,#N/A,FALSE,"OITeecontribs-DentalVision";#N/A,#N/A,FALSE,"OIT-pc01";#N/A,#N/A,FALSE,"pc-dent&amp;vision01";#N/A,#N/A,FALSE,"OIT-tc01";#N/A,#N/A,FALSE,"tc-dent&amp;vision01"}</definedName>
    <definedName name="x" hidden="1">{#N/A,#N/A,FALSE,"OIT ee contribs 00";#N/A,#N/A,FALSE,"OITeecontribs-DentalVision";#N/A,#N/A,FALSE,"OIT-pc01";#N/A,#N/A,FALSE,"pc-dent&amp;vision01";#N/A,#N/A,FALSE,"OIT-tc01";#N/A,#N/A,FALSE,"tc-dent&amp;vision01"}</definedName>
    <definedName name="X2A">#REF!</definedName>
    <definedName name="X2I">[105]CWC!#REF!</definedName>
    <definedName name="xx" localSheetId="1" hidden="1">{#N/A,#N/A,FALSE,"OIT ee contribs 00";#N/A,#N/A,FALSE,"OITeecontribs-DentalVision";#N/A,#N/A,FALSE,"OIT-pc01";#N/A,#N/A,FALSE,"pc-dent&amp;vision01";#N/A,#N/A,FALSE,"OIT-tc01";#N/A,#N/A,FALSE,"tc-dent&amp;vision01"}</definedName>
    <definedName name="xx" localSheetId="2" hidden="1">{#N/A,#N/A,FALSE,"OIT ee contribs 00";#N/A,#N/A,FALSE,"OITeecontribs-DentalVision";#N/A,#N/A,FALSE,"OIT-pc01";#N/A,#N/A,FALSE,"pc-dent&amp;vision01";#N/A,#N/A,FALSE,"OIT-tc01";#N/A,#N/A,FALSE,"tc-dent&amp;vision01"}</definedName>
    <definedName name="xx" hidden="1">{#N/A,#N/A,FALSE,"OIT ee contribs 00";#N/A,#N/A,FALSE,"OITeecontribs-DentalVision";#N/A,#N/A,FALSE,"OIT-pc01";#N/A,#N/A,FALSE,"pc-dent&amp;vision01";#N/A,#N/A,FALSE,"OIT-tc01";#N/A,#N/A,FALSE,"tc-dent&amp;vision01"}</definedName>
    <definedName name="xxx">[106]Input!$AK$9:$BD$134</definedName>
    <definedName name="YEAR">'[67]Start Balance'!$C$9</definedName>
    <definedName name="YEPMAR">'[89]Summary Graphs'!$FD$6:$FQ$81</definedName>
    <definedName name="YEPVOL">'[89]Summary Graphs'!$EH$6:$EV$53</definedName>
    <definedName name="yesno">#REF!</definedName>
    <definedName name="yrtodate">[6]FY2000!$BS$5:$CE$58</definedName>
    <definedName name="ytd1">#REF!</definedName>
    <definedName name="ytd2">#REF!</definedName>
    <definedName name="YTDvslastyr">#REF!</definedName>
    <definedName name="ZN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3" l="1"/>
  <c r="J22" i="1"/>
  <c r="D22" i="1" s="1"/>
  <c r="C22" i="1"/>
  <c r="C23" i="1"/>
  <c r="E23" i="1" s="1"/>
  <c r="E39" i="7" l="1"/>
  <c r="E40" i="7"/>
  <c r="E41" i="7"/>
  <c r="E42" i="7"/>
  <c r="E43" i="7"/>
  <c r="E44" i="7"/>
  <c r="E38" i="7"/>
  <c r="D39" i="7"/>
  <c r="D40" i="7"/>
  <c r="D41" i="7"/>
  <c r="D42" i="7"/>
  <c r="D43" i="7"/>
  <c r="D44" i="7"/>
  <c r="D38" i="7"/>
  <c r="A59" i="7"/>
  <c r="C51" i="7"/>
  <c r="G51" i="7" s="1"/>
  <c r="I51" i="7" s="1"/>
  <c r="G50" i="7"/>
  <c r="G49" i="7"/>
  <c r="G48" i="7"/>
  <c r="G44" i="7"/>
  <c r="H44" i="7" s="1"/>
  <c r="G43" i="7"/>
  <c r="H43" i="7" s="1"/>
  <c r="G42" i="7"/>
  <c r="H42" i="7" s="1"/>
  <c r="G41" i="7"/>
  <c r="H41" i="7" s="1"/>
  <c r="G40" i="7"/>
  <c r="H40" i="7" s="1"/>
  <c r="G39" i="7"/>
  <c r="I39" i="7" s="1"/>
  <c r="G38" i="7"/>
  <c r="I38" i="7" s="1"/>
  <c r="C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A21" i="7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8" i="7" s="1"/>
  <c r="A39" i="7" s="1"/>
  <c r="A40" i="7" s="1"/>
  <c r="A41" i="7" s="1"/>
  <c r="A42" i="7" s="1"/>
  <c r="H20" i="7"/>
  <c r="E20" i="7"/>
  <c r="I8" i="7"/>
  <c r="I6" i="7"/>
  <c r="I5" i="7"/>
  <c r="I1" i="7"/>
  <c r="A39" i="6"/>
  <c r="A22" i="6"/>
  <c r="A24" i="6" s="1"/>
  <c r="A26" i="6" s="1"/>
  <c r="G8" i="6"/>
  <c r="G6" i="6"/>
  <c r="G5" i="6"/>
  <c r="G1" i="6"/>
  <c r="D39" i="3"/>
  <c r="D40" i="3"/>
  <c r="D41" i="3"/>
  <c r="D42" i="3"/>
  <c r="D43" i="3"/>
  <c r="D44" i="3"/>
  <c r="D38" i="3"/>
  <c r="E39" i="3"/>
  <c r="E40" i="3"/>
  <c r="E41" i="3"/>
  <c r="E42" i="3"/>
  <c r="E43" i="3"/>
  <c r="E44" i="3"/>
  <c r="E38" i="3"/>
  <c r="E20" i="3"/>
  <c r="A59" i="3"/>
  <c r="A21" i="4"/>
  <c r="A23" i="4" s="1"/>
  <c r="A25" i="4" s="1"/>
  <c r="A38" i="4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8" i="3"/>
  <c r="I38" i="3" s="1"/>
  <c r="G39" i="3"/>
  <c r="I39" i="3" s="1"/>
  <c r="G40" i="3"/>
  <c r="I40" i="3" s="1"/>
  <c r="G41" i="3"/>
  <c r="I41" i="3" s="1"/>
  <c r="G42" i="3"/>
  <c r="I42" i="3" s="1"/>
  <c r="G43" i="3"/>
  <c r="I43" i="3" s="1"/>
  <c r="G44" i="3"/>
  <c r="I44" i="3" s="1"/>
  <c r="G48" i="3"/>
  <c r="G49" i="3"/>
  <c r="G50" i="3"/>
  <c r="G22" i="3"/>
  <c r="H20" i="3"/>
  <c r="I20" i="3" s="1"/>
  <c r="G5" i="4"/>
  <c r="G6" i="4"/>
  <c r="G8" i="4"/>
  <c r="G1" i="4"/>
  <c r="D36" i="7" l="1"/>
  <c r="D45" i="7" s="1"/>
  <c r="E36" i="7"/>
  <c r="I20" i="7"/>
  <c r="H39" i="7"/>
  <c r="H38" i="3"/>
  <c r="H44" i="3"/>
  <c r="H43" i="3"/>
  <c r="H42" i="3"/>
  <c r="H41" i="3"/>
  <c r="D51" i="7"/>
  <c r="E51" i="7"/>
  <c r="H38" i="7"/>
  <c r="H40" i="3"/>
  <c r="H39" i="3"/>
  <c r="H51" i="7"/>
  <c r="I44" i="7"/>
  <c r="I43" i="7"/>
  <c r="I42" i="7"/>
  <c r="I41" i="7"/>
  <c r="E45" i="7"/>
  <c r="I40" i="7"/>
  <c r="A44" i="7"/>
  <c r="A45" i="7" s="1"/>
  <c r="A48" i="7" s="1"/>
  <c r="A49" i="7" s="1"/>
  <c r="A50" i="7" s="1"/>
  <c r="A51" i="7" s="1"/>
  <c r="A53" i="7" s="1"/>
  <c r="A55" i="7" s="1"/>
  <c r="A57" i="7" s="1"/>
  <c r="A43" i="7"/>
  <c r="I5" i="3"/>
  <c r="I6" i="3"/>
  <c r="I8" i="3"/>
  <c r="C51" i="3"/>
  <c r="C36" i="3"/>
  <c r="D36" i="3" s="1"/>
  <c r="D45" i="3" s="1"/>
  <c r="A21" i="3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8" i="3" s="1"/>
  <c r="A39" i="3" s="1"/>
  <c r="A40" i="3" s="1"/>
  <c r="A41" i="3" s="1"/>
  <c r="A42" i="3" s="1"/>
  <c r="D53" i="3" l="1"/>
  <c r="D53" i="7"/>
  <c r="E53" i="7"/>
  <c r="E51" i="3"/>
  <c r="D51" i="3"/>
  <c r="D55" i="7"/>
  <c r="D57" i="7" s="1"/>
  <c r="F22" i="6" s="1"/>
  <c r="F21" i="4"/>
  <c r="E36" i="3"/>
  <c r="E45" i="3" s="1"/>
  <c r="E53" i="3" s="1"/>
  <c r="G51" i="3"/>
  <c r="A44" i="3"/>
  <c r="A45" i="3" s="1"/>
  <c r="A48" i="3" s="1"/>
  <c r="A49" i="3" s="1"/>
  <c r="A50" i="3" s="1"/>
  <c r="A51" i="3" s="1"/>
  <c r="A53" i="3" s="1"/>
  <c r="A43" i="3"/>
  <c r="G21" i="4" l="1"/>
  <c r="E55" i="7"/>
  <c r="E57" i="7" s="1"/>
  <c r="G22" i="6" s="1"/>
  <c r="D55" i="3"/>
  <c r="E55" i="3"/>
  <c r="E57" i="3" s="1"/>
  <c r="D22" i="6" s="1"/>
  <c r="D21" i="4"/>
  <c r="H51" i="3"/>
  <c r="I51" i="3"/>
  <c r="A55" i="3"/>
  <c r="A57" i="3" s="1"/>
  <c r="C21" i="4" l="1"/>
  <c r="C22" i="6"/>
  <c r="E19" i="1" l="1"/>
  <c r="G21" i="7" s="1"/>
  <c r="G36" i="7" s="1"/>
  <c r="I36" i="7" s="1"/>
  <c r="J23" i="1"/>
  <c r="A29" i="1"/>
  <c r="A19" i="1"/>
  <c r="A22" i="1" s="1"/>
  <c r="A23" i="1" s="1"/>
  <c r="A24" i="1" s="1"/>
  <c r="A10" i="1"/>
  <c r="A9" i="1"/>
  <c r="E4" i="1"/>
  <c r="E3" i="1"/>
  <c r="E2" i="1"/>
  <c r="I1" i="3"/>
  <c r="I45" i="7" l="1"/>
  <c r="I53" i="7" s="1"/>
  <c r="H36" i="7"/>
  <c r="G2" i="6"/>
  <c r="I2" i="7"/>
  <c r="G4" i="6"/>
  <c r="I4" i="7"/>
  <c r="G3" i="6"/>
  <c r="I3" i="7"/>
  <c r="I4" i="3"/>
  <c r="G4" i="4"/>
  <c r="G2" i="4"/>
  <c r="I2" i="3"/>
  <c r="G3" i="4"/>
  <c r="I3" i="3"/>
  <c r="I24" i="1"/>
  <c r="A36" i="1"/>
  <c r="A26" i="1"/>
  <c r="A37" i="1" s="1"/>
  <c r="H45" i="7" l="1"/>
  <c r="H53" i="7" s="1"/>
  <c r="I55" i="7"/>
  <c r="I57" i="7" s="1"/>
  <c r="G20" i="6" s="1"/>
  <c r="G24" i="6" s="1"/>
  <c r="G26" i="6" s="1"/>
  <c r="G19" i="4"/>
  <c r="G23" i="4" s="1"/>
  <c r="G25" i="4" s="1"/>
  <c r="J24" i="1"/>
  <c r="H55" i="7" l="1"/>
  <c r="H57" i="7" s="1"/>
  <c r="F20" i="6" s="1"/>
  <c r="F24" i="6" s="1"/>
  <c r="F26" i="6" s="1"/>
  <c r="F19" i="4"/>
  <c r="F23" i="4" s="1"/>
  <c r="F25" i="4" s="1"/>
  <c r="E22" i="1"/>
  <c r="E24" i="1" s="1"/>
  <c r="E26" i="1" s="1"/>
  <c r="G21" i="3"/>
  <c r="G36" i="3" s="1"/>
  <c r="H36" i="3" l="1"/>
  <c r="H45" i="3" s="1"/>
  <c r="H53" i="3" s="1"/>
  <c r="I36" i="3"/>
  <c r="I45" i="3" s="1"/>
  <c r="I53" i="3" s="1"/>
  <c r="D19" i="4" l="1"/>
  <c r="I55" i="3"/>
  <c r="I57" i="3" s="1"/>
  <c r="D20" i="6" s="1"/>
  <c r="D24" i="6" s="1"/>
  <c r="D26" i="6" s="1"/>
  <c r="C19" i="4"/>
  <c r="C23" i="4" s="1"/>
  <c r="H55" i="3"/>
  <c r="H57" i="3" s="1"/>
  <c r="C20" i="6" s="1"/>
  <c r="C24" i="6" s="1"/>
  <c r="C26" i="6" s="1"/>
  <c r="D23" i="4"/>
  <c r="D25" i="4" s="1"/>
  <c r="C25" i="4"/>
</calcChain>
</file>

<file path=xl/sharedStrings.xml><?xml version="1.0" encoding="utf-8"?>
<sst xmlns="http://schemas.openxmlformats.org/spreadsheetml/2006/main" count="262" uniqueCount="155">
  <si>
    <t>Massachusetts Electric Company</t>
  </si>
  <si>
    <t>Exhibit HP-3</t>
  </si>
  <si>
    <t>December 30, 2024</t>
  </si>
  <si>
    <t>Page 1 of 5</t>
  </si>
  <si>
    <t>H.O. Tassone</t>
  </si>
  <si>
    <t>Billing Units</t>
  </si>
  <si>
    <t>Proposed Rates</t>
  </si>
  <si>
    <t>Proposed Revenue</t>
  </si>
  <si>
    <t>(a)</t>
  </si>
  <si>
    <t>(b)</t>
  </si>
  <si>
    <t>(c) = (a) x (b)</t>
  </si>
  <si>
    <t>Revenue Allocation Target</t>
  </si>
  <si>
    <t>Customer Charge:</t>
  </si>
  <si>
    <t>All bills</t>
  </si>
  <si>
    <t>R-1 kWh</t>
  </si>
  <si>
    <t>R-1 $</t>
  </si>
  <si>
    <t>kWh Deliveries - Oct-Mar (R-1 &amp; R-2 * 2.8)</t>
  </si>
  <si>
    <t>kWh Deliveries - Summer- (R-1 &amp; R-2)</t>
  </si>
  <si>
    <t>Total Revenue</t>
  </si>
  <si>
    <t>Difference to Target</t>
  </si>
  <si>
    <t>Exhibit NG-PP-6 (C) - Second Amended, Page 2, Line 1</t>
  </si>
  <si>
    <t>(2)(a)</t>
  </si>
  <si>
    <t>Exhibit NG-PP-6 (C) - Second Amended, Page 2, Line 2, Column (a)</t>
  </si>
  <si>
    <t>(2)(b)</t>
  </si>
  <si>
    <t>Exhibit NG-PP-6 (C) - Second Amended, Page 2, Line 2, Column (b)</t>
  </si>
  <si>
    <t>(3)(a)</t>
  </si>
  <si>
    <t>Workpaper NG-PP-2 (C), Page 9, Lines (87)-(92) for R-1 and R-2 * 2.8</t>
  </si>
  <si>
    <t>(3)(b)</t>
  </si>
  <si>
    <t>Workpaper NG-PP-2 (C), Page 9, Lines (87)-(92) for R-1 and R-2 * Summer kWh charge $0.06546 / Line (3), Column (a)</t>
  </si>
  <si>
    <t>(4)(a)</t>
  </si>
  <si>
    <t>Workpaper NG-PP-2 (C), Page 9, Line (81)-(86) for R-1 and R-2</t>
  </si>
  <si>
    <t>(4)(b)</t>
  </si>
  <si>
    <t>Exhibit NG-PP-6 (C) - Second Amended, Page 2, Line 3, Column (b)</t>
  </si>
  <si>
    <t>Sum of Lines (2) through (4)</t>
  </si>
  <si>
    <t>Line (5) - Line (1)</t>
  </si>
  <si>
    <t>Page 2 of 5</t>
  </si>
  <si>
    <t>Nantucket Electric Company</t>
  </si>
  <si>
    <t>3 Ton Heat-Pump</t>
  </si>
  <si>
    <t>5 Ton Heat-Pump</t>
  </si>
  <si>
    <t>841 kWh usage (October)*</t>
  </si>
  <si>
    <t>2,269 kWh usage (January)**</t>
  </si>
  <si>
    <t>1,127 kWh usage (October)***</t>
  </si>
  <si>
    <t>3,341 kWh usage (January)****</t>
  </si>
  <si>
    <t>(c)</t>
  </si>
  <si>
    <t>(d)</t>
  </si>
  <si>
    <t>Illustrative R-1 Heat-Pump Customer Monthly Bill</t>
  </si>
  <si>
    <t>Illustrative Typical Residential R-1 Monthly Bill</t>
  </si>
  <si>
    <t>Illustrative R-1 Heat-Pump Customer Monthly Bill $ Increase/(Decrease)</t>
  </si>
  <si>
    <t>Illustrative R-1 Heat-Pump Customer Monthly Bill % Increase/(Decrease)</t>
  </si>
  <si>
    <t>(1) (a)</t>
  </si>
  <si>
    <t>Page 4, Line 29, Column (e)</t>
  </si>
  <si>
    <t>(2) (a)</t>
  </si>
  <si>
    <t>Page 4, Line 29, Column (b)</t>
  </si>
  <si>
    <t>(1) (b)</t>
  </si>
  <si>
    <t>Page 4, Line 29, Column (f)</t>
  </si>
  <si>
    <t>(2) (b)</t>
  </si>
  <si>
    <t>Page 4, Line 29, Column (c)</t>
  </si>
  <si>
    <t>(1) (c)</t>
  </si>
  <si>
    <t>Page 5, Line 29, Column (e)</t>
  </si>
  <si>
    <t>(2) (c)</t>
  </si>
  <si>
    <t>Page 5, Line 29, Column (b)</t>
  </si>
  <si>
    <t>(1) (d)</t>
  </si>
  <si>
    <t>Page 5, Line 29, Column (f)</t>
  </si>
  <si>
    <t>(2) (d)</t>
  </si>
  <si>
    <t>Page 5, Line 29, Column (c)</t>
  </si>
  <si>
    <t>Line (1) - Line (2)</t>
  </si>
  <si>
    <t>Line (3) ÷ Line (2)</t>
  </si>
  <si>
    <t>*</t>
  </si>
  <si>
    <t>841 kWh is equal to average residential customer usage in the month of October (600 kWh), plus 3-ton heat-pump usage in the same month</t>
  </si>
  <si>
    <t>**</t>
  </si>
  <si>
    <t>2,269 kWh is equal to average residential customer usage in the month of January (600 kWh), plus 3-ton heat-pump usage in the same month</t>
  </si>
  <si>
    <t>***</t>
  </si>
  <si>
    <t>1,127 kWh is equal to average residential customer usage in the month of October (600 kWh), plus 5-ton heat-pump usage in the same month</t>
  </si>
  <si>
    <t>****</t>
  </si>
  <si>
    <t>3,341 kWh is equal to average residential customer usage in the month of January (600 kWh), plus 5-ton heat-pump usage in the same month</t>
  </si>
  <si>
    <t>Page 3 of 5</t>
  </si>
  <si>
    <t>2269 kWh usage (January)**</t>
  </si>
  <si>
    <t>1127 kWh usage (October)***</t>
  </si>
  <si>
    <t>3341 kWh usage (January)****</t>
  </si>
  <si>
    <t xml:space="preserve">Illustrative R-2 Heat-Pump Customer Monthly Bill </t>
  </si>
  <si>
    <t>Illustrative R-2 Residential Monthly Bill</t>
  </si>
  <si>
    <t>Illustrative R-2 Heat-Pump Customer Monthly Bill $ Increase/(Decrease)</t>
  </si>
  <si>
    <t>Illustrative R-2 Heat-Pump Customer Monthly Bill % Increase/(Decrease)</t>
  </si>
  <si>
    <t>Page 4, Line 31, Column (e)</t>
  </si>
  <si>
    <t>Page 4, Line 31, Column (b)</t>
  </si>
  <si>
    <t>Page 4, Line 31, Column (f)</t>
  </si>
  <si>
    <t>Page 4, Line 31, Column (c)</t>
  </si>
  <si>
    <t>Page 5, Line 31, Column (e)</t>
  </si>
  <si>
    <t>Page 5, Line 31, Column (b)</t>
  </si>
  <si>
    <t>Page 5, Line 31, Column (f)</t>
  </si>
  <si>
    <t>Page 5, Line 31, Column (c)</t>
  </si>
  <si>
    <t>2269 kWh is equal to average residential customer usage in the month of January (600 kWh), plus 3-ton heat-pump usage in the same month</t>
  </si>
  <si>
    <t>1127 kWh is equal to average residential customer usage in the month of October (600 kWh), plus 5-ton heat-pump usage in the same month</t>
  </si>
  <si>
    <t>3341 kWh is equal to average residential customer usage in the month of January (600 kWh), plus 5-ton heat-pump usage in the same month</t>
  </si>
  <si>
    <t>Page 4 of 5</t>
  </si>
  <si>
    <t>Calculation of  Monthly Residential Bills for Customers with 3 Ton Heat-Pump</t>
  </si>
  <si>
    <t>Residential (non-Heat-Pump) Customer Typical Bill</t>
  </si>
  <si>
    <t>Residential Heat-Pump Rate Customer Typical Bill</t>
  </si>
  <si>
    <t>Effective</t>
  </si>
  <si>
    <t>Rate</t>
  </si>
  <si>
    <t xml:space="preserve"> Amount (841 kWh October usage)</t>
  </si>
  <si>
    <t>Amount (2,269 kWh January usage)</t>
  </si>
  <si>
    <t>(e)</t>
  </si>
  <si>
    <t>(f)</t>
  </si>
  <si>
    <t>Delivery Service</t>
  </si>
  <si>
    <t>Customer Charge</t>
  </si>
  <si>
    <t>Base Distribution Charge</t>
  </si>
  <si>
    <t>Basic Service Adjustment Factor</t>
  </si>
  <si>
    <t>Residential Assistance Adjustment Factor</t>
  </si>
  <si>
    <t>Storm Fund Replenishment Factor</t>
  </si>
  <si>
    <t>Pension/PBOP Factor</t>
  </si>
  <si>
    <t>Revenue Decoupling Mechanism Adjustment Factor</t>
  </si>
  <si>
    <t>Attorney General Consulting Expense Factor</t>
  </si>
  <si>
    <t>Solar Cost Adjustment Factor</t>
  </si>
  <si>
    <t xml:space="preserve">Smart Grid Distribution Adjustment Factor </t>
  </si>
  <si>
    <t>Renewable Energy Recovery Factor</t>
  </si>
  <si>
    <t>Tax Act Credit Factor</t>
  </si>
  <si>
    <t>Vegetation Management Factor</t>
  </si>
  <si>
    <t>Grid Modernization Factor</t>
  </si>
  <si>
    <t>Exogenous Storm Fund Factor</t>
  </si>
  <si>
    <t>Advanced Metering Infrastructure Factor</t>
  </si>
  <si>
    <t>Total Distribution Energy Charge</t>
  </si>
  <si>
    <t>SMART Factor</t>
  </si>
  <si>
    <t>Electric Vehicle Program Factor</t>
  </si>
  <si>
    <t>Transition Charge</t>
  </si>
  <si>
    <t>Transmission Service Adjustment Factor</t>
  </si>
  <si>
    <t>Energy Efficiency Charge</t>
  </si>
  <si>
    <t>Net Metering Recovery Surcharge</t>
  </si>
  <si>
    <t>Renewables Charge</t>
  </si>
  <si>
    <t>Subtotal Delivery Charges</t>
  </si>
  <si>
    <t>Supply Service</t>
  </si>
  <si>
    <t>Base Basic Service Charge</t>
  </si>
  <si>
    <t>Basic Service Admin Cost Factor</t>
  </si>
  <si>
    <t>Smart Grid Customer Cost Adjustment Factor</t>
  </si>
  <si>
    <t>Subtotal Commodity</t>
  </si>
  <si>
    <t>Total R-1 Residential Typical Bill</t>
  </si>
  <si>
    <t>R-2 Low Income Discount</t>
  </si>
  <si>
    <t>Total R-2 Residential Typical Bill</t>
  </si>
  <si>
    <t>Per M.D.P.U. No. 1-25-A</t>
  </si>
  <si>
    <t>(b),(c), (e), (f)</t>
  </si>
  <si>
    <t>Line (1): Per M.D.P.U. No. 1-25-A</t>
  </si>
  <si>
    <t>Lines (17) through (23), Line (28): kWh x Column (a)</t>
  </si>
  <si>
    <t>Line (24) = SUM (Lines (17) through (23))</t>
  </si>
  <si>
    <t>Line (29): Line (24) + Line (28)</t>
  </si>
  <si>
    <t>Line (30): Line (29) x Line (30), Column (a)</t>
  </si>
  <si>
    <t>Line (31): Line (29) - Line (30)</t>
  </si>
  <si>
    <t>per M.D.P.U. No. 1-25-A, except Line (3) = Page 1, Line (3), Coumn (b)</t>
  </si>
  <si>
    <t>Page 5 of 5</t>
  </si>
  <si>
    <t>Calculation of  Monthly Residential Bills for Customers with 5 Ton Heat-Pump</t>
  </si>
  <si>
    <t xml:space="preserve"> Amount (1,127 kWh October usage)</t>
  </si>
  <si>
    <t>Amount (3,341 kWh January usage)</t>
  </si>
  <si>
    <t>per M.D.P.U. No. 1-25-A, except Line (3) = Page 1, Line (3), Column (b)</t>
  </si>
  <si>
    <t>Rate Design for Proposed R-1/R-2 Optional HEAT PUMP Pricing-kWh Charge</t>
  </si>
  <si>
    <t>Calculation of Illustrative R-1 Heat-Pump Rate Customer Bill Impacts</t>
  </si>
  <si>
    <t>Calculation of Illustrative R-2 Heat-Pump Rate Customer Bill Impacts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</si>
</sst>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0_);\(0\)"/>
    <numFmt numFmtId="166" formatCode="0.0%"/>
    <numFmt numFmtId="167" formatCode="&quot;$&quot;#,##0.00000_);\(&quot;$&quot;#,##0.00000\)"/>
    <numFmt numFmtId="168" formatCode="_(* #,##0_);_(* \(#,##0\);_(* &quot;-&quot;??_);_(@_)"/>
    <numFmt numFmtId="169" formatCode="#,##0.000000"/>
    <numFmt numFmtId="170" formatCode="_(* #,##0.00000_);_(* \(#,##0.00000\);_(* &quot;-&quot;??_);_(@_)"/>
    <numFmt numFmtId="171" formatCode="&quot;$&quot;#,##0.00000"/>
    <numFmt numFmtId="172" formatCode="[$$-409]#,##0.00000"/>
    <numFmt numFmtId="173" formatCode="&quot;$&quot;#,##0"/>
    <numFmt numFmtId="174" formatCode="[$$-409]#,##0"/>
    <numFmt numFmtId="175" formatCode="&quot;$&quot;#,##0.00"/>
    <numFmt numFmtId="176" formatCode="&quot;(&quot;0&quot;)&quot;"/>
    <numFmt numFmtId="177" formatCode="&quot;$&quot;#,##0.000000"/>
    <numFmt numFmtId="178" formatCode="mmm\-yyyy"/>
    <numFmt numFmtId="179" formatCode="_(&quot;$&quot;* #,##0.00_);_(&quot;$&quot;* \(#,##0.00\);_(&quot;$&quot;* &quot;-&quot;?????_);_(@_)"/>
    <numFmt numFmtId="180" formatCode="0%_);\(0%\)"/>
  </numFmts>
  <fonts count="15" x14ac:knownFonts="1">
    <font>
      <sz val="12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0"/>
      <name val="Arial"/>
      <family val="2"/>
    </font>
    <font>
      <u/>
      <sz val="11"/>
      <name val="Times New Roman"/>
      <family val="1"/>
    </font>
    <font>
      <sz val="11"/>
      <name val="Arial"/>
      <family val="2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u val="singleAccounting"/>
      <sz val="11"/>
      <color theme="1"/>
      <name val="Times New Roman"/>
      <family val="1"/>
    </font>
    <font>
      <u/>
      <sz val="10"/>
      <name val="Times New Roman"/>
      <family val="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0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3" fillId="0" borderId="0"/>
    <xf numFmtId="0" fontId="1" fillId="0" borderId="0"/>
    <xf numFmtId="0" fontId="6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21">
    <xf numFmtId="0" fontId="0" fillId="0" borderId="0" xfId="0"/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vertical="center"/>
    </xf>
    <xf numFmtId="37" fontId="2" fillId="0" borderId="0" xfId="3" applyNumberFormat="1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3" fontId="2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centerContinuous" vertical="center"/>
    </xf>
    <xf numFmtId="3" fontId="2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3" fontId="2" fillId="0" borderId="0" xfId="0" quotePrefix="1" applyNumberFormat="1" applyFont="1" applyAlignment="1">
      <alignment horizontal="center" vertical="center" wrapText="1"/>
    </xf>
    <xf numFmtId="10" fontId="4" fillId="0" borderId="0" xfId="2" applyNumberFormat="1" applyFont="1" applyFill="1" applyBorder="1" applyAlignment="1">
      <alignment horizontal="center" vertical="center" wrapText="1"/>
    </xf>
    <xf numFmtId="165" fontId="2" fillId="0" borderId="0" xfId="0" quotePrefix="1" applyNumberFormat="1" applyFont="1" applyAlignment="1">
      <alignment horizontal="center" vertical="center"/>
    </xf>
    <xf numFmtId="5" fontId="2" fillId="0" borderId="3" xfId="0" applyNumberFormat="1" applyFont="1" applyBorder="1" applyAlignment="1">
      <alignment horizontal="right" vertical="center"/>
    </xf>
    <xf numFmtId="166" fontId="2" fillId="0" borderId="0" xfId="2" applyNumberFormat="1" applyFont="1" applyFill="1" applyAlignment="1">
      <alignment vertical="center"/>
    </xf>
    <xf numFmtId="5" fontId="2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vertical="center"/>
    </xf>
    <xf numFmtId="37" fontId="2" fillId="0" borderId="0" xfId="0" applyNumberFormat="1" applyFont="1" applyAlignment="1">
      <alignment horizontal="right" vertical="center"/>
    </xf>
    <xf numFmtId="7" fontId="2" fillId="0" borderId="0" xfId="0" applyNumberFormat="1" applyFont="1" applyAlignment="1">
      <alignment horizontal="right" vertical="center"/>
    </xf>
    <xf numFmtId="167" fontId="2" fillId="0" borderId="0" xfId="0" applyNumberFormat="1" applyFont="1" applyAlignment="1">
      <alignment vertical="center"/>
    </xf>
    <xf numFmtId="5" fontId="2" fillId="0" borderId="0" xfId="2" applyNumberFormat="1" applyFont="1" applyFill="1" applyBorder="1" applyAlignment="1">
      <alignment horizontal="right" vertical="center"/>
    </xf>
    <xf numFmtId="168" fontId="2" fillId="0" borderId="0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67" fontId="2" fillId="0" borderId="0" xfId="0" applyNumberFormat="1" applyFont="1" applyAlignment="1">
      <alignment horizontal="right" vertical="center"/>
    </xf>
    <xf numFmtId="169" fontId="2" fillId="0" borderId="0" xfId="0" applyNumberFormat="1" applyFont="1" applyAlignment="1">
      <alignment vertical="center"/>
    </xf>
    <xf numFmtId="170" fontId="2" fillId="0" borderId="0" xfId="1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171" fontId="2" fillId="0" borderId="0" xfId="0" applyNumberFormat="1" applyFont="1" applyAlignment="1">
      <alignment vertical="center"/>
    </xf>
    <xf numFmtId="172" fontId="2" fillId="0" borderId="0" xfId="0" applyNumberFormat="1" applyFont="1" applyAlignment="1">
      <alignment vertical="center"/>
    </xf>
    <xf numFmtId="173" fontId="2" fillId="0" borderId="0" xfId="0" applyNumberFormat="1" applyFont="1" applyAlignment="1">
      <alignment vertical="center"/>
    </xf>
    <xf numFmtId="5" fontId="2" fillId="0" borderId="4" xfId="0" applyNumberFormat="1" applyFont="1" applyBorder="1" applyAlignment="1">
      <alignment horizontal="right" vertical="center"/>
    </xf>
    <xf numFmtId="174" fontId="4" fillId="0" borderId="0" xfId="0" applyNumberFormat="1" applyFont="1" applyAlignment="1">
      <alignment vertical="center"/>
    </xf>
    <xf numFmtId="37" fontId="2" fillId="0" borderId="4" xfId="0" applyNumberFormat="1" applyFont="1" applyBorder="1" applyAlignment="1">
      <alignment horizontal="right" vertical="center"/>
    </xf>
    <xf numFmtId="166" fontId="2" fillId="0" borderId="0" xfId="2" applyNumberFormat="1" applyFont="1" applyFill="1" applyBorder="1" applyAlignment="1">
      <alignment vertical="center"/>
    </xf>
    <xf numFmtId="10" fontId="2" fillId="0" borderId="0" xfId="2" applyNumberFormat="1" applyFont="1" applyFill="1" applyBorder="1" applyAlignment="1">
      <alignment vertical="center"/>
    </xf>
    <xf numFmtId="175" fontId="2" fillId="0" borderId="0" xfId="0" applyNumberFormat="1" applyFont="1" applyAlignment="1">
      <alignment vertical="center"/>
    </xf>
    <xf numFmtId="5" fontId="2" fillId="0" borderId="0" xfId="2" applyNumberFormat="1" applyFont="1" applyFill="1" applyAlignment="1">
      <alignment horizontal="right" vertical="center"/>
    </xf>
    <xf numFmtId="17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71" fontId="2" fillId="0" borderId="0" xfId="1" applyNumberFormat="1" applyFont="1" applyFill="1" applyBorder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176" fontId="2" fillId="0" borderId="0" xfId="0" quotePrefix="1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0" quotePrefix="1" applyFont="1" applyAlignment="1">
      <alignment vertical="center"/>
    </xf>
    <xf numFmtId="173" fontId="7" fillId="0" borderId="0" xfId="0" applyNumberFormat="1" applyFont="1" applyAlignment="1">
      <alignment vertical="center"/>
    </xf>
    <xf numFmtId="5" fontId="7" fillId="0" borderId="0" xfId="1" applyNumberFormat="1" applyFont="1" applyFill="1" applyBorder="1" applyAlignment="1">
      <alignment vertical="center"/>
    </xf>
    <xf numFmtId="173" fontId="2" fillId="0" borderId="0" xfId="1" applyNumberFormat="1" applyFont="1" applyFill="1" applyBorder="1" applyAlignment="1">
      <alignment vertical="center"/>
    </xf>
    <xf numFmtId="10" fontId="2" fillId="0" borderId="0" xfId="2" applyNumberFormat="1" applyFont="1" applyFill="1" applyAlignment="1">
      <alignment vertical="center"/>
    </xf>
    <xf numFmtId="43" fontId="2" fillId="0" borderId="0" xfId="1" applyFont="1" applyFill="1" applyAlignment="1">
      <alignment vertical="center"/>
    </xf>
    <xf numFmtId="43" fontId="2" fillId="0" borderId="0" xfId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68" fontId="2" fillId="0" borderId="0" xfId="1" applyNumberFormat="1" applyFont="1" applyAlignment="1">
      <alignment vertical="center"/>
    </xf>
    <xf numFmtId="167" fontId="0" fillId="0" borderId="0" xfId="0" applyNumberFormat="1" applyAlignment="1">
      <alignment vertical="center" wrapText="1"/>
    </xf>
    <xf numFmtId="177" fontId="2" fillId="0" borderId="0" xfId="1" applyNumberFormat="1" applyFont="1" applyFill="1" applyBorder="1" applyAlignment="1">
      <alignment vertical="center"/>
    </xf>
    <xf numFmtId="0" fontId="2" fillId="0" borderId="0" xfId="6" applyFont="1" applyAlignment="1">
      <alignment vertical="center"/>
    </xf>
    <xf numFmtId="0" fontId="2" fillId="0" borderId="0" xfId="6" applyFont="1" applyAlignment="1">
      <alignment horizontal="right" vertical="center"/>
    </xf>
    <xf numFmtId="0" fontId="2" fillId="0" borderId="0" xfId="6" applyFont="1"/>
    <xf numFmtId="0" fontId="2" fillId="0" borderId="0" xfId="6" applyFont="1" applyAlignment="1">
      <alignment horizontal="centerContinuous" vertical="center"/>
    </xf>
    <xf numFmtId="178" fontId="9" fillId="0" borderId="0" xfId="6" applyNumberFormat="1" applyFont="1" applyAlignment="1">
      <alignment horizontal="center" vertical="center"/>
    </xf>
    <xf numFmtId="178" fontId="2" fillId="0" borderId="0" xfId="6" applyNumberFormat="1" applyFont="1" applyAlignment="1">
      <alignment horizontal="center" vertical="center"/>
    </xf>
    <xf numFmtId="165" fontId="2" fillId="0" borderId="0" xfId="6" applyNumberFormat="1" applyFont="1" applyAlignment="1">
      <alignment horizontal="center" vertical="center"/>
    </xf>
    <xf numFmtId="0" fontId="2" fillId="0" borderId="0" xfId="6" applyFont="1" applyAlignment="1">
      <alignment horizontal="left" vertical="center"/>
    </xf>
    <xf numFmtId="178" fontId="10" fillId="0" borderId="0" xfId="6" quotePrefix="1" applyNumberFormat="1" applyFont="1" applyAlignment="1">
      <alignment horizontal="center" vertical="center"/>
    </xf>
    <xf numFmtId="178" fontId="10" fillId="0" borderId="0" xfId="6" applyNumberFormat="1" applyFont="1" applyAlignment="1">
      <alignment horizontal="center" vertical="center"/>
    </xf>
    <xf numFmtId="0" fontId="9" fillId="0" borderId="0" xfId="6" applyFont="1" applyAlignment="1">
      <alignment vertical="center"/>
    </xf>
    <xf numFmtId="178" fontId="9" fillId="0" borderId="0" xfId="6" quotePrefix="1" applyNumberFormat="1" applyFont="1" applyAlignment="1">
      <alignment horizontal="center" vertical="center"/>
    </xf>
    <xf numFmtId="0" fontId="11" fillId="0" borderId="0" xfId="6" applyFont="1" applyAlignment="1">
      <alignment vertical="center"/>
    </xf>
    <xf numFmtId="7" fontId="2" fillId="0" borderId="0" xfId="6" applyNumberFormat="1" applyFont="1" applyAlignment="1">
      <alignment vertical="center"/>
    </xf>
    <xf numFmtId="167" fontId="2" fillId="0" borderId="0" xfId="6" applyNumberFormat="1" applyFont="1" applyAlignment="1">
      <alignment vertical="center"/>
    </xf>
    <xf numFmtId="167" fontId="7" fillId="0" borderId="0" xfId="6" applyNumberFormat="1" applyFont="1" applyAlignment="1">
      <alignment vertical="center"/>
    </xf>
    <xf numFmtId="7" fontId="7" fillId="0" borderId="0" xfId="6" applyNumberFormat="1" applyFont="1" applyAlignment="1">
      <alignment vertical="center"/>
    </xf>
    <xf numFmtId="7" fontId="2" fillId="0" borderId="0" xfId="7" applyNumberFormat="1" applyFont="1" applyFill="1" applyBorder="1" applyAlignment="1">
      <alignment vertical="center"/>
    </xf>
    <xf numFmtId="167" fontId="9" fillId="0" borderId="0" xfId="7" applyNumberFormat="1" applyFont="1" applyFill="1" applyBorder="1" applyAlignment="1">
      <alignment vertical="center"/>
    </xf>
    <xf numFmtId="7" fontId="12" fillId="0" borderId="0" xfId="6" applyNumberFormat="1" applyFont="1" applyAlignment="1">
      <alignment vertical="center"/>
    </xf>
    <xf numFmtId="179" fontId="2" fillId="0" borderId="0" xfId="6" applyNumberFormat="1" applyFont="1" applyAlignment="1">
      <alignment vertical="center"/>
    </xf>
    <xf numFmtId="9" fontId="2" fillId="0" borderId="0" xfId="8" applyFont="1" applyAlignment="1">
      <alignment vertical="center"/>
    </xf>
    <xf numFmtId="175" fontId="7" fillId="0" borderId="0" xfId="6" applyNumberFormat="1" applyFont="1" applyAlignment="1">
      <alignment vertical="center"/>
    </xf>
    <xf numFmtId="0" fontId="2" fillId="0" borderId="0" xfId="6" applyFont="1" applyAlignment="1">
      <alignment horizontal="center" vertical="center"/>
    </xf>
    <xf numFmtId="175" fontId="2" fillId="0" borderId="0" xfId="6" applyNumberFormat="1" applyFont="1" applyAlignment="1">
      <alignment vertical="center"/>
    </xf>
    <xf numFmtId="167" fontId="2" fillId="0" borderId="0" xfId="7" quotePrefix="1" applyNumberFormat="1" applyFont="1" applyFill="1" applyAlignment="1">
      <alignment vertical="center"/>
    </xf>
    <xf numFmtId="3" fontId="2" fillId="0" borderId="0" xfId="6" applyNumberFormat="1" applyFont="1" applyAlignment="1">
      <alignment horizontal="right" vertical="center"/>
    </xf>
    <xf numFmtId="0" fontId="3" fillId="0" borderId="0" xfId="6"/>
    <xf numFmtId="0" fontId="2" fillId="0" borderId="0" xfId="6" applyFont="1" applyAlignment="1">
      <alignment horizontal="right"/>
    </xf>
    <xf numFmtId="0" fontId="2" fillId="0" borderId="0" xfId="6" applyFont="1" applyAlignment="1">
      <alignment horizontal="centerContinuous"/>
    </xf>
    <xf numFmtId="0" fontId="2" fillId="0" borderId="0" xfId="6" applyFont="1" applyAlignment="1">
      <alignment horizontal="center"/>
    </xf>
    <xf numFmtId="165" fontId="2" fillId="0" borderId="0" xfId="9" applyNumberFormat="1" applyFont="1" applyAlignment="1">
      <alignment horizontal="center"/>
    </xf>
    <xf numFmtId="7" fontId="2" fillId="0" borderId="0" xfId="6" applyNumberFormat="1" applyFont="1"/>
    <xf numFmtId="10" fontId="2" fillId="0" borderId="0" xfId="8" applyNumberFormat="1" applyFont="1"/>
    <xf numFmtId="168" fontId="2" fillId="0" borderId="0" xfId="9" applyNumberFormat="1" applyFont="1" applyAlignment="1">
      <alignment horizontal="center"/>
    </xf>
    <xf numFmtId="3" fontId="2" fillId="0" borderId="0" xfId="6" applyNumberFormat="1" applyFont="1" applyAlignment="1">
      <alignment horizontal="right"/>
    </xf>
    <xf numFmtId="7" fontId="3" fillId="0" borderId="0" xfId="6" applyNumberFormat="1"/>
    <xf numFmtId="43" fontId="2" fillId="0" borderId="0" xfId="1" applyFont="1"/>
    <xf numFmtId="180" fontId="2" fillId="0" borderId="0" xfId="8" applyNumberFormat="1" applyFont="1"/>
    <xf numFmtId="0" fontId="3" fillId="0" borderId="0" xfId="6" applyAlignment="1">
      <alignment horizontal="center"/>
    </xf>
    <xf numFmtId="0" fontId="7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6" applyFont="1"/>
    <xf numFmtId="7" fontId="2" fillId="0" borderId="0" xfId="1" applyNumberFormat="1" applyFont="1"/>
    <xf numFmtId="0" fontId="2" fillId="0" borderId="0" xfId="0" quotePrefix="1" applyFont="1" applyAlignment="1">
      <alignment vertical="center" wrapText="1"/>
    </xf>
    <xf numFmtId="43" fontId="2" fillId="0" borderId="0" xfId="1" applyFont="1" applyBorder="1"/>
    <xf numFmtId="10" fontId="2" fillId="0" borderId="0" xfId="8" applyNumberFormat="1" applyFont="1" applyBorder="1"/>
    <xf numFmtId="180" fontId="2" fillId="0" borderId="0" xfId="8" applyNumberFormat="1" applyFont="1" applyBorder="1"/>
    <xf numFmtId="171" fontId="2" fillId="0" borderId="0" xfId="0" applyNumberFormat="1" applyFont="1" applyAlignment="1">
      <alignment horizontal="right" vertical="center"/>
    </xf>
    <xf numFmtId="0" fontId="2" fillId="0" borderId="0" xfId="0" quotePrefix="1" applyFont="1" applyAlignment="1">
      <alignment horizontal="center" vertical="top"/>
    </xf>
    <xf numFmtId="9" fontId="3" fillId="0" borderId="0" xfId="2" applyFont="1"/>
    <xf numFmtId="0" fontId="0" fillId="0" borderId="0" xfId="0" applyAlignment="1">
      <alignment vertical="center" wrapText="1"/>
    </xf>
    <xf numFmtId="0" fontId="2" fillId="0" borderId="0" xfId="0" quotePrefix="1" applyFont="1" applyAlignment="1">
      <alignment horizontal="left" vertical="center" wrapText="1"/>
    </xf>
    <xf numFmtId="3" fontId="2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2" xfId="6" applyFont="1" applyBorder="1" applyAlignment="1">
      <alignment horizontal="center"/>
    </xf>
    <xf numFmtId="0" fontId="2" fillId="0" borderId="0" xfId="6" applyFont="1" applyAlignment="1">
      <alignment horizontal="center"/>
    </xf>
    <xf numFmtId="0" fontId="2" fillId="0" borderId="2" xfId="6" applyFont="1" applyBorder="1" applyAlignment="1">
      <alignment horizontal="center" vertical="center"/>
    </xf>
    <xf numFmtId="0" fontId="2" fillId="0" borderId="0" xfId="6" applyFont="1" applyAlignment="1">
      <alignment horizontal="center" vertical="center"/>
    </xf>
  </cellXfs>
  <cellStyles count="10">
    <cellStyle name="Comma" xfId="1" builtinId="3"/>
    <cellStyle name="Comma 2" xfId="9" xr:uid="{7924DD05-D44D-44E2-8D81-D581153BAD59}"/>
    <cellStyle name="Currency 2" xfId="7" xr:uid="{052CF382-8C91-4902-8AC9-0BA2A9BA5FFB}"/>
    <cellStyle name="Normal" xfId="0" builtinId="0"/>
    <cellStyle name="Normal 2" xfId="6" xr:uid="{570439AF-2633-463B-A283-121061122E90}"/>
    <cellStyle name="Normal 2 2" xfId="5" xr:uid="{DC082BE3-D7FD-4E1F-A40A-0548D88D64C7}"/>
    <cellStyle name="Normal 320" xfId="4" xr:uid="{4EFD813E-5318-4A10-99B6-CEFD176138D7}"/>
    <cellStyle name="Normal_Schedules_National Grid" xfId="3" xr:uid="{27572C55-ED29-45E1-956D-86304C48BB69}"/>
    <cellStyle name="Percent" xfId="2" builtinId="5"/>
    <cellStyle name="Percent 2" xfId="8" xr:uid="{D9A941B4-01A3-437D-B9FE-1836C9EF65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117" Type="http://schemas.openxmlformats.org/officeDocument/2006/relationships/customXml" Target="../customXml/item2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84" Type="http://schemas.openxmlformats.org/officeDocument/2006/relationships/externalLink" Target="externalLinks/externalLink79.xml"/><Relationship Id="rId89" Type="http://schemas.openxmlformats.org/officeDocument/2006/relationships/externalLink" Target="externalLinks/externalLink84.xml"/><Relationship Id="rId112" Type="http://schemas.openxmlformats.org/officeDocument/2006/relationships/theme" Target="theme/theme1.xml"/><Relationship Id="rId16" Type="http://schemas.openxmlformats.org/officeDocument/2006/relationships/externalLink" Target="externalLinks/externalLink11.xml"/><Relationship Id="rId107" Type="http://schemas.openxmlformats.org/officeDocument/2006/relationships/externalLink" Target="externalLinks/externalLink102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9.xml"/><Relationship Id="rId79" Type="http://schemas.openxmlformats.org/officeDocument/2006/relationships/externalLink" Target="externalLinks/externalLink74.xml"/><Relationship Id="rId102" Type="http://schemas.openxmlformats.org/officeDocument/2006/relationships/externalLink" Target="externalLinks/externalLink97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5.xml"/><Relationship Id="rId95" Type="http://schemas.openxmlformats.org/officeDocument/2006/relationships/externalLink" Target="externalLinks/externalLink90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113" Type="http://schemas.openxmlformats.org/officeDocument/2006/relationships/styles" Target="styles.xml"/><Relationship Id="rId118" Type="http://schemas.openxmlformats.org/officeDocument/2006/relationships/customXml" Target="../customXml/item3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54.xml"/><Relationship Id="rId103" Type="http://schemas.openxmlformats.org/officeDocument/2006/relationships/externalLink" Target="externalLinks/externalLink98.xml"/><Relationship Id="rId108" Type="http://schemas.openxmlformats.org/officeDocument/2006/relationships/externalLink" Target="externalLinks/externalLink103.xml"/><Relationship Id="rId54" Type="http://schemas.openxmlformats.org/officeDocument/2006/relationships/externalLink" Target="externalLinks/externalLink49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91" Type="http://schemas.openxmlformats.org/officeDocument/2006/relationships/externalLink" Target="externalLinks/externalLink86.xml"/><Relationship Id="rId96" Type="http://schemas.openxmlformats.org/officeDocument/2006/relationships/externalLink" Target="externalLinks/externalLink9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44.xml"/><Relationship Id="rId114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81" Type="http://schemas.openxmlformats.org/officeDocument/2006/relationships/externalLink" Target="externalLinks/externalLink76.xml"/><Relationship Id="rId86" Type="http://schemas.openxmlformats.org/officeDocument/2006/relationships/externalLink" Target="externalLinks/externalLink81.xml"/><Relationship Id="rId94" Type="http://schemas.openxmlformats.org/officeDocument/2006/relationships/externalLink" Target="externalLinks/externalLink89.xml"/><Relationship Id="rId99" Type="http://schemas.openxmlformats.org/officeDocument/2006/relationships/externalLink" Target="externalLinks/externalLink94.xml"/><Relationship Id="rId101" Type="http://schemas.openxmlformats.org/officeDocument/2006/relationships/externalLink" Target="externalLinks/externalLink9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109" Type="http://schemas.openxmlformats.org/officeDocument/2006/relationships/externalLink" Target="externalLinks/externalLink10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97" Type="http://schemas.openxmlformats.org/officeDocument/2006/relationships/externalLink" Target="externalLinks/externalLink92.xml"/><Relationship Id="rId104" Type="http://schemas.openxmlformats.org/officeDocument/2006/relationships/externalLink" Target="externalLinks/externalLink99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92" Type="http://schemas.openxmlformats.org/officeDocument/2006/relationships/externalLink" Target="externalLinks/externalLink8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externalLink" Target="externalLinks/externalLink82.xml"/><Relationship Id="rId110" Type="http://schemas.openxmlformats.org/officeDocument/2006/relationships/externalLink" Target="externalLinks/externalLink105.xml"/><Relationship Id="rId115" Type="http://schemas.openxmlformats.org/officeDocument/2006/relationships/calcChain" Target="calcChain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9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56" Type="http://schemas.openxmlformats.org/officeDocument/2006/relationships/externalLink" Target="externalLinks/externalLink51.xml"/><Relationship Id="rId77" Type="http://schemas.openxmlformats.org/officeDocument/2006/relationships/externalLink" Target="externalLinks/externalLink72.xml"/><Relationship Id="rId100" Type="http://schemas.openxmlformats.org/officeDocument/2006/relationships/externalLink" Target="externalLinks/externalLink95.xml"/><Relationship Id="rId105" Type="http://schemas.openxmlformats.org/officeDocument/2006/relationships/externalLink" Target="externalLinks/externalLink100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93" Type="http://schemas.openxmlformats.org/officeDocument/2006/relationships/externalLink" Target="externalLinks/externalLink88.xml"/><Relationship Id="rId98" Type="http://schemas.openxmlformats.org/officeDocument/2006/relationships/externalLink" Target="externalLinks/externalLink93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20.xml"/><Relationship Id="rId46" Type="http://schemas.openxmlformats.org/officeDocument/2006/relationships/externalLink" Target="externalLinks/externalLink41.xml"/><Relationship Id="rId67" Type="http://schemas.openxmlformats.org/officeDocument/2006/relationships/externalLink" Target="externalLinks/externalLink62.xml"/><Relationship Id="rId116" Type="http://schemas.openxmlformats.org/officeDocument/2006/relationships/customXml" Target="../customXml/item1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62" Type="http://schemas.openxmlformats.org/officeDocument/2006/relationships/externalLink" Target="externalLinks/externalLink57.xml"/><Relationship Id="rId83" Type="http://schemas.openxmlformats.org/officeDocument/2006/relationships/externalLink" Target="externalLinks/externalLink78.xml"/><Relationship Id="rId88" Type="http://schemas.openxmlformats.org/officeDocument/2006/relationships/externalLink" Target="externalLinks/externalLink83.xml"/><Relationship Id="rId111" Type="http://schemas.openxmlformats.org/officeDocument/2006/relationships/externalLink" Target="externalLinks/externalLink106.xml"/><Relationship Id="rId15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31.xml"/><Relationship Id="rId57" Type="http://schemas.openxmlformats.org/officeDocument/2006/relationships/externalLink" Target="externalLinks/externalLink52.xml"/><Relationship Id="rId106" Type="http://schemas.openxmlformats.org/officeDocument/2006/relationships/externalLink" Target="externalLinks/externalLink10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P\Ellen\JOURNALS\Direct%20Journals\2005\direct%20jv%20%2011-20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ADINKEL\LOCALS~1\TEMP\DPS%20Staff%20Appendix%203%20KEDLI%206-29-07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halsu\Desktop\Copy%20of%20KEDLI%202008%20GAC%20IMBALANCE%20FIN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sex\0105%20opp%20essex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5%20ri%20gas\FY%202016%20ISR%20Plan\Division%20filing\Revenue%20Requirement\RI%20Ptax%20analysis%20for%20FY16%20expens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-mkt\library\Ss\2003\NetMgnAnalysis\Temp_Ytd-Apr03-graph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lusions\Accounting\NE%20Gas\2006\May\TEMP\SUM00BU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A\NIMO\Forecast\2009\12-%20Forecast%20Dec%2009\MCG_Forecast_Jan_2010_Dec_20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TAIL\Monthly\NANTUCKET\1Monthly\Before%20Closing\OverUnder\FY06\0505basic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TAIL\BS%20Reconciliations\DSM\NH%20Fund%20Balance%2012%2031%202006%20from%20Rate%20Dep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49\1Monthly\beforeclosing\overunders\2001-2002\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iuj\Local%20Settings\Temporary%20Internet%20Files\OLK1FF\Nimo_Normaliz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ES\GAF\Op2009\National%20Grid%20CGA%20&amp;%20LDAF%20OffPeak%202009%20updated%20for%20RAAF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ALEARY\LOCALS~1\TEMP\Keyspan%20CGA%20&amp;%20LDAF%20Pk%2007-08%20ael%20Fina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DUKE\Prov-stg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TAIL\BS%20Reconciliations\BS%20Recs%20-%20std%20format\Dec%2005%20Co%2049%20Blank%20Reconciliations%20-%20Liabilitie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01-MA-planning\Winter-2010-11\NENY-DailyForecast-2010-1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Exclusions\Accounting\NE%20Gas\2006\May\TEMP\Exclusions\Schedule\Storage\WSS-BU%20%202005%20Storage%20Activity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chan\Local%20Settings\Temporary%20Internet%20Files\OLKED\BUPSCSUPP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ergyNorth\0105%20Opp%20EnergyNorth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ston\0105%20Boston%20OPP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TCLSWRKFILE12.uk.corporg.net\Javid.Khan\Documents%20and%20Settings\transco\Local%20Settings\Temporary%20Internet%20Files\OLK30\2006%207\Orderbook%20Main%2006_10_0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2%20meco\Solar\Revised%20Revenue%20Requirement%20Calcs\Solar%2020%20year%20RR%20May%202012\RADATA1\NECO%20COS\NECO\2002COS_SavngsProof\NeccosTes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imjin\Local%20Settings\Temporary%20Internet%20Files\OLKA\EDG%20Opex%20Template%20-%20Aug%20200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splan\2007-2011%20Business%20Plan\Ofgem%20submission\Appendix%202%20-%20The%20tables%20-%20NGG%20Only%20-%20Ent%20Linked%20NGTPLAN05%20v9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ES\EnergyNorth\Hedging\2009-10%20Program\monthly%20hedge%20data%20updated%2008-01-09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ED\GENERAL\Katie\Transport%20Book\FT%20102098_v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TCLSWRKFILE12.uk.corporg.net\Javid.Khan\My%20Documents\work\Orderbook%200708\Capital%20Plan\Orderbook%20Main%2026_10_05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ob\My%20Documents\Excel\B&amp;V\Natl%20Grid%20MA%20Elec\MECO_COS_2009040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Bridge2000_0329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earya\Local%20Settings\Temporary%20Internet%20Files\OLK2\Combined%20RD_BosEsx%2011-5-1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z-LoadForecasting\2012Q2-2012_13_LoadForecasting\11-RI-QuantForecast\RIC_2012_Forecast_Update_v5.1_EFF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earya\Local%20Settings\Temporary%20Internet%20Files\OLK3A\RIC_2012_Forecast_Update_v5.1_EFF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ES_&amp;_REGULAT\library\Ss\2006\Forecast\NY\RateCase\Ref_R19\BaseCase\01nygrm\MSV_gca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N-ACTG\PENNY\RIGASCOST\RIGC0204\Rhode%20Island%20(TGP)%20Feb-04%20Pricing%20Sheet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M%202004-2009\Case_01\Glen\Glenwood%20PPA%20Exhibit%20rev%20capex-taxexempt%20model%20from%20larry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wbrfsv03\shared\FFCAST\Fiscal%202009\Finance%20Brief\Full%20Year\ED&amp;G%20IFRS%20P&amp;L%20Master%20for%20OFR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A\NIMO\April%202009\NIMO%20Estimated%20Gain(Loss)%20for%20Apr%202009%20as%20of%2003252009%20Close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siness%20Shares\RIG\Finance\pricshar\Classified%20Sales%20Reports\Historic\RI%20Classified%20Sales%20Data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A\NIMO\MCG\Oct%2009\NIMO%20Estimated%20Gain(Loss)%20for%20Oct%202009%20as%20of%2009252009%20Close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03-NY-planning\01-NY-Downstate-planning\2010-11-Planning-A\04-Gen-cust-requirements\PSC\Winter%20Filings\06-07%20Winter\Backup\2000-2004%20KEDLI%20Hist%20Elec%20Balancing%20Need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und%20Balance%202006\Granite\Jan_NH_06_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MOGRADY\LOCALS~1\TEMP\LI%20Models\KED_LI_2005_Rudden_JT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\2011\Forecast\NE\121510(FromAnn)_Compliance%20Filing_COL%20Rate%20Design%20Workpaper%20JDS%20RDM%20Monthly%20Breakdown%20for%20Yvon%20(3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xclusions\SUPPLY\Transaction%20Tickets\2006\07%20Jul\Transaction%20Ticket%20Daily%20070306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%20Shares\Nyhcbnas02_radata1\2015%20meco\General%20Rate%20Case%20(15-155)\7-COS\COS%20model\MECO_NANT%20RATE%20CASE%20COS%2012mos%20June%202015%20-%20Pdf%20Version%2011_2_15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LOAD%20FORECASTING\Load%20Forecasts\2012\Quant%20Forecast\Output\CAP_2012_Forecast%20(LS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pgionis\Local%20Settings\Temp\Rhode%20Island%20(AGT)%20Jan-04%20Pricing%20Sheet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ES_&amp;_REGULAT\library\Ss\2008\NetMgnRpt\Temp\NY_Data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TCLSWRKFILE12.uk.corporg.net\Javid.Khan\Finance%20Distribution%20MI\Way%20Ahead%20Reporting\Operations\P10%20January\EMS%20workload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rver%20Shares\Mawbrfsv03\RADATA1\2009%20neco\General%20Rate%20Case\Financials\Income%20Statement\December%202008\6886%20REG%20IS-12%20MO%20ROLL%20Run%2001-13-09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uardc\AppData\Local\Microsoft\Windows\Temporary%20Internet%20Files\Content.Outlook\RW17QZ9M\RHC%20Program%20BCA_14MAR17_mwm_sensitivity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N-ACTG\PENNY\MASS-GASCOST\Frgc0103\Fall_River_jan_price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N-ACTG\PENNY\RIGASCOST\RIGC1202\RI_dec_price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xclusions\SUPPLY\Transaction%20Tickets\2007\12%20Dec\Transaction%20Ticket%20Daily%20122207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FCAST\Fiscal%202010\Finance%20Brief\Half%20Year%20Sep%202009\EDG%20IFRS%20PL%20Master%20for%20Brief%2009-10-09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uhuna\Local%20Settings\Temporary%20Internet%20Files\OLKBC\NGUSA%20Supermodel%20FY12%20PD1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2018%20meco\General%20Rate%20Case%20(18-150)\7-COS\Illustrative%20RR%20for%20EV%20and%20Storage\Siegal%20-%20EV%20Program%20Budget%2001-17-2019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fs8\users\mischte\My%20Documents\jdunc-temp\Origination%20Support\NE%20Gas\Dispatch%20Order\NE%20Gas%202004%20November%20Dispatch%20Order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wbrfsv03\SHARED\CustomerService\CustomerBilling\BILLC\Banner\Monthly%20Reports\Fiscal%202005\03%20September%202004\Account%20reconciliations%20September%202004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N-ACTG\PENNY\NAG\NagMarch02\NAG-Mar0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N-ACTG\PENNY\MASS-GASCOST\NAG1102\NAGGC1102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N-ACTG\PENNY\MASS-GASCOST\NAG1202\NAGGC1202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ES_&amp;_REGULAT\library\Ss\2005\Forecast\LI\012605_GCA-2005-2009-earnings-plan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KSUTTON\LOCALS~1\TEMP\Exclusions\Accounting\Gas\2006\Jan2006\OSJAN06%20Fuel%20Mgmt%20Rev-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ed\LOHQFS02\Group\FinControl\07_08\06%20Sep\Release\Workings\06%20Discontinued%20Operations\Discontinued%20operations%20-%20Sep%202007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pellet\Local%20Settings\Temporary%20Internet%20Files\OLKF6\MECO%20Jan_2006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s%20Transportation\SC8_D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CA\KEDNY&amp;KEDLI\Merchant%20Function%20Charge\2008-09%20GAC%20Yr\MFC%20February%202009\Nov%2008%20Updated%20Storage%20as%20of%20Oct%2017\Copy%20of%200808COG%20Financials%20GB%20(2)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RATES_&amp;_REGULAT\library\Ss\2010\Forecast\LI\LI_ForeData_FY11_V6(R2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yewi\Documents\Bills%20Work\Solution%20Delivery\Cost%20Center%202735\FY17%20Budget%20Template%20Model%20P1%20-%20V1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%20Shares\Mawbrfsv03\RADATA1\2009%20meco\General%20Rate%20Case\Financials\Income%20Statement\MECO\December%202008\6886%20REG%20IS-12%20MO%20ROLL%20Run%2001-13-09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ED\GENERAL\Katie\Transport%20Book\KGPL%20Basis%203.0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lusions\Accounting\NE%20Gas\2006\December\Energy%20North-Dec%2006%20Commodity%20and%20Demand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ES_&amp;_REGULAT\library\Ss\2008\Temp\Test_NY_SalesFore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FRGC-07021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fs8\users\Mischte\My%20Documents\jdunc-temp\Origination%20Support\NE%20Gas\Invoicing\Rhode%20Island\Rhode%20Island%20(AGT)%20November-04%20Pricing%20Shee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A\NIMO\Forecast\Forecast%20June%2009\NIMO%20MTM%20Summary%20as%20of%2005282009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A\NIMO\MCG\Nov%2009\NIMO%20MTM%20as%20of%201028200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A\NIMO\Forecast\2010\8-%20Forecast%20Aug%2010\5+7Update\NIMO%20MTM%20as%20of%2007282010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ncil\AppData\Local\Microsoft\Windows\INetCache\Content.Outlook\5QXHDCCN\MA-23%20Rev_Rates(C).xlsm" TargetMode="External"/><Relationship Id="rId1" Type="http://schemas.openxmlformats.org/officeDocument/2006/relationships/externalLinkPath" Target="file:///C:\Users\mancil\AppData\Local\Microsoft\Windows\INetCache\Content.Outlook\5QXHDCCN\MA-23%20Rev_Rates(C).xlsm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SACCTG\PGCGASCOST\PGCNOV00\PGCDEC00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TAIL\BS%20Reconciliations\DSM\MECO\MECO%20DSM%20Fund%20Balance%2012%202006%20NEW%20-%20V4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xclusions\SUPPLY\Transaction%20Tickets\Transaction%20Ticket%20Daily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campagne\Local%20Settings\Temporary%20Internet%20Files\OLK5C8\KEDLI%2008\LIPSCSUPP08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xclusions\Schedule\Nom%20Set%20Up%20sheets\2008\04%20Apr\Dominion%20-%20NIMO%20-%20April%2008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Ops\Data\Lo\Eastern\MA%20Spot%20June%202000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M%202005-2010\Case_01\Ema\C_EMA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HARED\RATES\OPP\Oper%20Meeting\Keyspan%20Nov00%20boston%20rev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gbu%20case%207%209%2026%2007\KEDNY%20no%20excess%20or%20sit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ntrol\Control\Storage\Imd\Storage%20Model\East%20Models\Nicor%20April%2004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Wbrfsv03\SHARED\RETAIL\Monthly\NANTUCKET\1Monthly\Before%20Closing\OverUnder\FY06\0505basic2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%20Shares\Nyhcbnas02_radata1\2016%20meco\Solar%20Phase%20II%20Filing%20%231%20(16-33)\EXHIBITS\Exhibit%20MHK-4%20-%202015%20SIP%20II%20Revenue%20Requirement%20-%20438%20Richardson%20Ave.%20Attleboro.xlsx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GGASRATES\COMMON\Rate%20Case%20Filing%2005012008\Embedded_COS\COS%20TME%201207\Gas%201207-8.31%25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ob\My%20Documents\Excel\B&amp;V\Natl%20Grid%20RI%20Elec\2005_COS_Project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ES_&amp;_REGULAT\library\Ss\2010\Forecast\Data\NY\061609_NY_S1_ForeDataAnalysis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ROUP\Busplan\2008-2012%20Business%20Plan\Interest\Treasury%20Databook%20080307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ES\EnergyNorth\CGA\filings\PK%2009-10\COG\PK%2009-10_kjb%20081109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CA\KEDNY&amp;KEDLI\Revenue%20Forecasts\LI_ForeData_FY11_V6%20with%20Net%20Unbille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SC\Winter%20Filings\05-06%20Winter\Backup\Electric%20Study%2002-04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lusions\Accounting\NE%20Gas\2006\December\GASUPPLY\Acctg%2003_04\Monthly%20Summary\Aug%2004\ColonialAug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itygate\New%20Citygate%20Memos\NEW_Rt1003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wbrfsv03\corpacct\Documents%20and%20Settings\maddet\Local%20Settings\Temporary%20Internet%20Files\OLK3D\RE%20Taxes%202003-2008%20Forecast%20-%20kjb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ab_Tenaglia\2008\Asset%20Managenement\aNew%20Assessments\New%20assessment%20Critearia\US%20GDX%202010%20Capital%20Reliability%205%20Year%20Plan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rver%20Shares\Mawbrfsv03\RADATA1\2010%20neco\General%20Rate%20Case\Revenue%20Requirements\COS\Rate%20Base%20-%20Capex\Schedule%20NG-MDL-2%20-%20COS%204-12-10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ATES_&amp;_REGULAT\library\Ss\2009\Forecast\NY\DataSet\NY_SalesVolFore(S7d_w.MkgGrowth,NetLock&amp;Con)_Sherr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y Worksheet"/>
      <sheetName val="PS JV"/>
      <sheetName val="Module1"/>
      <sheetName val="Drop Downs"/>
      <sheetName val="Drop Down Lists"/>
      <sheetName val="Calc"/>
      <sheetName val="Pivot Summary"/>
      <sheetName val=""/>
      <sheetName val="Appendix 2 - Reference Fields B"/>
      <sheetName val="Key"/>
      <sheetName val="Adjusting Entries"/>
      <sheetName val="SAP BS 5-31"/>
      <sheetName val="Presentation Reclasses"/>
      <sheetName val="SAP IS 5-31"/>
      <sheetName val="Unit of Measures"/>
      <sheetName val="Appendix 1 - Reference Fields A"/>
      <sheetName val="My_Worksheet"/>
      <sheetName val="Appendix 1 - Reference Fields"/>
      <sheetName val="SAP BS - Consolidat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ffAdjs"/>
      <sheetName val="LIUpdateAdjs "/>
      <sheetName val="LI-JPAdjs"/>
      <sheetName val="LIIncSt"/>
      <sheetName val="LIMerger"/>
      <sheetName val="LIO&amp;M"/>
      <sheetName val="LIDepr"/>
      <sheetName val="LIAmort"/>
      <sheetName val="LIOtherTxs"/>
      <sheetName val="LISIT-FIT"/>
      <sheetName val="LI Rate Base"/>
      <sheetName val="LIEB-Cap"/>
      <sheetName val="LICWCap"/>
      <sheetName val="LICapStructure"/>
      <sheetName val="LIRevReq"/>
      <sheetName val="LIConstrTrgts"/>
      <sheetName val="E"/>
      <sheetName val="F"/>
      <sheetName val="G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PAGE 1"/>
      <sheetName val="PAGE 2"/>
      <sheetName val="PAGE 3"/>
      <sheetName val="PAGE 4"/>
      <sheetName val="PAGE 5"/>
      <sheetName val="PAGE 6"/>
      <sheetName val="PAGE 7"/>
      <sheetName val="PAGE 8"/>
      <sheetName val="PAGE 9"/>
      <sheetName val="PAGE 10"/>
      <sheetName val="PAGE 11"/>
      <sheetName val="PAGE 12"/>
      <sheetName val="PAGE 13"/>
      <sheetName val="PAGE 14"/>
      <sheetName val="PAGE 15"/>
      <sheetName val="PAGE 16"/>
      <sheetName val="PAGE 17"/>
      <sheetName val="PAGE 18"/>
      <sheetName val="PAGE 19"/>
      <sheetName val="PAGE 20"/>
      <sheetName val="PAGE 21"/>
      <sheetName val="PAGE 22"/>
      <sheetName val="PAGE 23"/>
      <sheetName val="Input"/>
      <sheetName val="InputN"/>
      <sheetName val="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rmalization"/>
      <sheetName val="Rate Table"/>
      <sheetName val="Ld. Grth"/>
      <sheetName val="Weather"/>
      <sheetName val="Data Entry"/>
      <sheetName val="Var. Anal."/>
      <sheetName val="Historical Data"/>
      <sheetName val="H"/>
      <sheetName val="Forecast Data"/>
      <sheetName val="Historical Data (04'sPriorYr)"/>
      <sheetName val="Forecast Data (0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Y 12_FY13 Elec_Gas"/>
      <sheetName val="CY 13 pivot"/>
      <sheetName val="FYTD 12 Elec "/>
      <sheetName val="FYTD 12 Gas"/>
      <sheetName val="PPS GL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9 vs 1998 data"/>
      <sheetName val="FY2000"/>
      <sheetName val="Page 4"/>
      <sheetName val="Page 5"/>
      <sheetName val="Page 6"/>
      <sheetName val="Page 7"/>
      <sheetName val="Page 8"/>
      <sheetName val="Page 9"/>
      <sheetName val="Not in Use"/>
      <sheetName val="Year-to-Date Data"/>
      <sheetName val="Monthly Analysis"/>
      <sheetName val="NEP"/>
      <sheetName val="GL Activity"/>
      <sheetName val="Info"/>
      <sheetName val="Summary"/>
      <sheetName val="LI"/>
      <sheetName val="Sheet1"/>
      <sheetName val="RAPL"/>
      <sheetName val="RAPL Jan"/>
      <sheetName val="MAPL"/>
      <sheetName val="MAPL Jan"/>
      <sheetName val="RABS Jan"/>
      <sheetName val="RABS"/>
      <sheetName val="LI Plan"/>
      <sheetName val="LI PY"/>
      <sheetName val="Forecast"/>
      <sheetName val="KEDLI Budget"/>
      <sheetName val="PSA3 Summary"/>
      <sheetName val="A"/>
      <sheetName val="Liabilities Rec List"/>
      <sheetName val="1999_vs_1998_data"/>
      <sheetName val="Page_4"/>
      <sheetName val="Page_5"/>
      <sheetName val="Page_6"/>
      <sheetName val="Page_7"/>
      <sheetName val="Page_8"/>
      <sheetName val="Page_9"/>
      <sheetName val="Not_in_Use"/>
      <sheetName val="Year-to-Date_Data"/>
      <sheetName val="Monthly_Analysis"/>
      <sheetName val="GL_Activity"/>
      <sheetName val="RAPL_Jan"/>
      <sheetName val="MAPL_Jan"/>
      <sheetName val="RABS_Jan"/>
      <sheetName val="LI_Plan"/>
      <sheetName val="LI_PY"/>
      <sheetName val="KEDLI_Budget"/>
      <sheetName val="PSA3_Summary"/>
      <sheetName val="2nd q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MINTAKE"/>
      <sheetName val="Drop Down Lists"/>
      <sheetName val="Detailed "/>
      <sheetName val="Finance Summary"/>
      <sheetName val="NS Supported Opex&amp;Special Opex"/>
      <sheetName val="Other "/>
      <sheetName val="Risk Matrix"/>
      <sheetName val="Consequence Matrix"/>
      <sheetName val="Workings 1"/>
      <sheetName val="apr"/>
      <sheetName val="Appendix 1 - Reference Fields"/>
      <sheetName val="Drop_Down_Lists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E11_2010"/>
      <sheetName val="Historic MCG"/>
      <sheetName val="Chart_Historic Prices"/>
      <sheetName val="Hist Chart "/>
      <sheetName val="NYMEX STRIP_FMCG11-20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ntucket"/>
      <sheetName val="171"/>
      <sheetName val="interest"/>
      <sheetName val="Basic-Default"/>
      <sheetName val="DTE"/>
      <sheetName val="Default Recon"/>
      <sheetName val="DTE Recon"/>
      <sheetName val="Module1"/>
      <sheetName val="trans"/>
      <sheetName val="My Worksheet"/>
      <sheetName val="Drop Down Lists"/>
      <sheetName val="Income State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Balance"/>
      <sheetName val="Projections"/>
      <sheetName val="kWh"/>
      <sheetName val="Expenses"/>
      <sheetName val="Revenue"/>
      <sheetName val="Alloc"/>
      <sheetName val="REPORTS"/>
      <sheetName val="Prime Rate"/>
      <sheetName val="REC"/>
      <sheetName val="328330"/>
      <sheetName val="Basic"/>
      <sheetName val="trans"/>
      <sheetName val=""/>
      <sheetName val="Download_BS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ess"/>
      <sheetName val="stdoff"/>
      <sheetName val="trans"/>
      <sheetName val="trans_detail"/>
      <sheetName val="dsm"/>
      <sheetName val="last resort"/>
      <sheetName val="172"/>
      <sheetName val="Basic-Default"/>
      <sheetName val="Start Balance"/>
      <sheetName val="Bas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C(actual)"/>
      <sheetName val="UPC(Normal)"/>
      <sheetName val="Cust"/>
      <sheetName val="Act"/>
      <sheetName val="Nor"/>
      <sheetName val="Nor_work"/>
      <sheetName val="NM1111C"/>
      <sheetName val="nm2011thm"/>
      <sheetName val="nm2011cus"/>
      <sheetName val="Charts=&gt;"/>
      <sheetName val="Cht_DD"/>
      <sheetName val="Cht_Vol"/>
      <sheetName val="Cht_Cust"/>
      <sheetName val="Cht_UPC"/>
      <sheetName val="chart_Input"/>
      <sheetName val="chart_InputNC"/>
      <sheetName val="=inputs=&gt;"/>
      <sheetName val="Weather11-12"/>
      <sheetName val="System"/>
      <sheetName val="Weather09-10"/>
      <sheetName val="Weather10-11"/>
      <sheetName val="BDD1211"/>
      <sheetName val="DD"/>
      <sheetName val="HDD&amp;BDD (3)"/>
      <sheetName val="Frcst_Cust"/>
      <sheetName val="Frcst_Vol"/>
      <sheetName val="nm2009thm_6D"/>
      <sheetName val="nm2009cus_6D"/>
      <sheetName val="nm2010thm_6D"/>
      <sheetName val="nm2010cus_6D"/>
      <sheetName val="nm2011thm_6D"/>
      <sheetName val="nm2011cus_6D"/>
      <sheetName val="nm2008cus"/>
      <sheetName val="nm2009cus"/>
      <sheetName val="nm2008thm"/>
      <sheetName val="nm2009thm"/>
      <sheetName val="nm2010thm"/>
      <sheetName val="nm2010cus"/>
      <sheetName val="Transpose(PHA)"/>
      <sheetName val="Transpose"/>
      <sheetName val="Transpose(org)"/>
      <sheetName val="Transpose_CUST"/>
      <sheetName val="Therms Including Efficiency_09"/>
      <sheetName val="Customers_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KeySpan"/>
      <sheetName val="Extract to Cashflow Boston"/>
      <sheetName val="Extract to Cashflow Essex"/>
      <sheetName val="Extract to Cashflow Colonial"/>
      <sheetName val="MA DOA 07-08 Winter "/>
      <sheetName val="MA DOA Mar 08"/>
      <sheetName val="Delegation of Authority Orig"/>
      <sheetName val="Input CGA  Page"/>
      <sheetName val="Page 24 Input backup"/>
      <sheetName val="Demand Input"/>
      <sheetName val="Gas Supply Input"/>
      <sheetName val="MDQ Input"/>
      <sheetName val="Bad Debt Input"/>
      <sheetName val="Hedging Input"/>
      <sheetName val="OverUnder Forecast Summary"/>
      <sheetName val="Forecast DGC for Acct."/>
      <sheetName val="LDAF Reconciliation"/>
      <sheetName val="Working Capital Reconciliation"/>
      <sheetName val="Act DGC Balances"/>
      <sheetName val="DCG update CGA"/>
      <sheetName val=" DGC No Change to CGA"/>
      <sheetName val="PBR Exogenous Cost"/>
      <sheetName val="Check CGA  Page"/>
      <sheetName val="Page 1-Peak"/>
      <sheetName val="Attachment A - Page 1"/>
      <sheetName val="Attachment A Page 2"/>
      <sheetName val="T O C"/>
      <sheetName val="Page 1-Off Peak"/>
      <sheetName val="Page 2"/>
      <sheetName val="Page 3"/>
      <sheetName val="Page 4"/>
      <sheetName val="Page 5"/>
      <sheetName val="Page 6"/>
      <sheetName val="Page 7"/>
      <sheetName val="Page 8"/>
      <sheetName val="Page 9"/>
      <sheetName val="Page 10"/>
      <sheetName val="Page 11"/>
      <sheetName val="Page 12"/>
      <sheetName val="Page 13"/>
      <sheetName val="Page 14"/>
      <sheetName val="Page 15"/>
      <sheetName val="Page 16"/>
      <sheetName val="Page 17"/>
      <sheetName val="Page 18"/>
      <sheetName val="Page 19"/>
      <sheetName val="Page 20"/>
      <sheetName val="Page 21"/>
      <sheetName val="Page 22"/>
      <sheetName val="Page 23"/>
      <sheetName val="Page 24"/>
      <sheetName val="Page 25"/>
      <sheetName val="Page 1-Peak 09-10"/>
      <sheetName val="Page 2 09-10"/>
      <sheetName val="Page 3 09-10"/>
      <sheetName val="Page 4 09-10"/>
      <sheetName val="Page 5 09-10"/>
      <sheetName val="Page 9 09-10"/>
      <sheetName val="Page 10 09-10"/>
      <sheetName val="Page 11 09-10"/>
      <sheetName val="Page 12 09-10"/>
      <sheetName val="Page 13 09-10"/>
      <sheetName val="Page 14 09-10"/>
      <sheetName val="Page 15 09-10"/>
      <sheetName val="Page 16 09-10"/>
      <sheetName val="Page 17 09-10"/>
      <sheetName val="Page 18 09-10"/>
      <sheetName val="Page 19 09-10"/>
      <sheetName val="Page 20 09-10"/>
      <sheetName val="Page 21 09-10"/>
      <sheetName val="Page 22 09-10"/>
      <sheetName val="Page 23 09-10"/>
      <sheetName val="Page 24 09-10"/>
      <sheetName val="Page 25 09-10"/>
      <sheetName val="Act vs Forecast $"/>
      <sheetName val="Act vs Forecast volume"/>
      <sheetName val="Act vs Forecast Per Unit"/>
      <sheetName val="Check LDAC  Page"/>
      <sheetName val="Form II LDAC"/>
      <sheetName val="Input LDAF"/>
      <sheetName val="LDAC Page 13 Input"/>
      <sheetName val="Input RAC Reconciliation"/>
      <sheetName val="Input RAAF"/>
      <sheetName val="TOCLD"/>
      <sheetName val="LDAC Page 1"/>
      <sheetName val="LDAC Page 2"/>
      <sheetName val="LDAC Page 3"/>
      <sheetName val="LDAC Page 4"/>
      <sheetName val="LDAC Page 5"/>
      <sheetName val="LDAC Page 6 "/>
      <sheetName val="LDAC Page 7"/>
      <sheetName val="LDAC Page 8"/>
      <sheetName val="LDAC Page 9"/>
      <sheetName val="LDAC Page 10"/>
      <sheetName val="LDAC Page 11"/>
      <sheetName val="LDAC Page 12"/>
      <sheetName val="LDAC Page 13"/>
      <sheetName val="LDAC Page 14"/>
      <sheetName val="LDAC Page 15"/>
      <sheetName val="LDAC Page 16"/>
      <sheetName val="LDAC Pg 17 Boston Recon 05-06"/>
      <sheetName val="LDAF Pg 18 Boston Recon 06-07"/>
      <sheetName val="LDAF Pg 19 Boston Recon 07-08"/>
      <sheetName val="LDAF Pg 20 Boston Recon 08-09"/>
      <sheetName val="LDAF Pg 21 Boston RAAF 06-07"/>
      <sheetName val="LDAF Pg 22 Boston  RAAF 07-08"/>
      <sheetName val="LDAF Pg 23 Boston  RAAF 08-09"/>
      <sheetName val="LDAF Pg24 Boston RAAF 09-10"/>
      <sheetName val="LDAC Pg 25 Essex  Recon 05-06"/>
      <sheetName val="LDAF Pg 26 Essex Recon 06- 07"/>
      <sheetName val="LDAF Pg 27 Essex Recon 07-08"/>
      <sheetName val="LDAF Pg 28 Essex Recon 08-09"/>
      <sheetName val="LDAF Pg 29 Essex RAAF 06- 07"/>
      <sheetName val="LDAF Pg 30 Essex  RAAF 07-08"/>
      <sheetName val="LDAF Pg 31 Essex  RAAF 08-09"/>
      <sheetName val="LDAF Pg 32 Essex RAAF 09-10"/>
      <sheetName val="LDAC Pg 33 Lowell Recon 05-06"/>
      <sheetName val="LDAF Pg 34 Lowell Recon 06-07"/>
      <sheetName val="LDAF Pg 35 Lowell Recon 07-08"/>
      <sheetName val="LDAF Pg 36 Lowell Recon 08-09"/>
      <sheetName val="LDAF Pg 37 Lowell RAAF 06- 07"/>
      <sheetName val="LDAF Pg 38 Lowell  RAAF 07-08"/>
      <sheetName val="LDAF Pg 39 Lowell  RAAF 08-09"/>
      <sheetName val="LDAF Pg 40 Lowell RAAF 09-10"/>
      <sheetName val="LDAC Pg 41 Cape Recon 05-06"/>
      <sheetName val="LDAF Pg 42 Cape Recon 06-07"/>
      <sheetName val="LDAF Pg 43 Cape Recon 07-08"/>
      <sheetName val="LDAF Pg 44 Cape Recon 08-09"/>
      <sheetName val="LDAF Pg 45 Cape RAAF 06- 07 "/>
      <sheetName val="LDAF Pg 46 Cape  RAAF 07-08"/>
      <sheetName val="LDAF Pg 47 Cape  RAAF 08-09"/>
      <sheetName val="LDAF Pg48 Cape RAAF 09-10"/>
      <sheetName val="Summary  Arrearage Costs  08-09"/>
      <sheetName val=" Boston RAAF 05-06"/>
      <sheetName val=" Essex RAAF 05- 06"/>
      <sheetName val="Lowell RAAF 05-06"/>
      <sheetName val="  Cape RAAF 05- 06"/>
      <sheetName val="Act Norm 05-06 Discount Boston"/>
      <sheetName val="Act Norm 05-06 Discount Essex"/>
      <sheetName val="Act Norm 05-06 Discount Lowell"/>
      <sheetName val="Act Norm 05-06 Discount Cape"/>
      <sheetName val="Project Discount Boston"/>
      <sheetName val="Project Discount Essex"/>
      <sheetName val="Project Discount Lowell"/>
      <sheetName val="Project Discount Cape"/>
      <sheetName val="Detail Summary Boston"/>
      <sheetName val="Detail Summary Essex"/>
      <sheetName val="Detail Summary Lowell"/>
      <sheetName val="Detail Summary Cape"/>
      <sheetName val="LDAF Page 17 Boston"/>
      <sheetName val="LDAF Page 18 Essex"/>
      <sheetName val="LDAF Page 19 Lowell"/>
      <sheetName val="LDAF Page 20 Cape"/>
      <sheetName val="Arrearage Management Adjustment"/>
      <sheetName val="Summary"/>
      <sheetName val="2007 allownace"/>
      <sheetName val="2006 allowance "/>
      <sheetName val="Arrearage Management Program"/>
      <sheetName val="check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KeySpan"/>
      <sheetName val="Extract to Cashflow Boston"/>
      <sheetName val="Extract to Cashflow Essex"/>
      <sheetName val="Extract to Cashflow Colonial"/>
      <sheetName val="Input CGA  Page"/>
      <sheetName val="Page 24 Input backup"/>
      <sheetName val="Demand Input"/>
      <sheetName val="Gas Supply Input"/>
      <sheetName val="MDQ Input"/>
      <sheetName val="Bad Debt Input"/>
      <sheetName val="Act DGC Balances"/>
      <sheetName val="DCG update CGA"/>
      <sheetName val=" DGC No Change to CGA"/>
      <sheetName val="Sales vs Sendout"/>
      <sheetName val="PBR Exogenous Cost"/>
      <sheetName val="Hedging Input"/>
      <sheetName val="Check CGA  Page"/>
      <sheetName val="Page 1-Off Peak"/>
      <sheetName val="Attachment A - Page 1"/>
      <sheetName val="Attachment A Page 2"/>
      <sheetName val="T O C"/>
      <sheetName val="Page 1-Peak"/>
      <sheetName val="Page 2"/>
      <sheetName val="Page 3"/>
      <sheetName val="Page 4"/>
      <sheetName val="Page 5"/>
      <sheetName val="Page 6"/>
      <sheetName val="Page 7"/>
      <sheetName val="Page 8"/>
      <sheetName val="Page 9"/>
      <sheetName val="Page 10"/>
      <sheetName val="Page 11"/>
      <sheetName val="Page 12"/>
      <sheetName val="Page 13"/>
      <sheetName val="Page 14"/>
      <sheetName val="Page 15"/>
      <sheetName val="Page 16"/>
      <sheetName val="Page 17"/>
      <sheetName val="Page 18"/>
      <sheetName val="Page 19"/>
      <sheetName val="Page 20"/>
      <sheetName val="Page 21"/>
      <sheetName val="Page 22"/>
      <sheetName val="Page 23"/>
      <sheetName val="Page 24"/>
      <sheetName val="Page 25"/>
      <sheetName val="Act vs Forecast $"/>
      <sheetName val="Act vs Forecast volume"/>
      <sheetName val="Act vs Forecast Per Unit"/>
      <sheetName val="Check LDAC  Page"/>
      <sheetName val="Form II LDAC"/>
      <sheetName val="Input LDAF"/>
      <sheetName val="LDAC Page 13 Input"/>
      <sheetName val="Input RAC Reconciliation"/>
      <sheetName val="Input RAAF"/>
      <sheetName val="TOCLD"/>
      <sheetName val="LDAC Page 1"/>
      <sheetName val="LDAC Page 2"/>
      <sheetName val="LDAC Page 3"/>
      <sheetName val="LDAC Page 4"/>
      <sheetName val="LDAC Page 5"/>
      <sheetName val="LDAC Page 6 "/>
      <sheetName val="LDAC Page 7"/>
      <sheetName val="LDAC Page 8"/>
      <sheetName val="LDAC Page 9"/>
      <sheetName val="LDAC Page 10"/>
      <sheetName val="LDAC Page 11"/>
      <sheetName val="LDAC Page 12"/>
      <sheetName val="LDAC Page 13"/>
      <sheetName val="LDAC Page 14"/>
      <sheetName val="LDAC Page 15"/>
      <sheetName val="LDAC Page 16"/>
      <sheetName val="LDAC Pg 17 Boston Recon 05-06"/>
      <sheetName val="LDAF Pg 18 Boston Recon 06-07"/>
      <sheetName val="LDAF Pg 19 Boston Recon 07-08"/>
      <sheetName val="LDAF Pg 20 Boston RAAF 06-07"/>
      <sheetName val="LDAF Pg 21 Boston  RAAF 07-08"/>
      <sheetName val="LDAF Pg 22 Boston  RAAF 08-09"/>
      <sheetName val="LDAC Pg 23 Essex  Recon 05-06"/>
      <sheetName val="LDAF Pg 24 Essex Recon 06- 07"/>
      <sheetName val="LDAF Pg 25 Essex Recon 07-08"/>
      <sheetName val="LDAF Pg 26 Essex RAAF 06- 07"/>
      <sheetName val="LDAF Pg 27 Essex  RAAF 07-08"/>
      <sheetName val="LDAF Pg 28 Essex  RAAF 08-09"/>
      <sheetName val="LDAC Pg 29 Lowell Recon 05-06"/>
      <sheetName val="LDAF Pg 30 Lowell Recon 06-07"/>
      <sheetName val="LDAF Pg 31 Lowell Recon 07-08"/>
      <sheetName val="LDAF Pg 32 Lowell RAAF 06- 07"/>
      <sheetName val="LDAF Pg 33 Lowell  RAAF 07-08"/>
      <sheetName val="LDAF Pg 34 Lowell  RAAF 08-09"/>
      <sheetName val="LDAC Pg 35 Cape Recon 05-06"/>
      <sheetName val="LDAF Pg 36 Cape Recon 06-07"/>
      <sheetName val="LDAF Pg 37 Cape Recon 07-08"/>
      <sheetName val="LDAF Pg 38 Cape RAAF 06- 07 "/>
      <sheetName val="LDAF Pg 39 Cape  RAAF 07-08"/>
      <sheetName val="LDAF Pg 40 Cape  RAAF 07-08"/>
      <sheetName val="Summary  Arrearage Costs  07-08"/>
      <sheetName val="LDAF Page 17 Boston"/>
      <sheetName val=" Boston RAAF 05-06"/>
      <sheetName val=" Essex RAAF 05- 06"/>
      <sheetName val="Lowell RAAF 05-06"/>
      <sheetName val="  Cape RAAF 05- 06"/>
      <sheetName val="Act Norm 05-06 Discount Boston"/>
      <sheetName val="Act Norm 05-06 Discount Essex"/>
      <sheetName val="Act Norm 05-06 Discount Lowell"/>
      <sheetName val="Act Norm 05-06 Discount Cape"/>
      <sheetName val="Project Discount Boston"/>
      <sheetName val="Project Discount Essex"/>
      <sheetName val="Project Discount Lowell"/>
      <sheetName val="Project Discount Cape"/>
      <sheetName val="Detail Summary Boston"/>
      <sheetName val="Detail Summary Essex"/>
      <sheetName val="Detail Summary Lowell"/>
      <sheetName val="Detail Summary Cape"/>
      <sheetName val="LDAF Page 18 Essex"/>
      <sheetName val="LDAF Page 19 Lowell"/>
      <sheetName val="LDAF Page 20 Cape"/>
      <sheetName val="Arrearage Management Adjustment"/>
      <sheetName val="Summary"/>
      <sheetName val="2007 allownace"/>
      <sheetName val="2006 allowance "/>
      <sheetName val="Arrearage Management Program"/>
      <sheetName val="check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/>
      <sheetData sheetId="64"/>
      <sheetData sheetId="65"/>
      <sheetData sheetId="66"/>
      <sheetData sheetId="67" refreshError="1"/>
      <sheetData sheetId="68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/>
      <sheetData sheetId="78" refreshError="1"/>
      <sheetData sheetId="79"/>
      <sheetData sheetId="80" refreshError="1"/>
      <sheetData sheetId="81" refreshError="1"/>
      <sheetData sheetId="82"/>
      <sheetData sheetId="83"/>
      <sheetData sheetId="84" refreshError="1"/>
      <sheetData sheetId="85"/>
      <sheetData sheetId="86" refreshError="1"/>
      <sheetData sheetId="87" refreshError="1"/>
      <sheetData sheetId="88"/>
      <sheetData sheetId="89"/>
      <sheetData sheetId="90" refreshError="1"/>
      <sheetData sheetId="91"/>
      <sheetData sheetId="92" refreshError="1"/>
      <sheetData sheetId="93"/>
      <sheetData sheetId="94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NG"/>
      <sheetName val="COLGAS"/>
      <sheetName val="TGP"/>
      <sheetName val="TETCO"/>
    </sheetNames>
    <sheetDataSet>
      <sheetData sheetId="0"/>
      <sheetData sheetId="1"/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abilities Rec List"/>
      <sheetName val="Co 49, Scd#na,204000"/>
      <sheetName val="Co 49, Scd#na,204900"/>
      <sheetName val="Co 49, Scd#na,204901"/>
      <sheetName val="Co 49, Scd#46,224000"/>
      <sheetName val="Co 49, Scd#46,224100"/>
      <sheetName val="Co 49, Scd#46,226000"/>
      <sheetName val="Co 49, Scd#na,232102"/>
      <sheetName val="Co 49, Scd#na,232104"/>
      <sheetName val="Co 49, Scd#46,232119"/>
      <sheetName val="Co 49, Scd#na,232300"/>
      <sheetName val="Co 49, Scd#na,232301"/>
      <sheetName val="Co 49, Scd#na,232302"/>
      <sheetName val="Co 49, Scd#na,232303"/>
      <sheetName val="Co 49, Scd#na,232305"/>
      <sheetName val="Co 49, Scd#na,232306"/>
      <sheetName val="Co 49, Scd#na,232308"/>
      <sheetName val="Co 49, Scd#na,232309"/>
      <sheetName val="Co 49, Scd#na,232310"/>
      <sheetName val="Co 49, Scd#na,232401"/>
      <sheetName val="Co 49, Scd#na,232411"/>
      <sheetName val="Co 49, Scd#na,232412"/>
      <sheetName val="Co 49, Scd#na,232430"/>
      <sheetName val="Co 49, Scd#100,232438"/>
      <sheetName val="Co 49, Scd#na,232450"/>
      <sheetName val="Co 49, Scd#na,232451"/>
      <sheetName val="Co 49, Scd#na,232455"/>
      <sheetName val="Co 49, Scd#na,233001-233164"/>
      <sheetName val="Co 49, Scd#46,234001-234703"/>
      <sheetName val="Co 49, Scd#na,236310"/>
      <sheetName val="Co 49, Scd#na,236500"/>
      <sheetName val="Co 49, Scd#na,236501"/>
      <sheetName val="Co 49, Scd#na,236550"/>
      <sheetName val="Co 49, Scd#na,236600"/>
      <sheetName val="Co 49, Scd#46,237002"/>
      <sheetName val="Co 49, Scd#na,237003"/>
      <sheetName val="Co 49, Scd#na,237004"/>
      <sheetName val="Co 49, Scd#na,238010"/>
      <sheetName val="Co 49, Scd#na,241000"/>
      <sheetName val="Co 49, Scd#na,241002"/>
      <sheetName val="Co 49, Scd#na,241003"/>
      <sheetName val="Co 49, Scd#na,241007"/>
      <sheetName val="Co 49, Scd#na,241008"/>
      <sheetName val="Co 49, Scd#na,241009"/>
      <sheetName val="Co 49, Scd#na,242000"/>
      <sheetName val="Co 49, Scd#na,242001"/>
      <sheetName val="Co 49, Scd#na,242002"/>
      <sheetName val="Co 49, Scd#na,242005"/>
      <sheetName val="Co 49, Scd#na,242200"/>
      <sheetName val="Co 49, Scd#na,242210"/>
      <sheetName val="Co 49, Scd#na,242215"/>
      <sheetName val="Co 49, Scd#na,242300"/>
      <sheetName val="Co 49, Scd#na,242301"/>
      <sheetName val="Co 49, Scd#na,242302"/>
      <sheetName val="Co 49, Scd#na,242303"/>
      <sheetName val="Co 49, Scd#na,242304"/>
      <sheetName val="Co 49, Scd#na,242307"/>
      <sheetName val="Co 49, Scd#na,253000"/>
      <sheetName val="Co 49, Scd#na,253001"/>
      <sheetName val="Co 49, Scd#na,253006 (2)"/>
      <sheetName val="Co 49, Scd#na,253006"/>
      <sheetName val="Co 49, Scd#na,253002"/>
      <sheetName val="Co 49, Scd#na,253008"/>
      <sheetName val="Co 49, Scd#na,2530011"/>
      <sheetName val="Co 49, Scd#na,253941-253944"/>
      <sheetName val="Co 49, Scd#na,254020"/>
      <sheetName val="Co 49, Scd#na,254022"/>
      <sheetName val="Co 49, Scd#na,254033"/>
      <sheetName val="Co 49, Scd#na,254070"/>
      <sheetName val="Co 49, Scd#na,254105"/>
      <sheetName val="Co 49, Scd#na,254106"/>
      <sheetName val="Co 49, Scd#na,254315"/>
      <sheetName val="Co 49, Scd#na,255000"/>
      <sheetName val="Sheet3"/>
      <sheetName val="KS Jan 2011"/>
      <sheetName val="mar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Y_LI"/>
      <sheetName val="NY_FSO"/>
      <sheetName val="NY_HDD"/>
      <sheetName val="(c) NYFTC-PredAct-xy"/>
      <sheetName val="(c) LIFITC-PredAct-xy"/>
      <sheetName val="NYCWklySumm"/>
      <sheetName val="LIWklySumm"/>
      <sheetName val="(c)NYC-CumPredAct"/>
      <sheetName val="(c)LI-CumPredAct"/>
      <sheetName val="NYLastYear"/>
      <sheetName val="(c)NYComp"/>
      <sheetName val="(c)LIComp"/>
      <sheetName val="(c)NYLIPredVsAct"/>
      <sheetName val="(c)NYFTCvsHDD"/>
      <sheetName val="(c)LIFITCvsHDD"/>
      <sheetName val="NEW_ENGLAND"/>
      <sheetName val="NEWklySumm"/>
      <sheetName val="FSO Data"/>
      <sheetName val="EDD Data"/>
      <sheetName val="(c) MANH-PredAct-xy"/>
      <sheetName val="NELastYear"/>
      <sheetName val="(c)CumMANHPredAct"/>
      <sheetName val="(c)NEComp"/>
      <sheetName val="(c)LIA_EDD_Data"/>
      <sheetName val="(c)Bar_chart_EDD_1011"/>
      <sheetName val="(c)NEPredVsAct-OctMay"/>
      <sheetName val="(c)FSOvEDD"/>
      <sheetName val="SupportingSheets"/>
      <sheetName val="NYLI_BaseYearNormal0607"/>
      <sheetName val="NYLI_BaseYearNormal0708"/>
      <sheetName val="NYLI_BaseYearNormal0809"/>
      <sheetName val="NYLI_BaseYearNormal0910"/>
      <sheetName val="BOSFcast"/>
      <sheetName val="ESXFcast"/>
      <sheetName val="LOWFcast"/>
      <sheetName val="CAPFcast"/>
      <sheetName val="ENGFcast"/>
      <sheetName val="SummaryFSO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Transco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Read Me"/>
      <sheetName val="Comments"/>
      <sheetName val="Gen Inst"/>
      <sheetName val="Table"/>
      <sheetName val="Sheet1"/>
      <sheetName val="1"/>
      <sheetName val="2"/>
      <sheetName val="003004"/>
      <sheetName val="007008 "/>
      <sheetName val="9"/>
      <sheetName val="10"/>
      <sheetName val="11"/>
      <sheetName val="12"/>
      <sheetName val="13"/>
      <sheetName val="14"/>
      <sheetName val="15"/>
      <sheetName val="01617"/>
      <sheetName val="18"/>
      <sheetName val="19"/>
      <sheetName val="20"/>
      <sheetName val="21"/>
      <sheetName val="22"/>
      <sheetName val="23"/>
      <sheetName val="24"/>
      <sheetName val="25"/>
      <sheetName val="2627"/>
      <sheetName val="2829"/>
      <sheetName val="30"/>
      <sheetName val="31"/>
      <sheetName val="32"/>
      <sheetName val="33"/>
      <sheetName val="4041"/>
      <sheetName val="42"/>
      <sheetName val="43"/>
      <sheetName val="4445"/>
      <sheetName val="46"/>
      <sheetName val="47"/>
      <sheetName val="6062"/>
      <sheetName val="63 "/>
      <sheetName val="64"/>
      <sheetName val="6566"/>
      <sheetName val="067"/>
      <sheetName val="068"/>
      <sheetName val="69"/>
      <sheetName val="7071"/>
      <sheetName val="7277"/>
      <sheetName val="7879"/>
      <sheetName val="79A"/>
      <sheetName val="80"/>
      <sheetName val="81"/>
      <sheetName val="82"/>
      <sheetName val="83 "/>
      <sheetName val="84 "/>
      <sheetName val="85"/>
      <sheetName val="86"/>
      <sheetName val="8788"/>
      <sheetName val="8990 "/>
      <sheetName val="89ATT"/>
      <sheetName val="90 Supp ("/>
      <sheetName val="9192 "/>
      <sheetName val="93"/>
      <sheetName val="94"/>
      <sheetName val="Verify"/>
      <sheetName val="Index"/>
      <sheetName val="Bo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Normalization"/>
      <sheetName val="Unbilled"/>
      <sheetName val="Rate Table"/>
      <sheetName val="Ld. Grth"/>
      <sheetName val="New Load"/>
      <sheetName val="Weather"/>
      <sheetName val="Var. Anal."/>
      <sheetName val="New Var. Anal."/>
      <sheetName val="Historical"/>
      <sheetName val="JE10310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 Sales"/>
      <sheetName val="Data Entry Transp"/>
      <sheetName val="Data EntryS&amp;T"/>
      <sheetName val="UNBILLED"/>
      <sheetName val="Normalization"/>
      <sheetName val="Rate Table"/>
      <sheetName val="Actual BF-S"/>
      <sheetName val="Ld. Grth"/>
      <sheetName val="Weather"/>
      <sheetName val="Var. Anal."/>
      <sheetName val="Forecast"/>
      <sheetName val="Non-Core"/>
      <sheetName val="Sales vs Unbilled"/>
      <sheetName val="CY2002 Actual"/>
      <sheetName val="1"/>
      <sheetName val="10"/>
      <sheetName val="2627"/>
      <sheetName val="2829"/>
      <sheetName val="43"/>
      <sheetName val="47"/>
      <sheetName val="7071"/>
      <sheetName val="85"/>
      <sheetName val="8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etailed "/>
      <sheetName val="NS Supported Opex&amp;Special Opex"/>
      <sheetName val="Other "/>
      <sheetName val="Risk Matrix"/>
      <sheetName val="Consequence Matrix"/>
      <sheetName val="Workings 1"/>
      <sheetName val="E Chin's Extract"/>
      <sheetName val="Department List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COS p1"/>
      <sheetName val="O and M"/>
      <sheetName val="salary split"/>
      <sheetName val="OandM sal"/>
      <sheetName val="Healthcare"/>
      <sheetName val="Group Ins"/>
      <sheetName val="Actvgrphlth"/>
      <sheetName val="Pensions"/>
      <sheetName val="FAS106"/>
      <sheetName val="Attrition"/>
      <sheetName val="Intra Depr"/>
      <sheetName val="Ex 2c"/>
      <sheetName val="Mun Tax"/>
      <sheetName val="FICA"/>
      <sheetName val="FIT"/>
      <sheetName val="Def FIT"/>
      <sheetName val="unfunded"/>
      <sheetName val="Ratebase"/>
      <sheetName val="Plant"/>
      <sheetName val="Depr Res"/>
      <sheetName val="Ratebase Adj"/>
      <sheetName val="Ratebase DFIT"/>
      <sheetName val="CWC"/>
      <sheetName val="Cap Struct"/>
      <sheetName val="Alloc p1"/>
      <sheetName val="Alloc p2"/>
      <sheetName val="Alloc p3"/>
      <sheetName val="Alloc p4"/>
      <sheetName val="Alloc p5"/>
      <sheetName val="Alloc p6"/>
      <sheetName val="Alloc p7"/>
      <sheetName val="Alloc p8"/>
      <sheetName val="Plant Chang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YTD Actual vs. Budget &amp; PY"/>
      <sheetName val="Actual0910 £"/>
      <sheetName val="Actual0910 $"/>
      <sheetName val="Budget0910 £"/>
      <sheetName val="Budget0910 $"/>
      <sheetName val="Actual0809 £"/>
      <sheetName val="Actual0809 $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5.1.1 NGG - P&amp;L"/>
      <sheetName val="5.2.1 NGG - Balance Sheet"/>
      <sheetName val="5.3.1a NGG Interest Costs"/>
      <sheetName val="5.3.1b NGG Debt Balance Sheet"/>
      <sheetName val="5.3.1c NGG Debt CF"/>
      <sheetName val="5.3.1d NGG Existing Debt"/>
      <sheetName val="5.4.1 NGG-CashFlow "/>
      <sheetName val="5.5.1 NGG - Cap Allowances"/>
      <sheetName val="5.6.1 NGG -Tax Comp"/>
      <sheetName val="IFRS Rec"/>
      <sheetName val="Wkgs - 2004 05 UKGAAP vs IFRS"/>
      <sheetName val="Wkgs - MB UKGAAP IFRS Wkgs"/>
      <sheetName val="Wkgs - IFRS BS Diffs"/>
      <sheetName val="Wgks - IFRS PL Diffs"/>
      <sheetName val="UKREP to NGTPLAN05"/>
      <sheetName val="Net Debt Analysis"/>
      <sheetName val="Transmission Rec"/>
      <sheetName val="Cashflow Wrkg"/>
      <sheetName val="Cashflow Wrkg 2"/>
      <sheetName val="Cashflow Wrkg 3"/>
      <sheetName val="PM Cashflow"/>
      <sheetName val="Cashflow Table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 08"/>
      <sheetName val="Dec 08"/>
      <sheetName val="Jan 09"/>
      <sheetName val="Feb 09"/>
      <sheetName val="Mar 09"/>
      <sheetName val="Apr 09"/>
      <sheetName val="pk Hedge"/>
      <sheetName val="May 09"/>
      <sheetName val="Jun 09"/>
      <sheetName val="Jul 09"/>
      <sheetName val="Aug 09"/>
      <sheetName val="Sep 09"/>
      <sheetName val="Oct 09"/>
      <sheetName val="OP Hedge"/>
      <sheetName val="Nov 09"/>
      <sheetName val="Dec 09"/>
      <sheetName val="Jan 10"/>
      <sheetName val="Feb 10"/>
      <sheetName val="Mar 10"/>
      <sheetName val="Apr 10"/>
      <sheetName val="PK 09-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BusinessQuery#"/>
      <sheetName val="Macros"/>
      <sheetName val="Basis &amp; Index Initial"/>
      <sheetName val="B &amp; I Curves"/>
      <sheetName val="Price Curve"/>
      <sheetName val="Discount"/>
      <sheetName val="FT Basis"/>
      <sheetName val="FT Basis Report"/>
      <sheetName val="FT Index"/>
      <sheetName val="FT Index Report"/>
      <sheetName val="Utilization"/>
      <sheetName val="Fuel"/>
      <sheetName val="Sheet1"/>
      <sheetName val="Sheet2"/>
      <sheetName val="Basis Pivot"/>
      <sheetName val="Index Pivot"/>
      <sheetName val="Basis Detail"/>
      <sheetName val="Index Detail"/>
      <sheetName val="Basis Report"/>
      <sheetName val="Index Report"/>
      <sheetName val="Arrays"/>
      <sheetName val="Sheet12"/>
      <sheetName val="Sheet13"/>
      <sheetName val="Sheet14"/>
      <sheetName val="Sheet15"/>
      <sheetName val="Sheet16"/>
      <sheetName val="Module1"/>
      <sheetName val="Module2"/>
      <sheetName val="Module3"/>
      <sheetName val="Module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"/>
      <sheetName val="Finance Summary"/>
      <sheetName val="NS Supported Opex&amp;Special Opex"/>
      <sheetName val="Other "/>
      <sheetName val="Risk Matrix"/>
      <sheetName val="Consequence Matrix"/>
      <sheetName val="Workings 1"/>
      <sheetName val="Arrays"/>
      <sheetName val="Nucleus Trade Detail_Future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rease Components"/>
      <sheetName val="Savings Proof"/>
      <sheetName val="Changes"/>
      <sheetName val="Index"/>
      <sheetName val="Increase"/>
      <sheetName val="OpExp"/>
      <sheetName val="Known Oper Exp Adjust"/>
      <sheetName val="PF OpExp Adj"/>
      <sheetName val="Labor_MECO"/>
      <sheetName val="Labor_Service"/>
      <sheetName val="Labor_Keyspan"/>
      <sheetName val="Health Care"/>
      <sheetName val="Group Ins"/>
      <sheetName val="Pension"/>
      <sheetName val="FAS106 "/>
      <sheetName val="Employee Thrift"/>
      <sheetName val="NewHires"/>
      <sheetName val="Postage"/>
      <sheetName val="Rate Case Exp"/>
      <sheetName val="Inflation"/>
      <sheetName val="Inflation Data"/>
      <sheetName val="Payroll Tax"/>
      <sheetName val="Deprec Exp"/>
      <sheetName val="Muni Taxes"/>
      <sheetName val="MEC"/>
      <sheetName val="Storm Fund"/>
      <sheetName val="Uncollectible"/>
      <sheetName val="NGRID Synergies"/>
      <sheetName val="Rate Base"/>
      <sheetName val="Accum Def Taxes"/>
      <sheetName val="Holdharmless"/>
      <sheetName val="IncTax"/>
      <sheetName val="Cap Struct"/>
      <sheetName val="CWC"/>
      <sheetName val="Balance Sheet"/>
      <sheetName val="Income Statement"/>
      <sheetName val="DistRev"/>
      <sheetName val="Dist IncSt"/>
      <sheetName val="RB Adjust"/>
      <sheetName val="5 Year Capital Plan RI"/>
      <sheetName val="Capital Mnthly Spend"/>
      <sheetName val="Cap Adds"/>
      <sheetName val="Cap Track"/>
      <sheetName val="CSS Levelized Net Synergies"/>
      <sheetName val="Customer impact 10 Yr NPV"/>
      <sheetName val="Summary"/>
      <sheetName val="Incremental Costs Input"/>
      <sheetName val="Savings Input"/>
      <sheetName val="Revised CSS Support Costs"/>
      <sheetName val="Estimated CSS Costs"/>
      <sheetName val="Depreciation"/>
      <sheetName val="Instructions"/>
      <sheetName val="11,11a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BusinessQuery#"/>
      <sheetName val="Steps"/>
      <sheetName val="Bridge Summary"/>
      <sheetName val="P&amp;LSummary"/>
      <sheetName val="MTM Summary"/>
      <sheetName val="Index Detail"/>
      <sheetName val="Index Pivot"/>
      <sheetName val="Basis Detail"/>
      <sheetName val="Basis Pivot"/>
      <sheetName val="indexcurve"/>
      <sheetName val="B &amp; I Curves"/>
      <sheetName val="PBCURVE"/>
      <sheetName val="Bridge_Summary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Module3"/>
      <sheetName val="Module2"/>
      <sheetName val="Module4"/>
      <sheetName val="Module6"/>
      <sheetName val="Drop Down 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_Rates.Base.Cur"/>
      <sheetName val="Input_Rates.Base.New"/>
      <sheetName val="Input.Boston"/>
      <sheetName val="Input.Essex"/>
      <sheetName val="Input_Rates.Other"/>
      <sheetName val="CGA"/>
      <sheetName val="LDAF"/>
      <sheetName val="CGA LDAF Adj"/>
      <sheetName val="Input.Boston.BFT"/>
      <sheetName val="Input.Essex.BFT"/>
      <sheetName val="MIA Edits"/>
      <sheetName val="RateDesign"/>
      <sheetName val="Schedule 11"/>
      <sheetName val="RDM"/>
      <sheetName val="Sched11Detail"/>
      <sheetName val="Schedule 10 (excl imputed FT)"/>
      <sheetName val="GAF Revenue Detail (Sales)"/>
      <sheetName val="GAF Revenue Detail (FT)"/>
      <sheetName val="LDAF Revenue Detail"/>
      <sheetName val="G7"/>
      <sheetName val="G17"/>
      <sheetName val="LowInc.Boston"/>
      <sheetName val="LowInc.Ess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Ch_RI_MC"/>
      <sheetName val="Ch_RI_MC(m)"/>
      <sheetName val="Ch_RI_Vol"/>
      <sheetName val="Ch_RI_Vol(m)"/>
      <sheetName val="Ch_RI_VolN"/>
      <sheetName val="Ch_RI_VolN(m)"/>
      <sheetName val="RI_MC_AF"/>
      <sheetName val="RI_VOL_AF"/>
      <sheetName val="RI_VOL_NF"/>
      <sheetName val="RI_BIL_AF"/>
      <sheetName val="RI_BIL_NF"/>
      <sheetName val="RI_UBL_AF"/>
      <sheetName val="RI_UBL_NF"/>
      <sheetName val="RI_dfMC_AF"/>
      <sheetName val="RI_dfVOL_AF"/>
      <sheetName val="RI_dfVOL_NF"/>
      <sheetName val="RI_dfBIL_NF"/>
      <sheetName val="RI_dfUBL_NF"/>
      <sheetName val="RI_MC_AF (+DF)"/>
      <sheetName val="RI_VOL_AF (+DF)"/>
      <sheetName val="RI_VOL_NF (+DF)"/>
      <sheetName val="RI_EE_NF"/>
      <sheetName val="RI_VOL_NET_EE"/>
      <sheetName val="RI_BIL_AF (+DF)"/>
      <sheetName val="RI_BIL_NF (+DF)"/>
      <sheetName val="RI_BIL_EE "/>
      <sheetName val="RI_BIL__NET_EE"/>
      <sheetName val="RI_UBL_AF (+DF)"/>
      <sheetName val="RI_UBL_NF (+DF)"/>
      <sheetName val="RI_UBL_EE"/>
      <sheetName val="RI_UBL__NET_EE"/>
      <sheetName val="RI_BUB_postEE_nor"/>
      <sheetName val="check"/>
      <sheetName val="MC_charts"/>
      <sheetName val="vol(N)_charts"/>
      <sheetName val="RhodeIsland_FinE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Ch_RI_MC"/>
      <sheetName val="Ch_RI_MC(m)"/>
      <sheetName val="Ch_RI_Vol"/>
      <sheetName val="Ch_RI_Vol(m)"/>
      <sheetName val="Ch_RI_VolN"/>
      <sheetName val="Ch_RI_VolN(m)"/>
      <sheetName val="RI_MC_AF"/>
      <sheetName val="RI_VOL_AF"/>
      <sheetName val="RI_VOL_NF"/>
      <sheetName val="RI_BIL_AF"/>
      <sheetName val="RI_BIL_NF"/>
      <sheetName val="RI_UBL_AF"/>
      <sheetName val="RI_UBL_NF"/>
      <sheetName val="RI_dfMC_AF"/>
      <sheetName val="RI_dfVOL_AF"/>
      <sheetName val="RI_dfVOL_NF"/>
      <sheetName val="RI_dfBIL_NF"/>
      <sheetName val="RI_dfUBL_NF"/>
      <sheetName val="RI_MC_AF (+DF)"/>
      <sheetName val="RI_VOL_AF (+DF)"/>
      <sheetName val="RI_VOL_NF (+DF)"/>
      <sheetName val="RI_EE_NF"/>
      <sheetName val="RI_VOL_NET_EE"/>
      <sheetName val="RI_BIL_AF (+DF)"/>
      <sheetName val="RI_BIL_NF (+DF)"/>
      <sheetName val="RI_BIL_EE "/>
      <sheetName val="RI_BIL__NET_EE"/>
      <sheetName val="RI_UBL_AF (+DF)"/>
      <sheetName val="RI_UBL_NF (+DF)"/>
      <sheetName val="RI_UBL_EE"/>
      <sheetName val="RI_UBL__NET_EE"/>
      <sheetName val="check"/>
      <sheetName val="MC_charts"/>
      <sheetName val="vol(N)_charts"/>
      <sheetName val="RhodeIsland_FinE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caSummary"/>
      <sheetName val="MarginSummary"/>
      <sheetName val="Basis Data 03312008"/>
      <sheetName val="Retrieval"/>
      <sheetName val="RI_VOL_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Wizard"/>
      <sheetName val="Notes"/>
      <sheetName val="Nomination Summary"/>
      <sheetName val="Nominations"/>
      <sheetName val="Price Feed"/>
      <sheetName val="Details"/>
      <sheetName val="Dispatch"/>
      <sheetName val="Variables"/>
      <sheetName val="Report"/>
      <sheetName val="Summary"/>
      <sheetName val="TP Inputs"/>
      <sheetName val="Storag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Sheet"/>
      <sheetName val="TableOfContents"/>
      <sheetName val="Inputs"/>
      <sheetName val="AFUDC"/>
      <sheetName val="Invest-WorkCap-Cap Calcs"/>
      <sheetName val="ActualCapEx_Inputs"/>
      <sheetName val="InventoryInput"/>
      <sheetName val="Depreciation"/>
      <sheetName val="Capital Recovery"/>
      <sheetName val="O&amp;M"/>
      <sheetName val="Drop Down Lists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inuing Operations"/>
      <sheetName val="OFR"/>
      <sheetName val="Profit Summary"/>
      <sheetName val="Stranded adj"/>
      <sheetName val="FY09 P&amp;L"/>
      <sheetName val="FY08 P&amp;L"/>
      <sheetName val="OFR (Continuing Ops)"/>
      <sheetName val="Stranded"/>
      <sheetName val="Volu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ucleus Trade Detail_Futures"/>
      <sheetName val="Nucleus Trade Detail_Swaps"/>
      <sheetName val="Invest-WorkCap-Cap Calcs"/>
      <sheetName val="Inputs"/>
    </sheetNames>
    <sheetDataSet>
      <sheetData sheetId="0" refreshError="1"/>
      <sheetData sheetId="1"/>
      <sheetData sheetId="2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ollars"/>
      <sheetName val="Therms"/>
      <sheetName val="Customers"/>
      <sheetName val="Chart-med"/>
      <sheetName val="Chart1"/>
      <sheetName val="Chart2"/>
      <sheetName val="$ per Cust"/>
      <sheetName val="Therms per Cust"/>
      <sheetName val="$ per Therm"/>
      <sheetName val="Sheet1"/>
      <sheetName val="Classified-Apr09"/>
      <sheetName val="Classified-Mar09"/>
      <sheetName val="Classified-Mar09prelim"/>
      <sheetName val="Classified-Feb09"/>
      <sheetName val="Classified-Jan09"/>
      <sheetName val="Classified-Dec"/>
      <sheetName val="DAC summary "/>
      <sheetName val="Sys Pressure "/>
      <sheetName val="AGT Interest Calc. for FY09 "/>
      <sheetName val="ERC factor "/>
      <sheetName val="ERC amortization "/>
      <sheetName val="ERC Detail "/>
      <sheetName val="P&amp;PBOP"/>
      <sheetName val="Pens Reconc Proposal"/>
      <sheetName val="PBOP Reconc Proposal"/>
      <sheetName val="Capital Tracker"/>
      <sheetName val="Rate Base"/>
      <sheetName val="5 Quarter Average Net Plant"/>
      <sheetName val="Est.Data for Quarter Sep 09"/>
      <sheetName val="Margin"/>
      <sheetName val="Jul 08-Oct 08 Margin"/>
      <sheetName val="Nov 08-Jun 09 Margin"/>
      <sheetName val="July08-Oct08"/>
      <sheetName val="Nov08-Jun09 (Firm)"/>
      <sheetName val="Nov08-Jun09 (Non-firm)"/>
      <sheetName val="WNA"/>
      <sheetName val="Recon Summary"/>
      <sheetName val="Base Rate Components"/>
      <sheetName val="recon 08-09"/>
      <sheetName val="True-up"/>
      <sheetName val="Lost Revenue)"/>
      <sheetName val=" Summary"/>
      <sheetName val="As of Feb12"/>
      <sheetName val="Dollars1"/>
      <sheetName val="Therms1"/>
      <sheetName val="Customers1"/>
      <sheetName val="Before Feb12"/>
      <sheetName val="RI Classified Sales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ucleus Trade Detail_Futures"/>
      <sheetName val="Nymex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hibit 9"/>
      <sheetName val="Chart Data"/>
      <sheetName val="E Chin's Extract"/>
      <sheetName val="Cogens"/>
      <sheetName val="Marketing Data"/>
      <sheetName val="2002-03 Chart"/>
      <sheetName val="2003-04 Chart"/>
      <sheetName val="KEDLI Data "/>
      <sheetName val="Updated Chart"/>
      <sheetName val="7-1-05 on SCADA Cogen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Balance"/>
      <sheetName val="Estimates"/>
      <sheetName val="kWh"/>
      <sheetName val="Expenses"/>
      <sheetName val="Revenue"/>
      <sheetName val="Alloc"/>
      <sheetName val="REPORTS"/>
      <sheetName val="Prime Rate"/>
      <sheetName val="REC"/>
      <sheetName val="Rpt 6256 as of Jan 11"/>
      <sheetName val="Liabilities Rec List"/>
      <sheetName val=""/>
      <sheetName val="ANE Deals"/>
      <sheetName val="GasActivity"/>
      <sheetName val="Central Cha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ctions"/>
      <sheetName val="Classify"/>
      <sheetName val="Supp Demand"/>
      <sheetName val="Supp Comm"/>
      <sheetName val="Supp Cust"/>
      <sheetName val="Coll Demand"/>
      <sheetName val="Coll Comm"/>
      <sheetName val="Coll Cust"/>
      <sheetName val="Tran Demand"/>
      <sheetName val="Tran Comm"/>
      <sheetName val="Tran Cust"/>
      <sheetName val="Dist Demand"/>
      <sheetName val="Dist Comm"/>
      <sheetName val="Dist Cust"/>
      <sheetName val="BillPay Demand"/>
      <sheetName val="BillPay Comm"/>
      <sheetName val="BillPay Cust"/>
      <sheetName val="EnSvc Demand"/>
      <sheetName val="EnSvc Comm"/>
      <sheetName val="EnSvc Cust"/>
      <sheetName val="Total"/>
      <sheetName val="Quick List"/>
      <sheetName val="SumGas"/>
      <sheetName val="SumDist"/>
      <sheetName val="SumBill"/>
      <sheetName val="SumColl"/>
      <sheetName val="SumTotal"/>
      <sheetName val="MinSys"/>
      <sheetName val="Factors"/>
      <sheetName val="Unit Cost"/>
      <sheetName val="Open"/>
      <sheetName val="Registry"/>
      <sheetName val="Specific Customer"/>
      <sheetName val="BillBack"/>
      <sheetName val="Verify"/>
      <sheetName val="Inputs"/>
      <sheetName val="LOG"/>
      <sheetName val="MSS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_Rates.Base.Cur"/>
      <sheetName val="Input_Rates.Base.New"/>
      <sheetName val="Input_Rates.Other"/>
      <sheetName val="CGA"/>
      <sheetName val="LDAF"/>
      <sheetName val="CGA LDAF Adj"/>
      <sheetName val="Input.Cape"/>
      <sheetName val="Input.Lowell"/>
      <sheetName val="Input.Cape.BFT"/>
      <sheetName val="Input.Lowell.BFT"/>
      <sheetName val="Monthly RDM"/>
      <sheetName val="Monthly Vol Spread"/>
      <sheetName val="Breakdown for Yvon"/>
      <sheetName val="RateDesign"/>
      <sheetName val="Schedule 11"/>
      <sheetName val="Sched11Detail"/>
      <sheetName val="LowInc.Cape"/>
      <sheetName val="LowInc.Lowe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"/>
      <sheetName val="Rich Kunz"/>
      <sheetName val="Mary Brolly"/>
      <sheetName val="Patti Hoeler"/>
      <sheetName val="Rashi Dahl"/>
      <sheetName val="AJ"/>
      <sheetName val="Steve McCauley"/>
      <sheetName val="NYMEX"/>
      <sheetName val="Data"/>
      <sheetName val="Input_Rates.Base.New"/>
      <sheetName val="Project Resources"/>
      <sheetName val="Start Balance"/>
      <sheetName val="Capital Categorization"/>
      <sheetName val="Rich_Kunz"/>
      <sheetName val="Mary_Brolly"/>
      <sheetName val="Patti_Hoeler"/>
      <sheetName val="Rashi_Dahl"/>
      <sheetName val="Steve_McCauley"/>
      <sheetName val="Input_Rates_Base_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mary"/>
      <sheetName val="Increase"/>
      <sheetName val="Revenue"/>
      <sheetName val="OpExp"/>
      <sheetName val="Normalization"/>
      <sheetName val="Known_Meas"/>
      <sheetName val="IFA"/>
      <sheetName val="Labor_Utility"/>
      <sheetName val="Labor_Service"/>
      <sheetName val="Labor_Affiliates"/>
      <sheetName val="Health Care"/>
      <sheetName val="Group Ins"/>
      <sheetName val="Employee Thrift"/>
      <sheetName val="FAS 112-ASC 712"/>
      <sheetName val="IS-Fac Rents"/>
      <sheetName val="Claims"/>
      <sheetName val="Ins Premiums"/>
      <sheetName val="Reg Assessments"/>
      <sheetName val="Uncollectible"/>
      <sheetName val="Overnite Pers"/>
      <sheetName val="Paperless Bill"/>
      <sheetName val="Rate Case Exp"/>
      <sheetName val="Inflation"/>
      <sheetName val="Hardships"/>
      <sheetName val="Environmental"/>
      <sheetName val="Storm Fund"/>
      <sheetName val="Deprec Exp"/>
      <sheetName val="Muni Taxes"/>
      <sheetName val="Payroll Tax"/>
      <sheetName val="Rate Base"/>
      <sheetName val="IncTax"/>
      <sheetName val="Amort of Net Tax Liability"/>
      <sheetName val="Cap Struct"/>
      <sheetName val="CWC"/>
      <sheetName val="FERC (AG 29-6-1)"/>
      <sheetName val="FERC"/>
      <sheetName val="DPU 1"/>
      <sheetName val="DPU 2"/>
      <sheetName val="DPU 3"/>
      <sheetName val="DPU 4"/>
      <sheetName val="DPU 5"/>
      <sheetName val="DPU 6"/>
      <sheetName val="DPU 7"/>
      <sheetName val="DPU 8"/>
      <sheetName val="DPU 9"/>
      <sheetName val="IncSt"/>
      <sheetName val="BalSheet"/>
      <sheetName val="Inflation Data"/>
      <sheetName val="Other O&amp;M"/>
      <sheetName val="Solar PhII"/>
      <sheetName val="Summary of Rev Req"/>
      <sheetName val="Comparison of Rev Req vs 09-39"/>
      <sheetName val="DPU 09-39"/>
      <sheetName val="ADIT"/>
      <sheetName val="Seasonal Emp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_MC"/>
      <sheetName val="CP_Vol(act)"/>
      <sheetName val="CP_Vol(nor)"/>
      <sheetName val="CP_MC_A"/>
      <sheetName val="CP_Vol_A"/>
      <sheetName val="CP_Vol_N"/>
      <sheetName val="CP_MC_F"/>
      <sheetName val="CP_Vol_F"/>
      <sheetName val="CP_Billed_F"/>
      <sheetName val="CP_Unbilled_F"/>
      <sheetName val="CP_fctMC"/>
      <sheetName val="CP_fctMC (2)"/>
      <sheetName val="CP_fctVol"/>
      <sheetName val="CP_Billed"/>
      <sheetName val="CP_Unbilled"/>
      <sheetName val="CP_rawCus"/>
      <sheetName val="CP_Inp_MC"/>
      <sheetName val="CP_His_MC"/>
      <sheetName val="CP_His_Vol"/>
      <sheetName val="CP_NorVol"/>
      <sheetName val="CP_NorBld"/>
      <sheetName val="CP_NorUBD"/>
      <sheetName val="CP_rawVol"/>
      <sheetName val="CP_ActBld"/>
      <sheetName val="CP_ActUBD"/>
      <sheetName val="Cont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Wizard"/>
      <sheetName val="Notes"/>
      <sheetName val="Nomination Summary"/>
      <sheetName val="Nominations"/>
      <sheetName val="Price Feed"/>
      <sheetName val="Details"/>
      <sheetName val="Dispatch"/>
      <sheetName val="Variables"/>
      <sheetName val="Report"/>
      <sheetName val="Summary"/>
      <sheetName val="TP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Y"/>
      <sheetName val="TRADES"/>
      <sheetName val="Broker Input"/>
      <sheetName val="T_NYMEX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Total"/>
      <sheetName val="BW"/>
      <sheetName val="TWA"/>
      <sheetName val="Tot"/>
      <sheetName val="tot graph"/>
      <sheetName val="lon graph"/>
      <sheetName val="ScotGraph"/>
      <sheetName val="NWGraph"/>
      <sheetName val="WMGraph"/>
      <sheetName val="EofEGraph"/>
      <sheetName val="Wales&amp;SWGraph"/>
      <sheetName val="SofEGraph"/>
      <sheetName val="NofEGraph"/>
      <sheetName val="LO"/>
      <sheetName val="London"/>
      <sheetName val="SC"/>
      <sheetName val="Scotland"/>
      <sheetName val="NO"/>
      <sheetName val="North of England"/>
      <sheetName val="SO"/>
      <sheetName val="South of England"/>
      <sheetName val="WA"/>
      <sheetName val="Wales &amp; West"/>
      <sheetName val="EA"/>
      <sheetName val="East of England"/>
      <sheetName val="WM"/>
      <sheetName val="West Midlands"/>
      <sheetName val="NW"/>
      <sheetName val="North West"/>
      <sheetName val="Wales &amp; South West"/>
      <sheetName val="List of Adjustments"/>
      <sheetName val="Ind Bar Chart Inputs"/>
      <sheetName val=" "/>
      <sheetName val="LI Apr 04 Cal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mo Print View"/>
      <sheetName val="12mo Print View"/>
      <sheetName val="Classified-Dec"/>
    </sheetNames>
    <sheetDataSet>
      <sheetData sheetId="0" refreshError="1"/>
      <sheetData sheetId="1"/>
      <sheetData sheetId="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Sheet2"/>
      <sheetName val="Sheet5"/>
      <sheetName val="Measure Input Data"/>
      <sheetName val="General Inputs"/>
      <sheetName val="NIMO North - Hourly Energy"/>
      <sheetName val="NIMO West - Hourly Energy"/>
      <sheetName val="Peak Timing and Pricing"/>
      <sheetName val="Lost Utility Revenue"/>
      <sheetName val="Other Fuel Prices"/>
      <sheetName val="SO2 &amp; NOx Emissions"/>
      <sheetName val="Measure Calculations"/>
      <sheetName val="Energy Calculations"/>
      <sheetName val="Benefits"/>
      <sheetName val="Costs"/>
      <sheetName val="BCA Summary - Traditional"/>
      <sheetName val="BCA Summary - Adjusted"/>
      <sheetName val="Sensitivity"/>
      <sheetName val="Admin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Invoice Support"/>
      <sheetName val="Summary"/>
      <sheetName val="Fall River D1"/>
      <sheetName val="Fall River D2"/>
      <sheetName val="Fall River D3"/>
      <sheetName val="Fall River D4"/>
      <sheetName val="Fall River D5"/>
      <sheetName val="Fall River D6"/>
      <sheetName val="Fall River D7"/>
      <sheetName val="Fall River D8"/>
      <sheetName val="Fall River D9"/>
      <sheetName val="Fall River D10"/>
      <sheetName val="Fall River D11"/>
      <sheetName val="Fall River D12"/>
      <sheetName val="Fall River D13"/>
      <sheetName val="Fall River D14"/>
      <sheetName val="Fall River D15"/>
      <sheetName val="Fall River D16"/>
      <sheetName val="Fall River D17"/>
      <sheetName val="Fall River D18"/>
      <sheetName val="Fall River D19"/>
      <sheetName val="Fall River D20"/>
      <sheetName val="Fall River D21"/>
      <sheetName val="Fall River D22"/>
      <sheetName val="Fall River D23"/>
      <sheetName val="Fall River D24"/>
      <sheetName val="Fall River D25"/>
      <sheetName val="Fall River D26"/>
      <sheetName val="Fall River D27"/>
      <sheetName val="Fall River D28"/>
      <sheetName val="Fall River D29"/>
      <sheetName val="Fall River D30"/>
      <sheetName val="Fall River D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Invoice Support"/>
      <sheetName val="Summary"/>
      <sheetName val="RI D1"/>
      <sheetName val="RI D2"/>
      <sheetName val="RI D3"/>
      <sheetName val="RI D4"/>
      <sheetName val="RI D5"/>
      <sheetName val="RI D6"/>
      <sheetName val="RI D7"/>
      <sheetName val="RI D8"/>
      <sheetName val="RI D9"/>
      <sheetName val="RI D10"/>
      <sheetName val="RI D11"/>
      <sheetName val="RI D12"/>
      <sheetName val="RI D13"/>
      <sheetName val="RI D14"/>
      <sheetName val="RI D15"/>
      <sheetName val="RI D16"/>
      <sheetName val="RI D17"/>
      <sheetName val="RI D18"/>
      <sheetName val="RI D19"/>
      <sheetName val="RI D20"/>
      <sheetName val="RI D21"/>
      <sheetName val="RI D22"/>
      <sheetName val="RI D23"/>
      <sheetName val="RI D24"/>
      <sheetName val="RI D25"/>
      <sheetName val="RI D26"/>
      <sheetName val="RI D27"/>
      <sheetName val="RI D28"/>
      <sheetName val="RI D29"/>
      <sheetName val="RI D30"/>
      <sheetName val="RI D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y"/>
      <sheetName val="Cassie"/>
      <sheetName val="Rich"/>
      <sheetName val="Patti"/>
      <sheetName val="Rashi"/>
      <sheetName val="Kristine"/>
      <sheetName val="Mike"/>
      <sheetName val="Winter 07-08 Peakers"/>
      <sheetName val="Schedulers"/>
      <sheetName val="NYMEX"/>
      <sheetName val="Data"/>
      <sheetName val="BGC 23734-18117"/>
      <sheetName val="Transaction Ticket Daily 122207"/>
      <sheetName val="Winter_07-08_Peak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09 HY"/>
      <sheetName val="P&amp;L retrieve"/>
      <sheetName val="UOP retrieve"/>
      <sheetName val="Input"/>
      <sheetName val="OFR"/>
      <sheetName val="Continuing Ops"/>
      <sheetName val="NE&amp;NY"/>
      <sheetName val="T&amp;D"/>
      <sheetName val="GEN"/>
      <sheetName val="ED&amp;G"/>
      <sheetName val="P&amp;L"/>
      <sheetName val="Total Opex"/>
      <sheetName val="IR oper prof"/>
      <sheetName val="Stranded"/>
      <sheetName val="Capex"/>
      <sheetName val="Sales(gWh) weather impact"/>
      <sheetName val="Exceptional Items"/>
      <sheetName val="Exceptionals"/>
      <sheetName val="ControllableCosts"/>
      <sheetName val="Consol CC UK Format "/>
      <sheetName val="Controllable Costs"/>
      <sheetName val="LI &amp; Gen CC"/>
      <sheetName val="New Elect Dist Summ"/>
      <sheetName val="Control Total Elect Dist Summ"/>
      <sheetName val="Other Dir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 a Glance"/>
      <sheetName val="Brief Retrieve"/>
      <sheetName val="Elim Retrieve"/>
      <sheetName val="FY Brief"/>
      <sheetName val="PSA1 (GAAP-IFRS)"/>
      <sheetName val="NGUSA (IFRS)"/>
      <sheetName val="NGUSA (IFRS) (2)"/>
      <sheetName val="NGUSA (GAAP)"/>
      <sheetName val="Variance MAP (IFRS)"/>
      <sheetName val="Variance MAP (GAAP)"/>
      <sheetName val="Details"/>
      <sheetName val="FORECAST"/>
      <sheetName val="PL Report (IFRS)"/>
      <sheetName val="PL Report (ADJ)"/>
      <sheetName val="PL Report (GAAP)"/>
      <sheetName val="PL Analysis (IFRS)"/>
      <sheetName val="PL Analysis (ADJ)"/>
      <sheetName val="PL Analysis (GAAP)"/>
      <sheetName val="PL Summary (IFRS)"/>
      <sheetName val="PL Summary (ADJ)"/>
      <sheetName val="PL Summary (GAAP)"/>
      <sheetName val="OM Summary (GAAP)"/>
      <sheetName val="18A"/>
      <sheetName val="NonControllable (1)"/>
      <sheetName val="NonControllable (2)"/>
      <sheetName val="Controllable (1)"/>
      <sheetName val="Controllable (2)"/>
      <sheetName val="ENV"/>
      <sheetName val="LIPA"/>
      <sheetName val="COR"/>
      <sheetName val="OM Retrieve (Stranded)"/>
      <sheetName val="OM Retrieve (1)"/>
      <sheetName val="OM Retrieve (2)"/>
      <sheetName val="PL Retrieve (Stranded)"/>
      <sheetName val="PL Retrieve (Stranded) (2)"/>
      <sheetName val="PL Retrieve (1)"/>
      <sheetName val="PL Retrieve (2)"/>
      <sheetName val="PL Retrieve (ADJ)"/>
      <sheetName val="PL Retrieve (IFRS)"/>
      <sheetName val="GAAP-IFRS (Actual)"/>
      <sheetName val="Control Data (IFRS)"/>
      <sheetName val="Control Data (IFRS) (PSA1)"/>
      <sheetName val="Control Data (ADJ)"/>
      <sheetName val="Control Data"/>
      <sheetName val="Cover"/>
      <sheetName val="Elim Retrieve (2)"/>
      <sheetName val="CAPEX"/>
      <sheetName val="CAPEX (FY12 Budget)"/>
      <sheetName val="NonReg (GAAP-IFRS)"/>
      <sheetName val="NonReg"/>
      <sheetName val="NonReg (CCC)"/>
      <sheetName val="Exp by Company"/>
      <sheetName val="Reg to NR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MSanction"/>
      <sheetName val="3MRR"/>
      <sheetName val="3MSum"/>
      <sheetName val="3MEduc"/>
      <sheetName val="3MCPSum"/>
      <sheetName val="3MCPDetail"/>
      <sheetName val="RI Notes"/>
      <sheetName val="MA-RI-NY OpEx Expense Summary"/>
      <sheetName val="MA"/>
      <sheetName val="NIMO-2MRR"/>
      <sheetName val="NIMO-2MSum"/>
      <sheetName val="NIMO-2MEduc"/>
      <sheetName val="NIMO-2MCPSum"/>
      <sheetName val="NIMO-2MCPDetail"/>
      <sheetName val="RI-ETCostSummary_forAmended"/>
      <sheetName val="RI-ProposedSettlement"/>
      <sheetName val="RI-Off-Peak Rebate"/>
      <sheetName val="RI-ChargingStationCostPerPort"/>
      <sheetName val="RI-ChargingStations (2)rev"/>
      <sheetName val="RI-DCFC Discount (2)"/>
      <sheetName val="RI-Educ Outreach (2)rev"/>
      <sheetName val="RI-Fleet Adv"/>
      <sheetName val="RI-Eval (2)r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  <sheetName val="Rhode Island AGT"/>
      <sheetName val="Rhode Island TGP"/>
      <sheetName val="Lead Sheet"/>
      <sheetName val="Data"/>
      <sheetName val="Rates"/>
      <sheetName val="CurrentQ_Derivatives Inventory"/>
      <sheetName val="NH Summary Ind"/>
      <sheetName val="NHLoads"/>
      <sheetName val="MALoa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Sheet3"/>
      <sheetName val="Gas AR on ledger"/>
      <sheetName val="Gas RI"/>
      <sheetName val="Gas Prov"/>
      <sheetName val="Gas Cumb"/>
      <sheetName val="Recon items - in Lawson"/>
      <sheetName val="Recon items - Lawson"/>
      <sheetName val="Cumb recon items-conv"/>
      <sheetName val="Gas FR"/>
      <sheetName val="Gas NAG"/>
      <sheetName val="Gas Loan AR "/>
      <sheetName val="Gas Adjustments AR"/>
      <sheetName val="Gas Reserve"/>
      <sheetName val="CustDep"/>
      <sheetName val="RISE"/>
      <sheetName val="Type F"/>
      <sheetName val="Serv WO's"/>
      <sheetName val="Sundries"/>
      <sheetName val="CIAC "/>
      <sheetName val="Balance Due Cust"/>
      <sheetName val="Unpaid Refunds"/>
      <sheetName val="Rentals"/>
      <sheetName val="NonGas Reserve"/>
      <sheetName val="Sheet4"/>
      <sheetName val="Overpayments (2)"/>
      <sheetName val="Overpayments"/>
      <sheetName val="LIHEAP  "/>
      <sheetName val="Replacements"/>
      <sheetName val="Work Order Clearing"/>
      <sheetName val="Gift Cert."/>
      <sheetName val="Bad Check-SS"/>
      <sheetName val="Telemeter CIAC"/>
      <sheetName val="Interco 142060"/>
      <sheetName val="Interco 142080"/>
      <sheetName val="Interco 142085 "/>
      <sheetName val="Interco 142090 "/>
      <sheetName val="Accounts"/>
      <sheetName val="Allowance (SU)"/>
      <sheetName val="Deposit Roll (SU)"/>
      <sheetName val="Variables"/>
      <sheetName val="ISO JLL-2 Pg 1"/>
      <sheetName val="ISO ADMIN JLL-2 Pg 2"/>
      <sheetName val="NEPSch 21 JLL-5"/>
      <sheetName val="ISO Scheds 2 &amp; 16 JLL-4"/>
      <sheetName val="Summary JLL-1 Pg 1"/>
      <sheetName val="Play"/>
      <sheetName val="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 LOG (2)"/>
      <sheetName val="INVOICE LOG"/>
      <sheetName val="03-02 EST. NAG GC"/>
      <sheetName val="02-02 VAR"/>
      <sheetName val="JE (1)"/>
      <sheetName val="SENDOUT-GAS COST"/>
      <sheetName val="NAG DETM PURCHASES 01-02"/>
      <sheetName val="DB GL FILE"/>
      <sheetName val="CR GL 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NAG DEMAND"/>
      <sheetName val="10-02 VARIANCE"/>
      <sheetName val="11-02 EST. NAG GC"/>
      <sheetName val="JE (1)"/>
      <sheetName val="Cost of Gas"/>
      <sheetName val="Invoice Support"/>
      <sheetName val="Storage Plan"/>
      <sheetName val="NAG NOV  2002 GAS DAY FORECAST"/>
      <sheetName val="SENDOUT-GAS COST"/>
      <sheetName val="DB GL"/>
      <sheetName val="CR GL"/>
      <sheetName val="11-02 NAG DEMA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-02 invoice not rec'd"/>
      <sheetName val="Inv PRELIM 11-02"/>
      <sheetName val="12-02 Inv Support "/>
      <sheetName val="11-02 NAG VAR "/>
      <sheetName val="12-02 EST. NAG GC"/>
      <sheetName val="GCR"/>
      <sheetName val="DB GL"/>
      <sheetName val="JE (1)"/>
      <sheetName val="CR GL"/>
      <sheetName val="SEND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CA Summary"/>
      <sheetName val="FinPlanLI"/>
      <sheetName val="FinPlanNY"/>
      <sheetName val="2003"/>
      <sheetName val="2004"/>
      <sheetName val="2005"/>
      <sheetName val="2006"/>
      <sheetName val="2007"/>
      <sheetName val="2008"/>
      <sheetName val="2009"/>
      <sheetName val="Sheet3"/>
      <sheetName val="DB G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NY"/>
      <sheetName val="NYPA-Holtsvile"/>
      <sheetName val="TRIGEN"/>
      <sheetName val="SCADA Cogen Meter Data"/>
      <sheetName val="BNY Balance Acct"/>
      <sheetName val="BNY Swaps-Remarketing"/>
      <sheetName val="BNY Cap Release"/>
      <sheetName val="Jan 06 KED-LI  "/>
      <sheetName val="Parameters"/>
      <sheetName val="Parameter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"/>
      <sheetName val="BS"/>
      <sheetName val="gain on disposal"/>
      <sheetName val="Module1"/>
      <sheetName val="BS Acq Table"/>
    </sheetNames>
    <sheetDataSet>
      <sheetData sheetId="0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Balance"/>
      <sheetName val="kWh"/>
      <sheetName val="Estimates"/>
      <sheetName val="Revenue"/>
      <sheetName val="Expenses"/>
      <sheetName val="Reconciliation"/>
      <sheetName val="AnnRpt"/>
      <sheetName val="Report"/>
      <sheetName val="REPORTS"/>
      <sheetName val="Alloc"/>
      <sheetName val="Inc"/>
      <sheetName val="LIIncSt"/>
      <sheetName val="Liabilities Rec List"/>
      <sheetName val="FY15 PSA JE Upload Template"/>
      <sheetName val="Unbilled file"/>
      <sheetName val="Summary"/>
      <sheetName val="PSA Support"/>
      <sheetName val="Manual input"/>
      <sheetName val="Drop-Down Values"/>
      <sheetName val="Increase"/>
      <sheetName val="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Mar06"/>
      <sheetName val="Mar07"/>
      <sheetName val="Mar08"/>
      <sheetName val="Mar09"/>
      <sheetName val="Mar10"/>
      <sheetName val="Mar1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age 12"/>
      <sheetName val="Page 13"/>
      <sheetName val="Page 13.1"/>
      <sheetName val="Page 13.A"/>
      <sheetName val="Mar09"/>
      <sheetName val="Page_12"/>
      <sheetName val="Page_13"/>
      <sheetName val="Page_13_1"/>
      <sheetName val="Page_13_A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_FY11_V6(R2)_w.GrossUB"/>
      <sheetName val="LI_FY11_V6(R2)_w.NetUB"/>
      <sheetName val="Comparison_5yrs(LI)"/>
      <sheetName val="Contracts with codes"/>
      <sheetName val="Points"/>
      <sheetName val="LI_FY11_V6(R2)_w_GrossUB"/>
      <sheetName val="LI_FY11_V6(R2)_w_NetUB"/>
      <sheetName val="Menu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us Tab"/>
      <sheetName val="Instructions"/>
      <sheetName val="Assumptions"/>
      <sheetName val="To Do List"/>
      <sheetName val="BPC-3.13.15"/>
      <sheetName val="BPC-3.5.15"/>
      <sheetName val="Employee Consolidation Tab"/>
      <sheetName val="Summary-Reg &amp; Non-Reg"/>
      <sheetName val="Cost Types"/>
      <sheetName val="JUR by CC"/>
      <sheetName val=" HC"/>
      <sheetName val="Employee"/>
      <sheetName val="Transfers"/>
      <sheetName val="Range Lists"/>
      <sheetName val="Audit of EE cc's"/>
      <sheetName val="Reporting formats"/>
      <sheetName val="By Opco"/>
      <sheetName val="Risks &amp; Ops"/>
      <sheetName val="Non-Employee"/>
      <sheetName val="CAPEX"/>
      <sheetName val="Jurisdiction Allocs"/>
      <sheetName val="Alloc Codes"/>
      <sheetName val="WBS"/>
      <sheetName val="WBS-ORIG"/>
      <sheetName val="General Ledger Acc'ts"/>
      <sheetName val="Backup"/>
      <sheetName val="Sheet1"/>
      <sheetName val="IS E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mo Print View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s"/>
      <sheetName val="#BusinessQuery#"/>
      <sheetName val="Macros"/>
      <sheetName val="Detail"/>
      <sheetName val="Array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CommodityPayableAccrual"/>
      <sheetName val="1_2_07_1730_TieOutToKap"/>
      <sheetName val="Summary"/>
      <sheetName val="Demand"/>
      <sheetName val="CommodityPayableAcc"/>
      <sheetName val="Nuc Companies"/>
      <sheetName val="DecOSS"/>
      <sheetName val="PROPANE_LNG"/>
      <sheetName val="DecStorage"/>
      <sheetName val="Sendout"/>
      <sheetName val="EN EndUse"/>
      <sheetName val="CURRENT CONTRACT MASTER FILE"/>
      <sheetName val="SalesCredits"/>
      <sheetName val="NovSupplier"/>
      <sheetName val="Pivot Table -12-31-06"/>
      <sheetName val="Earnings Category Summary"/>
      <sheetName val="ACCRUAL SUMMARY"/>
      <sheetName val="COMMODITY"/>
      <sheetName val="MASS OSS"/>
      <sheetName val="LNG_STORAGE_PROPANE"/>
      <sheetName val="Merrill kse2"/>
      <sheetName val="June 07 Proxy"/>
      <sheetName val="Storage WACOG Wrksht"/>
      <sheetName val="LNG WACOG Wrksht"/>
      <sheetName val="PIVOT"/>
      <sheetName val="Bos AGT"/>
      <sheetName val="Bos TGP"/>
      <sheetName val="Col AGT"/>
      <sheetName val="Col TGP"/>
      <sheetName val="Essex TGP"/>
      <sheetName val="Pivots"/>
      <sheetName val="Inc_stmt.as_of_200901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Output"/>
      <sheetName val="Rate1A"/>
      <sheetName val="RateT1A"/>
      <sheetName val="Rate1B"/>
      <sheetName val="RateT1B"/>
      <sheetName val="Rate2-1"/>
      <sheetName val="RateT2-1"/>
      <sheetName val="Rate2-2"/>
      <sheetName val="RateT2-2"/>
      <sheetName val="Rate3"/>
      <sheetName val="RateT3"/>
      <sheetName val="Rate4A"/>
      <sheetName val="RateT4A"/>
      <sheetName val="Rate4B"/>
      <sheetName val="RateT4B"/>
      <sheetName val="Rate7"/>
      <sheetName val="RateT7"/>
      <sheetName val="Rate14(CNG)"/>
      <sheetName val="Mapp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-02 GC ESTIMATE"/>
      <sheetName val="Jul02 Index"/>
      <sheetName val="SENDOUT-GAS COST"/>
      <sheetName val="JE"/>
      <sheetName val="JE # 301917"/>
      <sheetName val="JE301919"/>
      <sheetName val="DB GL"/>
      <sheetName val="CR GL"/>
      <sheetName val="GL ACC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Wizard"/>
      <sheetName val="Nominations"/>
      <sheetName val="Nomination Summary"/>
      <sheetName val="Price Feed"/>
      <sheetName val="Details"/>
      <sheetName val="Dispatch"/>
      <sheetName val="Variables"/>
      <sheetName val="EDQs"/>
      <sheetName val="Report"/>
      <sheetName val="Summary"/>
      <sheetName val="Storage"/>
      <sheetName val="TP Inputs"/>
      <sheetName val="Releases"/>
      <sheetName val="JE301919"/>
      <sheetName val="YTD P&amp;L Prepayment 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"/>
      <sheetName val="Dispatch"/>
    </sheetNames>
    <sheetDataSet>
      <sheetData sheetId="0"/>
      <sheetData sheetId="1" refreshError="1"/>
      <sheetData sheetId="2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tures_Swaps Breakout"/>
      <sheetName val="Summary"/>
      <sheetName val="Raw Data"/>
      <sheetName val="NYMEX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PTIONS"/>
      <sheetName val="SWAPS&amp;FUTUREs"/>
      <sheetName val="NYMEX"/>
      <sheetName val="Raw Data"/>
    </sheetNames>
    <sheetDataSet>
      <sheetData sheetId="0"/>
      <sheetData sheetId="1" refreshError="1"/>
      <sheetData sheetId="2" refreshError="1"/>
      <sheetData sheetId="3"/>
      <sheetData sheetId="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"/>
      <sheetName val="RevAlloc=&gt;"/>
      <sheetName val="4_RevAlloc"/>
      <sheetName val="Schedule 10"/>
      <sheetName val="5Sum=&gt;"/>
      <sheetName val="5_SumRates"/>
      <sheetName val="RateDesign=&gt;"/>
      <sheetName val="6P1_Index"/>
      <sheetName val="6P2_R1R2"/>
      <sheetName val="6P3_Blank"/>
      <sheetName val="6P3_R5_OLD"/>
      <sheetName val="6P3_HP"/>
      <sheetName val="6P3_HP_kW"/>
      <sheetName val="6P4_G1"/>
      <sheetName val="6P5_G2"/>
      <sheetName val="6P6_G2_EV_A"/>
      <sheetName val="6P7_G2_EV_B"/>
      <sheetName val="6P8_G2_EV_C"/>
      <sheetName val="6P9_G3"/>
      <sheetName val="6P10_G3_EV_A"/>
      <sheetName val="6P11_G3_EV_B"/>
      <sheetName val="6P12_G3_EV_C"/>
      <sheetName val="6P13_SL_Sum"/>
      <sheetName val="6P14_SL_S1"/>
      <sheetName val="6P18_SL_S3"/>
      <sheetName val="6P19_SL_S5"/>
      <sheetName val="6P20_SL_S6"/>
      <sheetName val="XX6P21_SL"/>
      <sheetName val="XXX_6P14-15_SL"/>
      <sheetName val="G3 Temp=&gt;"/>
      <sheetName val="Temp_6P6_G3_SamekWh"/>
      <sheetName val="Temp_6P6_G3ZerokWh"/>
      <sheetName val="Revenue"/>
      <sheetName val="6P17_SL_S2"/>
      <sheetName val="Inputs SL"/>
      <sheetName val="HVD=&gt;"/>
      <sheetName val="7_HVD"/>
    </sheetNames>
    <sheetDataSet>
      <sheetData sheetId="0">
        <row r="4">
          <cell r="C4" t="str">
            <v>Massachusetts Electric Company</v>
          </cell>
        </row>
        <row r="5">
          <cell r="C5" t="str">
            <v>Nantucket Electric Company</v>
          </cell>
        </row>
        <row r="6">
          <cell r="C6" t="str">
            <v>each d/b/a National Grid</v>
          </cell>
        </row>
        <row r="7">
          <cell r="C7" t="str">
            <v>D.P.U. 23-150</v>
          </cell>
        </row>
        <row r="9">
          <cell r="C9" t="str">
            <v>Exhibit NG-PP-4 (C)</v>
          </cell>
        </row>
        <row r="10">
          <cell r="C10" t="str">
            <v>Exhibit NG-PP-5 (C)</v>
          </cell>
        </row>
        <row r="11">
          <cell r="C11" t="str">
            <v>Exhibit NG-PP-6 (C)</v>
          </cell>
        </row>
        <row r="14">
          <cell r="C14" t="str">
            <v>Exhibit NG-RRP-5 (C)</v>
          </cell>
        </row>
        <row r="16">
          <cell r="C16">
            <v>45566</v>
          </cell>
        </row>
        <row r="18">
          <cell r="C18" t="str">
            <v>H.O. Tassone</v>
          </cell>
        </row>
        <row r="20">
          <cell r="C20" t="str">
            <v>Massachusetts Electric Company</v>
          </cell>
        </row>
        <row r="21">
          <cell r="C21" t="str">
            <v>Nantucket Electric Company</v>
          </cell>
        </row>
        <row r="23">
          <cell r="C23" t="str">
            <v>Massachusetts Electric Company and Nantucket Electric Company each d/b/a National Grid</v>
          </cell>
        </row>
      </sheetData>
      <sheetData sheetId="1"/>
      <sheetData sheetId="2">
        <row r="81">
          <cell r="D81">
            <v>670471683.06010211</v>
          </cell>
        </row>
      </sheetData>
      <sheetData sheetId="3"/>
      <sheetData sheetId="4"/>
      <sheetData sheetId="5"/>
      <sheetData sheetId="6"/>
      <sheetData sheetId="7">
        <row r="2">
          <cell r="H2" t="str">
            <v xml:space="preserve"> of 20</v>
          </cell>
        </row>
        <row r="5">
          <cell r="J5">
            <v>20</v>
          </cell>
        </row>
        <row r="14">
          <cell r="B14" t="str">
            <v>Rate Design</v>
          </cell>
          <cell r="E14" t="str">
            <v>Page 1 of 20</v>
          </cell>
          <cell r="F14">
            <v>1</v>
          </cell>
        </row>
        <row r="16">
          <cell r="B16" t="str">
            <v>Rate Design for Rate R-1 / R-2</v>
          </cell>
          <cell r="E16" t="str">
            <v>Page 2 of 20</v>
          </cell>
          <cell r="F16">
            <v>2</v>
          </cell>
        </row>
        <row r="18">
          <cell r="B18" t="str">
            <v>THIS PAGE LEFT BLANK</v>
          </cell>
          <cell r="E18" t="str">
            <v>Page 3 of 20</v>
          </cell>
          <cell r="F18">
            <v>3</v>
          </cell>
        </row>
        <row r="20">
          <cell r="B20" t="str">
            <v>Rate Design for Rate G-1</v>
          </cell>
          <cell r="E20" t="str">
            <v>Page 4 of 20</v>
          </cell>
          <cell r="F20">
            <v>4</v>
          </cell>
        </row>
        <row r="22">
          <cell r="B22" t="str">
            <v>Rate Design for Rate G-2 and G-2 EV Price Schedule D: LF &gt; 15%</v>
          </cell>
          <cell r="E22" t="str">
            <v>Page 5 of 20</v>
          </cell>
          <cell r="F22">
            <v>5</v>
          </cell>
        </row>
        <row r="24">
          <cell r="B24" t="str">
            <v xml:space="preserve">Rate Design for G-2 EV Price Schedule A: 0% ≤ LF ≤ 5% </v>
          </cell>
          <cell r="E24" t="str">
            <v>Page 6 of 20</v>
          </cell>
          <cell r="F24">
            <v>6</v>
          </cell>
        </row>
        <row r="26">
          <cell r="B26" t="str">
            <v>Rate Design for G-2 EV Price Schedule B: 5% &lt; LF ≤ 10%</v>
          </cell>
          <cell r="E26" t="str">
            <v>Page 7 of 20</v>
          </cell>
          <cell r="F26">
            <v>7</v>
          </cell>
        </row>
        <row r="28">
          <cell r="B28" t="str">
            <v>Rate Design for G-2 EV Price Schedule C: 10% &lt; LF ≤ 15%</v>
          </cell>
          <cell r="E28" t="str">
            <v>Page 8 of 20</v>
          </cell>
          <cell r="F28">
            <v>8</v>
          </cell>
        </row>
        <row r="30">
          <cell r="B30" t="str">
            <v>Rate Design for G-3 and Rate Design G-3 EV Price Schedule D: LF &gt; 15%</v>
          </cell>
          <cell r="E30" t="str">
            <v>Page 9 of 20</v>
          </cell>
          <cell r="F30">
            <v>9</v>
          </cell>
        </row>
        <row r="32">
          <cell r="B32" t="str">
            <v xml:space="preserve">Rate Design for G-3 EV Price Schedule A: 0% ≤ LF ≤ 5% </v>
          </cell>
          <cell r="E32" t="str">
            <v>Page 10 of 20</v>
          </cell>
          <cell r="F32">
            <v>10</v>
          </cell>
        </row>
        <row r="34">
          <cell r="B34" t="str">
            <v>Rate Design for G-3 EV Price Schedule B: 5% &lt; LF ≤ 10%</v>
          </cell>
          <cell r="E34" t="str">
            <v>Page 11 of 20</v>
          </cell>
          <cell r="F34">
            <v>11</v>
          </cell>
        </row>
        <row r="36">
          <cell r="B36" t="str">
            <v>Rate Design for G-3 EV Price Schedule C: 10% &lt; LF ≤ 15%</v>
          </cell>
          <cell r="E36" t="str">
            <v>Page 12 of 20</v>
          </cell>
          <cell r="F36">
            <v>12</v>
          </cell>
        </row>
        <row r="38">
          <cell r="B38" t="str">
            <v>Rate Design for Rate Street Lighting - Summary</v>
          </cell>
          <cell r="E38" t="str">
            <v>Page 13 of 20</v>
          </cell>
          <cell r="F38">
            <v>13</v>
          </cell>
        </row>
        <row r="40">
          <cell r="B40" t="str">
            <v>Streetlighting - Full Service (Rate S-1)- Part 1</v>
          </cell>
          <cell r="E40" t="str">
            <v>Page 14 of 20</v>
          </cell>
          <cell r="F40">
            <v>14</v>
          </cell>
        </row>
        <row r="41">
          <cell r="B41" t="str">
            <v>Streetlighting - Full Service (Rate S-1)- Part 2</v>
          </cell>
          <cell r="E41" t="str">
            <v>Page 15 of 20</v>
          </cell>
          <cell r="F41">
            <v>15</v>
          </cell>
        </row>
        <row r="42">
          <cell r="B42" t="str">
            <v>Streetlighting - Full Service (Rate S-1)- Part 3</v>
          </cell>
          <cell r="E42" t="str">
            <v>Page 16 of 20</v>
          </cell>
          <cell r="F42">
            <v>16</v>
          </cell>
        </row>
        <row r="44">
          <cell r="B44" t="str">
            <v>Streetlighting - Full Service (Rate S-2)</v>
          </cell>
          <cell r="E44" t="str">
            <v>Page 17 of 20</v>
          </cell>
          <cell r="F44">
            <v>17</v>
          </cell>
        </row>
        <row r="46">
          <cell r="B46" t="str">
            <v>Streetlighting - Full Service (Rate S-3)</v>
          </cell>
          <cell r="E46" t="str">
            <v>Page 18 of 20</v>
          </cell>
          <cell r="F46">
            <v>18</v>
          </cell>
        </row>
        <row r="48">
          <cell r="B48" t="str">
            <v>Streetlighting - Energy Only (Rate S-5)</v>
          </cell>
          <cell r="E48" t="str">
            <v>Page 19 of 20</v>
          </cell>
          <cell r="F48">
            <v>19</v>
          </cell>
        </row>
        <row r="50">
          <cell r="B50" t="str">
            <v>Streetlighting - Street and Area Decorative Lighting (S-6)</v>
          </cell>
          <cell r="E50" t="str">
            <v>Page 20 of 20</v>
          </cell>
          <cell r="F50">
            <v>20</v>
          </cell>
        </row>
        <row r="55">
          <cell r="B55" t="str">
            <v>Streetlighting Capital Tracker, Solar Cost Recovery and Smart Grid Cost Recovery Factors</v>
          </cell>
          <cell r="E55" t="str">
            <v>Page 21 of 20</v>
          </cell>
          <cell r="F55">
            <v>21</v>
          </cell>
        </row>
      </sheetData>
      <sheetData sheetId="8">
        <row r="19">
          <cell r="D19">
            <v>10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6">
          <cell r="D6">
            <v>14180780</v>
          </cell>
        </row>
      </sheetData>
      <sheetData sheetId="33"/>
      <sheetData sheetId="34">
        <row r="2">
          <cell r="B2" t="e">
            <v>#REF!</v>
          </cell>
        </row>
        <row r="3">
          <cell r="B3" t="e">
            <v>#REF!</v>
          </cell>
        </row>
        <row r="4">
          <cell r="B4" t="e">
            <v>#REF!</v>
          </cell>
        </row>
        <row r="10">
          <cell r="B10">
            <v>0.17779820432730034</v>
          </cell>
        </row>
        <row r="12">
          <cell r="B12">
            <v>-570.16665795445442</v>
          </cell>
        </row>
        <row r="15">
          <cell r="B15">
            <v>1.1777982043273003</v>
          </cell>
        </row>
      </sheetData>
      <sheetData sheetId="35"/>
      <sheetData sheetId="36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Entry (2)"/>
      <sheetName val="Dec 00 DUKE"/>
      <sheetName val="DEC 00 PGC"/>
      <sheetName val="VARIANCE"/>
      <sheetName val=" COST OF GAS"/>
      <sheetName val="AGT CAP REL"/>
      <sheetName val="Sheet1"/>
      <sheetName val="GLEntry"/>
      <sheetName val="TENNE SWING"/>
      <sheetName val="VALLEY"/>
      <sheetName val="VOLUMES"/>
      <sheetName val="oba history"/>
      <sheetName val="BLANK J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"/>
      <sheetName val="Start"/>
      <sheetName val="Revenue"/>
      <sheetName val="Co-Pays"/>
      <sheetName val="Expenses"/>
      <sheetName val="Projections"/>
      <sheetName val="Reports"/>
      <sheetName val="overview"/>
      <sheetName val="Table 1 - All"/>
      <sheetName val="Table 2 - Residential"/>
      <sheetName val="Table 3 - Low Income"/>
      <sheetName val="Table 4 - C I"/>
      <sheetName val="Table 5 - SL"/>
      <sheetName val="Single Acct Recon Lead Sheet"/>
      <sheetName val="IS"/>
      <sheetName val="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y"/>
      <sheetName val="Cassie"/>
      <sheetName val="Rich"/>
      <sheetName val="Patti"/>
      <sheetName val="Rashi"/>
      <sheetName val="Kristine"/>
      <sheetName val="Mike"/>
      <sheetName val="Planning"/>
      <sheetName val="Winter 07-08 Peakers"/>
      <sheetName val="Schedulers"/>
      <sheetName val="NYMEX"/>
      <sheetName val="Data"/>
      <sheetName val="NE"/>
      <sheetName val="Rich Kunz"/>
      <sheetName val="Mary Brolly"/>
      <sheetName val="Patti Hoeler"/>
      <sheetName val="Rashi Dahl"/>
      <sheetName val="AJ"/>
      <sheetName val="Steve McCauley"/>
      <sheetName val="NIMO"/>
      <sheetName val="Winter 08-09 Peakers"/>
      <sheetName val="Dave"/>
      <sheetName val="Sheet1"/>
      <sheetName val="Start"/>
      <sheetName val="Assumptions"/>
      <sheetName val=""/>
      <sheetName val="Winter_07-08_Peakers"/>
      <sheetName val="Rich_Kunz"/>
      <sheetName val="Mary_Brolly"/>
      <sheetName val="Patti_Hoeler"/>
      <sheetName val="Rashi_Dahl"/>
      <sheetName val="Steve_McCauley"/>
      <sheetName val="Winter_08-09_Peak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Read Me"/>
      <sheetName val="Comments"/>
      <sheetName val="Gen Inst"/>
      <sheetName val="Table"/>
      <sheetName val="Sheet1"/>
      <sheetName val="1"/>
      <sheetName val="2"/>
      <sheetName val="003004"/>
      <sheetName val="007008 "/>
      <sheetName val="9"/>
      <sheetName val="10"/>
      <sheetName val="11"/>
      <sheetName val="12"/>
      <sheetName val="13"/>
      <sheetName val="14"/>
      <sheetName val="15"/>
      <sheetName val="01617"/>
      <sheetName val=" 18"/>
      <sheetName val="19"/>
      <sheetName val="20"/>
      <sheetName val="21"/>
      <sheetName val="22"/>
      <sheetName val="23"/>
      <sheetName val=" 24"/>
      <sheetName val="Pg 25 "/>
      <sheetName val="2627"/>
      <sheetName val="2829"/>
      <sheetName val="30"/>
      <sheetName val="31"/>
      <sheetName val="32"/>
      <sheetName val="33"/>
      <sheetName val="4041"/>
      <sheetName val="42"/>
      <sheetName val="43"/>
      <sheetName val="4445"/>
      <sheetName val="46"/>
      <sheetName val="47"/>
      <sheetName val="6062"/>
      <sheetName val="63 "/>
      <sheetName val="64"/>
      <sheetName val="6566"/>
      <sheetName val="067"/>
      <sheetName val="068"/>
      <sheetName val="69"/>
      <sheetName val="7071"/>
      <sheetName val="7277"/>
      <sheetName val="7879"/>
      <sheetName val="79A "/>
      <sheetName val="80"/>
      <sheetName val="8181a"/>
      <sheetName val="82"/>
      <sheetName val="83 "/>
      <sheetName val=" 84"/>
      <sheetName val="84A"/>
      <sheetName val=" 84-1"/>
      <sheetName val=" 84-2"/>
      <sheetName val="85 "/>
      <sheetName val=" 85-1"/>
      <sheetName val="86"/>
      <sheetName val="8788"/>
      <sheetName val="8990"/>
      <sheetName val=" 89 Att"/>
      <sheetName val="9192"/>
      <sheetName val="93"/>
      <sheetName val="94"/>
      <sheetName val="Verify"/>
      <sheetName val="Index"/>
      <sheetName val="Book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#"/>
      <sheetName val="Points"/>
      <sheetName val="Fue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8181a"/>
      <sheetName val="Mar09"/>
      <sheetName val="Two Step Revenue Testing Master"/>
      <sheetName val="Data"/>
      <sheetName val="Area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RKSPREAD"/>
      <sheetName val="MARKET"/>
      <sheetName val="POSITION SUMMARY"/>
      <sheetName val="MTM"/>
      <sheetName val="PROFIT"/>
      <sheetName val="BASISOPTION"/>
      <sheetName val="BASISOPTGRID"/>
      <sheetName val="NYMEXOPTGRID"/>
      <sheetName val="COMPOSITE"/>
      <sheetName val="STORAGEDEMAND"/>
      <sheetName val="GAS"/>
      <sheetName val="IBS"/>
      <sheetName val="SPREAD_OPTIONS"/>
      <sheetName val="NYMEX_OPTIONS"/>
      <sheetName val="INDEX_TPORT"/>
      <sheetName val="TPORT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4 Case 2"/>
      <sheetName val="2004 case 5"/>
      <sheetName val="check"/>
      <sheetName val="Compare to 04 ep and Act"/>
      <sheetName val="IS"/>
      <sheetName val="CF"/>
      <sheetName val="BS"/>
      <sheetName val="P&amp;OPEB"/>
      <sheetName val="TAX"/>
      <sheetName val="Allocations"/>
      <sheetName val="PushDownDebt"/>
      <sheetName val="TAX STATUS &amp; PMT SCH"/>
      <sheetName val="TaxCalc"/>
      <sheetName val="summary"/>
      <sheetName val="Detail BS"/>
      <sheetName val="Revenues"/>
      <sheetName val="Synergies"/>
      <sheetName val="Depreciation"/>
      <sheetName val="Money Pool"/>
      <sheetName val="General Taxes"/>
      <sheetName val="Direct O&amp;M"/>
      <sheetName val="Direct Capital"/>
      <sheetName val="Misc Net"/>
      <sheetName val="Other Interest"/>
      <sheetName val="WC"/>
      <sheetName val="notes"/>
      <sheetName val="Compare to 03 ep and Act"/>
      <sheetName val="Working Capital"/>
      <sheetName val="Inc Tax"/>
      <sheetName val="Comparison_5yrs(LI)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Graphs"/>
      <sheetName val="Program Scaling Factors"/>
      <sheetName val="PrevQ_Derivative Inventory"/>
      <sheetName val="I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compcase7case1"/>
      <sheetName val="AndyIS"/>
      <sheetName val="Summary"/>
      <sheetName val="Consolidated IS"/>
      <sheetName val="Consolidated BS"/>
      <sheetName val="Consolidated CF"/>
      <sheetName val="IS Before Incr"/>
      <sheetName val="IS Incr"/>
      <sheetName val="Detailed BS"/>
      <sheetName val="Detailed CF"/>
      <sheetName val="Oracle "/>
      <sheetName val="co 23 alloc"/>
      <sheetName val="oracldetailbs"/>
      <sheetName val="oracledetis"/>
      <sheetName val="HYPBS"/>
      <sheetName val="hypis"/>
      <sheetName val="Dividends "/>
      <sheetName val="TAX"/>
      <sheetName val="TAX STATUS &amp; PMT SCH"/>
      <sheetName val="TaxCalc"/>
      <sheetName val="NonCashCharges"/>
      <sheetName val="FIT BL"/>
      <sheetName val="Deferred SIT"/>
      <sheetName val="P&amp;OPEB"/>
      <sheetName val="Net Revenues"/>
      <sheetName val="RCadj"/>
      <sheetName val="RCadj1"/>
      <sheetName val="Revenue check"/>
      <sheetName val="Other Revenues"/>
      <sheetName val="Inflationincrease"/>
      <sheetName val="Direct O&amp;M"/>
      <sheetName val="SYN"/>
      <sheetName val="CTA"/>
      <sheetName val="CTACap"/>
      <sheetName val="Direct Capital"/>
      <sheetName val="Allocations"/>
      <sheetName val="Environ details"/>
      <sheetName val="New Depreciation"/>
      <sheetName val="software"/>
      <sheetName val="Cost Sum Reserv"/>
      <sheetName val="Costsum"/>
      <sheetName val="jancapsof"/>
      <sheetName val="cost sum Jan"/>
      <sheetName val="costresjan"/>
      <sheetName val="Amortization"/>
      <sheetName val="PdwnDebt"/>
      <sheetName val="LTD Interest"/>
      <sheetName val="ST Financing"/>
      <sheetName val="OtherInterest"/>
      <sheetName val="Misc Net"/>
      <sheetName val="AR"/>
      <sheetName val="General Taxes"/>
      <sheetName val="CheckList&amp;Notes"/>
      <sheetName val="BS Trend Calculations"/>
      <sheetName val="NCAL"/>
      <sheetName val="WC"/>
      <sheetName val="Working Capital"/>
      <sheetName val="Assumptions"/>
      <sheetName val="Depreciation"/>
      <sheetName val="AR Working Capital"/>
      <sheetName val="AR History"/>
      <sheetName val="FIT Above"/>
      <sheetName val="Peri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Scorecard Inputs"/>
      <sheetName val="Nicor Aggregate"/>
      <sheetName val="Nicor Aggregate 2001"/>
      <sheetName val="ACTIVE"/>
      <sheetName val="NSS"/>
      <sheetName val="DSS"/>
      <sheetName val="S01"/>
      <sheetName val="STG 01-02"/>
      <sheetName val="NSS TRN 01-02"/>
      <sheetName val="Optimals"/>
      <sheetName val="COF-NSS"/>
      <sheetName val="COF-DSS"/>
      <sheetName val="COF-NSS STG"/>
      <sheetName val="NYMEX"/>
      <sheetName val="P&amp;L Summary (Master)"/>
      <sheetName val="Onsystem 01-02"/>
      <sheetName val="POA 01-02"/>
      <sheetName val="Pricing"/>
      <sheetName val="Module1"/>
      <sheetName val="Module2"/>
      <sheetName val="Module4"/>
      <sheetName val="Module3"/>
      <sheetName val="Module5"/>
      <sheetName val="Instructions"/>
      <sheetName val="General Taxes"/>
      <sheetName val="BS 6891"/>
      <sheetName val="Scorecard_Inputs"/>
      <sheetName val="Nicor_Aggregate"/>
      <sheetName val="Nicor_Aggregate_2001"/>
      <sheetName val="STG_01-02"/>
      <sheetName val="NSS_TRN_01-02"/>
      <sheetName val="COF-NSS_STG"/>
      <sheetName val="P&amp;L_Summary_(Master)"/>
      <sheetName val="Onsystem_01-02"/>
      <sheetName val="POA_01-02"/>
      <sheetName val="General_Taxes"/>
      <sheetName val="BS_689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ntucket"/>
      <sheetName val="171"/>
      <sheetName val="interest"/>
      <sheetName val="Basic-Default"/>
      <sheetName val="DTE"/>
      <sheetName val="Default Recon"/>
      <sheetName val="DTE Recon"/>
      <sheetName val="Module1"/>
      <sheetName val="Income Statement"/>
      <sheetName val="trans"/>
      <sheetName val="My Worksheet"/>
      <sheetName val="Drop Down Lists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Contents"/>
      <sheetName val="CY 2015 - SIP"/>
      <sheetName val="Book Depr"/>
      <sheetName val="Tax Depr"/>
      <sheetName val="O&amp;M Exp"/>
      <sheetName val="Cap Structure"/>
      <sheetName val="Macrs Rate Table"/>
      <sheetName val="Investment Tax Credit "/>
      <sheetName val="ITC Tax Effec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ctions"/>
      <sheetName val="Classify"/>
      <sheetName val="C_Supp Demand"/>
      <sheetName val="C_Supp Comm"/>
      <sheetName val="C_Supp Cust"/>
      <sheetName val="C_Stor Demand"/>
      <sheetName val="C_Stor Comm"/>
      <sheetName val="C_Stor Cust"/>
      <sheetName val="Tran Demand"/>
      <sheetName val="Tran Comm"/>
      <sheetName val="Tran Cust"/>
      <sheetName val="Dist Demand"/>
      <sheetName val="Dist Comm"/>
      <sheetName val="Dist Cust"/>
      <sheetName val="BILL_PP Demand"/>
      <sheetName val="BILL_PP Comm"/>
      <sheetName val="BILL_PP Cust"/>
      <sheetName val="CommPT Demand"/>
      <sheetName val="CommPT Comm"/>
      <sheetName val="CommPT Cust"/>
      <sheetName val="CommColl Demand"/>
      <sheetName val="CommColl Comm"/>
      <sheetName val="CommColl Cust"/>
      <sheetName val="Func8 Demand"/>
      <sheetName val="Func8 Comm"/>
      <sheetName val="Func8 Cust"/>
      <sheetName val="Total"/>
      <sheetName val="Quick List"/>
      <sheetName val="Factors"/>
      <sheetName val="Unit Cost"/>
      <sheetName val="Open"/>
      <sheetName val="Registry"/>
      <sheetName val="Specific Customer"/>
      <sheetName val="Verify"/>
      <sheetName val="LOG"/>
      <sheetName val="Input"/>
      <sheetName val="Contract Rat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Savings Proof"/>
      <sheetName val="COS p1"/>
      <sheetName val="O and M"/>
      <sheetName val="O and M Adjust"/>
      <sheetName val="Salary Split"/>
      <sheetName val="O&amp;MSalaries"/>
      <sheetName val="Health Care"/>
      <sheetName val="Group Ins"/>
      <sheetName val="Pensions"/>
      <sheetName val="FAS106"/>
      <sheetName val="SUMM VERO adj"/>
      <sheetName val="O&amp;M Attrition"/>
      <sheetName val="Cap Adds"/>
      <sheetName val="Depr Exp"/>
      <sheetName val="Net Salv"/>
      <sheetName val="Muni Taxes"/>
      <sheetName val="FICA"/>
      <sheetName val="Rate Base"/>
      <sheetName val="Plant In Svc"/>
      <sheetName val="Depr Res"/>
      <sheetName val="Return and Tax"/>
      <sheetName val="FIT"/>
      <sheetName val="Def Tax Expense"/>
      <sheetName val="unfunded"/>
      <sheetName val="Cap Struct"/>
      <sheetName val="RB Adjust"/>
      <sheetName val="Sheet17"/>
      <sheetName val="Sheet1"/>
      <sheetName val="Ratebase"/>
      <sheetName val="Def FIT"/>
      <sheetName val="Loss on  Dbt"/>
      <sheetName val="CWC"/>
      <sheetName val="Sheet18"/>
      <sheetName val="Alloc p1"/>
      <sheetName val="Alloc p2"/>
      <sheetName val="Alloc p3"/>
      <sheetName val="Alloc p4"/>
      <sheetName val="Alloc p5"/>
      <sheetName val="Alloc p6"/>
      <sheetName val="Alloc p7"/>
      <sheetName val="Alloc p8"/>
      <sheetName val="Plant Changes"/>
      <sheetName val="allocation 5 by ferc"/>
      <sheetName val="Mapping"/>
      <sheetName val="Total"/>
      <sheetName val="D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-SalesVol(NY)"/>
      <sheetName val="Graph-AvCust(NY)"/>
      <sheetName val="Graph-UsePerCust(NY)"/>
      <sheetName val="LI Contracts Data Inputs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ce to Forecast"/>
      <sheetName val="Forecast &amp; Plan Trace Summary"/>
      <sheetName val="Sheet1"/>
      <sheetName val="Statutory Structure - Unwind"/>
      <sheetName val="Statutory Structure - Cap Int"/>
      <sheetName val="Statutory Structure - Tot Int"/>
      <sheetName val="Analysis of effective rates"/>
      <sheetName val="Int Rec for Moodys"/>
      <sheetName val="Int Rec for JP"/>
      <sheetName val="P&amp;L Interest Breakdown"/>
      <sheetName val="Sheet3"/>
      <sheetName val="Int Model New PM 4% all yr infl"/>
      <sheetName val="Int Model FINAL"/>
      <sheetName val="Int Model FINAL Sens -1% "/>
      <sheetName val="Int Model FINAL Sens +1%"/>
      <sheetName val="US"/>
      <sheetName val="Int Model New PM adj 4% inf rev"/>
      <sheetName val="Opening Debt (Mar 07)"/>
      <sheetName val="Int Model New PM adj"/>
      <sheetName val="Other"/>
      <sheetName val="NGElec"/>
      <sheetName val="Int Model New"/>
      <sheetName val="Opening Debt - BS"/>
      <sheetName val="Int Model"/>
      <sheetName val="NG"/>
      <sheetName val="NGGas plc"/>
      <sheetName val="NGGas Holdings plc Consol"/>
      <sheetName val="NGGas Holding plc Standalone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OA vs Pk 07-08"/>
      <sheetName val="DOA vs Prior Month"/>
      <sheetName val="Forecast Summary"/>
      <sheetName val="Input Info and Rates"/>
      <sheetName val="Filed Tariff Sheets"/>
      <sheetName val="Pages 1, 3, 5"/>
      <sheetName val="Page 76"/>
      <sheetName val="Page 86 Peak"/>
      <sheetName val="Page 86 Off Peak"/>
      <sheetName val="Page 87 Off Peak"/>
      <sheetName val="Page 87 Peak"/>
      <sheetName val="Page 88"/>
      <sheetName val="Page 89"/>
      <sheetName val="Page 91"/>
      <sheetName val="Page 92"/>
      <sheetName val="Page 94"/>
      <sheetName val="Page 155"/>
      <sheetName val="Page 156"/>
      <sheetName val="Page 76 Redlined"/>
      <sheetName val="Page 86 Redlined"/>
      <sheetName val="Page 87 Redlined I"/>
      <sheetName val="Page 88 Redlined I"/>
      <sheetName val="Page 89 Redlined I"/>
      <sheetName val="Page 91 Redline I"/>
      <sheetName val="Page 92 Redline"/>
      <sheetName val="Page 94 Redline I"/>
      <sheetName val="Page 155 Redline I"/>
      <sheetName val="Page 156 Redline I"/>
      <sheetName val="PK Trigger"/>
      <sheetName val="OP Trigger"/>
      <sheetName val="Under or Over Collection"/>
      <sheetName val="Backup Check Page"/>
      <sheetName val="Trigger Analysis"/>
      <sheetName val="Changes"/>
      <sheetName val="Index"/>
      <sheetName val="Summary"/>
      <sheetName val="Schedule 1"/>
      <sheetName val="Schedule 2"/>
      <sheetName val="Schedule 3 PEAK"/>
      <sheetName val="Schedule 3 Off Peak"/>
      <sheetName val="Schedule 4"/>
      <sheetName val="Schedule 5A"/>
      <sheetName val="Schedule 5B"/>
      <sheetName val="Schedule 5C"/>
      <sheetName val="Schedule 6"/>
      <sheetName val="Schedule 7"/>
      <sheetName val="Schedule 7 Off Peak"/>
      <sheetName val="Sch 7 Nov-Mar 2010"/>
      <sheetName val="NYMEX"/>
      <sheetName val="Schedule 8"/>
      <sheetName val="Schedule 9"/>
      <sheetName val="PK 08-09 RECON"/>
      <sheetName val="PK 08-09 Recon Summary Pg4"/>
      <sheetName val="Schedule 10A p1-2"/>
      <sheetName val="Sched 10 Worksheet"/>
      <sheetName val="Schedule 10A p3"/>
      <sheetName val="Schedule 10B"/>
      <sheetName val="Schedule 11A-B"/>
      <sheetName val="Schedule 11C"/>
      <sheetName val="Schedule 11D (Poe)"/>
      <sheetName val="Schedule 12"/>
      <sheetName val="Schedule 13pk"/>
      <sheetName val="Schedule 14"/>
      <sheetName val="Pipeline Supplies"/>
      <sheetName val="Schedule 15"/>
      <sheetName val="Schedule 16"/>
      <sheetName val="Money Pool Rates (Bill Donoghue"/>
      <sheetName val="Schedule 17"/>
      <sheetName val="Tab 19 Page 94"/>
      <sheetName val="Tab 19 Page 92"/>
      <sheetName val="Tab 19 RLIAP Page 1"/>
      <sheetName val="Tab 19 RLIAP Page 2"/>
      <sheetName val="Tab 19  Conservation Charge CC"/>
      <sheetName val="Tab 19 CC page 2 "/>
      <sheetName val="Tab 19 CC page 3"/>
      <sheetName val="Tab 19 CC page 4"/>
      <sheetName val="Tab 19 CC page 5"/>
      <sheetName val="Tab 19 CC Page 6"/>
      <sheetName val="Tab 19 EE Page 1 (May Lissa)"/>
      <sheetName val="Tab 19 EE page 2 (May Lissa)"/>
      <sheetName val="Tab 19 EE page 3 (May Lissa)"/>
      <sheetName val="Tab 19 EE page 4 budget (EE Grp"/>
      <sheetName val="Ta 19 EE page 5 budget(EE grp)"/>
      <sheetName val="Tab 19 EE pg 6 Incentive (EEGrp"/>
      <sheetName val="Worksheet EE Therm (May Lissa) "/>
      <sheetName val="Tab 20 Page 88 "/>
      <sheetName val="Tab 21 Page 155"/>
      <sheetName val="Tab 21 Bal Charge p1 ( Poe)"/>
      <sheetName val="Tab 21 Balance Charge p2 (Poe)"/>
      <sheetName val="Tab 21 Bal Charge P3-P6 (Poe)"/>
      <sheetName val="Tab 21 Peak Demand Rate"/>
      <sheetName val="Tab21 Attach A"/>
      <sheetName val="Tab 21 Attach B"/>
      <sheetName val="Tab 22 Page 156"/>
      <sheetName val="Tab 22 P1 (May Lissa)"/>
      <sheetName val="Tab 22 p2 (May Lissa)"/>
      <sheetName val="Tab 22 p3 (May Lissa)"/>
      <sheetName val="Tab 22 p4-6 (May Lissa)"/>
      <sheetName val="Tab 22 Worksheet (May Lissa)"/>
      <sheetName val=" Tab  23 FPO"/>
      <sheetName val="Tab 24 SHORT TERM DEBT LIMITS"/>
      <sheetName val="Short Term Backup (Leary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 refreshError="1"/>
      <sheetData sheetId="65"/>
      <sheetData sheetId="66"/>
      <sheetData sheetId="67" refreshError="1"/>
      <sheetData sheetId="68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_FY11_V6(R2)_w.GrossUB"/>
      <sheetName val="LI_FY11_V6(R2)_w.NetUB"/>
      <sheetName val="Comparison_5yrs(LI)"/>
      <sheetName val="Mo_Thru_Put_2"/>
      <sheetName val="Summary"/>
      <sheetName val="LI_FY11_V6(R2)_w_GrossUB"/>
      <sheetName val="LI_FY11_V6(R2)_w_NetUB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Y Chart 02-03"/>
      <sheetName val="LI Chart 02-03"/>
      <sheetName val="NY Chart 02-04"/>
      <sheetName val="LI Chart 02-04"/>
      <sheetName val="KEDNY Data"/>
      <sheetName val="Sheet1"/>
      <sheetName val="KEDLI Data"/>
      <sheetName val="Nov 02"/>
      <sheetName val="Dec 02"/>
      <sheetName val="Jan 03"/>
      <sheetName val="Feb 03"/>
      <sheetName val="Mar 03"/>
      <sheetName val="Apr 03"/>
      <sheetName val="May 03"/>
      <sheetName val="Jun 03"/>
      <sheetName val="Jul 03"/>
      <sheetName val="Aug 03"/>
      <sheetName val="KEDNY July Data"/>
      <sheetName val="KEDLI July Data"/>
      <sheetName val="Chart1"/>
      <sheetName val="Chart2"/>
      <sheetName val="Comparison_5yrs(LI)"/>
      <sheetName val="Tax"/>
      <sheetName val="report"/>
      <sheetName val="#REF!#REF! 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mand"/>
      <sheetName val="NG Commodity"/>
      <sheetName val="Storage"/>
      <sheetName val="LNG"/>
      <sheetName val="PivotTable"/>
      <sheetName val="Supplier"/>
      <sheetName val="725"/>
      <sheetName val="726"/>
      <sheetName val="Nov 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 Contract Info DELETE"/>
      <sheetName val="CanadianMarkBasket ProGas,PMark"/>
      <sheetName val="Canadian Market Basket AEC"/>
      <sheetName val="CGM-NY Sterling KEPCO"/>
      <sheetName val="Tariff Links"/>
      <sheetName val="NY City Gate Memo"/>
      <sheetName val="LI City Gate Memo"/>
      <sheetName val="NY Contracts Data Inputs"/>
      <sheetName val="LI Contracts Data Inputs"/>
      <sheetName val="NY Demand $"/>
      <sheetName val="LI Demand $"/>
      <sheetName val="Calc NY Iroq RTS"/>
      <sheetName val="Calc NY Landfill, BNY"/>
      <sheetName val="Calc NY Transco FT"/>
      <sheetName val="Calc NY Tenn FT-A"/>
      <sheetName val="Calc NY TETCO CDS"/>
      <sheetName val="Calc LI Iroq RTS"/>
      <sheetName val="Calc LI Transco FT"/>
      <sheetName val="Calc LI Tenn FT-A"/>
      <sheetName val="Calc LI TETCO CDS"/>
      <sheetName val="Published Gas Costs"/>
      <sheetName val="Pipeline Tariff Rates_Dominion"/>
      <sheetName val="Pipeline Tariff Rates_Equitrans"/>
      <sheetName val="Pipeline Tariff Rates_Hattiesbg"/>
      <sheetName val="Pipeline Tariff Rates_Honeoye"/>
      <sheetName val="Pipeline Tariff Rates_Iroquois"/>
      <sheetName val="Pipeline Tariff Rates_Tennessee"/>
      <sheetName val="Pipeline Tariff Rates_Tetco"/>
      <sheetName val="Pipeline Tariff Rates_Texas Gas"/>
      <sheetName val="Pipeline Tariff Rates_Transco"/>
      <sheetName val="CGM-NY Dominion Restructuring"/>
      <sheetName val="Old CGM-NY Tenn, Iroquois"/>
      <sheetName val="NY Firm Gas Purchase Contracts"/>
      <sheetName val="LI Firm Gas Purchase Contracts"/>
      <sheetName val="Pipeline and Storage Capacity"/>
      <sheetName val="Lookup Tables, Misc."/>
      <sheetName val="NY Monthly Set-up"/>
      <sheetName val="SC16 Unbundling Costs"/>
      <sheetName val="RDM Unbilled Estim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Y2002 Actual"/>
      <sheetName val="FY2003Forecast"/>
      <sheetName val="FY2004Forecast"/>
      <sheetName val="FY2005Forecast"/>
      <sheetName val="FY2006Forecast"/>
      <sheetName val="FY2007Forecast"/>
      <sheetName val="FY2008Forecast"/>
      <sheetName val="Inflation factors"/>
      <sheetName val="T&amp;D%split"/>
      <sheetName val="T&amp;D$allocation"/>
      <sheetName val="Variables"/>
      <sheetName val="Type Code Map Table"/>
      <sheetName val="Lookup Tables, Misc."/>
      <sheetName val="PeakDay"/>
      <sheetName val="HC Summ"/>
      <sheetName val="NY Statement 1A,1B"/>
      <sheetName val="CY2002_Actual"/>
      <sheetName val="Inflation_factors"/>
      <sheetName val="Type_Code_Map_Table"/>
      <sheetName val="Lookup_Tables,_Misc_"/>
      <sheetName val="PositionIDs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 Work Plan Summary"/>
      <sheetName val="Reliability Plan"/>
      <sheetName val="Reliability Change Tracking"/>
      <sheetName val="NE Unit Costs"/>
      <sheetName val="Spending Summary By Year"/>
      <sheetName val="Spending Summary By Legacy Co."/>
      <sheetName val="Spending Summary By State"/>
      <sheetName val="MA Rate Case"/>
      <sheetName val="Regulator St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ne 03 vs Sep 09"/>
      <sheetName val="Increase Components"/>
      <sheetName val="Savings Proof"/>
      <sheetName val="Pending"/>
      <sheetName val="SchList"/>
      <sheetName val="Changes"/>
      <sheetName val="PF Inc &amp; Incr"/>
      <sheetName val="Known Oper Exp Adjust"/>
      <sheetName val="IFA OtherExp"/>
      <sheetName val="PF Oper Exp Adj - O&amp;M"/>
      <sheetName val="PF Oper Exp Adj - Other"/>
      <sheetName val="Labor_NECO"/>
      <sheetName val="Labor NGSC"/>
      <sheetName val="Labor KSC"/>
      <sheetName val="Health Care"/>
      <sheetName val="Group Ins"/>
      <sheetName val="Pensions"/>
      <sheetName val="FAS106"/>
      <sheetName val="Empl Thrift"/>
      <sheetName val="IS Lease"/>
      <sheetName val="FacilRent"/>
      <sheetName val="MSR"/>
      <sheetName val="CAA Adj"/>
      <sheetName val="Postage"/>
      <sheetName val="Rate Case Exp"/>
      <sheetName val="Inflation"/>
      <sheetName val="SeasonEmp"/>
      <sheetName val="Uncoll MitPlan"/>
      <sheetName val="EconDev"/>
      <sheetName val="Veg Mgmt"/>
      <sheetName val="Insp &amp; Maint"/>
      <sheetName val="Uncollectible (2)"/>
      <sheetName val="Uncollectible"/>
      <sheetName val="Muni Taxes"/>
      <sheetName val="Payroll Tax"/>
      <sheetName val="Depr Exp (2)"/>
      <sheetName val="FIT"/>
      <sheetName val="Rate Base"/>
      <sheetName val="TY RB Dist"/>
      <sheetName val="TY RB IFA"/>
      <sheetName val="TY RB Combine"/>
      <sheetName val="Test Year Rate Base Distibu (2)"/>
      <sheetName val="Plant in Service Adj (2)"/>
      <sheetName val="Plant Adj"/>
      <sheetName val="Depr Res"/>
      <sheetName val="Depr Exp"/>
      <sheetName val="RB Adjust"/>
      <sheetName val="ADIT"/>
      <sheetName val="CWC"/>
      <sheetName val="Cap Struct"/>
      <sheetName val="CPIU Monthly"/>
      <sheetName val="Balance Sheet 2009"/>
      <sheetName val="2009 Income Statement"/>
      <sheetName val="Revenue"/>
      <sheetName val="Expenses"/>
      <sheetName val="Other O&amp;M"/>
      <sheetName val="Rate Base Detail Input"/>
      <sheetName val="Inflation Data - New"/>
      <sheetName val="Detail 101 &amp; 106"/>
      <sheetName val="Balance Sheet"/>
      <sheetName val="Inflation Adjustment"/>
      <sheetName val="Inflation Data - Old"/>
      <sheetName val="Depreciation"/>
      <sheetName val="Income Statement"/>
      <sheetName val="RY S&amp;W Adj - Trans Portion"/>
      <sheetName val="Inflation Adj - Trans Salaries"/>
      <sheetName val="COSS Input"/>
      <sheetName val="COSS Plt Devel"/>
      <sheetName val="COSS Exp Dev"/>
      <sheetName val="Start"/>
      <sheetName val="Reliability Change Trackin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/>
      <sheetData sheetId="69" refreshError="1"/>
      <sheetData sheetId="7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(w.AddedLoad)"/>
      <sheetName val="Input"/>
      <sheetName val="Rate1A"/>
      <sheetName val="Rate1A(AddedLoad)"/>
      <sheetName val="RateT1A"/>
      <sheetName val="RateT1A(AddedLoad)"/>
      <sheetName val="Rate1B"/>
      <sheetName val="Rate1B(AddedLoad)"/>
      <sheetName val="RateT1B"/>
      <sheetName val="RateT1B(AddedLoad)"/>
      <sheetName val="Rate2-1"/>
      <sheetName val="Rate2-1(AddedLoad)"/>
      <sheetName val="RateT2-1"/>
      <sheetName val="RateT2-1(AddedLoad)"/>
      <sheetName val="Rate2-2"/>
      <sheetName val="Rate2-2(AddedLoad)"/>
      <sheetName val="RateT2-2"/>
      <sheetName val="RateT2-2(AddedLoad)"/>
      <sheetName val="Rate3"/>
      <sheetName val="RateT3"/>
      <sheetName val="RateT3(Switching)"/>
      <sheetName val="Rate4A"/>
      <sheetName val="RateT4A"/>
      <sheetName val="Rate4B"/>
      <sheetName val="RateT4B"/>
      <sheetName val="Rate7"/>
      <sheetName val="RateT7"/>
      <sheetName val="Rate14(CNG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1F1E-FA6A-4A81-A6CB-C98881BD1E28}">
  <sheetPr transitionEntry="1" codeName="Sheet14"/>
  <dimension ref="A1:R90"/>
  <sheetViews>
    <sheetView showGridLines="0" tabSelected="1" showOutlineSymbols="0" zoomScale="120" zoomScaleNormal="120" zoomScaleSheetLayoutView="120" workbookViewId="0">
      <selection activeCell="A11" sqref="A11:E11"/>
    </sheetView>
  </sheetViews>
  <sheetFormatPr defaultColWidth="9.69140625" defaultRowHeight="15" customHeight="1" x14ac:dyDescent="0.35"/>
  <cols>
    <col min="1" max="1" width="6.84375" style="1" customWidth="1"/>
    <col min="2" max="2" width="32.53515625" style="1" customWidth="1"/>
    <col min="3" max="5" width="15.765625" style="1" customWidth="1"/>
    <col min="6" max="6" width="10.765625" style="1" customWidth="1"/>
    <col min="7" max="7" width="13.84375" style="1" customWidth="1"/>
    <col min="8" max="8" width="11.4609375" style="1" customWidth="1"/>
    <col min="9" max="9" width="12.23046875" style="1" bestFit="1" customWidth="1"/>
    <col min="10" max="10" width="12" style="1" bestFit="1" customWidth="1"/>
    <col min="11" max="11" width="12.765625" style="1" bestFit="1" customWidth="1"/>
    <col min="12" max="12" width="10.69140625" style="1" customWidth="1"/>
    <col min="13" max="13" width="9.69140625" style="1" customWidth="1"/>
    <col min="14" max="14" width="10.84375" style="1" customWidth="1"/>
    <col min="15" max="15" width="9.69140625" style="1" customWidth="1"/>
    <col min="16" max="16" width="11.3046875" style="1" customWidth="1"/>
    <col min="17" max="17" width="9.69140625" style="1" customWidth="1"/>
    <col min="18" max="18" width="12.84375" style="1" customWidth="1"/>
    <col min="19" max="24" width="9.69140625" style="1" customWidth="1"/>
    <col min="25" max="25" width="13.53515625" style="1" customWidth="1"/>
    <col min="26" max="16384" width="9.69140625" style="1"/>
  </cols>
  <sheetData>
    <row r="1" spans="1:12" ht="15" customHeight="1" x14ac:dyDescent="0.35">
      <c r="E1" s="2" t="s">
        <v>0</v>
      </c>
      <c r="H1" s="3"/>
    </row>
    <row r="2" spans="1:12" ht="15" customHeight="1" x14ac:dyDescent="0.35">
      <c r="E2" s="2" t="str">
        <f>rTitle2</f>
        <v>Nantucket Electric Company</v>
      </c>
    </row>
    <row r="3" spans="1:12" ht="15" customHeight="1" x14ac:dyDescent="0.35">
      <c r="E3" s="2" t="str">
        <f>rTitle3</f>
        <v>each d/b/a National Grid</v>
      </c>
    </row>
    <row r="4" spans="1:12" ht="15" customHeight="1" x14ac:dyDescent="0.35">
      <c r="E4" s="4" t="str">
        <f>rDocket</f>
        <v>D.P.U. 23-150</v>
      </c>
    </row>
    <row r="5" spans="1:12" ht="15" customHeight="1" x14ac:dyDescent="0.35">
      <c r="E5" s="4" t="s">
        <v>1</v>
      </c>
    </row>
    <row r="6" spans="1:12" ht="15" customHeight="1" x14ac:dyDescent="0.35">
      <c r="E6" s="2" t="s">
        <v>2</v>
      </c>
    </row>
    <row r="7" spans="1:12" ht="15" customHeight="1" x14ac:dyDescent="0.35">
      <c r="B7"/>
      <c r="E7" s="2" t="s">
        <v>3</v>
      </c>
      <c r="G7" s="5"/>
    </row>
    <row r="8" spans="1:12" ht="15" customHeight="1" x14ac:dyDescent="0.35">
      <c r="E8" s="6" t="s">
        <v>4</v>
      </c>
    </row>
    <row r="9" spans="1:12" ht="15" customHeight="1" x14ac:dyDescent="0.35">
      <c r="A9" s="113" t="str">
        <f>rMECO</f>
        <v>Massachusetts Electric Company</v>
      </c>
      <c r="B9" s="113"/>
      <c r="C9" s="113"/>
      <c r="D9" s="113"/>
      <c r="E9" s="113"/>
      <c r="F9" s="7"/>
    </row>
    <row r="10" spans="1:12" ht="15" customHeight="1" x14ac:dyDescent="0.35">
      <c r="A10" s="113" t="str">
        <f>rNECO</f>
        <v>Nantucket Electric Company</v>
      </c>
      <c r="B10" s="113"/>
      <c r="C10" s="113"/>
      <c r="D10" s="113"/>
      <c r="E10" s="113"/>
      <c r="F10" s="8"/>
      <c r="G10" s="9"/>
      <c r="H10" s="9"/>
      <c r="I10" s="9"/>
      <c r="J10" s="9"/>
      <c r="K10" s="9"/>
      <c r="L10" s="9"/>
    </row>
    <row r="11" spans="1:12" ht="15" customHeight="1" x14ac:dyDescent="0.35">
      <c r="A11" s="114" t="s">
        <v>152</v>
      </c>
      <c r="B11" s="114"/>
      <c r="C11" s="114"/>
      <c r="D11" s="114"/>
      <c r="E11" s="114"/>
      <c r="F11" s="7"/>
      <c r="G11" s="9"/>
      <c r="H11" s="115"/>
      <c r="I11" s="115"/>
      <c r="J11" s="115"/>
      <c r="K11" s="115"/>
      <c r="L11" s="9"/>
    </row>
    <row r="12" spans="1:12" ht="15" customHeight="1" x14ac:dyDescent="0.35">
      <c r="A12" s="10"/>
      <c r="B12" s="10"/>
      <c r="C12" s="10"/>
      <c r="D12" s="10"/>
      <c r="E12" s="10"/>
      <c r="F12" s="7"/>
      <c r="G12" s="9"/>
      <c r="H12" s="11"/>
      <c r="I12" s="11"/>
      <c r="J12" s="11"/>
      <c r="K12" s="11"/>
      <c r="L12" s="9"/>
    </row>
    <row r="13" spans="1:12" ht="15" customHeight="1" x14ac:dyDescent="0.35">
      <c r="A13" s="12"/>
      <c r="B13" s="10"/>
      <c r="C13" s="13" t="s">
        <v>5</v>
      </c>
      <c r="D13" s="13" t="s">
        <v>6</v>
      </c>
      <c r="E13" s="13" t="s">
        <v>7</v>
      </c>
      <c r="F13" s="12"/>
      <c r="G13" s="14"/>
      <c r="H13" s="12"/>
      <c r="I13" s="12"/>
      <c r="J13" s="12"/>
      <c r="K13" s="12"/>
      <c r="L13" s="12"/>
    </row>
    <row r="14" spans="1:12" ht="15" customHeight="1" x14ac:dyDescent="0.35">
      <c r="A14" s="12"/>
      <c r="B14" s="7"/>
      <c r="C14" s="15" t="s">
        <v>8</v>
      </c>
      <c r="D14" s="15" t="s">
        <v>9</v>
      </c>
      <c r="E14" s="15" t="s">
        <v>10</v>
      </c>
      <c r="F14" s="15"/>
      <c r="G14" s="14"/>
      <c r="H14" s="16"/>
      <c r="I14" s="12"/>
      <c r="J14" s="12"/>
      <c r="K14" s="12"/>
      <c r="L14" s="12"/>
    </row>
    <row r="15" spans="1:12" ht="15" customHeight="1" x14ac:dyDescent="0.35">
      <c r="A15" s="12"/>
      <c r="B15" s="7"/>
      <c r="C15" s="15"/>
      <c r="D15" s="15"/>
      <c r="E15" s="15"/>
      <c r="F15" s="15"/>
      <c r="G15" s="14"/>
      <c r="H15" s="16"/>
      <c r="I15" s="12"/>
      <c r="J15" s="12"/>
      <c r="K15" s="12"/>
      <c r="L15" s="12"/>
    </row>
    <row r="16" spans="1:12" ht="15" customHeight="1" thickBot="1" x14ac:dyDescent="0.4">
      <c r="A16" s="17">
        <v>-1</v>
      </c>
      <c r="B16" s="7" t="s">
        <v>11</v>
      </c>
      <c r="C16" s="2"/>
      <c r="D16" s="2"/>
      <c r="E16" s="18">
        <v>672818120.47861218</v>
      </c>
      <c r="G16" s="7"/>
      <c r="H16" s="19"/>
      <c r="I16" s="7"/>
      <c r="J16" s="7"/>
      <c r="K16" s="7"/>
      <c r="L16" s="7"/>
    </row>
    <row r="17" spans="1:18" ht="15" customHeight="1" thickTop="1" x14ac:dyDescent="0.35">
      <c r="A17" s="17"/>
      <c r="B17" s="7"/>
      <c r="C17" s="2"/>
      <c r="D17" s="2"/>
      <c r="E17" s="20"/>
      <c r="F17" s="7"/>
      <c r="G17" s="7"/>
    </row>
    <row r="18" spans="1:18" ht="15" customHeight="1" x14ac:dyDescent="0.35">
      <c r="A18" s="17"/>
      <c r="B18" s="21" t="s">
        <v>12</v>
      </c>
      <c r="C18" s="2"/>
      <c r="D18" s="2"/>
      <c r="E18" s="20"/>
      <c r="F18" s="7"/>
      <c r="G18" s="7"/>
    </row>
    <row r="19" spans="1:18" ht="15" customHeight="1" x14ac:dyDescent="0.35">
      <c r="A19" s="17">
        <f>A16-1</f>
        <v>-2</v>
      </c>
      <c r="B19" s="7" t="s">
        <v>13</v>
      </c>
      <c r="C19" s="22">
        <v>14180780</v>
      </c>
      <c r="D19" s="23">
        <v>10</v>
      </c>
      <c r="E19" s="20">
        <f>C19*D19</f>
        <v>141807800</v>
      </c>
      <c r="F19" s="7"/>
      <c r="G19" s="24"/>
      <c r="H19" s="22"/>
    </row>
    <row r="20" spans="1:18" ht="15" customHeight="1" x14ac:dyDescent="0.35">
      <c r="A20" s="17"/>
      <c r="C20" s="2"/>
      <c r="D20" s="2"/>
      <c r="E20" s="25"/>
      <c r="G20" s="23"/>
      <c r="H20" s="23"/>
      <c r="P20" s="7"/>
      <c r="R20" s="26"/>
    </row>
    <row r="21" spans="1:18" ht="15" customHeight="1" x14ac:dyDescent="0.35">
      <c r="A21" s="17"/>
      <c r="B21" s="21"/>
      <c r="C21" s="22"/>
      <c r="D21" s="108"/>
      <c r="E21" s="20"/>
      <c r="G21" s="7"/>
      <c r="I21" s="27" t="s">
        <v>14</v>
      </c>
      <c r="J21" s="27" t="s">
        <v>15</v>
      </c>
      <c r="P21" s="7"/>
      <c r="R21" s="26"/>
    </row>
    <row r="22" spans="1:18" ht="15" customHeight="1" x14ac:dyDescent="0.35">
      <c r="A22" s="17">
        <f>A19-1</f>
        <v>-3</v>
      </c>
      <c r="B22" s="1" t="s">
        <v>16</v>
      </c>
      <c r="C22" s="22">
        <f>I22*2.8</f>
        <v>10866946722.98332</v>
      </c>
      <c r="D22" s="28">
        <f>TRUNC(J22/C22,5)</f>
        <v>2.3369999999999998E-2</v>
      </c>
      <c r="E22" s="20">
        <f>C22*D22</f>
        <v>253960544.91612017</v>
      </c>
      <c r="F22" s="29"/>
      <c r="G22" s="7"/>
      <c r="I22" s="22">
        <v>3881052401.0654716</v>
      </c>
      <c r="J22" s="20">
        <f>I22*D23</f>
        <v>254053690.17374578</v>
      </c>
      <c r="K22" s="57"/>
      <c r="P22" s="7"/>
      <c r="R22" s="30"/>
    </row>
    <row r="23" spans="1:18" ht="15" customHeight="1" x14ac:dyDescent="0.35">
      <c r="A23" s="17">
        <f>A22-1</f>
        <v>-4</v>
      </c>
      <c r="B23" s="1" t="s">
        <v>17</v>
      </c>
      <c r="C23" s="22">
        <f>I23</f>
        <v>4229697814.2206492</v>
      </c>
      <c r="D23" s="28">
        <v>6.5460000000000004E-2</v>
      </c>
      <c r="E23" s="20">
        <f>C23*D23</f>
        <v>276876018.91888374</v>
      </c>
      <c r="F23" s="7"/>
      <c r="G23" s="31"/>
      <c r="H23" s="32"/>
      <c r="I23" s="22">
        <v>4229697814.2206492</v>
      </c>
      <c r="J23" s="20">
        <f>I23*D23</f>
        <v>276876018.91888374</v>
      </c>
      <c r="K23" s="57"/>
      <c r="P23" s="33"/>
      <c r="R23" s="34"/>
    </row>
    <row r="24" spans="1:18" ht="15" customHeight="1" thickBot="1" x14ac:dyDescent="0.4">
      <c r="A24" s="17">
        <f>A23-1</f>
        <v>-5</v>
      </c>
      <c r="B24" s="1" t="s">
        <v>18</v>
      </c>
      <c r="C24" s="6"/>
      <c r="E24" s="35">
        <f>SUM(E19:E23)</f>
        <v>672644363.83500385</v>
      </c>
      <c r="F24" s="36"/>
      <c r="G24" s="31"/>
      <c r="H24" s="36"/>
      <c r="I24" s="37">
        <f>SUM(I22:I23)</f>
        <v>8110750215.2861214</v>
      </c>
      <c r="J24" s="37">
        <f>SUM(J22:J23)</f>
        <v>530929709.09262955</v>
      </c>
      <c r="K24" s="36"/>
      <c r="L24" s="36"/>
      <c r="Q24" s="19"/>
    </row>
    <row r="25" spans="1:18" ht="15" customHeight="1" thickTop="1" x14ac:dyDescent="0.35">
      <c r="A25" s="17"/>
      <c r="E25" s="7"/>
      <c r="H25" s="38"/>
      <c r="J25" s="39"/>
      <c r="K25" s="39"/>
      <c r="L25" s="7"/>
      <c r="P25" s="19"/>
    </row>
    <row r="26" spans="1:18" ht="15" customHeight="1" x14ac:dyDescent="0.35">
      <c r="A26" s="17">
        <f>A24-1</f>
        <v>-6</v>
      </c>
      <c r="B26" s="1" t="s">
        <v>19</v>
      </c>
      <c r="C26" s="40"/>
      <c r="D26" s="40"/>
      <c r="E26" s="41">
        <f>E24-E16</f>
        <v>-173756.64360833168</v>
      </c>
      <c r="F26" s="34"/>
      <c r="H26" s="38"/>
      <c r="J26" s="42"/>
      <c r="K26" s="38"/>
      <c r="L26" s="7"/>
      <c r="P26" s="19"/>
    </row>
    <row r="27" spans="1:18" ht="15" customHeight="1" x14ac:dyDescent="0.35">
      <c r="A27" s="43"/>
      <c r="C27" s="40"/>
      <c r="D27" s="40"/>
      <c r="E27" s="41"/>
      <c r="F27" s="34"/>
      <c r="H27" s="38"/>
      <c r="J27" s="42"/>
      <c r="K27" s="38"/>
      <c r="L27" s="7"/>
      <c r="P27" s="19"/>
    </row>
    <row r="28" spans="1:18" ht="15" customHeight="1" x14ac:dyDescent="0.35">
      <c r="A28" s="10"/>
      <c r="C28" s="40"/>
      <c r="D28" s="40"/>
      <c r="E28" s="7"/>
      <c r="F28" s="34"/>
      <c r="H28" s="38"/>
      <c r="I28" s="44"/>
      <c r="J28" s="44"/>
      <c r="K28" s="44"/>
      <c r="L28" s="7"/>
      <c r="P28" s="19"/>
    </row>
    <row r="29" spans="1:18" ht="15" customHeight="1" x14ac:dyDescent="0.35">
      <c r="A29" s="45">
        <f>A16</f>
        <v>-1</v>
      </c>
      <c r="B29" s="1" t="s">
        <v>20</v>
      </c>
      <c r="C29" s="40"/>
      <c r="D29" s="40"/>
      <c r="E29" s="7"/>
      <c r="F29" s="34"/>
      <c r="H29" s="38"/>
      <c r="I29" s="44"/>
      <c r="J29" s="59"/>
      <c r="K29" s="44"/>
      <c r="L29" s="58"/>
      <c r="M29" s="56"/>
      <c r="N29" s="56"/>
      <c r="O29" s="56"/>
      <c r="P29" s="19"/>
    </row>
    <row r="30" spans="1:18" ht="15" customHeight="1" x14ac:dyDescent="0.35">
      <c r="A30" s="46" t="s">
        <v>21</v>
      </c>
      <c r="B30" s="1" t="s">
        <v>22</v>
      </c>
      <c r="C30" s="40"/>
      <c r="D30" s="40"/>
      <c r="E30" s="7"/>
      <c r="F30" s="34"/>
      <c r="H30" s="38"/>
      <c r="I30" s="44"/>
      <c r="J30" s="44"/>
      <c r="K30" s="44"/>
      <c r="L30" s="56"/>
      <c r="M30" s="56"/>
      <c r="N30" s="56"/>
      <c r="O30" s="56"/>
      <c r="P30" s="19"/>
    </row>
    <row r="31" spans="1:18" ht="15.5" x14ac:dyDescent="0.35">
      <c r="A31" s="46" t="s">
        <v>23</v>
      </c>
      <c r="B31" s="1" t="s">
        <v>24</v>
      </c>
      <c r="C31" s="40"/>
      <c r="D31" s="40"/>
      <c r="E31" s="7"/>
      <c r="F31" s="34"/>
      <c r="H31" s="38"/>
      <c r="I31" s="44"/>
      <c r="J31" s="44"/>
      <c r="K31" s="44"/>
      <c r="L31" s="56"/>
      <c r="M31" s="111"/>
      <c r="N31" s="111"/>
      <c r="O31" s="111"/>
      <c r="P31" s="19"/>
    </row>
    <row r="32" spans="1:18" ht="15" customHeight="1" x14ac:dyDescent="0.35">
      <c r="A32" s="46" t="s">
        <v>25</v>
      </c>
      <c r="B32" s="112" t="s">
        <v>26</v>
      </c>
      <c r="C32" s="112"/>
      <c r="D32" s="112"/>
      <c r="E32" s="112"/>
      <c r="F32" s="34"/>
      <c r="H32" s="38"/>
      <c r="I32" s="44"/>
      <c r="J32" s="44"/>
      <c r="K32" s="44"/>
      <c r="L32" s="56"/>
      <c r="M32" s="56"/>
      <c r="N32" s="56"/>
      <c r="O32" s="56"/>
      <c r="P32" s="19"/>
    </row>
    <row r="33" spans="1:16" ht="30" customHeight="1" x14ac:dyDescent="0.35">
      <c r="A33" s="109" t="s">
        <v>27</v>
      </c>
      <c r="B33" s="112" t="s">
        <v>28</v>
      </c>
      <c r="C33" s="112"/>
      <c r="D33" s="112"/>
      <c r="E33" s="112"/>
      <c r="F33" s="104"/>
      <c r="G33" s="104"/>
      <c r="H33" s="104"/>
      <c r="I33" s="104"/>
      <c r="J33" s="104"/>
      <c r="K33" s="104"/>
      <c r="L33" s="56"/>
      <c r="M33" s="111"/>
      <c r="N33" s="111"/>
      <c r="O33" s="111"/>
      <c r="P33" s="19"/>
    </row>
    <row r="34" spans="1:16" ht="15.5" x14ac:dyDescent="0.35">
      <c r="A34" s="46" t="s">
        <v>29</v>
      </c>
      <c r="B34" s="116" t="s">
        <v>30</v>
      </c>
      <c r="C34" s="116"/>
      <c r="D34" s="116"/>
      <c r="E34" s="116"/>
      <c r="G34" s="7"/>
      <c r="K34" s="7"/>
      <c r="L34" s="56"/>
      <c r="M34" s="56"/>
      <c r="N34" s="56"/>
      <c r="O34" s="56"/>
      <c r="P34" s="19"/>
    </row>
    <row r="35" spans="1:16" ht="15.5" x14ac:dyDescent="0.35">
      <c r="A35" s="47" t="s">
        <v>31</v>
      </c>
      <c r="B35" s="112" t="s">
        <v>32</v>
      </c>
      <c r="C35" s="112"/>
      <c r="D35" s="112"/>
      <c r="E35" s="112"/>
      <c r="F35" s="112"/>
      <c r="G35" s="112"/>
      <c r="H35" s="112"/>
      <c r="I35" s="112"/>
      <c r="J35" s="112"/>
      <c r="K35" s="112"/>
      <c r="L35" s="56"/>
      <c r="M35" s="56"/>
      <c r="N35" s="56"/>
      <c r="O35" s="56"/>
      <c r="P35" s="19"/>
    </row>
    <row r="36" spans="1:16" ht="15" customHeight="1" x14ac:dyDescent="0.35">
      <c r="A36" s="45">
        <f>A24</f>
        <v>-5</v>
      </c>
      <c r="B36" s="1" t="s">
        <v>33</v>
      </c>
      <c r="G36" s="7"/>
      <c r="K36" s="7"/>
      <c r="L36" s="7"/>
      <c r="P36" s="19"/>
    </row>
    <row r="37" spans="1:16" ht="15" customHeight="1" x14ac:dyDescent="0.35">
      <c r="A37" s="45">
        <f>A26</f>
        <v>-6</v>
      </c>
      <c r="B37" s="1" t="s">
        <v>34</v>
      </c>
      <c r="D37" s="36"/>
      <c r="G37" s="7"/>
      <c r="K37" s="7"/>
      <c r="L37" s="7"/>
      <c r="P37" s="19"/>
    </row>
    <row r="38" spans="1:16" ht="15" customHeight="1" x14ac:dyDescent="0.35">
      <c r="A38" s="43"/>
      <c r="D38" s="36"/>
      <c r="G38" s="7"/>
      <c r="K38" s="7"/>
      <c r="L38" s="7"/>
      <c r="P38" s="19"/>
    </row>
    <row r="39" spans="1:16" ht="15" customHeight="1" x14ac:dyDescent="0.35">
      <c r="A39" s="43"/>
      <c r="D39" s="36"/>
      <c r="G39" s="7"/>
      <c r="K39" s="7"/>
      <c r="L39" s="7"/>
      <c r="P39" s="19"/>
    </row>
    <row r="40" spans="1:16" ht="15" customHeight="1" x14ac:dyDescent="0.35">
      <c r="A40" s="43"/>
      <c r="D40" s="36"/>
      <c r="G40" s="7"/>
      <c r="K40" s="7"/>
      <c r="L40" s="7"/>
      <c r="P40" s="19"/>
    </row>
    <row r="41" spans="1:16" ht="15" customHeight="1" x14ac:dyDescent="0.35">
      <c r="A41" s="43"/>
      <c r="G41" s="7"/>
      <c r="K41" s="7"/>
      <c r="L41" s="7"/>
      <c r="P41" s="19"/>
    </row>
    <row r="42" spans="1:16" ht="15" customHeight="1" x14ac:dyDescent="0.35">
      <c r="A42" s="43"/>
      <c r="D42" s="36"/>
      <c r="P42" s="19"/>
    </row>
    <row r="43" spans="1:16" ht="15" customHeight="1" x14ac:dyDescent="0.35">
      <c r="A43" s="43"/>
      <c r="E43" s="7"/>
    </row>
    <row r="44" spans="1:16" ht="15" customHeight="1" x14ac:dyDescent="0.35">
      <c r="A44" s="43"/>
      <c r="E44" s="7"/>
      <c r="H44" s="40"/>
      <c r="I44" s="34"/>
    </row>
    <row r="45" spans="1:16" ht="15" customHeight="1" x14ac:dyDescent="0.35">
      <c r="A45" s="43"/>
      <c r="D45" s="42"/>
      <c r="H45" s="32"/>
      <c r="I45" s="34"/>
    </row>
    <row r="46" spans="1:16" ht="15" customHeight="1" x14ac:dyDescent="0.35">
      <c r="A46" s="43"/>
      <c r="F46" s="34"/>
    </row>
    <row r="47" spans="1:16" ht="15" customHeight="1" x14ac:dyDescent="0.35">
      <c r="A47" s="43"/>
      <c r="F47" s="34"/>
    </row>
    <row r="48" spans="1:16" ht="15" customHeight="1" x14ac:dyDescent="0.35">
      <c r="A48" s="43"/>
      <c r="F48" s="34"/>
    </row>
    <row r="49" spans="1:12" ht="15" customHeight="1" x14ac:dyDescent="0.35">
      <c r="A49" s="43"/>
      <c r="F49" s="34"/>
    </row>
    <row r="50" spans="1:12" ht="15" customHeight="1" x14ac:dyDescent="0.35">
      <c r="A50" s="43"/>
      <c r="F50" s="34"/>
    </row>
    <row r="51" spans="1:12" ht="15" customHeight="1" x14ac:dyDescent="0.35">
      <c r="A51" s="43"/>
      <c r="B51" s="48"/>
      <c r="D51" s="40"/>
      <c r="E51" s="40"/>
      <c r="F51" s="34"/>
    </row>
    <row r="52" spans="1:12" ht="15" customHeight="1" x14ac:dyDescent="0.35">
      <c r="A52" s="43"/>
      <c r="B52" s="48"/>
      <c r="D52" s="33"/>
      <c r="E52" s="33"/>
      <c r="F52" s="34"/>
    </row>
    <row r="53" spans="1:12" ht="15" customHeight="1" x14ac:dyDescent="0.35">
      <c r="A53" s="43"/>
      <c r="B53" s="48"/>
      <c r="F53" s="34"/>
    </row>
    <row r="54" spans="1:12" ht="15" customHeight="1" x14ac:dyDescent="0.35">
      <c r="A54" s="43"/>
      <c r="C54" s="34"/>
      <c r="F54" s="34"/>
    </row>
    <row r="55" spans="1:12" ht="15" customHeight="1" x14ac:dyDescent="0.35">
      <c r="A55" s="43"/>
      <c r="B55" s="48"/>
      <c r="F55" s="49"/>
    </row>
    <row r="56" spans="1:12" ht="15" customHeight="1" x14ac:dyDescent="0.35">
      <c r="A56" s="43"/>
      <c r="F56" s="34"/>
    </row>
    <row r="57" spans="1:12" ht="15" customHeight="1" x14ac:dyDescent="0.35">
      <c r="A57" s="43"/>
      <c r="F57" s="34"/>
    </row>
    <row r="58" spans="1:12" ht="15" customHeight="1" x14ac:dyDescent="0.35">
      <c r="A58" s="43"/>
      <c r="C58" s="7"/>
      <c r="D58" s="24"/>
      <c r="E58" s="24"/>
      <c r="F58" s="34"/>
    </row>
    <row r="59" spans="1:12" ht="15" customHeight="1" x14ac:dyDescent="0.35">
      <c r="A59" s="43"/>
      <c r="F59" s="50"/>
    </row>
    <row r="60" spans="1:12" ht="15" customHeight="1" x14ac:dyDescent="0.35">
      <c r="A60" s="43"/>
      <c r="D60" s="33"/>
      <c r="E60" s="33"/>
      <c r="F60" s="51"/>
    </row>
    <row r="61" spans="1:12" ht="15" customHeight="1" x14ac:dyDescent="0.35">
      <c r="A61" s="43"/>
      <c r="F61" s="51"/>
    </row>
    <row r="62" spans="1:12" ht="15" customHeight="1" x14ac:dyDescent="0.35">
      <c r="A62" s="43"/>
      <c r="L62" s="7"/>
    </row>
    <row r="63" spans="1:12" ht="15" customHeight="1" x14ac:dyDescent="0.35">
      <c r="A63" s="43"/>
      <c r="D63" s="26"/>
      <c r="E63" s="26"/>
      <c r="L63" s="36"/>
    </row>
    <row r="64" spans="1:12" ht="15" customHeight="1" x14ac:dyDescent="0.35">
      <c r="A64" s="43"/>
      <c r="D64" s="26"/>
      <c r="E64" s="26"/>
      <c r="L64" s="52"/>
    </row>
    <row r="65" spans="1:6" ht="15" customHeight="1" x14ac:dyDescent="0.35">
      <c r="A65" s="43"/>
    </row>
    <row r="66" spans="1:6" ht="15" customHeight="1" x14ac:dyDescent="0.35">
      <c r="A66" s="43"/>
    </row>
    <row r="67" spans="1:6" ht="15" customHeight="1" x14ac:dyDescent="0.35">
      <c r="A67" s="43"/>
      <c r="D67" s="7"/>
      <c r="E67" s="7"/>
      <c r="F67" s="53"/>
    </row>
    <row r="68" spans="1:6" ht="15" customHeight="1" x14ac:dyDescent="0.35">
      <c r="A68" s="43"/>
      <c r="D68" s="7"/>
      <c r="E68" s="7"/>
      <c r="F68" s="54"/>
    </row>
    <row r="69" spans="1:6" ht="15" customHeight="1" x14ac:dyDescent="0.35">
      <c r="D69" s="7"/>
      <c r="E69" s="7"/>
      <c r="F69" s="54"/>
    </row>
    <row r="70" spans="1:6" ht="15" customHeight="1" x14ac:dyDescent="0.35">
      <c r="F70" s="54"/>
    </row>
    <row r="71" spans="1:6" ht="15" customHeight="1" x14ac:dyDescent="0.35">
      <c r="F71" s="54"/>
    </row>
    <row r="74" spans="1:6" ht="15" customHeight="1" x14ac:dyDescent="0.35">
      <c r="D74" s="7"/>
      <c r="E74" s="7"/>
    </row>
    <row r="83" spans="2:2" ht="15" customHeight="1" x14ac:dyDescent="0.35">
      <c r="B83" s="55"/>
    </row>
    <row r="90" spans="2:2" ht="15" customHeight="1" x14ac:dyDescent="0.35">
      <c r="B90" s="55"/>
    </row>
  </sheetData>
  <mergeCells count="10">
    <mergeCell ref="M31:O31"/>
    <mergeCell ref="M33:O33"/>
    <mergeCell ref="B35:K35"/>
    <mergeCell ref="A9:E9"/>
    <mergeCell ref="A10:E10"/>
    <mergeCell ref="A11:E11"/>
    <mergeCell ref="H11:K11"/>
    <mergeCell ref="B33:E33"/>
    <mergeCell ref="B34:E34"/>
    <mergeCell ref="B32:E32"/>
  </mergeCells>
  <printOptions horizontalCentered="1"/>
  <pageMargins left="0.75" right="0.5" top="0.75" bottom="0.5" header="0.5" footer="0.3"/>
  <pageSetup scale="7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C9BDF-DF06-4615-AB5A-3CBBF28731C4}">
  <dimension ref="A1:G42"/>
  <sheetViews>
    <sheetView showGridLines="0" zoomScaleNormal="100" zoomScaleSheetLayoutView="115" workbookViewId="0">
      <selection activeCell="A13" sqref="A13:G13"/>
    </sheetView>
  </sheetViews>
  <sheetFormatPr defaultColWidth="7.23046875" defaultRowHeight="13" x14ac:dyDescent="0.3"/>
  <cols>
    <col min="1" max="1" width="7" style="87" customWidth="1"/>
    <col min="2" max="2" width="53.23046875" style="87" customWidth="1"/>
    <col min="3" max="4" width="22.69140625" style="87" bestFit="1" customWidth="1"/>
    <col min="5" max="5" width="2.4609375" style="87" customWidth="1"/>
    <col min="6" max="6" width="20.84375" style="87" customWidth="1"/>
    <col min="7" max="7" width="22.69140625" style="87" bestFit="1" customWidth="1"/>
    <col min="8" max="16384" width="7.23046875" style="87"/>
  </cols>
  <sheetData>
    <row r="1" spans="1:7" ht="14" x14ac:dyDescent="0.3">
      <c r="A1" s="62"/>
      <c r="B1" s="62"/>
      <c r="G1" s="95" t="str">
        <f>'R-1_R-2_Heat-Pump Rate'!E1</f>
        <v>Massachusetts Electric Company</v>
      </c>
    </row>
    <row r="2" spans="1:7" ht="14" x14ac:dyDescent="0.3">
      <c r="A2" s="62"/>
      <c r="B2" s="62"/>
      <c r="G2" s="95" t="str">
        <f>'R-1_R-2_Heat-Pump Rate'!E2</f>
        <v>Nantucket Electric Company</v>
      </c>
    </row>
    <row r="3" spans="1:7" ht="14" x14ac:dyDescent="0.3">
      <c r="A3" s="62"/>
      <c r="B3" s="62"/>
      <c r="G3" s="95" t="str">
        <f>'R-1_R-2_Heat-Pump Rate'!E3</f>
        <v>each d/b/a National Grid</v>
      </c>
    </row>
    <row r="4" spans="1:7" ht="14" x14ac:dyDescent="0.3">
      <c r="A4" s="62"/>
      <c r="B4" s="62"/>
      <c r="G4" s="95" t="str">
        <f>'R-1_R-2_Heat-Pump Rate'!E4</f>
        <v>D.P.U. 23-150</v>
      </c>
    </row>
    <row r="5" spans="1:7" ht="14" x14ac:dyDescent="0.3">
      <c r="A5" s="62"/>
      <c r="B5" s="62"/>
      <c r="G5" s="95" t="str">
        <f>'R-1_R-2_Heat-Pump Rate'!E5</f>
        <v>Exhibit HP-3</v>
      </c>
    </row>
    <row r="6" spans="1:7" ht="14" x14ac:dyDescent="0.3">
      <c r="A6" s="62"/>
      <c r="B6" s="62"/>
      <c r="G6" s="95" t="str">
        <f>'R-1_R-2_Heat-Pump Rate'!E6</f>
        <v>December 30, 2024</v>
      </c>
    </row>
    <row r="7" spans="1:7" ht="14" x14ac:dyDescent="0.3">
      <c r="A7" s="62"/>
      <c r="B7" s="62"/>
      <c r="G7" s="95" t="s">
        <v>35</v>
      </c>
    </row>
    <row r="8" spans="1:7" ht="14" x14ac:dyDescent="0.3">
      <c r="A8" s="62"/>
      <c r="B8" s="62"/>
      <c r="G8" s="95" t="str">
        <f>'R-1_R-2_Heat-Pump Rate'!E8</f>
        <v>H.O. Tassone</v>
      </c>
    </row>
    <row r="9" spans="1:7" ht="14" x14ac:dyDescent="0.3">
      <c r="A9" s="62"/>
      <c r="B9" s="62"/>
      <c r="C9" s="88"/>
    </row>
    <row r="10" spans="1:7" ht="14" x14ac:dyDescent="0.3">
      <c r="A10" s="62"/>
      <c r="B10" s="62"/>
      <c r="C10" s="88"/>
    </row>
    <row r="11" spans="1:7" ht="14" x14ac:dyDescent="0.3">
      <c r="A11" s="118" t="s">
        <v>0</v>
      </c>
      <c r="B11" s="118"/>
      <c r="C11" s="118"/>
      <c r="D11" s="118"/>
      <c r="E11" s="118"/>
      <c r="F11" s="118"/>
      <c r="G11" s="118"/>
    </row>
    <row r="12" spans="1:7" ht="14" x14ac:dyDescent="0.3">
      <c r="A12" s="118" t="s">
        <v>36</v>
      </c>
      <c r="B12" s="118"/>
      <c r="C12" s="118"/>
      <c r="D12" s="118"/>
      <c r="E12" s="118"/>
      <c r="F12" s="118"/>
      <c r="G12" s="118"/>
    </row>
    <row r="13" spans="1:7" ht="14" x14ac:dyDescent="0.3">
      <c r="A13" s="118" t="s">
        <v>153</v>
      </c>
      <c r="B13" s="118"/>
      <c r="C13" s="118"/>
      <c r="D13" s="118"/>
      <c r="E13" s="118"/>
      <c r="F13" s="118"/>
      <c r="G13" s="118"/>
    </row>
    <row r="14" spans="1:7" ht="14" x14ac:dyDescent="0.3">
      <c r="A14" s="90"/>
      <c r="B14" s="90"/>
      <c r="C14" s="90"/>
      <c r="D14" s="90"/>
      <c r="E14" s="90"/>
      <c r="F14" s="90"/>
      <c r="G14" s="90"/>
    </row>
    <row r="15" spans="1:7" ht="14" x14ac:dyDescent="0.3">
      <c r="A15" s="90"/>
      <c r="B15" s="90"/>
      <c r="C15" s="117" t="s">
        <v>37</v>
      </c>
      <c r="D15" s="117"/>
      <c r="E15" s="90"/>
      <c r="F15" s="117" t="s">
        <v>38</v>
      </c>
      <c r="G15" s="117"/>
    </row>
    <row r="16" spans="1:7" ht="14" x14ac:dyDescent="0.3">
      <c r="A16" s="89"/>
      <c r="B16" s="89"/>
      <c r="C16" s="101" t="s">
        <v>39</v>
      </c>
      <c r="D16" s="102" t="s">
        <v>40</v>
      </c>
      <c r="E16" s="102"/>
      <c r="F16" s="101" t="s">
        <v>41</v>
      </c>
      <c r="G16" s="102" t="s">
        <v>42</v>
      </c>
    </row>
    <row r="17" spans="1:7" ht="14" x14ac:dyDescent="0.3">
      <c r="A17" s="62"/>
      <c r="B17" s="62"/>
      <c r="C17" s="99" t="s">
        <v>8</v>
      </c>
      <c r="D17" s="99" t="s">
        <v>9</v>
      </c>
      <c r="E17" s="99"/>
      <c r="F17" s="99" t="s">
        <v>43</v>
      </c>
      <c r="G17" s="99" t="s">
        <v>44</v>
      </c>
    </row>
    <row r="18" spans="1:7" ht="14" x14ac:dyDescent="0.3">
      <c r="A18" s="62"/>
      <c r="B18" s="62"/>
      <c r="C18" s="99"/>
      <c r="D18" s="99"/>
      <c r="E18" s="99"/>
    </row>
    <row r="19" spans="1:7" ht="14" x14ac:dyDescent="0.3">
      <c r="A19" s="91">
        <v>-1</v>
      </c>
      <c r="B19" s="62" t="s">
        <v>45</v>
      </c>
      <c r="C19" s="92">
        <f>'Resi Typical Bill (3 Ton HP)'!$H$53</f>
        <v>261.55</v>
      </c>
      <c r="D19" s="92">
        <f>'Resi Typical Bill (3 Ton HP)'!$I$53</f>
        <v>688.68000000000006</v>
      </c>
      <c r="E19" s="92"/>
      <c r="F19" s="92">
        <f>'Resi Typical Bill (5 Ton HP)'!$H$53</f>
        <v>347.1</v>
      </c>
      <c r="G19" s="92">
        <f>'Resi Typical Bill (5 Ton HP)'!$I$53</f>
        <v>1009.3399999999999</v>
      </c>
    </row>
    <row r="20" spans="1:7" ht="14" x14ac:dyDescent="0.3">
      <c r="A20" s="91"/>
      <c r="B20" s="62"/>
      <c r="C20" s="62"/>
      <c r="D20" s="62"/>
      <c r="E20" s="62"/>
      <c r="F20" s="62"/>
      <c r="G20" s="62"/>
    </row>
    <row r="21" spans="1:7" ht="14" x14ac:dyDescent="0.3">
      <c r="A21" s="91">
        <f>A19-1</f>
        <v>-2</v>
      </c>
      <c r="B21" s="62" t="s">
        <v>46</v>
      </c>
      <c r="C21" s="92">
        <f>'Resi Typical Bill (3 Ton HP)'!$D$53</f>
        <v>296.93999999999994</v>
      </c>
      <c r="D21" s="92">
        <f>'Resi Typical Bill (3 Ton HP)'!$E$53</f>
        <v>784.18000000000006</v>
      </c>
      <c r="E21" s="92"/>
      <c r="F21" s="92">
        <f>'Resi Typical Bill (5 Ton HP)'!$D$53</f>
        <v>394.54</v>
      </c>
      <c r="G21" s="92">
        <f>'Resi Typical Bill (5 Ton HP)'!$E$53</f>
        <v>1149.96</v>
      </c>
    </row>
    <row r="22" spans="1:7" ht="14" x14ac:dyDescent="0.3">
      <c r="A22" s="91"/>
      <c r="B22" s="62"/>
      <c r="C22" s="62"/>
      <c r="D22" s="62"/>
      <c r="E22" s="62"/>
      <c r="F22" s="62"/>
      <c r="G22" s="62"/>
    </row>
    <row r="23" spans="1:7" ht="14" x14ac:dyDescent="0.3">
      <c r="A23" s="91">
        <f>A21-1</f>
        <v>-3</v>
      </c>
      <c r="B23" s="62" t="s">
        <v>47</v>
      </c>
      <c r="C23" s="103">
        <f>C19-C21</f>
        <v>-35.38999999999993</v>
      </c>
      <c r="D23" s="103">
        <f>D19-D21</f>
        <v>-95.5</v>
      </c>
      <c r="E23" s="105"/>
      <c r="F23" s="103">
        <f>F19-F21</f>
        <v>-47.44</v>
      </c>
      <c r="G23" s="103">
        <f>G19-G21</f>
        <v>-140.62000000000012</v>
      </c>
    </row>
    <row r="24" spans="1:7" ht="14" x14ac:dyDescent="0.3">
      <c r="A24" s="94"/>
      <c r="B24" s="62"/>
      <c r="C24" s="93"/>
      <c r="D24" s="93"/>
      <c r="E24" s="106"/>
      <c r="F24" s="93"/>
      <c r="G24" s="93"/>
    </row>
    <row r="25" spans="1:7" ht="14" x14ac:dyDescent="0.3">
      <c r="A25" s="91">
        <f>A23-1</f>
        <v>-4</v>
      </c>
      <c r="B25" s="62" t="s">
        <v>48</v>
      </c>
      <c r="C25" s="98">
        <f>C23/C21</f>
        <v>-0.11918232639590469</v>
      </c>
      <c r="D25" s="98">
        <f>D23/D21</f>
        <v>-0.12178326404651992</v>
      </c>
      <c r="E25" s="107"/>
      <c r="F25" s="98">
        <f>F23/F21</f>
        <v>-0.12024129365843766</v>
      </c>
      <c r="G25" s="98">
        <f>G23/G21</f>
        <v>-0.12228251417440616</v>
      </c>
    </row>
    <row r="26" spans="1:7" ht="14" x14ac:dyDescent="0.3">
      <c r="A26" s="94"/>
      <c r="B26" s="62"/>
    </row>
    <row r="27" spans="1:7" ht="14" x14ac:dyDescent="0.3">
      <c r="A27" s="94"/>
      <c r="B27" s="62"/>
      <c r="C27" s="110"/>
      <c r="D27" s="110"/>
      <c r="F27" s="110"/>
      <c r="G27" s="110"/>
    </row>
    <row r="28" spans="1:7" ht="14" x14ac:dyDescent="0.3">
      <c r="A28" s="94"/>
      <c r="B28" s="62"/>
    </row>
    <row r="29" spans="1:7" ht="14" x14ac:dyDescent="0.3">
      <c r="A29" s="91" t="s">
        <v>49</v>
      </c>
      <c r="B29" s="62" t="s">
        <v>50</v>
      </c>
    </row>
    <row r="30" spans="1:7" ht="14" x14ac:dyDescent="0.3">
      <c r="A30" s="91" t="s">
        <v>51</v>
      </c>
      <c r="B30" s="62" t="s">
        <v>52</v>
      </c>
    </row>
    <row r="31" spans="1:7" ht="14" x14ac:dyDescent="0.3">
      <c r="A31" s="91" t="s">
        <v>53</v>
      </c>
      <c r="B31" s="62" t="s">
        <v>54</v>
      </c>
    </row>
    <row r="32" spans="1:7" ht="14" x14ac:dyDescent="0.3">
      <c r="A32" s="91" t="s">
        <v>55</v>
      </c>
      <c r="B32" s="62" t="s">
        <v>56</v>
      </c>
    </row>
    <row r="33" spans="1:2" ht="14" x14ac:dyDescent="0.3">
      <c r="A33" s="91" t="s">
        <v>57</v>
      </c>
      <c r="B33" s="62" t="s">
        <v>58</v>
      </c>
    </row>
    <row r="34" spans="1:2" ht="14" x14ac:dyDescent="0.3">
      <c r="A34" s="91" t="s">
        <v>59</v>
      </c>
      <c r="B34" s="62" t="s">
        <v>60</v>
      </c>
    </row>
    <row r="35" spans="1:2" ht="14" x14ac:dyDescent="0.3">
      <c r="A35" s="91" t="s">
        <v>61</v>
      </c>
      <c r="B35" s="62" t="s">
        <v>62</v>
      </c>
    </row>
    <row r="36" spans="1:2" ht="14" x14ac:dyDescent="0.3">
      <c r="A36" s="91" t="s">
        <v>63</v>
      </c>
      <c r="B36" s="62" t="s">
        <v>64</v>
      </c>
    </row>
    <row r="37" spans="1:2" ht="14" x14ac:dyDescent="0.3">
      <c r="A37" s="91">
        <v>-3</v>
      </c>
      <c r="B37" s="62" t="s">
        <v>65</v>
      </c>
    </row>
    <row r="38" spans="1:2" ht="14" x14ac:dyDescent="0.3">
      <c r="A38" s="91">
        <f t="shared" ref="A38" si="0">A37-1</f>
        <v>-4</v>
      </c>
      <c r="B38" s="62" t="s">
        <v>66</v>
      </c>
    </row>
    <row r="39" spans="1:2" x14ac:dyDescent="0.3">
      <c r="A39" s="87" t="s">
        <v>67</v>
      </c>
      <c r="B39" s="87" t="s">
        <v>68</v>
      </c>
    </row>
    <row r="40" spans="1:2" x14ac:dyDescent="0.3">
      <c r="A40" s="87" t="s">
        <v>69</v>
      </c>
      <c r="B40" s="87" t="s">
        <v>70</v>
      </c>
    </row>
    <row r="41" spans="1:2" x14ac:dyDescent="0.3">
      <c r="A41" s="87" t="s">
        <v>71</v>
      </c>
      <c r="B41" s="87" t="s">
        <v>72</v>
      </c>
    </row>
    <row r="42" spans="1:2" x14ac:dyDescent="0.3">
      <c r="A42" s="87" t="s">
        <v>73</v>
      </c>
      <c r="B42" s="87" t="s">
        <v>74</v>
      </c>
    </row>
  </sheetData>
  <mergeCells count="5">
    <mergeCell ref="C15:D15"/>
    <mergeCell ref="F15:G15"/>
    <mergeCell ref="A11:G11"/>
    <mergeCell ref="A12:G12"/>
    <mergeCell ref="A13:G13"/>
  </mergeCells>
  <phoneticPr fontId="14" type="noConversion"/>
  <pageMargins left="0.7" right="0.7" top="0.75" bottom="0.75" header="0.3" footer="0.3"/>
  <pageSetup scale="5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2F8B-A21B-423C-8C08-DD1CB48C6C65}">
  <dimension ref="A1:G43"/>
  <sheetViews>
    <sheetView showGridLines="0" topLeftCell="A7" zoomScaleNormal="100" zoomScaleSheetLayoutView="80" workbookViewId="0">
      <selection activeCell="A13" sqref="A13:G13"/>
    </sheetView>
  </sheetViews>
  <sheetFormatPr defaultColWidth="7.23046875" defaultRowHeight="13" x14ac:dyDescent="0.3"/>
  <cols>
    <col min="1" max="1" width="7" style="87" customWidth="1"/>
    <col min="2" max="2" width="53.23046875" style="87" customWidth="1"/>
    <col min="3" max="4" width="22.69140625" style="87" bestFit="1" customWidth="1"/>
    <col min="5" max="5" width="2.69140625" style="87" customWidth="1"/>
    <col min="6" max="6" width="26.4609375" style="87" customWidth="1"/>
    <col min="7" max="7" width="21.69140625" style="87" customWidth="1"/>
    <col min="8" max="16384" width="7.23046875" style="87"/>
  </cols>
  <sheetData>
    <row r="1" spans="1:7" ht="14" x14ac:dyDescent="0.3">
      <c r="A1" s="62"/>
      <c r="B1" s="62"/>
      <c r="G1" s="95" t="str">
        <f>'R-1_R-2_Heat-Pump Rate'!E1</f>
        <v>Massachusetts Electric Company</v>
      </c>
    </row>
    <row r="2" spans="1:7" ht="14" x14ac:dyDescent="0.3">
      <c r="A2" s="62"/>
      <c r="B2" s="62"/>
      <c r="G2" s="95" t="str">
        <f>'R-1_R-2_Heat-Pump Rate'!E2</f>
        <v>Nantucket Electric Company</v>
      </c>
    </row>
    <row r="3" spans="1:7" ht="14" x14ac:dyDescent="0.3">
      <c r="A3" s="62"/>
      <c r="B3" s="62"/>
      <c r="G3" s="95" t="str">
        <f>'R-1_R-2_Heat-Pump Rate'!E3</f>
        <v>each d/b/a National Grid</v>
      </c>
    </row>
    <row r="4" spans="1:7" ht="14" x14ac:dyDescent="0.3">
      <c r="A4" s="62"/>
      <c r="B4" s="62"/>
      <c r="G4" s="95" t="str">
        <f>'R-1_R-2_Heat-Pump Rate'!E4</f>
        <v>D.P.U. 23-150</v>
      </c>
    </row>
    <row r="5" spans="1:7" ht="14" x14ac:dyDescent="0.3">
      <c r="A5" s="62"/>
      <c r="B5" s="62"/>
      <c r="G5" s="95" t="str">
        <f>'R-1_R-2_Heat-Pump Rate'!E5</f>
        <v>Exhibit HP-3</v>
      </c>
    </row>
    <row r="6" spans="1:7" ht="14" x14ac:dyDescent="0.3">
      <c r="A6" s="62"/>
      <c r="B6" s="62"/>
      <c r="G6" s="95" t="str">
        <f>'R-1_R-2_Heat-Pump Rate'!E6</f>
        <v>December 30, 2024</v>
      </c>
    </row>
    <row r="7" spans="1:7" ht="14" x14ac:dyDescent="0.3">
      <c r="A7" s="62"/>
      <c r="B7" s="62"/>
      <c r="G7" s="95" t="s">
        <v>75</v>
      </c>
    </row>
    <row r="8" spans="1:7" ht="14" x14ac:dyDescent="0.3">
      <c r="A8" s="62"/>
      <c r="B8" s="62"/>
      <c r="G8" s="95" t="str">
        <f>'R-1_R-2_Heat-Pump Rate'!E8</f>
        <v>H.O. Tassone</v>
      </c>
    </row>
    <row r="9" spans="1:7" ht="14" x14ac:dyDescent="0.3">
      <c r="A9" s="62"/>
      <c r="B9" s="62"/>
      <c r="C9" s="88"/>
    </row>
    <row r="10" spans="1:7" ht="14" x14ac:dyDescent="0.3">
      <c r="A10" s="62"/>
      <c r="B10" s="62"/>
      <c r="C10" s="88"/>
    </row>
    <row r="11" spans="1:7" ht="14" x14ac:dyDescent="0.3">
      <c r="A11" s="118" t="s">
        <v>0</v>
      </c>
      <c r="B11" s="118"/>
      <c r="C11" s="118"/>
      <c r="D11" s="118"/>
      <c r="E11" s="118"/>
      <c r="F11" s="118"/>
      <c r="G11" s="118"/>
    </row>
    <row r="12" spans="1:7" ht="14" x14ac:dyDescent="0.3">
      <c r="A12" s="118" t="s">
        <v>36</v>
      </c>
      <c r="B12" s="118"/>
      <c r="C12" s="118"/>
      <c r="D12" s="118"/>
      <c r="E12" s="118"/>
      <c r="F12" s="118"/>
      <c r="G12" s="118"/>
    </row>
    <row r="13" spans="1:7" ht="14" x14ac:dyDescent="0.3">
      <c r="A13" s="118" t="s">
        <v>154</v>
      </c>
      <c r="B13" s="118"/>
      <c r="C13" s="118"/>
      <c r="D13" s="118"/>
      <c r="E13" s="118"/>
      <c r="F13" s="118"/>
      <c r="G13" s="118"/>
    </row>
    <row r="14" spans="1:7" ht="14" x14ac:dyDescent="0.3">
      <c r="A14" s="90"/>
      <c r="B14" s="90"/>
      <c r="C14" s="90"/>
      <c r="D14" s="90"/>
      <c r="E14" s="90"/>
      <c r="F14" s="90"/>
      <c r="G14" s="90"/>
    </row>
    <row r="15" spans="1:7" ht="14" x14ac:dyDescent="0.3">
      <c r="A15" s="89"/>
      <c r="B15" s="89"/>
      <c r="C15" s="117" t="s">
        <v>37</v>
      </c>
      <c r="D15" s="117"/>
      <c r="E15" s="90"/>
      <c r="F15" s="117" t="s">
        <v>38</v>
      </c>
      <c r="G15" s="117"/>
    </row>
    <row r="16" spans="1:7" ht="14" x14ac:dyDescent="0.3">
      <c r="A16" s="62"/>
      <c r="B16" s="62"/>
      <c r="C16" s="101" t="s">
        <v>39</v>
      </c>
      <c r="D16" s="102" t="s">
        <v>76</v>
      </c>
      <c r="E16" s="102"/>
      <c r="F16" s="101" t="s">
        <v>77</v>
      </c>
      <c r="G16" s="102" t="s">
        <v>78</v>
      </c>
    </row>
    <row r="17" spans="1:7" ht="14" x14ac:dyDescent="0.3">
      <c r="A17" s="62"/>
      <c r="B17" s="62"/>
      <c r="C17" s="99" t="s">
        <v>8</v>
      </c>
      <c r="D17" s="99" t="s">
        <v>9</v>
      </c>
      <c r="E17" s="99"/>
      <c r="F17" s="99" t="s">
        <v>43</v>
      </c>
      <c r="G17" s="99" t="s">
        <v>44</v>
      </c>
    </row>
    <row r="18" spans="1:7" ht="14" x14ac:dyDescent="0.3">
      <c r="A18" s="62"/>
      <c r="B18" s="62"/>
      <c r="C18" s="99"/>
      <c r="D18" s="99"/>
    </row>
    <row r="19" spans="1:7" ht="14" x14ac:dyDescent="0.3">
      <c r="A19" s="62"/>
      <c r="B19" s="62"/>
      <c r="C19" s="99"/>
      <c r="D19" s="99"/>
    </row>
    <row r="20" spans="1:7" ht="14" x14ac:dyDescent="0.3">
      <c r="A20" s="91">
        <v>-1</v>
      </c>
      <c r="B20" s="62" t="s">
        <v>79</v>
      </c>
      <c r="C20" s="92">
        <f>'Resi Typical Bill (3 Ton HP)'!H57</f>
        <v>177.85399999999998</v>
      </c>
      <c r="D20" s="92">
        <f>'Resi Typical Bill (3 Ton HP)'!I57</f>
        <v>468.30240000000003</v>
      </c>
      <c r="F20" s="92">
        <f>'Resi Typical Bill (5 Ton HP)'!H57</f>
        <v>236.02800000000002</v>
      </c>
      <c r="G20" s="96">
        <f>'Resi Typical Bill (5 Ton HP)'!I57</f>
        <v>686.35119999999995</v>
      </c>
    </row>
    <row r="21" spans="1:7" ht="14" x14ac:dyDescent="0.3">
      <c r="A21" s="91"/>
      <c r="B21" s="62"/>
      <c r="C21" s="62"/>
      <c r="F21" s="62"/>
    </row>
    <row r="22" spans="1:7" ht="14" x14ac:dyDescent="0.3">
      <c r="A22" s="91">
        <f>A20-1</f>
        <v>-2</v>
      </c>
      <c r="B22" s="62" t="s">
        <v>80</v>
      </c>
      <c r="C22" s="92">
        <f>'Resi Typical Bill (3 Ton HP)'!D57</f>
        <v>201.91919999999996</v>
      </c>
      <c r="D22" s="92">
        <f>'Resi Typical Bill (3 Ton HP)'!E57</f>
        <v>533.24240000000009</v>
      </c>
      <c r="F22" s="92">
        <f>'Resi Typical Bill (5 Ton HP)'!D57</f>
        <v>268.28719999999998</v>
      </c>
      <c r="G22" s="96">
        <f>'Resi Typical Bill (5 Ton HP)'!E57</f>
        <v>781.97280000000001</v>
      </c>
    </row>
    <row r="23" spans="1:7" ht="14" x14ac:dyDescent="0.3">
      <c r="A23" s="91"/>
      <c r="B23" s="62"/>
      <c r="C23" s="62"/>
      <c r="F23" s="62"/>
    </row>
    <row r="24" spans="1:7" ht="14" x14ac:dyDescent="0.3">
      <c r="A24" s="91">
        <f>A22-1</f>
        <v>-3</v>
      </c>
      <c r="B24" s="62" t="s">
        <v>81</v>
      </c>
      <c r="C24" s="103">
        <f>C20-C22</f>
        <v>-24.065199999999976</v>
      </c>
      <c r="D24" s="97">
        <f>D20-D22</f>
        <v>-64.940000000000055</v>
      </c>
      <c r="F24" s="103">
        <f>F20-F22</f>
        <v>-32.259199999999964</v>
      </c>
      <c r="G24" s="97">
        <f>G20-G22</f>
        <v>-95.621600000000058</v>
      </c>
    </row>
    <row r="25" spans="1:7" ht="14" x14ac:dyDescent="0.3">
      <c r="A25" s="94"/>
      <c r="B25" s="62"/>
      <c r="C25" s="93"/>
      <c r="D25" s="93"/>
      <c r="F25" s="93"/>
      <c r="G25" s="93"/>
    </row>
    <row r="26" spans="1:7" ht="14" x14ac:dyDescent="0.3">
      <c r="A26" s="91">
        <f>A24-1</f>
        <v>-4</v>
      </c>
      <c r="B26" s="62" t="s">
        <v>82</v>
      </c>
      <c r="C26" s="98">
        <f>C24/C22</f>
        <v>-0.1191823263959048</v>
      </c>
      <c r="D26" s="98">
        <f>D24/D22</f>
        <v>-0.12178326404652001</v>
      </c>
      <c r="F26" s="98">
        <f>F24/F22</f>
        <v>-0.12024129365843755</v>
      </c>
      <c r="G26" s="98">
        <f>G24/G22</f>
        <v>-0.12228251417440614</v>
      </c>
    </row>
    <row r="27" spans="1:7" ht="14" x14ac:dyDescent="0.3">
      <c r="A27" s="94"/>
      <c r="B27" s="62"/>
    </row>
    <row r="28" spans="1:7" ht="14" x14ac:dyDescent="0.3">
      <c r="A28" s="94"/>
      <c r="B28" s="62"/>
    </row>
    <row r="29" spans="1:7" ht="14" x14ac:dyDescent="0.3">
      <c r="A29" s="94"/>
      <c r="B29" s="62"/>
    </row>
    <row r="30" spans="1:7" ht="14" x14ac:dyDescent="0.3">
      <c r="A30" s="91" t="s">
        <v>49</v>
      </c>
      <c r="B30" s="62" t="s">
        <v>83</v>
      </c>
    </row>
    <row r="31" spans="1:7" ht="14" x14ac:dyDescent="0.3">
      <c r="A31" s="91" t="s">
        <v>51</v>
      </c>
      <c r="B31" s="62" t="s">
        <v>84</v>
      </c>
    </row>
    <row r="32" spans="1:7" ht="14" x14ac:dyDescent="0.3">
      <c r="A32" s="91" t="s">
        <v>53</v>
      </c>
      <c r="B32" s="62" t="s">
        <v>85</v>
      </c>
    </row>
    <row r="33" spans="1:2" ht="14" x14ac:dyDescent="0.3">
      <c r="A33" s="91" t="s">
        <v>55</v>
      </c>
      <c r="B33" s="62" t="s">
        <v>86</v>
      </c>
    </row>
    <row r="34" spans="1:2" ht="14" x14ac:dyDescent="0.3">
      <c r="A34" s="91" t="s">
        <v>57</v>
      </c>
      <c r="B34" s="62" t="s">
        <v>87</v>
      </c>
    </row>
    <row r="35" spans="1:2" ht="14" x14ac:dyDescent="0.3">
      <c r="A35" s="91" t="s">
        <v>59</v>
      </c>
      <c r="B35" s="62" t="s">
        <v>88</v>
      </c>
    </row>
    <row r="36" spans="1:2" ht="14" x14ac:dyDescent="0.3">
      <c r="A36" s="91" t="s">
        <v>61</v>
      </c>
      <c r="B36" s="62" t="s">
        <v>89</v>
      </c>
    </row>
    <row r="37" spans="1:2" ht="14" x14ac:dyDescent="0.3">
      <c r="A37" s="91" t="s">
        <v>63</v>
      </c>
      <c r="B37" s="62" t="s">
        <v>90</v>
      </c>
    </row>
    <row r="38" spans="1:2" ht="14" x14ac:dyDescent="0.3">
      <c r="A38" s="91">
        <v>-3</v>
      </c>
      <c r="B38" s="62" t="s">
        <v>65</v>
      </c>
    </row>
    <row r="39" spans="1:2" ht="14" x14ac:dyDescent="0.3">
      <c r="A39" s="91">
        <f t="shared" ref="A39" si="0">A38-1</f>
        <v>-4</v>
      </c>
      <c r="B39" s="62" t="s">
        <v>66</v>
      </c>
    </row>
    <row r="40" spans="1:2" x14ac:dyDescent="0.3">
      <c r="A40" s="87" t="s">
        <v>67</v>
      </c>
      <c r="B40" s="87" t="s">
        <v>68</v>
      </c>
    </row>
    <row r="41" spans="1:2" x14ac:dyDescent="0.3">
      <c r="A41" s="87" t="s">
        <v>69</v>
      </c>
      <c r="B41" s="87" t="s">
        <v>91</v>
      </c>
    </row>
    <row r="42" spans="1:2" x14ac:dyDescent="0.3">
      <c r="A42" s="87" t="s">
        <v>71</v>
      </c>
      <c r="B42" s="87" t="s">
        <v>92</v>
      </c>
    </row>
    <row r="43" spans="1:2" x14ac:dyDescent="0.3">
      <c r="A43" s="87" t="s">
        <v>73</v>
      </c>
      <c r="B43" s="87" t="s">
        <v>93</v>
      </c>
    </row>
  </sheetData>
  <mergeCells count="5">
    <mergeCell ref="C15:D15"/>
    <mergeCell ref="F15:G15"/>
    <mergeCell ref="A11:G11"/>
    <mergeCell ref="A12:G12"/>
    <mergeCell ref="A13:G13"/>
  </mergeCells>
  <phoneticPr fontId="14" type="noConversion"/>
  <pageMargins left="0.7" right="0.7" top="0.75" bottom="0.75" header="0.3" footer="0.3"/>
  <pageSetup scale="4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F7CF-CA3F-40E5-9277-61C1E39B2195}">
  <dimension ref="A1:I67"/>
  <sheetViews>
    <sheetView showGridLines="0" zoomScale="80" zoomScaleNormal="80" zoomScaleSheetLayoutView="80" workbookViewId="0">
      <pane xSplit="1" ySplit="17" topLeftCell="C18" activePane="bottomRight" state="frozen"/>
      <selection pane="topRight" activeCell="B1" sqref="B1"/>
      <selection pane="bottomLeft" activeCell="A18" sqref="A18"/>
      <selection pane="bottomRight" activeCell="C55" sqref="C55"/>
    </sheetView>
  </sheetViews>
  <sheetFormatPr defaultColWidth="7.23046875" defaultRowHeight="14" x14ac:dyDescent="0.3"/>
  <cols>
    <col min="1" max="1" width="11.765625" style="62" customWidth="1"/>
    <col min="2" max="2" width="48.53515625" style="62" bestFit="1" customWidth="1"/>
    <col min="3" max="3" width="12.84375" style="62" bestFit="1" customWidth="1"/>
    <col min="4" max="4" width="26.84375" style="62" bestFit="1" customWidth="1"/>
    <col min="5" max="5" width="26.84375" style="62" customWidth="1"/>
    <col min="6" max="6" width="1.84375" style="62" customWidth="1"/>
    <col min="7" max="7" width="13.765625" style="62" customWidth="1"/>
    <col min="8" max="8" width="34.07421875" style="62" bestFit="1" customWidth="1"/>
    <col min="9" max="9" width="24.53515625" style="62" bestFit="1" customWidth="1"/>
    <col min="10" max="16384" width="7.23046875" style="62"/>
  </cols>
  <sheetData>
    <row r="1" spans="1:9" x14ac:dyDescent="0.3">
      <c r="A1" s="60"/>
      <c r="B1" s="60"/>
      <c r="C1" s="60"/>
      <c r="E1" s="86"/>
      <c r="F1" s="86"/>
      <c r="G1" s="86"/>
      <c r="I1" s="86" t="str">
        <f>'R-1_R-2_Heat-Pump Rate'!E1</f>
        <v>Massachusetts Electric Company</v>
      </c>
    </row>
    <row r="2" spans="1:9" x14ac:dyDescent="0.3">
      <c r="A2" s="60"/>
      <c r="B2" s="60"/>
      <c r="C2" s="60"/>
      <c r="E2" s="86"/>
      <c r="F2" s="86"/>
      <c r="G2" s="86"/>
      <c r="I2" s="86" t="str">
        <f>'R-1_R-2_Heat-Pump Rate'!E2</f>
        <v>Nantucket Electric Company</v>
      </c>
    </row>
    <row r="3" spans="1:9" x14ac:dyDescent="0.3">
      <c r="A3" s="60"/>
      <c r="B3" s="60"/>
      <c r="C3" s="60"/>
      <c r="E3" s="86"/>
      <c r="F3" s="86"/>
      <c r="G3" s="86"/>
      <c r="I3" s="86" t="str">
        <f>'R-1_R-2_Heat-Pump Rate'!E3</f>
        <v>each d/b/a National Grid</v>
      </c>
    </row>
    <row r="4" spans="1:9" x14ac:dyDescent="0.3">
      <c r="A4" s="60"/>
      <c r="B4" s="60"/>
      <c r="C4" s="60"/>
      <c r="E4" s="86"/>
      <c r="F4" s="86"/>
      <c r="G4" s="86"/>
      <c r="I4" s="86" t="str">
        <f>'R-1_R-2_Heat-Pump Rate'!E4</f>
        <v>D.P.U. 23-150</v>
      </c>
    </row>
    <row r="5" spans="1:9" x14ac:dyDescent="0.3">
      <c r="A5" s="60"/>
      <c r="B5" s="60"/>
      <c r="C5" s="60"/>
      <c r="E5" s="86"/>
      <c r="F5" s="86"/>
      <c r="G5" s="86"/>
      <c r="I5" s="86" t="str">
        <f>'R-1_R-2_Heat-Pump Rate'!E5</f>
        <v>Exhibit HP-3</v>
      </c>
    </row>
    <row r="6" spans="1:9" x14ac:dyDescent="0.3">
      <c r="A6" s="60"/>
      <c r="B6" s="60"/>
      <c r="C6" s="60"/>
      <c r="E6" s="86"/>
      <c r="F6" s="86"/>
      <c r="G6" s="86"/>
      <c r="I6" s="86" t="str">
        <f>'R-1_R-2_Heat-Pump Rate'!E6</f>
        <v>December 30, 2024</v>
      </c>
    </row>
    <row r="7" spans="1:9" x14ac:dyDescent="0.3">
      <c r="A7" s="60"/>
      <c r="B7" s="60"/>
      <c r="C7" s="60"/>
      <c r="E7" s="86"/>
      <c r="F7" s="86"/>
      <c r="G7" s="86"/>
      <c r="I7" s="86" t="s">
        <v>94</v>
      </c>
    </row>
    <row r="8" spans="1:9" x14ac:dyDescent="0.3">
      <c r="A8" s="60"/>
      <c r="B8" s="60"/>
      <c r="C8" s="60"/>
      <c r="E8" s="86"/>
      <c r="F8" s="86"/>
      <c r="G8" s="86"/>
      <c r="I8" s="86" t="str">
        <f>'R-1_R-2_Heat-Pump Rate'!E8</f>
        <v>H.O. Tassone</v>
      </c>
    </row>
    <row r="9" spans="1:9" x14ac:dyDescent="0.3">
      <c r="A9" s="60"/>
      <c r="B9" s="60"/>
      <c r="C9" s="60"/>
      <c r="D9" s="61"/>
      <c r="E9" s="61"/>
      <c r="F9" s="61"/>
      <c r="G9" s="61"/>
    </row>
    <row r="10" spans="1:9" x14ac:dyDescent="0.3">
      <c r="A10" s="120" t="s">
        <v>0</v>
      </c>
      <c r="B10" s="120"/>
      <c r="C10" s="120"/>
      <c r="D10" s="120"/>
      <c r="E10" s="120"/>
      <c r="F10" s="120"/>
      <c r="G10" s="120"/>
      <c r="H10" s="120"/>
      <c r="I10" s="120"/>
    </row>
    <row r="11" spans="1:9" x14ac:dyDescent="0.3">
      <c r="A11" s="120" t="s">
        <v>36</v>
      </c>
      <c r="B11" s="120"/>
      <c r="C11" s="120"/>
      <c r="D11" s="120"/>
      <c r="E11" s="120"/>
      <c r="F11" s="120"/>
      <c r="G11" s="120"/>
      <c r="H11" s="120"/>
      <c r="I11" s="120"/>
    </row>
    <row r="12" spans="1:9" x14ac:dyDescent="0.3">
      <c r="A12" s="120" t="s">
        <v>95</v>
      </c>
      <c r="B12" s="120"/>
      <c r="C12" s="120"/>
      <c r="D12" s="120"/>
      <c r="E12" s="120"/>
      <c r="F12" s="120"/>
      <c r="G12" s="120"/>
      <c r="H12" s="120"/>
      <c r="I12" s="120"/>
    </row>
    <row r="13" spans="1:9" x14ac:dyDescent="0.3">
      <c r="A13" s="63"/>
      <c r="B13" s="63"/>
      <c r="C13" s="63"/>
      <c r="D13" s="63"/>
      <c r="E13" s="63"/>
      <c r="F13" s="63"/>
      <c r="G13" s="63"/>
    </row>
    <row r="14" spans="1:9" x14ac:dyDescent="0.3">
      <c r="A14" s="60"/>
      <c r="B14" s="60"/>
      <c r="C14" s="119" t="s">
        <v>96</v>
      </c>
      <c r="D14" s="119"/>
      <c r="E14" s="119"/>
      <c r="F14" s="100"/>
      <c r="G14" s="119" t="s">
        <v>97</v>
      </c>
      <c r="H14" s="119"/>
      <c r="I14" s="119"/>
    </row>
    <row r="15" spans="1:9" x14ac:dyDescent="0.3">
      <c r="A15" s="60"/>
      <c r="B15" s="60"/>
      <c r="C15" s="64" t="s">
        <v>98</v>
      </c>
      <c r="D15" s="65"/>
      <c r="E15" s="65"/>
      <c r="F15" s="65"/>
      <c r="G15" s="64" t="s">
        <v>98</v>
      </c>
      <c r="H15" s="65"/>
    </row>
    <row r="16" spans="1:9" x14ac:dyDescent="0.3">
      <c r="A16" s="66"/>
      <c r="B16" s="67"/>
      <c r="C16" s="68" t="s">
        <v>99</v>
      </c>
      <c r="D16" s="69" t="s">
        <v>100</v>
      </c>
      <c r="E16" s="69" t="s">
        <v>101</v>
      </c>
      <c r="F16" s="69"/>
      <c r="G16" s="68" t="s">
        <v>99</v>
      </c>
      <c r="H16" s="69" t="s">
        <v>100</v>
      </c>
      <c r="I16" s="69" t="s">
        <v>101</v>
      </c>
    </row>
    <row r="17" spans="1:9" x14ac:dyDescent="0.3">
      <c r="A17" s="66"/>
      <c r="B17" s="70"/>
      <c r="C17" s="71" t="s">
        <v>8</v>
      </c>
      <c r="D17" s="64" t="s">
        <v>9</v>
      </c>
      <c r="E17" s="64" t="s">
        <v>43</v>
      </c>
      <c r="F17" s="64"/>
      <c r="G17" s="64" t="s">
        <v>44</v>
      </c>
      <c r="H17" s="64" t="s">
        <v>102</v>
      </c>
      <c r="I17" s="64" t="s">
        <v>103</v>
      </c>
    </row>
    <row r="18" spans="1:9" x14ac:dyDescent="0.3">
      <c r="A18" s="66"/>
      <c r="B18" s="70"/>
      <c r="C18" s="68"/>
      <c r="D18" s="69"/>
      <c r="E18" s="69"/>
      <c r="F18" s="69"/>
      <c r="G18" s="69"/>
    </row>
    <row r="19" spans="1:9" x14ac:dyDescent="0.3">
      <c r="A19" s="66"/>
      <c r="B19" s="72" t="s">
        <v>104</v>
      </c>
      <c r="C19" s="60"/>
      <c r="D19" s="60"/>
      <c r="E19" s="60"/>
      <c r="F19" s="60"/>
      <c r="G19" s="60"/>
    </row>
    <row r="20" spans="1:9" x14ac:dyDescent="0.3">
      <c r="A20" s="66">
        <v>-1</v>
      </c>
      <c r="B20" s="60" t="s">
        <v>105</v>
      </c>
      <c r="C20" s="60"/>
      <c r="D20" s="73">
        <v>10</v>
      </c>
      <c r="E20" s="73">
        <f>D20</f>
        <v>10</v>
      </c>
      <c r="F20" s="73"/>
      <c r="G20" s="73"/>
      <c r="H20" s="92">
        <f>D20</f>
        <v>10</v>
      </c>
      <c r="I20" s="73">
        <f>H20</f>
        <v>10</v>
      </c>
    </row>
    <row r="21" spans="1:9" x14ac:dyDescent="0.3">
      <c r="A21" s="66">
        <f>+A20-1</f>
        <v>-2</v>
      </c>
      <c r="B21" s="60" t="s">
        <v>106</v>
      </c>
      <c r="C21" s="74">
        <v>6.5460000000000004E-2</v>
      </c>
      <c r="D21" s="73"/>
      <c r="E21" s="73"/>
      <c r="F21" s="73"/>
      <c r="G21" s="74">
        <f>'R-1_R-2_Heat-Pump Rate'!D22</f>
        <v>2.3369999999999998E-2</v>
      </c>
      <c r="I21" s="73"/>
    </row>
    <row r="22" spans="1:9" x14ac:dyDescent="0.3">
      <c r="A22" s="66">
        <f>+A21-1</f>
        <v>-3</v>
      </c>
      <c r="B22" s="60" t="s">
        <v>107</v>
      </c>
      <c r="C22" s="74">
        <v>-5.6999999999999998E-4</v>
      </c>
      <c r="D22" s="73"/>
      <c r="E22" s="73"/>
      <c r="F22" s="73"/>
      <c r="G22" s="74">
        <f t="shared" ref="G22:G35" si="0">C22</f>
        <v>-5.6999999999999998E-4</v>
      </c>
      <c r="I22" s="73"/>
    </row>
    <row r="23" spans="1:9" x14ac:dyDescent="0.3">
      <c r="A23" s="66">
        <f t="shared" ref="A23:A36" si="1">+A22-1</f>
        <v>-4</v>
      </c>
      <c r="B23" s="60" t="s">
        <v>108</v>
      </c>
      <c r="C23" s="74">
        <v>9.7599999999999996E-3</v>
      </c>
      <c r="D23" s="73"/>
      <c r="E23" s="73"/>
      <c r="F23" s="73"/>
      <c r="G23" s="74">
        <f t="shared" si="0"/>
        <v>9.7599999999999996E-3</v>
      </c>
      <c r="I23" s="73"/>
    </row>
    <row r="24" spans="1:9" x14ac:dyDescent="0.3">
      <c r="A24" s="66">
        <f t="shared" si="1"/>
        <v>-5</v>
      </c>
      <c r="B24" s="60" t="s">
        <v>109</v>
      </c>
      <c r="C24" s="74">
        <v>4.0600000000000002E-3</v>
      </c>
      <c r="D24" s="73"/>
      <c r="E24" s="73"/>
      <c r="F24" s="73"/>
      <c r="G24" s="74">
        <f t="shared" si="0"/>
        <v>4.0600000000000002E-3</v>
      </c>
      <c r="I24" s="73"/>
    </row>
    <row r="25" spans="1:9" x14ac:dyDescent="0.3">
      <c r="A25" s="66">
        <f t="shared" si="1"/>
        <v>-6</v>
      </c>
      <c r="B25" s="60" t="s">
        <v>110</v>
      </c>
      <c r="C25" s="74">
        <v>-1.4499999999999999E-3</v>
      </c>
      <c r="D25" s="73"/>
      <c r="E25" s="73"/>
      <c r="F25" s="73"/>
      <c r="G25" s="74">
        <f t="shared" si="0"/>
        <v>-1.4499999999999999E-3</v>
      </c>
      <c r="I25" s="73"/>
    </row>
    <row r="26" spans="1:9" x14ac:dyDescent="0.3">
      <c r="A26" s="66">
        <f t="shared" si="1"/>
        <v>-7</v>
      </c>
      <c r="B26" s="60" t="s">
        <v>111</v>
      </c>
      <c r="C26" s="74">
        <v>2.2599999999999999E-3</v>
      </c>
      <c r="D26" s="73"/>
      <c r="E26" s="73"/>
      <c r="F26" s="73"/>
      <c r="G26" s="74">
        <f t="shared" si="0"/>
        <v>2.2599999999999999E-3</v>
      </c>
      <c r="I26" s="73"/>
    </row>
    <row r="27" spans="1:9" x14ac:dyDescent="0.3">
      <c r="A27" s="66">
        <f t="shared" si="1"/>
        <v>-8</v>
      </c>
      <c r="B27" s="60" t="s">
        <v>112</v>
      </c>
      <c r="C27" s="74">
        <v>3.0000000000000001E-5</v>
      </c>
      <c r="D27" s="73"/>
      <c r="E27" s="73"/>
      <c r="F27" s="73"/>
      <c r="G27" s="74">
        <f t="shared" si="0"/>
        <v>3.0000000000000001E-5</v>
      </c>
      <c r="I27" s="73"/>
    </row>
    <row r="28" spans="1:9" x14ac:dyDescent="0.3">
      <c r="A28" s="66">
        <f t="shared" si="1"/>
        <v>-9</v>
      </c>
      <c r="B28" s="60" t="s">
        <v>113</v>
      </c>
      <c r="C28" s="74">
        <v>5.1000000000000004E-4</v>
      </c>
      <c r="D28" s="73"/>
      <c r="E28" s="73"/>
      <c r="F28" s="73"/>
      <c r="G28" s="74">
        <f t="shared" si="0"/>
        <v>5.1000000000000004E-4</v>
      </c>
      <c r="I28" s="73"/>
    </row>
    <row r="29" spans="1:9" x14ac:dyDescent="0.3">
      <c r="A29" s="66">
        <f t="shared" si="1"/>
        <v>-10</v>
      </c>
      <c r="B29" s="60" t="s">
        <v>114</v>
      </c>
      <c r="C29" s="74">
        <v>0</v>
      </c>
      <c r="D29" s="73"/>
      <c r="E29" s="73"/>
      <c r="F29" s="73"/>
      <c r="G29" s="74">
        <f t="shared" si="0"/>
        <v>0</v>
      </c>
      <c r="I29" s="73"/>
    </row>
    <row r="30" spans="1:9" x14ac:dyDescent="0.3">
      <c r="A30" s="66">
        <f>A29-1</f>
        <v>-11</v>
      </c>
      <c r="B30" s="60" t="s">
        <v>115</v>
      </c>
      <c r="C30" s="74">
        <v>1.2999999999999999E-4</v>
      </c>
      <c r="D30" s="73"/>
      <c r="E30" s="73"/>
      <c r="F30" s="73"/>
      <c r="G30" s="74">
        <f t="shared" si="0"/>
        <v>1.2999999999999999E-4</v>
      </c>
      <c r="I30" s="73"/>
    </row>
    <row r="31" spans="1:9" x14ac:dyDescent="0.3">
      <c r="A31" s="66">
        <f t="shared" si="1"/>
        <v>-12</v>
      </c>
      <c r="B31" s="60" t="s">
        <v>116</v>
      </c>
      <c r="C31" s="74">
        <v>0</v>
      </c>
      <c r="D31" s="73"/>
      <c r="E31" s="73"/>
      <c r="F31" s="73"/>
      <c r="G31" s="74">
        <f t="shared" si="0"/>
        <v>0</v>
      </c>
      <c r="I31" s="73"/>
    </row>
    <row r="32" spans="1:9" x14ac:dyDescent="0.3">
      <c r="A32" s="66">
        <f t="shared" si="1"/>
        <v>-13</v>
      </c>
      <c r="B32" s="60" t="s">
        <v>117</v>
      </c>
      <c r="C32" s="74">
        <v>4.4000000000000002E-4</v>
      </c>
      <c r="D32" s="73"/>
      <c r="E32" s="73"/>
      <c r="F32" s="73"/>
      <c r="G32" s="74">
        <f t="shared" si="0"/>
        <v>4.4000000000000002E-4</v>
      </c>
      <c r="I32" s="73"/>
    </row>
    <row r="33" spans="1:9" x14ac:dyDescent="0.3">
      <c r="A33" s="66">
        <f t="shared" si="1"/>
        <v>-14</v>
      </c>
      <c r="B33" s="60" t="s">
        <v>118</v>
      </c>
      <c r="C33" s="74">
        <v>1.4400000000000001E-3</v>
      </c>
      <c r="D33" s="73"/>
      <c r="E33" s="73"/>
      <c r="F33" s="73"/>
      <c r="G33" s="74">
        <f t="shared" si="0"/>
        <v>1.4400000000000001E-3</v>
      </c>
      <c r="I33" s="73"/>
    </row>
    <row r="34" spans="1:9" x14ac:dyDescent="0.3">
      <c r="A34" s="66">
        <f t="shared" si="1"/>
        <v>-15</v>
      </c>
      <c r="B34" s="60" t="s">
        <v>119</v>
      </c>
      <c r="C34" s="74">
        <v>1.98E-3</v>
      </c>
      <c r="D34" s="73"/>
      <c r="E34" s="73"/>
      <c r="F34" s="73"/>
      <c r="G34" s="74">
        <f t="shared" si="0"/>
        <v>1.98E-3</v>
      </c>
      <c r="I34" s="73"/>
    </row>
    <row r="35" spans="1:9" x14ac:dyDescent="0.3">
      <c r="A35" s="66">
        <f t="shared" si="1"/>
        <v>-16</v>
      </c>
      <c r="B35" s="60" t="s">
        <v>120</v>
      </c>
      <c r="C35" s="75">
        <v>2.7E-4</v>
      </c>
      <c r="D35" s="73"/>
      <c r="E35" s="73"/>
      <c r="F35" s="73"/>
      <c r="G35" s="75">
        <f t="shared" si="0"/>
        <v>2.7E-4</v>
      </c>
      <c r="I35" s="73"/>
    </row>
    <row r="36" spans="1:9" x14ac:dyDescent="0.3">
      <c r="A36" s="66">
        <f t="shared" si="1"/>
        <v>-17</v>
      </c>
      <c r="B36" s="60" t="s">
        <v>121</v>
      </c>
      <c r="C36" s="74">
        <f>SUM(C21:C35)</f>
        <v>8.4319999999999992E-2</v>
      </c>
      <c r="D36" s="73">
        <f>ROUND(C36*841,2)</f>
        <v>70.91</v>
      </c>
      <c r="E36" s="73">
        <f>ROUND(C36*2269,2)</f>
        <v>191.32</v>
      </c>
      <c r="F36" s="73"/>
      <c r="G36" s="74">
        <f>SUM(G21:G35)</f>
        <v>4.2230000000000004E-2</v>
      </c>
      <c r="H36" s="73">
        <f>ROUND(G36*841,2)</f>
        <v>35.520000000000003</v>
      </c>
      <c r="I36" s="73">
        <f>ROUND(G36*2269,2)</f>
        <v>95.82</v>
      </c>
    </row>
    <row r="37" spans="1:9" x14ac:dyDescent="0.3">
      <c r="A37" s="60"/>
      <c r="B37" s="60"/>
      <c r="C37" s="74"/>
      <c r="D37" s="73"/>
      <c r="E37" s="73"/>
      <c r="F37" s="73"/>
      <c r="G37" s="74"/>
      <c r="I37" s="73"/>
    </row>
    <row r="38" spans="1:9" x14ac:dyDescent="0.3">
      <c r="A38" s="66">
        <f>+A36-1</f>
        <v>-18</v>
      </c>
      <c r="B38" s="60" t="s">
        <v>122</v>
      </c>
      <c r="C38" s="74">
        <v>7.2899999999999996E-3</v>
      </c>
      <c r="D38" s="73">
        <f>ROUND(C38*841,2)</f>
        <v>6.13</v>
      </c>
      <c r="E38" s="73">
        <f>ROUND(C38*2269,2)</f>
        <v>16.54</v>
      </c>
      <c r="F38" s="73"/>
      <c r="G38" s="74">
        <f t="shared" ref="G38:G44" si="2">C38</f>
        <v>7.2899999999999996E-3</v>
      </c>
      <c r="H38" s="73">
        <f>ROUND(G38*841,2)</f>
        <v>6.13</v>
      </c>
      <c r="I38" s="73">
        <f>ROUND(G38*2269,2)</f>
        <v>16.54</v>
      </c>
    </row>
    <row r="39" spans="1:9" x14ac:dyDescent="0.3">
      <c r="A39" s="66">
        <f t="shared" ref="A39:A51" si="3">+A38-1</f>
        <v>-19</v>
      </c>
      <c r="B39" s="60" t="s">
        <v>123</v>
      </c>
      <c r="C39" s="74">
        <v>3.8000000000000002E-4</v>
      </c>
      <c r="D39" s="73">
        <f t="shared" ref="D39:D44" si="4">ROUND(C39*841,2)</f>
        <v>0.32</v>
      </c>
      <c r="E39" s="73">
        <f t="shared" ref="E39:E44" si="5">ROUND(C39*2269,2)</f>
        <v>0.86</v>
      </c>
      <c r="F39" s="73"/>
      <c r="G39" s="74">
        <f t="shared" si="2"/>
        <v>3.8000000000000002E-4</v>
      </c>
      <c r="H39" s="73">
        <f t="shared" ref="H39:H44" si="6">ROUND(G39*841,2)</f>
        <v>0.32</v>
      </c>
      <c r="I39" s="73">
        <f t="shared" ref="I39:I44" si="7">ROUND(G39*2269,2)</f>
        <v>0.86</v>
      </c>
    </row>
    <row r="40" spans="1:9" x14ac:dyDescent="0.3">
      <c r="A40" s="66">
        <f t="shared" si="3"/>
        <v>-20</v>
      </c>
      <c r="B40" s="60" t="s">
        <v>124</v>
      </c>
      <c r="C40" s="74">
        <v>-5.0000000000000001E-4</v>
      </c>
      <c r="D40" s="73">
        <f t="shared" si="4"/>
        <v>-0.42</v>
      </c>
      <c r="E40" s="73">
        <f t="shared" si="5"/>
        <v>-1.1299999999999999</v>
      </c>
      <c r="F40" s="73"/>
      <c r="G40" s="74">
        <f t="shared" si="2"/>
        <v>-5.0000000000000001E-4</v>
      </c>
      <c r="H40" s="73">
        <f t="shared" si="6"/>
        <v>-0.42</v>
      </c>
      <c r="I40" s="73">
        <f t="shared" si="7"/>
        <v>-1.1299999999999999</v>
      </c>
    </row>
    <row r="41" spans="1:9" x14ac:dyDescent="0.3">
      <c r="A41" s="66">
        <f t="shared" si="3"/>
        <v>-21</v>
      </c>
      <c r="B41" s="60" t="s">
        <v>125</v>
      </c>
      <c r="C41" s="74">
        <v>4.1000000000000002E-2</v>
      </c>
      <c r="D41" s="73">
        <f t="shared" si="4"/>
        <v>34.479999999999997</v>
      </c>
      <c r="E41" s="73">
        <f t="shared" si="5"/>
        <v>93.03</v>
      </c>
      <c r="F41" s="73"/>
      <c r="G41" s="74">
        <f t="shared" si="2"/>
        <v>4.1000000000000002E-2</v>
      </c>
      <c r="H41" s="73">
        <f t="shared" si="6"/>
        <v>34.479999999999997</v>
      </c>
      <c r="I41" s="73">
        <f t="shared" si="7"/>
        <v>93.03</v>
      </c>
    </row>
    <row r="42" spans="1:9" x14ac:dyDescent="0.3">
      <c r="A42" s="66">
        <f t="shared" si="3"/>
        <v>-22</v>
      </c>
      <c r="B42" s="60" t="s">
        <v>126</v>
      </c>
      <c r="C42" s="74">
        <v>3.0249999999999999E-2</v>
      </c>
      <c r="D42" s="73">
        <f t="shared" si="4"/>
        <v>25.44</v>
      </c>
      <c r="E42" s="73">
        <f t="shared" si="5"/>
        <v>68.64</v>
      </c>
      <c r="F42" s="73"/>
      <c r="G42" s="74">
        <f t="shared" si="2"/>
        <v>3.0249999999999999E-2</v>
      </c>
      <c r="H42" s="73">
        <f t="shared" si="6"/>
        <v>25.44</v>
      </c>
      <c r="I42" s="73">
        <f t="shared" si="7"/>
        <v>68.64</v>
      </c>
    </row>
    <row r="43" spans="1:9" x14ac:dyDescent="0.3">
      <c r="A43" s="66">
        <f t="shared" si="3"/>
        <v>-23</v>
      </c>
      <c r="B43" s="60" t="s">
        <v>127</v>
      </c>
      <c r="C43" s="74">
        <v>1.7670000000000002E-2</v>
      </c>
      <c r="D43" s="73">
        <f t="shared" si="4"/>
        <v>14.86</v>
      </c>
      <c r="E43" s="73">
        <f t="shared" si="5"/>
        <v>40.090000000000003</v>
      </c>
      <c r="F43" s="73"/>
      <c r="G43" s="74">
        <f t="shared" si="2"/>
        <v>1.7670000000000002E-2</v>
      </c>
      <c r="H43" s="73">
        <f t="shared" si="6"/>
        <v>14.86</v>
      </c>
      <c r="I43" s="73">
        <f t="shared" si="7"/>
        <v>40.090000000000003</v>
      </c>
    </row>
    <row r="44" spans="1:9" x14ac:dyDescent="0.3">
      <c r="A44" s="66">
        <f>+A42-1</f>
        <v>-23</v>
      </c>
      <c r="B44" s="70" t="s">
        <v>128</v>
      </c>
      <c r="C44" s="74">
        <v>5.0000000000000001E-4</v>
      </c>
      <c r="D44" s="73">
        <f t="shared" si="4"/>
        <v>0.42</v>
      </c>
      <c r="E44" s="76">
        <f t="shared" si="5"/>
        <v>1.1299999999999999</v>
      </c>
      <c r="F44" s="76"/>
      <c r="G44" s="74">
        <f t="shared" si="2"/>
        <v>5.0000000000000001E-4</v>
      </c>
      <c r="H44" s="76">
        <f t="shared" si="6"/>
        <v>0.42</v>
      </c>
      <c r="I44" s="76">
        <f t="shared" si="7"/>
        <v>1.1299999999999999</v>
      </c>
    </row>
    <row r="45" spans="1:9" x14ac:dyDescent="0.3">
      <c r="A45" s="66">
        <f t="shared" si="3"/>
        <v>-24</v>
      </c>
      <c r="B45" s="60" t="s">
        <v>129</v>
      </c>
      <c r="C45" s="60"/>
      <c r="D45" s="77">
        <f>SUM(D20:D44)</f>
        <v>162.13999999999996</v>
      </c>
      <c r="E45" s="77">
        <f>SUM(E20:E44)</f>
        <v>420.48</v>
      </c>
      <c r="F45" s="77"/>
      <c r="G45" s="74"/>
      <c r="H45" s="77">
        <f>SUM(H20:H44)</f>
        <v>126.75</v>
      </c>
      <c r="I45" s="77">
        <f>SUM(I20:I44)</f>
        <v>324.98</v>
      </c>
    </row>
    <row r="46" spans="1:9" x14ac:dyDescent="0.3">
      <c r="A46" s="66"/>
      <c r="B46" s="60"/>
      <c r="C46" s="60"/>
      <c r="D46" s="77"/>
      <c r="E46" s="77"/>
      <c r="F46" s="77"/>
      <c r="G46" s="74"/>
      <c r="I46" s="77"/>
    </row>
    <row r="47" spans="1:9" x14ac:dyDescent="0.3">
      <c r="A47" s="66"/>
      <c r="B47" s="72" t="s">
        <v>130</v>
      </c>
      <c r="C47" s="60"/>
      <c r="D47" s="60"/>
      <c r="E47" s="60"/>
      <c r="F47" s="60"/>
      <c r="G47" s="74"/>
      <c r="I47" s="60"/>
    </row>
    <row r="48" spans="1:9" x14ac:dyDescent="0.3">
      <c r="A48" s="66">
        <f>+A45-1</f>
        <v>-25</v>
      </c>
      <c r="B48" s="60" t="s">
        <v>131</v>
      </c>
      <c r="C48" s="74">
        <v>0.15142</v>
      </c>
      <c r="D48" s="73"/>
      <c r="E48" s="73"/>
      <c r="F48" s="73"/>
      <c r="G48" s="74">
        <f>C48</f>
        <v>0.15142</v>
      </c>
      <c r="I48" s="73"/>
    </row>
    <row r="49" spans="1:9" x14ac:dyDescent="0.3">
      <c r="A49" s="66">
        <f t="shared" si="3"/>
        <v>-26</v>
      </c>
      <c r="B49" s="60" t="s">
        <v>132</v>
      </c>
      <c r="C49" s="74">
        <v>8.8699999999999994E-3</v>
      </c>
      <c r="D49" s="73"/>
      <c r="E49" s="73"/>
      <c r="F49" s="73"/>
      <c r="G49" s="74">
        <f>C49</f>
        <v>8.8699999999999994E-3</v>
      </c>
      <c r="I49" s="73"/>
    </row>
    <row r="50" spans="1:9" x14ac:dyDescent="0.3">
      <c r="A50" s="66">
        <f t="shared" si="3"/>
        <v>-27</v>
      </c>
      <c r="B50" s="70" t="s">
        <v>133</v>
      </c>
      <c r="C50" s="75">
        <v>0</v>
      </c>
      <c r="D50" s="76"/>
      <c r="E50" s="76"/>
      <c r="F50" s="76"/>
      <c r="G50" s="74">
        <f>C50</f>
        <v>0</v>
      </c>
      <c r="I50" s="76"/>
    </row>
    <row r="51" spans="1:9" x14ac:dyDescent="0.3">
      <c r="A51" s="66">
        <f t="shared" si="3"/>
        <v>-28</v>
      </c>
      <c r="B51" s="60" t="s">
        <v>134</v>
      </c>
      <c r="C51" s="78">
        <f>SUM(C48:C50)</f>
        <v>0.16028999999999999</v>
      </c>
      <c r="D51" s="76">
        <f>ROUND(C51*841,2)</f>
        <v>134.80000000000001</v>
      </c>
      <c r="E51" s="76">
        <f>ROUND(C51*2269,2)</f>
        <v>363.7</v>
      </c>
      <c r="F51" s="76"/>
      <c r="G51" s="74">
        <f>C51</f>
        <v>0.16028999999999999</v>
      </c>
      <c r="H51" s="76">
        <f>ROUND(G51*841,2)</f>
        <v>134.80000000000001</v>
      </c>
      <c r="I51" s="76">
        <f>ROUND(G51*2269,2)</f>
        <v>363.7</v>
      </c>
    </row>
    <row r="52" spans="1:9" ht="15.5" x14ac:dyDescent="0.3">
      <c r="A52" s="66"/>
      <c r="B52" s="60"/>
      <c r="C52" s="78"/>
      <c r="D52" s="79"/>
      <c r="E52" s="79"/>
      <c r="F52" s="79"/>
      <c r="G52" s="79"/>
      <c r="H52" s="79"/>
      <c r="I52" s="79"/>
    </row>
    <row r="53" spans="1:9" x14ac:dyDescent="0.3">
      <c r="A53" s="66">
        <f>+A51-1</f>
        <v>-29</v>
      </c>
      <c r="B53" s="60" t="s">
        <v>135</v>
      </c>
      <c r="C53" s="60"/>
      <c r="D53" s="73">
        <f>D45+D51</f>
        <v>296.93999999999994</v>
      </c>
      <c r="E53" s="73">
        <f>E45+E51</f>
        <v>784.18000000000006</v>
      </c>
      <c r="F53" s="73"/>
      <c r="G53" s="73"/>
      <c r="H53" s="73">
        <f>H45+H51</f>
        <v>261.55</v>
      </c>
      <c r="I53" s="73">
        <f>I45+I51</f>
        <v>688.68000000000006</v>
      </c>
    </row>
    <row r="54" spans="1:9" x14ac:dyDescent="0.3">
      <c r="A54" s="60"/>
      <c r="B54" s="60"/>
      <c r="C54" s="60"/>
      <c r="D54" s="80"/>
      <c r="E54" s="80"/>
      <c r="F54" s="80"/>
      <c r="G54" s="80"/>
      <c r="H54" s="80"/>
      <c r="I54" s="80"/>
    </row>
    <row r="55" spans="1:9" x14ac:dyDescent="0.3">
      <c r="A55" s="66">
        <f>A53-1</f>
        <v>-30</v>
      </c>
      <c r="B55" s="60" t="s">
        <v>136</v>
      </c>
      <c r="C55" s="81">
        <v>0.32</v>
      </c>
      <c r="D55" s="82">
        <f>D53*C55</f>
        <v>95.02079999999998</v>
      </c>
      <c r="E55" s="82">
        <f>E53*C55</f>
        <v>250.93760000000003</v>
      </c>
      <c r="F55" s="82"/>
      <c r="G55" s="82"/>
      <c r="H55" s="82">
        <f>H53*C55</f>
        <v>83.696000000000012</v>
      </c>
      <c r="I55" s="82">
        <f>I53*C55</f>
        <v>220.37760000000003</v>
      </c>
    </row>
    <row r="56" spans="1:9" x14ac:dyDescent="0.3">
      <c r="A56" s="83"/>
      <c r="B56" s="60"/>
      <c r="C56" s="60"/>
      <c r="D56" s="80"/>
      <c r="E56" s="80"/>
      <c r="F56" s="80"/>
      <c r="G56" s="80"/>
      <c r="H56" s="80"/>
      <c r="I56" s="80"/>
    </row>
    <row r="57" spans="1:9" x14ac:dyDescent="0.3">
      <c r="A57" s="66">
        <f>A55-1</f>
        <v>-31</v>
      </c>
      <c r="B57" s="60" t="s">
        <v>137</v>
      </c>
      <c r="C57" s="60"/>
      <c r="D57" s="84">
        <f>D53-D55</f>
        <v>201.91919999999996</v>
      </c>
      <c r="E57" s="84">
        <f>E53-E55</f>
        <v>533.24240000000009</v>
      </c>
      <c r="F57" s="84"/>
      <c r="G57" s="84"/>
      <c r="H57" s="84">
        <f>H53-H55</f>
        <v>177.85399999999998</v>
      </c>
      <c r="I57" s="84">
        <f>I53-I55</f>
        <v>468.30240000000003</v>
      </c>
    </row>
    <row r="58" spans="1:9" x14ac:dyDescent="0.3">
      <c r="A58" s="60"/>
      <c r="B58" s="60"/>
      <c r="C58" s="60"/>
      <c r="D58" s="73"/>
      <c r="E58" s="73"/>
      <c r="F58" s="73"/>
      <c r="G58" s="73"/>
    </row>
    <row r="59" spans="1:9" x14ac:dyDescent="0.3">
      <c r="A59" s="65" t="str">
        <f>+C17</f>
        <v>(a)</v>
      </c>
      <c r="B59" s="85" t="s">
        <v>138</v>
      </c>
      <c r="C59" s="74"/>
      <c r="D59" s="60"/>
      <c r="E59" s="60"/>
      <c r="F59" s="60"/>
      <c r="G59" s="60"/>
    </row>
    <row r="60" spans="1:9" x14ac:dyDescent="0.3">
      <c r="A60" s="65" t="s">
        <v>139</v>
      </c>
      <c r="B60" s="85" t="s">
        <v>140</v>
      </c>
      <c r="C60" s="75"/>
      <c r="D60" s="60"/>
      <c r="E60" s="60"/>
      <c r="F60" s="60"/>
      <c r="G60" s="60"/>
    </row>
    <row r="61" spans="1:9" x14ac:dyDescent="0.3">
      <c r="A61" s="65" t="s">
        <v>139</v>
      </c>
      <c r="B61" s="85" t="s">
        <v>141</v>
      </c>
    </row>
    <row r="62" spans="1:9" x14ac:dyDescent="0.3">
      <c r="A62" s="65" t="s">
        <v>139</v>
      </c>
      <c r="B62" s="85" t="s">
        <v>142</v>
      </c>
    </row>
    <row r="63" spans="1:9" x14ac:dyDescent="0.3">
      <c r="A63" s="65" t="s">
        <v>139</v>
      </c>
      <c r="B63" s="85" t="s">
        <v>143</v>
      </c>
    </row>
    <row r="64" spans="1:9" x14ac:dyDescent="0.3">
      <c r="A64" s="65" t="s">
        <v>139</v>
      </c>
      <c r="B64" s="85" t="s">
        <v>144</v>
      </c>
    </row>
    <row r="65" spans="1:2" x14ac:dyDescent="0.3">
      <c r="A65" s="65" t="s">
        <v>139</v>
      </c>
      <c r="B65" s="62" t="s">
        <v>145</v>
      </c>
    </row>
    <row r="66" spans="1:2" x14ac:dyDescent="0.3">
      <c r="A66" s="65" t="s">
        <v>44</v>
      </c>
      <c r="B66" s="62" t="s">
        <v>146</v>
      </c>
    </row>
    <row r="67" spans="1:2" x14ac:dyDescent="0.3">
      <c r="A67" s="65"/>
    </row>
  </sheetData>
  <mergeCells count="5">
    <mergeCell ref="C14:E14"/>
    <mergeCell ref="G14:I14"/>
    <mergeCell ref="A10:I10"/>
    <mergeCell ref="A11:I11"/>
    <mergeCell ref="A12:I12"/>
  </mergeCells>
  <pageMargins left="0.7" right="0.7" top="0.75" bottom="0.75" header="0.3" footer="0.3"/>
  <pageSetup scale="3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CE06B-A18F-4B8D-B3E4-D2E7A40C00DD}">
  <dimension ref="A1:I67"/>
  <sheetViews>
    <sheetView showGridLines="0" view="pageBreakPreview" zoomScale="80" zoomScaleNormal="80" zoomScaleSheetLayoutView="80" workbookViewId="0">
      <pane xSplit="1" ySplit="17" topLeftCell="D18" activePane="bottomRight" state="frozen"/>
      <selection pane="topRight" activeCell="B1" sqref="B1"/>
      <selection pane="bottomLeft" activeCell="A18" sqref="A18"/>
      <selection pane="bottomRight" activeCell="L14" sqref="L14"/>
    </sheetView>
  </sheetViews>
  <sheetFormatPr defaultColWidth="7.23046875" defaultRowHeight="14" x14ac:dyDescent="0.3"/>
  <cols>
    <col min="1" max="1" width="11.765625" style="62" customWidth="1"/>
    <col min="2" max="2" width="48.53515625" style="62" bestFit="1" customWidth="1"/>
    <col min="3" max="3" width="12.84375" style="62" bestFit="1" customWidth="1"/>
    <col min="4" max="4" width="26.84375" style="62" bestFit="1" customWidth="1"/>
    <col min="5" max="5" width="26.84375" style="62" customWidth="1"/>
    <col min="6" max="6" width="1.53515625" style="62" customWidth="1"/>
    <col min="7" max="7" width="12.69140625" style="62" customWidth="1"/>
    <col min="8" max="8" width="34.07421875" style="62" bestFit="1" customWidth="1"/>
    <col min="9" max="9" width="24.53515625" style="62" bestFit="1" customWidth="1"/>
    <col min="10" max="16384" width="7.23046875" style="62"/>
  </cols>
  <sheetData>
    <row r="1" spans="1:9" x14ac:dyDescent="0.3">
      <c r="A1" s="60"/>
      <c r="B1" s="60"/>
      <c r="C1" s="60"/>
      <c r="E1" s="86"/>
      <c r="F1" s="86"/>
      <c r="G1" s="86"/>
      <c r="I1" s="86" t="str">
        <f>'R-1_R-2_Heat-Pump Rate'!E1</f>
        <v>Massachusetts Electric Company</v>
      </c>
    </row>
    <row r="2" spans="1:9" x14ac:dyDescent="0.3">
      <c r="A2" s="60"/>
      <c r="B2" s="60"/>
      <c r="C2" s="60"/>
      <c r="E2" s="86"/>
      <c r="F2" s="86"/>
      <c r="G2" s="86"/>
      <c r="I2" s="86" t="str">
        <f>'R-1_R-2_Heat-Pump Rate'!E2</f>
        <v>Nantucket Electric Company</v>
      </c>
    </row>
    <row r="3" spans="1:9" x14ac:dyDescent="0.3">
      <c r="A3" s="60"/>
      <c r="B3" s="60"/>
      <c r="C3" s="60"/>
      <c r="E3" s="86"/>
      <c r="F3" s="86"/>
      <c r="G3" s="86"/>
      <c r="I3" s="86" t="str">
        <f>'R-1_R-2_Heat-Pump Rate'!E3</f>
        <v>each d/b/a National Grid</v>
      </c>
    </row>
    <row r="4" spans="1:9" x14ac:dyDescent="0.3">
      <c r="A4" s="60"/>
      <c r="B4" s="60"/>
      <c r="C4" s="60"/>
      <c r="E4" s="86"/>
      <c r="F4" s="86"/>
      <c r="G4" s="86"/>
      <c r="I4" s="86" t="str">
        <f>'R-1_R-2_Heat-Pump Rate'!E4</f>
        <v>D.P.U. 23-150</v>
      </c>
    </row>
    <row r="5" spans="1:9" x14ac:dyDescent="0.3">
      <c r="A5" s="60"/>
      <c r="B5" s="60"/>
      <c r="C5" s="60"/>
      <c r="E5" s="86"/>
      <c r="F5" s="86"/>
      <c r="G5" s="86"/>
      <c r="I5" s="86" t="str">
        <f>'R-1_R-2_Heat-Pump Rate'!E5</f>
        <v>Exhibit HP-3</v>
      </c>
    </row>
    <row r="6" spans="1:9" x14ac:dyDescent="0.3">
      <c r="A6" s="60"/>
      <c r="B6" s="60"/>
      <c r="C6" s="60"/>
      <c r="E6" s="86"/>
      <c r="F6" s="86"/>
      <c r="G6" s="86"/>
      <c r="I6" s="86" t="str">
        <f>'R-1_R-2_Heat-Pump Rate'!E6</f>
        <v>December 30, 2024</v>
      </c>
    </row>
    <row r="7" spans="1:9" x14ac:dyDescent="0.3">
      <c r="A7" s="60"/>
      <c r="B7" s="60"/>
      <c r="C7" s="60"/>
      <c r="E7" s="86"/>
      <c r="F7" s="86"/>
      <c r="G7" s="86"/>
      <c r="I7" s="86" t="s">
        <v>147</v>
      </c>
    </row>
    <row r="8" spans="1:9" x14ac:dyDescent="0.3">
      <c r="A8" s="60"/>
      <c r="B8" s="60"/>
      <c r="C8" s="60"/>
      <c r="E8" s="86"/>
      <c r="F8" s="86"/>
      <c r="G8" s="86"/>
      <c r="I8" s="86" t="str">
        <f>'R-1_R-2_Heat-Pump Rate'!E8</f>
        <v>H.O. Tassone</v>
      </c>
    </row>
    <row r="9" spans="1:9" x14ac:dyDescent="0.3">
      <c r="A9" s="60"/>
      <c r="B9" s="60"/>
      <c r="C9" s="60"/>
      <c r="D9" s="61"/>
      <c r="E9" s="61"/>
      <c r="F9" s="61"/>
      <c r="G9" s="61"/>
    </row>
    <row r="10" spans="1:9" x14ac:dyDescent="0.3">
      <c r="A10" s="120" t="s">
        <v>0</v>
      </c>
      <c r="B10" s="120"/>
      <c r="C10" s="120"/>
      <c r="D10" s="120"/>
      <c r="E10" s="120"/>
      <c r="F10" s="120"/>
      <c r="G10" s="120"/>
      <c r="H10" s="120"/>
      <c r="I10" s="120"/>
    </row>
    <row r="11" spans="1:9" x14ac:dyDescent="0.3">
      <c r="A11" s="120" t="s">
        <v>36</v>
      </c>
      <c r="B11" s="120"/>
      <c r="C11" s="120"/>
      <c r="D11" s="120"/>
      <c r="E11" s="120"/>
      <c r="F11" s="120"/>
      <c r="G11" s="120"/>
      <c r="H11" s="120"/>
      <c r="I11" s="120"/>
    </row>
    <row r="12" spans="1:9" x14ac:dyDescent="0.3">
      <c r="A12" s="120" t="s">
        <v>148</v>
      </c>
      <c r="B12" s="120"/>
      <c r="C12" s="120"/>
      <c r="D12" s="120"/>
      <c r="E12" s="120"/>
      <c r="F12" s="120"/>
      <c r="G12" s="120"/>
      <c r="H12" s="120"/>
      <c r="I12" s="120"/>
    </row>
    <row r="13" spans="1:9" x14ac:dyDescent="0.3">
      <c r="A13" s="63"/>
      <c r="B13" s="63"/>
      <c r="C13" s="63"/>
      <c r="D13" s="63"/>
      <c r="E13" s="63"/>
      <c r="F13" s="63"/>
      <c r="G13" s="63"/>
    </row>
    <row r="14" spans="1:9" x14ac:dyDescent="0.3">
      <c r="A14" s="60"/>
      <c r="B14" s="60"/>
      <c r="C14" s="119" t="s">
        <v>96</v>
      </c>
      <c r="D14" s="119"/>
      <c r="E14" s="119"/>
      <c r="F14" s="100"/>
      <c r="G14" s="119" t="s">
        <v>97</v>
      </c>
      <c r="H14" s="119"/>
      <c r="I14" s="119"/>
    </row>
    <row r="15" spans="1:9" x14ac:dyDescent="0.3">
      <c r="A15" s="60"/>
      <c r="B15" s="60"/>
      <c r="C15" s="64" t="s">
        <v>98</v>
      </c>
      <c r="D15" s="65"/>
      <c r="E15" s="65"/>
      <c r="F15" s="65"/>
      <c r="G15" s="64" t="s">
        <v>98</v>
      </c>
      <c r="H15" s="65"/>
    </row>
    <row r="16" spans="1:9" x14ac:dyDescent="0.3">
      <c r="A16" s="66"/>
      <c r="B16" s="67"/>
      <c r="C16" s="68" t="s">
        <v>99</v>
      </c>
      <c r="D16" s="69" t="s">
        <v>149</v>
      </c>
      <c r="E16" s="69" t="s">
        <v>150</v>
      </c>
      <c r="F16" s="69"/>
      <c r="G16" s="68" t="s">
        <v>99</v>
      </c>
      <c r="H16" s="69" t="s">
        <v>149</v>
      </c>
      <c r="I16" s="69" t="s">
        <v>150</v>
      </c>
    </row>
    <row r="17" spans="1:9" x14ac:dyDescent="0.3">
      <c r="A17" s="66"/>
      <c r="B17" s="70"/>
      <c r="C17" s="71" t="s">
        <v>8</v>
      </c>
      <c r="D17" s="64" t="s">
        <v>9</v>
      </c>
      <c r="E17" s="64" t="s">
        <v>43</v>
      </c>
      <c r="F17" s="64"/>
      <c r="G17" s="64" t="s">
        <v>44</v>
      </c>
      <c r="H17" s="64" t="s">
        <v>102</v>
      </c>
      <c r="I17" s="64" t="s">
        <v>103</v>
      </c>
    </row>
    <row r="18" spans="1:9" x14ac:dyDescent="0.3">
      <c r="A18" s="66"/>
      <c r="B18" s="70"/>
      <c r="C18" s="68"/>
      <c r="D18" s="69"/>
      <c r="E18" s="69"/>
      <c r="F18" s="69"/>
      <c r="G18" s="69"/>
    </row>
    <row r="19" spans="1:9" x14ac:dyDescent="0.3">
      <c r="A19" s="66"/>
      <c r="B19" s="72" t="s">
        <v>104</v>
      </c>
      <c r="C19" s="60"/>
      <c r="D19" s="60"/>
      <c r="E19" s="60"/>
      <c r="F19" s="60"/>
      <c r="G19" s="60"/>
    </row>
    <row r="20" spans="1:9" x14ac:dyDescent="0.3">
      <c r="A20" s="66">
        <v>-1</v>
      </c>
      <c r="B20" s="60" t="s">
        <v>105</v>
      </c>
      <c r="C20" s="60"/>
      <c r="D20" s="73">
        <v>10</v>
      </c>
      <c r="E20" s="73">
        <f>D20</f>
        <v>10</v>
      </c>
      <c r="F20" s="73"/>
      <c r="G20" s="73"/>
      <c r="H20" s="92">
        <f>D20</f>
        <v>10</v>
      </c>
      <c r="I20" s="73">
        <f>H20</f>
        <v>10</v>
      </c>
    </row>
    <row r="21" spans="1:9" x14ac:dyDescent="0.3">
      <c r="A21" s="66">
        <f>+A20-1</f>
        <v>-2</v>
      </c>
      <c r="B21" s="60" t="s">
        <v>106</v>
      </c>
      <c r="C21" s="74">
        <v>6.5460000000000004E-2</v>
      </c>
      <c r="D21" s="73"/>
      <c r="E21" s="73"/>
      <c r="F21" s="73"/>
      <c r="G21" s="74">
        <f>'R-1_R-2_Heat-Pump Rate'!D22</f>
        <v>2.3369999999999998E-2</v>
      </c>
      <c r="I21" s="73"/>
    </row>
    <row r="22" spans="1:9" x14ac:dyDescent="0.3">
      <c r="A22" s="66">
        <f>+A21-1</f>
        <v>-3</v>
      </c>
      <c r="B22" s="60" t="s">
        <v>107</v>
      </c>
      <c r="C22" s="74">
        <v>-5.6999999999999998E-4</v>
      </c>
      <c r="D22" s="73"/>
      <c r="E22" s="73"/>
      <c r="F22" s="73"/>
      <c r="G22" s="74">
        <f t="shared" ref="G22:G35" si="0">C22</f>
        <v>-5.6999999999999998E-4</v>
      </c>
      <c r="I22" s="73"/>
    </row>
    <row r="23" spans="1:9" x14ac:dyDescent="0.3">
      <c r="A23" s="66">
        <f t="shared" ref="A23:A36" si="1">+A22-1</f>
        <v>-4</v>
      </c>
      <c r="B23" s="60" t="s">
        <v>108</v>
      </c>
      <c r="C23" s="74">
        <v>9.7599999999999996E-3</v>
      </c>
      <c r="D23" s="73"/>
      <c r="E23" s="73"/>
      <c r="F23" s="73"/>
      <c r="G23" s="74">
        <f t="shared" si="0"/>
        <v>9.7599999999999996E-3</v>
      </c>
      <c r="I23" s="73"/>
    </row>
    <row r="24" spans="1:9" x14ac:dyDescent="0.3">
      <c r="A24" s="66">
        <f t="shared" si="1"/>
        <v>-5</v>
      </c>
      <c r="B24" s="60" t="s">
        <v>109</v>
      </c>
      <c r="C24" s="74">
        <v>4.0600000000000002E-3</v>
      </c>
      <c r="D24" s="73"/>
      <c r="E24" s="73"/>
      <c r="F24" s="73"/>
      <c r="G24" s="74">
        <f t="shared" si="0"/>
        <v>4.0600000000000002E-3</v>
      </c>
      <c r="I24" s="73"/>
    </row>
    <row r="25" spans="1:9" x14ac:dyDescent="0.3">
      <c r="A25" s="66">
        <f t="shared" si="1"/>
        <v>-6</v>
      </c>
      <c r="B25" s="60" t="s">
        <v>110</v>
      </c>
      <c r="C25" s="74">
        <v>-1.4499999999999999E-3</v>
      </c>
      <c r="D25" s="73"/>
      <c r="E25" s="73"/>
      <c r="F25" s="73"/>
      <c r="G25" s="74">
        <f t="shared" si="0"/>
        <v>-1.4499999999999999E-3</v>
      </c>
      <c r="I25" s="73"/>
    </row>
    <row r="26" spans="1:9" x14ac:dyDescent="0.3">
      <c r="A26" s="66">
        <f t="shared" si="1"/>
        <v>-7</v>
      </c>
      <c r="B26" s="60" t="s">
        <v>111</v>
      </c>
      <c r="C26" s="74">
        <v>2.2599999999999999E-3</v>
      </c>
      <c r="D26" s="73"/>
      <c r="E26" s="73"/>
      <c r="F26" s="73"/>
      <c r="G26" s="74">
        <f t="shared" si="0"/>
        <v>2.2599999999999999E-3</v>
      </c>
      <c r="I26" s="73"/>
    </row>
    <row r="27" spans="1:9" x14ac:dyDescent="0.3">
      <c r="A27" s="66">
        <f t="shared" si="1"/>
        <v>-8</v>
      </c>
      <c r="B27" s="60" t="s">
        <v>112</v>
      </c>
      <c r="C27" s="74">
        <v>3.0000000000000001E-5</v>
      </c>
      <c r="D27" s="73"/>
      <c r="E27" s="73"/>
      <c r="F27" s="73"/>
      <c r="G27" s="74">
        <f t="shared" si="0"/>
        <v>3.0000000000000001E-5</v>
      </c>
      <c r="I27" s="73"/>
    </row>
    <row r="28" spans="1:9" x14ac:dyDescent="0.3">
      <c r="A28" s="66">
        <f t="shared" si="1"/>
        <v>-9</v>
      </c>
      <c r="B28" s="60" t="s">
        <v>113</v>
      </c>
      <c r="C28" s="74">
        <v>5.1000000000000004E-4</v>
      </c>
      <c r="D28" s="73"/>
      <c r="E28" s="73"/>
      <c r="F28" s="73"/>
      <c r="G28" s="74">
        <f t="shared" si="0"/>
        <v>5.1000000000000004E-4</v>
      </c>
      <c r="I28" s="73"/>
    </row>
    <row r="29" spans="1:9" x14ac:dyDescent="0.3">
      <c r="A29" s="66">
        <f t="shared" si="1"/>
        <v>-10</v>
      </c>
      <c r="B29" s="60" t="s">
        <v>114</v>
      </c>
      <c r="C29" s="74">
        <v>0</v>
      </c>
      <c r="D29" s="73"/>
      <c r="E29" s="73"/>
      <c r="F29" s="73"/>
      <c r="G29" s="74">
        <f t="shared" si="0"/>
        <v>0</v>
      </c>
      <c r="I29" s="73"/>
    </row>
    <row r="30" spans="1:9" x14ac:dyDescent="0.3">
      <c r="A30" s="66">
        <f>A29-1</f>
        <v>-11</v>
      </c>
      <c r="B30" s="60" t="s">
        <v>115</v>
      </c>
      <c r="C30" s="74">
        <v>1.2999999999999999E-4</v>
      </c>
      <c r="D30" s="73"/>
      <c r="E30" s="73"/>
      <c r="F30" s="73"/>
      <c r="G30" s="74">
        <f t="shared" si="0"/>
        <v>1.2999999999999999E-4</v>
      </c>
      <c r="I30" s="73"/>
    </row>
    <row r="31" spans="1:9" x14ac:dyDescent="0.3">
      <c r="A31" s="66">
        <f t="shared" si="1"/>
        <v>-12</v>
      </c>
      <c r="B31" s="60" t="s">
        <v>116</v>
      </c>
      <c r="C31" s="74">
        <v>0</v>
      </c>
      <c r="D31" s="73"/>
      <c r="E31" s="73"/>
      <c r="F31" s="73"/>
      <c r="G31" s="74">
        <f t="shared" si="0"/>
        <v>0</v>
      </c>
      <c r="I31" s="73"/>
    </row>
    <row r="32" spans="1:9" x14ac:dyDescent="0.3">
      <c r="A32" s="66">
        <f t="shared" si="1"/>
        <v>-13</v>
      </c>
      <c r="B32" s="60" t="s">
        <v>117</v>
      </c>
      <c r="C32" s="74">
        <v>4.4000000000000002E-4</v>
      </c>
      <c r="D32" s="73"/>
      <c r="E32" s="73"/>
      <c r="F32" s="73"/>
      <c r="G32" s="74">
        <f t="shared" si="0"/>
        <v>4.4000000000000002E-4</v>
      </c>
      <c r="I32" s="73"/>
    </row>
    <row r="33" spans="1:9" x14ac:dyDescent="0.3">
      <c r="A33" s="66">
        <f t="shared" si="1"/>
        <v>-14</v>
      </c>
      <c r="B33" s="60" t="s">
        <v>118</v>
      </c>
      <c r="C33" s="74">
        <v>1.4400000000000001E-3</v>
      </c>
      <c r="D33" s="73"/>
      <c r="E33" s="73"/>
      <c r="F33" s="73"/>
      <c r="G33" s="74">
        <f t="shared" si="0"/>
        <v>1.4400000000000001E-3</v>
      </c>
      <c r="I33" s="73"/>
    </row>
    <row r="34" spans="1:9" x14ac:dyDescent="0.3">
      <c r="A34" s="66">
        <f t="shared" si="1"/>
        <v>-15</v>
      </c>
      <c r="B34" s="60" t="s">
        <v>119</v>
      </c>
      <c r="C34" s="74">
        <v>1.98E-3</v>
      </c>
      <c r="D34" s="73"/>
      <c r="E34" s="73"/>
      <c r="F34" s="73"/>
      <c r="G34" s="74">
        <f t="shared" si="0"/>
        <v>1.98E-3</v>
      </c>
      <c r="I34" s="73"/>
    </row>
    <row r="35" spans="1:9" x14ac:dyDescent="0.3">
      <c r="A35" s="66">
        <f t="shared" si="1"/>
        <v>-16</v>
      </c>
      <c r="B35" s="60" t="s">
        <v>120</v>
      </c>
      <c r="C35" s="75">
        <v>2.7E-4</v>
      </c>
      <c r="D35" s="73"/>
      <c r="E35" s="73"/>
      <c r="F35" s="73"/>
      <c r="G35" s="75">
        <f t="shared" si="0"/>
        <v>2.7E-4</v>
      </c>
      <c r="I35" s="73"/>
    </row>
    <row r="36" spans="1:9" x14ac:dyDescent="0.3">
      <c r="A36" s="66">
        <f t="shared" si="1"/>
        <v>-17</v>
      </c>
      <c r="B36" s="60" t="s">
        <v>121</v>
      </c>
      <c r="C36" s="74">
        <f>SUM(C21:C35)</f>
        <v>8.4319999999999992E-2</v>
      </c>
      <c r="D36" s="73">
        <f>ROUND(C36*1127,2)</f>
        <v>95.03</v>
      </c>
      <c r="E36" s="73">
        <f>ROUND(C36*3341,2)</f>
        <v>281.70999999999998</v>
      </c>
      <c r="F36" s="73"/>
      <c r="G36" s="74">
        <f>SUM(G21:G35)</f>
        <v>4.2230000000000004E-2</v>
      </c>
      <c r="H36" s="73">
        <f>ROUND(G36*1127,2)</f>
        <v>47.59</v>
      </c>
      <c r="I36" s="73">
        <f>ROUND(G36*3341,2)</f>
        <v>141.09</v>
      </c>
    </row>
    <row r="37" spans="1:9" x14ac:dyDescent="0.3">
      <c r="A37" s="60"/>
      <c r="B37" s="60"/>
      <c r="C37" s="74"/>
      <c r="D37" s="73"/>
      <c r="E37" s="73"/>
      <c r="F37" s="73"/>
      <c r="G37" s="74"/>
      <c r="I37" s="73"/>
    </row>
    <row r="38" spans="1:9" x14ac:dyDescent="0.3">
      <c r="A38" s="66">
        <f>+A36-1</f>
        <v>-18</v>
      </c>
      <c r="B38" s="60" t="s">
        <v>122</v>
      </c>
      <c r="C38" s="74">
        <v>7.2899999999999996E-3</v>
      </c>
      <c r="D38" s="73">
        <f>ROUND(C38*1127,2)</f>
        <v>8.2200000000000006</v>
      </c>
      <c r="E38" s="73">
        <f>ROUND(C38*3341,2)</f>
        <v>24.36</v>
      </c>
      <c r="F38" s="73"/>
      <c r="G38" s="74">
        <f t="shared" ref="G38:G44" si="2">C38</f>
        <v>7.2899999999999996E-3</v>
      </c>
      <c r="H38" s="73">
        <f>ROUND(G38*1127,2)</f>
        <v>8.2200000000000006</v>
      </c>
      <c r="I38" s="73">
        <f>ROUND(G38*3341,2)</f>
        <v>24.36</v>
      </c>
    </row>
    <row r="39" spans="1:9" x14ac:dyDescent="0.3">
      <c r="A39" s="66">
        <f t="shared" ref="A39:A51" si="3">+A38-1</f>
        <v>-19</v>
      </c>
      <c r="B39" s="60" t="s">
        <v>123</v>
      </c>
      <c r="C39" s="74">
        <v>3.8000000000000002E-4</v>
      </c>
      <c r="D39" s="73">
        <f t="shared" ref="D39:D44" si="4">ROUND(C39*1127,2)</f>
        <v>0.43</v>
      </c>
      <c r="E39" s="73">
        <f t="shared" ref="E39:E44" si="5">ROUND(C39*3341,2)</f>
        <v>1.27</v>
      </c>
      <c r="F39" s="73"/>
      <c r="G39" s="74">
        <f t="shared" si="2"/>
        <v>3.8000000000000002E-4</v>
      </c>
      <c r="H39" s="73">
        <f t="shared" ref="H39:H44" si="6">ROUND(G39*1127,2)</f>
        <v>0.43</v>
      </c>
      <c r="I39" s="73">
        <f t="shared" ref="I39:I44" si="7">ROUND(G39*3341,2)</f>
        <v>1.27</v>
      </c>
    </row>
    <row r="40" spans="1:9" x14ac:dyDescent="0.3">
      <c r="A40" s="66">
        <f t="shared" si="3"/>
        <v>-20</v>
      </c>
      <c r="B40" s="60" t="s">
        <v>124</v>
      </c>
      <c r="C40" s="74">
        <v>-5.0000000000000001E-4</v>
      </c>
      <c r="D40" s="73">
        <f t="shared" si="4"/>
        <v>-0.56000000000000005</v>
      </c>
      <c r="E40" s="73">
        <f t="shared" si="5"/>
        <v>-1.67</v>
      </c>
      <c r="F40" s="73"/>
      <c r="G40" s="74">
        <f t="shared" si="2"/>
        <v>-5.0000000000000001E-4</v>
      </c>
      <c r="H40" s="73">
        <f t="shared" si="6"/>
        <v>-0.56000000000000005</v>
      </c>
      <c r="I40" s="73">
        <f t="shared" si="7"/>
        <v>-1.67</v>
      </c>
    </row>
    <row r="41" spans="1:9" x14ac:dyDescent="0.3">
      <c r="A41" s="66">
        <f t="shared" si="3"/>
        <v>-21</v>
      </c>
      <c r="B41" s="60" t="s">
        <v>125</v>
      </c>
      <c r="C41" s="74">
        <v>4.1000000000000002E-2</v>
      </c>
      <c r="D41" s="73">
        <f t="shared" si="4"/>
        <v>46.21</v>
      </c>
      <c r="E41" s="73">
        <f t="shared" si="5"/>
        <v>136.97999999999999</v>
      </c>
      <c r="F41" s="73"/>
      <c r="G41" s="74">
        <f t="shared" si="2"/>
        <v>4.1000000000000002E-2</v>
      </c>
      <c r="H41" s="73">
        <f t="shared" si="6"/>
        <v>46.21</v>
      </c>
      <c r="I41" s="73">
        <f t="shared" si="7"/>
        <v>136.97999999999999</v>
      </c>
    </row>
    <row r="42" spans="1:9" x14ac:dyDescent="0.3">
      <c r="A42" s="66">
        <f t="shared" si="3"/>
        <v>-22</v>
      </c>
      <c r="B42" s="60" t="s">
        <v>126</v>
      </c>
      <c r="C42" s="74">
        <v>3.0249999999999999E-2</v>
      </c>
      <c r="D42" s="73">
        <f t="shared" si="4"/>
        <v>34.090000000000003</v>
      </c>
      <c r="E42" s="73">
        <f t="shared" si="5"/>
        <v>101.07</v>
      </c>
      <c r="F42" s="73"/>
      <c r="G42" s="74">
        <f t="shared" si="2"/>
        <v>3.0249999999999999E-2</v>
      </c>
      <c r="H42" s="73">
        <f t="shared" si="6"/>
        <v>34.090000000000003</v>
      </c>
      <c r="I42" s="73">
        <f t="shared" si="7"/>
        <v>101.07</v>
      </c>
    </row>
    <row r="43" spans="1:9" x14ac:dyDescent="0.3">
      <c r="A43" s="66">
        <f t="shared" si="3"/>
        <v>-23</v>
      </c>
      <c r="B43" s="60" t="s">
        <v>127</v>
      </c>
      <c r="C43" s="74">
        <v>1.7670000000000002E-2</v>
      </c>
      <c r="D43" s="73">
        <f t="shared" si="4"/>
        <v>19.91</v>
      </c>
      <c r="E43" s="73">
        <f t="shared" si="5"/>
        <v>59.04</v>
      </c>
      <c r="F43" s="73"/>
      <c r="G43" s="74">
        <f t="shared" si="2"/>
        <v>1.7670000000000002E-2</v>
      </c>
      <c r="H43" s="73">
        <f t="shared" si="6"/>
        <v>19.91</v>
      </c>
      <c r="I43" s="73">
        <f t="shared" si="7"/>
        <v>59.04</v>
      </c>
    </row>
    <row r="44" spans="1:9" x14ac:dyDescent="0.3">
      <c r="A44" s="66">
        <f>+A42-1</f>
        <v>-23</v>
      </c>
      <c r="B44" s="70" t="s">
        <v>128</v>
      </c>
      <c r="C44" s="74">
        <v>5.0000000000000001E-4</v>
      </c>
      <c r="D44" s="76">
        <f t="shared" si="4"/>
        <v>0.56000000000000005</v>
      </c>
      <c r="E44" s="76">
        <f t="shared" si="5"/>
        <v>1.67</v>
      </c>
      <c r="F44" s="76"/>
      <c r="G44" s="74">
        <f t="shared" si="2"/>
        <v>5.0000000000000001E-4</v>
      </c>
      <c r="H44" s="76">
        <f t="shared" si="6"/>
        <v>0.56000000000000005</v>
      </c>
      <c r="I44" s="76">
        <f t="shared" si="7"/>
        <v>1.67</v>
      </c>
    </row>
    <row r="45" spans="1:9" x14ac:dyDescent="0.3">
      <c r="A45" s="66">
        <f t="shared" si="3"/>
        <v>-24</v>
      </c>
      <c r="B45" s="60" t="s">
        <v>129</v>
      </c>
      <c r="C45" s="60"/>
      <c r="D45" s="77">
        <f>SUM(D20:D44)</f>
        <v>213.89000000000001</v>
      </c>
      <c r="E45" s="77">
        <f>SUM(E20:E44)</f>
        <v>614.42999999999995</v>
      </c>
      <c r="F45" s="77"/>
      <c r="G45" s="74"/>
      <c r="H45" s="77">
        <f>SUM(H20:H44)</f>
        <v>166.45000000000002</v>
      </c>
      <c r="I45" s="77">
        <f>SUM(I20:I44)</f>
        <v>473.81</v>
      </c>
    </row>
    <row r="46" spans="1:9" x14ac:dyDescent="0.3">
      <c r="A46" s="66"/>
      <c r="B46" s="60"/>
      <c r="C46" s="60"/>
      <c r="D46" s="77"/>
      <c r="E46" s="77"/>
      <c r="F46" s="77"/>
      <c r="G46" s="74"/>
      <c r="I46" s="77"/>
    </row>
    <row r="47" spans="1:9" x14ac:dyDescent="0.3">
      <c r="A47" s="66"/>
      <c r="B47" s="72" t="s">
        <v>130</v>
      </c>
      <c r="C47" s="60"/>
      <c r="D47" s="60"/>
      <c r="E47" s="60"/>
      <c r="F47" s="60"/>
      <c r="G47" s="74"/>
      <c r="I47" s="60"/>
    </row>
    <row r="48" spans="1:9" x14ac:dyDescent="0.3">
      <c r="A48" s="66">
        <f>+A45-1</f>
        <v>-25</v>
      </c>
      <c r="B48" s="60" t="s">
        <v>131</v>
      </c>
      <c r="C48" s="74">
        <v>0.15142</v>
      </c>
      <c r="D48" s="73"/>
      <c r="E48" s="73"/>
      <c r="F48" s="73"/>
      <c r="G48" s="74">
        <f>C48</f>
        <v>0.15142</v>
      </c>
      <c r="I48" s="73"/>
    </row>
    <row r="49" spans="1:9" x14ac:dyDescent="0.3">
      <c r="A49" s="66">
        <f t="shared" si="3"/>
        <v>-26</v>
      </c>
      <c r="B49" s="60" t="s">
        <v>132</v>
      </c>
      <c r="C49" s="74">
        <v>8.8699999999999994E-3</v>
      </c>
      <c r="D49" s="73"/>
      <c r="E49" s="73"/>
      <c r="F49" s="73"/>
      <c r="G49" s="74">
        <f>C49</f>
        <v>8.8699999999999994E-3</v>
      </c>
      <c r="I49" s="73"/>
    </row>
    <row r="50" spans="1:9" x14ac:dyDescent="0.3">
      <c r="A50" s="66">
        <f t="shared" si="3"/>
        <v>-27</v>
      </c>
      <c r="B50" s="70" t="s">
        <v>133</v>
      </c>
      <c r="C50" s="75">
        <v>0</v>
      </c>
      <c r="D50" s="76"/>
      <c r="E50" s="76"/>
      <c r="F50" s="76"/>
      <c r="G50" s="74">
        <f>C50</f>
        <v>0</v>
      </c>
      <c r="I50" s="76"/>
    </row>
    <row r="51" spans="1:9" x14ac:dyDescent="0.3">
      <c r="A51" s="66">
        <f t="shared" si="3"/>
        <v>-28</v>
      </c>
      <c r="B51" s="60" t="s">
        <v>134</v>
      </c>
      <c r="C51" s="78">
        <f>SUM(C48:C50)</f>
        <v>0.16028999999999999</v>
      </c>
      <c r="D51" s="76">
        <f>ROUND(C51*1127,2)</f>
        <v>180.65</v>
      </c>
      <c r="E51" s="76">
        <f>ROUND(C51*3341,2)</f>
        <v>535.53</v>
      </c>
      <c r="F51" s="76"/>
      <c r="G51" s="74">
        <f>C51</f>
        <v>0.16028999999999999</v>
      </c>
      <c r="H51" s="76">
        <f>ROUND(G51*1127,2)</f>
        <v>180.65</v>
      </c>
      <c r="I51" s="76">
        <f>ROUND(G51*3341,2)</f>
        <v>535.53</v>
      </c>
    </row>
    <row r="52" spans="1:9" ht="15.5" x14ac:dyDescent="0.3">
      <c r="A52" s="66"/>
      <c r="B52" s="60"/>
      <c r="C52" s="78"/>
      <c r="D52" s="79"/>
      <c r="E52" s="79"/>
      <c r="F52" s="79"/>
      <c r="G52" s="79"/>
      <c r="H52" s="79"/>
      <c r="I52" s="79"/>
    </row>
    <row r="53" spans="1:9" x14ac:dyDescent="0.3">
      <c r="A53" s="66">
        <f>+A51-1</f>
        <v>-29</v>
      </c>
      <c r="B53" s="60" t="s">
        <v>135</v>
      </c>
      <c r="C53" s="60"/>
      <c r="D53" s="73">
        <f>D45+D51</f>
        <v>394.54</v>
      </c>
      <c r="E53" s="73">
        <f>E45+E51</f>
        <v>1149.96</v>
      </c>
      <c r="F53" s="73"/>
      <c r="G53" s="73"/>
      <c r="H53" s="73">
        <f>H45+H51</f>
        <v>347.1</v>
      </c>
      <c r="I53" s="73">
        <f>I45+I51</f>
        <v>1009.3399999999999</v>
      </c>
    </row>
    <row r="54" spans="1:9" x14ac:dyDescent="0.3">
      <c r="A54" s="60"/>
      <c r="B54" s="60"/>
      <c r="C54" s="60"/>
      <c r="D54" s="80"/>
      <c r="E54" s="80"/>
      <c r="F54" s="80"/>
      <c r="G54" s="80"/>
      <c r="H54" s="80"/>
      <c r="I54" s="80"/>
    </row>
    <row r="55" spans="1:9" x14ac:dyDescent="0.3">
      <c r="A55" s="66">
        <f>A53-1</f>
        <v>-30</v>
      </c>
      <c r="B55" s="60" t="s">
        <v>136</v>
      </c>
      <c r="C55" s="81">
        <v>0.32</v>
      </c>
      <c r="D55" s="82">
        <f>D53*C55</f>
        <v>126.25280000000001</v>
      </c>
      <c r="E55" s="82">
        <f>E53*C55</f>
        <v>367.98720000000003</v>
      </c>
      <c r="F55" s="82"/>
      <c r="G55" s="82"/>
      <c r="H55" s="82">
        <f>H53*C55</f>
        <v>111.072</v>
      </c>
      <c r="I55" s="82">
        <f>I53*C55</f>
        <v>322.98879999999997</v>
      </c>
    </row>
    <row r="56" spans="1:9" x14ac:dyDescent="0.3">
      <c r="A56" s="83"/>
      <c r="B56" s="60"/>
      <c r="C56" s="60"/>
      <c r="D56" s="80"/>
      <c r="E56" s="80"/>
      <c r="F56" s="80"/>
      <c r="G56" s="80"/>
      <c r="H56" s="80"/>
      <c r="I56" s="80"/>
    </row>
    <row r="57" spans="1:9" x14ac:dyDescent="0.3">
      <c r="A57" s="66">
        <f>A55-1</f>
        <v>-31</v>
      </c>
      <c r="B57" s="60" t="s">
        <v>137</v>
      </c>
      <c r="C57" s="60"/>
      <c r="D57" s="84">
        <f>D53-D55</f>
        <v>268.28719999999998</v>
      </c>
      <c r="E57" s="84">
        <f>E53-E55</f>
        <v>781.97280000000001</v>
      </c>
      <c r="F57" s="84"/>
      <c r="G57" s="84"/>
      <c r="H57" s="84">
        <f>H53-H55</f>
        <v>236.02800000000002</v>
      </c>
      <c r="I57" s="84">
        <f>I53-I55</f>
        <v>686.35119999999995</v>
      </c>
    </row>
    <row r="58" spans="1:9" x14ac:dyDescent="0.3">
      <c r="A58" s="60"/>
      <c r="B58" s="60"/>
      <c r="C58" s="60"/>
      <c r="D58" s="73"/>
      <c r="E58" s="73"/>
      <c r="F58" s="73"/>
      <c r="G58" s="73"/>
    </row>
    <row r="59" spans="1:9" x14ac:dyDescent="0.3">
      <c r="A59" s="65" t="str">
        <f>+C17</f>
        <v>(a)</v>
      </c>
      <c r="B59" s="85" t="s">
        <v>138</v>
      </c>
      <c r="C59" s="74"/>
      <c r="D59" s="60"/>
      <c r="E59" s="60"/>
      <c r="F59" s="60"/>
      <c r="G59" s="60"/>
    </row>
    <row r="60" spans="1:9" x14ac:dyDescent="0.3">
      <c r="A60" s="65" t="s">
        <v>139</v>
      </c>
      <c r="B60" s="85" t="s">
        <v>140</v>
      </c>
      <c r="C60" s="75"/>
      <c r="D60" s="60"/>
      <c r="E60" s="60"/>
      <c r="F60" s="60"/>
      <c r="G60" s="60"/>
    </row>
    <row r="61" spans="1:9" x14ac:dyDescent="0.3">
      <c r="A61" s="65" t="s">
        <v>139</v>
      </c>
      <c r="B61" s="85" t="s">
        <v>141</v>
      </c>
    </row>
    <row r="62" spans="1:9" x14ac:dyDescent="0.3">
      <c r="A62" s="65" t="s">
        <v>139</v>
      </c>
      <c r="B62" s="85" t="s">
        <v>142</v>
      </c>
    </row>
    <row r="63" spans="1:9" x14ac:dyDescent="0.3">
      <c r="A63" s="65" t="s">
        <v>139</v>
      </c>
      <c r="B63" s="85" t="s">
        <v>143</v>
      </c>
    </row>
    <row r="64" spans="1:9" x14ac:dyDescent="0.3">
      <c r="A64" s="65" t="s">
        <v>139</v>
      </c>
      <c r="B64" s="85" t="s">
        <v>144</v>
      </c>
    </row>
    <row r="65" spans="1:2" x14ac:dyDescent="0.3">
      <c r="A65" s="65" t="s">
        <v>139</v>
      </c>
      <c r="B65" s="62" t="s">
        <v>145</v>
      </c>
    </row>
    <row r="66" spans="1:2" x14ac:dyDescent="0.3">
      <c r="A66" s="65" t="s">
        <v>44</v>
      </c>
      <c r="B66" s="62" t="s">
        <v>151</v>
      </c>
    </row>
    <row r="67" spans="1:2" x14ac:dyDescent="0.3">
      <c r="A67" s="65"/>
    </row>
  </sheetData>
  <mergeCells count="5">
    <mergeCell ref="C14:E14"/>
    <mergeCell ref="G14:I14"/>
    <mergeCell ref="A10:I10"/>
    <mergeCell ref="A11:I11"/>
    <mergeCell ref="A12:I12"/>
  </mergeCells>
  <pageMargins left="0.7" right="0.7" top="0.75" bottom="0.75" header="0.3" footer="0.3"/>
  <pageSetup scale="3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556A82D1C367479E6F3647F6A59E84" ma:contentTypeVersion="14" ma:contentTypeDescription="Create a new document." ma:contentTypeScope="" ma:versionID="9bad8163c5e5096c0ccbf8d84f6e9d03">
  <xsd:schema xmlns:xsd="http://www.w3.org/2001/XMLSchema" xmlns:xs="http://www.w3.org/2001/XMLSchema" xmlns:p="http://schemas.microsoft.com/office/2006/metadata/properties" xmlns:ns2="1d10f1b3-1065-4ea4-aab1-2e8b03ceb568" xmlns:ns3="19fe652e-7761-4f76-8158-5a396de068a1" targetNamespace="http://schemas.microsoft.com/office/2006/metadata/properties" ma:root="true" ma:fieldsID="a0a570ca6c00449d3e33b93f05c5d1ef" ns2:_="" ns3:_="">
    <xsd:import namespace="1d10f1b3-1065-4ea4-aab1-2e8b03ceb568"/>
    <xsd:import namespace="19fe652e-7761-4f76-8158-5a396de068a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0f1b3-1065-4ea4-aab1-2e8b03ceb5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91b617c-7c0f-4de2-8257-a19a5fb9e20e}" ma:internalName="TaxCatchAll" ma:showField="CatchAllData" ma:web="1d10f1b3-1065-4ea4-aab1-2e8b03ceb5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e652e-7761-4f76-8158-5a396de06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571c05a-9bf0-4b0b-ad97-e13aed49ba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10f1b3-1065-4ea4-aab1-2e8b03ceb568" xsi:nil="true"/>
    <lcf76f155ced4ddcb4097134ff3c332f xmlns="19fe652e-7761-4f76-8158-5a396de068a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8C2930-3EBD-459F-807B-01A16D4140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10f1b3-1065-4ea4-aab1-2e8b03ceb568"/>
    <ds:schemaRef ds:uri="19fe652e-7761-4f76-8158-5a396de068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06AA56-9C17-40DD-A7D4-FDC3F3AAA0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22D9AA-32C8-4E75-A1BC-507885B83117}">
  <ds:schemaRefs>
    <ds:schemaRef ds:uri="http://schemas.microsoft.com/office/2006/metadata/properties"/>
    <ds:schemaRef ds:uri="http://schemas.microsoft.com/office/infopath/2007/PartnerControls"/>
    <ds:schemaRef ds:uri="1d10f1b3-1065-4ea4-aab1-2e8b03ceb568"/>
    <ds:schemaRef ds:uri="19fe652e-7761-4f76-8158-5a396de068a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R-1_R-2_Heat-Pump Rate</vt:lpstr>
      <vt:lpstr>R-1 Factor &amp; Bill Impacts</vt:lpstr>
      <vt:lpstr>R-2 Factor &amp; Bill Impacts</vt:lpstr>
      <vt:lpstr>Resi Typical Bill (3 Ton HP)</vt:lpstr>
      <vt:lpstr>Resi Typical Bill (5 Ton HP)</vt:lpstr>
      <vt:lpstr>'R-1 Factor &amp; Bill Impacts'!Print_Area</vt:lpstr>
      <vt:lpstr>'R-1_R-2_Heat-Pump Rate'!Print_Area</vt:lpstr>
      <vt:lpstr>'R-2 Factor &amp; Bill Impacts'!Print_Area</vt:lpstr>
      <vt:lpstr>'Resi Typical Bill (3 Ton HP)'!Print_Area</vt:lpstr>
      <vt:lpstr>'Resi Typical Bill (5 Ton HP)'!Print_Area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 Mancinelli</dc:creator>
  <cp:keywords/>
  <dc:description/>
  <cp:lastModifiedBy>Robert Humm</cp:lastModifiedBy>
  <cp:revision/>
  <dcterms:created xsi:type="dcterms:W3CDTF">2024-11-25T16:46:30Z</dcterms:created>
  <dcterms:modified xsi:type="dcterms:W3CDTF">2024-12-30T01:28:53Z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0x01010025556A82D1C367479E6F3647F6A59E84</vt:lpwstr>
  </property>
  <property fmtid="{D5CDD505-2E9C-101B-9397-08002B2CF9AE}" pid="3" name="MediaServiceImageTags">
    <vt:lpwstr/>
  </property>
</Properties>
</file>