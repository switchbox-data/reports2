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berdrolaus-my.sharepoint.com/personal/richard_hevey_avangrid_com/Documents/Documents/"/>
    </mc:Choice>
  </mc:AlternateContent>
  <xr:revisionPtr revIDLastSave="0" documentId="8_{B7B40F2A-069E-415F-B3FA-6D3806AC2A91}" xr6:coauthVersionLast="45" xr6:coauthVersionMax="45" xr10:uidLastSave="{00000000-0000-0000-0000-000000000000}"/>
  <bookViews>
    <workbookView xWindow="-120" yWindow="-120" windowWidth="25440" windowHeight="15390" firstSheet="2" activeTab="2" xr2:uid="{F99A393B-57D7-4B52-B317-FF9E0FE052C2}"/>
  </bookViews>
  <sheets>
    <sheet name="Rate A All Hours" sheetId="3" state="hidden" r:id="rId1"/>
    <sheet name="Res All Hours" sheetId="1" state="hidden" r:id="rId2"/>
    <sheet name="RES Bill Impacts T KWH" sheetId="2" r:id="rId3"/>
  </sheets>
  <externalReferences>
    <externalReference r:id="rId4"/>
    <externalReference r:id="rId5"/>
    <externalReference r:id="rId6"/>
    <externalReference r:id="rId7"/>
  </externalReferences>
  <definedNames>
    <definedName name="\A" localSheetId="0">#REF!</definedName>
    <definedName name="\A">#REF!</definedName>
    <definedName name="\B" localSheetId="0">#REF!</definedName>
    <definedName name="\B">#REF!</definedName>
    <definedName name="\D" localSheetId="0">#REF!</definedName>
    <definedName name="\D">#REF!</definedName>
    <definedName name="\E" localSheetId="0">#REF!</definedName>
    <definedName name="\E">#REF!</definedName>
    <definedName name="\J" localSheetId="0">#REF!</definedName>
    <definedName name="\J">#REF!</definedName>
    <definedName name="\o" localSheetId="0">#REF!</definedName>
    <definedName name="\o">#REF!</definedName>
    <definedName name="\P" localSheetId="0">#REF!</definedName>
    <definedName name="\P">#REF!</definedName>
    <definedName name="\S" localSheetId="0">#REF!</definedName>
    <definedName name="\S">#REF!</definedName>
    <definedName name="\T" localSheetId="0">#REF!</definedName>
    <definedName name="\T">#REF!</definedName>
    <definedName name="_10" localSheetId="0">#REF!</definedName>
    <definedName name="_10">#REF!</definedName>
    <definedName name="_11P1" localSheetId="0">#REF!</definedName>
    <definedName name="_11P1">#REF!</definedName>
    <definedName name="_11P2" localSheetId="0">#REF!</definedName>
    <definedName name="_11P2">#REF!</definedName>
    <definedName name="_11P3" localSheetId="0">#REF!</definedName>
    <definedName name="_11P3">#REF!</definedName>
    <definedName name="_16P1" localSheetId="0">#REF!</definedName>
    <definedName name="_16P1">#REF!</definedName>
    <definedName name="_16P2" localSheetId="0">#REF!</definedName>
    <definedName name="_16P2">#REF!</definedName>
    <definedName name="_17P1" localSheetId="0">#REF!</definedName>
    <definedName name="_17P1">#REF!</definedName>
    <definedName name="_17P2" localSheetId="0">#REF!</definedName>
    <definedName name="_17P2">#REF!</definedName>
    <definedName name="_17P3" localSheetId="0">#REF!</definedName>
    <definedName name="_17P3">#REF!</definedName>
    <definedName name="_17P4" localSheetId="0">#REF!</definedName>
    <definedName name="_17P4">#REF!</definedName>
    <definedName name="_17P5" localSheetId="0">#REF!</definedName>
    <definedName name="_17P5">#REF!</definedName>
    <definedName name="_18P1" localSheetId="0">#REF!</definedName>
    <definedName name="_18P1">#REF!</definedName>
    <definedName name="_18P2" localSheetId="0">#REF!</definedName>
    <definedName name="_18P2">#REF!</definedName>
    <definedName name="_19" localSheetId="0">#REF!</definedName>
    <definedName name="_19">#REF!</definedName>
    <definedName name="_1P1" localSheetId="0">#REF!</definedName>
    <definedName name="_1P1">#REF!</definedName>
    <definedName name="_1P2" localSheetId="0">#REF!</definedName>
    <definedName name="_1P2">#REF!</definedName>
    <definedName name="_1P3" localSheetId="0">#REF!</definedName>
    <definedName name="_1P3">#REF!</definedName>
    <definedName name="_20" localSheetId="0">#REF!</definedName>
    <definedName name="_20">#REF!</definedName>
    <definedName name="_21" localSheetId="0">#REF!</definedName>
    <definedName name="_21">#REF!</definedName>
    <definedName name="_22" localSheetId="0">#REF!</definedName>
    <definedName name="_22">#REF!</definedName>
    <definedName name="_2P1" localSheetId="0">#REF!</definedName>
    <definedName name="_2P1">#REF!</definedName>
    <definedName name="_2P2" localSheetId="0">#REF!</definedName>
    <definedName name="_2P2">#REF!</definedName>
    <definedName name="_3" localSheetId="0">#REF!</definedName>
    <definedName name="_3">#REF!</definedName>
    <definedName name="_4" localSheetId="0">#REF!</definedName>
    <definedName name="_4">#REF!</definedName>
    <definedName name="_5" localSheetId="0">#REF!</definedName>
    <definedName name="_5">#REF!</definedName>
    <definedName name="_6" localSheetId="0">#REF!</definedName>
    <definedName name="_6">#REF!</definedName>
    <definedName name="_7" localSheetId="0">#REF!</definedName>
    <definedName name="_7">#REF!</definedName>
    <definedName name="_8" localSheetId="0">#REF!</definedName>
    <definedName name="_8">#REF!</definedName>
    <definedName name="_9P1" localSheetId="0">#REF!</definedName>
    <definedName name="_9P1">#REF!</definedName>
    <definedName name="_9P2" localSheetId="0">#REF!</definedName>
    <definedName name="_9P2">#REF!</definedName>
    <definedName name="_9P3" localSheetId="0">#REF!</definedName>
    <definedName name="_9P3">#REF!</definedName>
    <definedName name="_9P4" localSheetId="0">#REF!</definedName>
    <definedName name="_9P4">#REF!</definedName>
    <definedName name="_Key1" localSheetId="0" hidden="1">#REF!</definedName>
    <definedName name="_Key1" localSheetId="2" hidden="1">#REF!</definedName>
    <definedName name="_Key1" hidden="1">#REF!</definedName>
    <definedName name="_Key2" localSheetId="0" hidden="1">#REF!</definedName>
    <definedName name="_Key2" localSheetId="2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localSheetId="2" hidden="1">#REF!</definedName>
    <definedName name="_Sort" hidden="1">#REF!</definedName>
    <definedName name="ALT_TRANS_INV" localSheetId="0">#REF!</definedName>
    <definedName name="ALT_TRANS_INV">#REF!</definedName>
    <definedName name="AMOUNTS" localSheetId="0">#REF!</definedName>
    <definedName name="AMOUNTS">#REF!</definedName>
    <definedName name="APRCURMOUNBILL" localSheetId="0">#REF!</definedName>
    <definedName name="APRCURMOUNBILL">#REF!</definedName>
    <definedName name="APRELPCREDITS" localSheetId="0">#REF!</definedName>
    <definedName name="APRELPCREDITS">#REF!</definedName>
    <definedName name="APRELPRECOV" localSheetId="0">#REF!</definedName>
    <definedName name="APRELPRECOV">#REF!</definedName>
    <definedName name="AUGCURMOUNBILL" localSheetId="0">#REF!</definedName>
    <definedName name="AUGCURMOUNBILL">#REF!</definedName>
    <definedName name="AUGELPCREDITS" localSheetId="0">#REF!</definedName>
    <definedName name="AUGELPCREDITS">#REF!</definedName>
    <definedName name="AUGELPRECOV" localSheetId="0">#REF!</definedName>
    <definedName name="AUGELPRECOV">#REF!</definedName>
    <definedName name="BGYRBAL" localSheetId="0">#REF!</definedName>
    <definedName name="BGYRBAL">#REF!</definedName>
    <definedName name="CCCALC" localSheetId="0">#REF!</definedName>
    <definedName name="CCCALC">#REF!</definedName>
    <definedName name="Central_Maine_Power_Company" localSheetId="0">#REF!</definedName>
    <definedName name="Central_Maine_Power_Company">#REF!</definedName>
    <definedName name="CEP" localSheetId="0">#REF!</definedName>
    <definedName name="CEP">#REF!</definedName>
    <definedName name="CSHWRKCP" localSheetId="0">#REF!</definedName>
    <definedName name="CSHWRKCP">#REF!</definedName>
    <definedName name="CUST_SRV_INF_WT" localSheetId="0">#REF!</definedName>
    <definedName name="CUST_SRV_INF_WT">#REF!</definedName>
    <definedName name="DATEHEADERS" localSheetId="0">#REF!</definedName>
    <definedName name="DATEHEADERS">#REF!</definedName>
    <definedName name="DECCURMOUNBILL" localSheetId="0">#REF!</definedName>
    <definedName name="DECCURMOUNBILL">#REF!</definedName>
    <definedName name="DECELPCREDITS" localSheetId="0">#REF!</definedName>
    <definedName name="DECELPCREDITS">#REF!</definedName>
    <definedName name="DECELPRECOV" localSheetId="0">#REF!</definedName>
    <definedName name="DECELPRECOV">#REF!</definedName>
    <definedName name="DELOSS" localSheetId="0">#REF!</definedName>
    <definedName name="DELOSS">#REF!</definedName>
    <definedName name="DEMDLOSS" localSheetId="0">#REF!</definedName>
    <definedName name="DEMDLOSS">#REF!</definedName>
    <definedName name="DEMDLOSS_Q1" localSheetId="0">#REF!</definedName>
    <definedName name="DEMDLOSS_Q1">#REF!</definedName>
    <definedName name="DEMDLOSS_Q2" localSheetId="0">#REF!</definedName>
    <definedName name="DEMDLOSS_Q2">#REF!</definedName>
    <definedName name="DEMDLOSS_Q3" localSheetId="0">#REF!</definedName>
    <definedName name="DEMDLOSS_Q3">#REF!</definedName>
    <definedName name="DEMDLOSS_Q4" localSheetId="0">#REF!</definedName>
    <definedName name="DEMDLOSS_Q4">#REF!</definedName>
    <definedName name="DFAC_INV_RES" localSheetId="0">#REF!</definedName>
    <definedName name="DFAC_INV_RES">#REF!</definedName>
    <definedName name="DFAC_INV_RES_SRC" localSheetId="0">#REF!</definedName>
    <definedName name="DFAC_INV_RES_SRC">#REF!</definedName>
    <definedName name="dupesheet" localSheetId="0">#REF!</definedName>
    <definedName name="dupesheet">#REF!</definedName>
    <definedName name="ECC" localSheetId="0">#REF!</definedName>
    <definedName name="ECC">#REF!</definedName>
    <definedName name="ECCINFLATION" localSheetId="0">#REF!</definedName>
    <definedName name="ECCINFLATION">#REF!</definedName>
    <definedName name="ELOSS" localSheetId="0">#REF!</definedName>
    <definedName name="ELOSS">#REF!</definedName>
    <definedName name="ENTRY" localSheetId="0">#REF!</definedName>
    <definedName name="ENTRY">#REF!</definedName>
    <definedName name="FEBCURMOUNBILL" localSheetId="0">#REF!</definedName>
    <definedName name="FEBCURMOUNBILL">#REF!</definedName>
    <definedName name="FEBELPCREDITS" localSheetId="0">#REF!</definedName>
    <definedName name="FEBELPCREDITS">#REF!</definedName>
    <definedName name="FEBELPRECOV" localSheetId="0">#REF!</definedName>
    <definedName name="FEBELPRECOV">#REF!</definedName>
    <definedName name="FUELGEN" localSheetId="0">#REF!</definedName>
    <definedName name="FUELGEN">#REF!</definedName>
    <definedName name="FUELSTOCK" localSheetId="0">#REF!</definedName>
    <definedName name="FUELSTOCK">#REF!</definedName>
    <definedName name="header" localSheetId="0">#REF!</definedName>
    <definedName name="header">#REF!</definedName>
    <definedName name="INPUT" localSheetId="0">#REF!</definedName>
    <definedName name="INPUT">#REF!</definedName>
    <definedName name="JANCURMOUNBILL" localSheetId="0">#REF!</definedName>
    <definedName name="JANCURMOUNBILL">#REF!</definedName>
    <definedName name="JANELPCREDITS" localSheetId="0">#REF!</definedName>
    <definedName name="JANELPCREDITS">#REF!</definedName>
    <definedName name="JANELPRECOV" localSheetId="0">#REF!</definedName>
    <definedName name="JANELPRECOV">#REF!</definedName>
    <definedName name="JE" localSheetId="0">#REF!</definedName>
    <definedName name="JE">#REF!</definedName>
    <definedName name="JOURENTRY" localSheetId="0">#REF!</definedName>
    <definedName name="JOURENTRY">#REF!</definedName>
    <definedName name="JULCURMOUNBILL" localSheetId="0">#REF!</definedName>
    <definedName name="JULCURMOUNBILL">#REF!</definedName>
    <definedName name="JULELPCREDITS" localSheetId="0">#REF!</definedName>
    <definedName name="JULELPCREDITS">#REF!</definedName>
    <definedName name="JULELPRECOV" localSheetId="0">#REF!</definedName>
    <definedName name="JULELPRECOV">#REF!</definedName>
    <definedName name="JUNCURMOUNBILL" localSheetId="0">#REF!</definedName>
    <definedName name="JUNCURMOUNBILL">#REF!</definedName>
    <definedName name="JUNELPCREDITS" localSheetId="0">#REF!</definedName>
    <definedName name="JUNELPCREDITS">#REF!</definedName>
    <definedName name="JUNELPRECOV" localSheetId="0">#REF!</definedName>
    <definedName name="JUNELPRECOV">#REF!</definedName>
    <definedName name="LOCAL_MYSQL_DATE_FORMAT" localSheetId="0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2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LHRAT">#REF!</definedName>
    <definedName name="MARCURMOUNBILL" localSheetId="0">#REF!</definedName>
    <definedName name="MARCURMOUNBILL">#REF!</definedName>
    <definedName name="MARELPCREDITS" localSheetId="0">#REF!</definedName>
    <definedName name="MARELPCREDITS">#REF!</definedName>
    <definedName name="MARELPRECOV" localSheetId="0">#REF!</definedName>
    <definedName name="MARELPRECOV">#REF!</definedName>
    <definedName name="MAYCURMOUNBILL" localSheetId="0">#REF!</definedName>
    <definedName name="MAYCURMOUNBILL">#REF!</definedName>
    <definedName name="MAYELPCREDITS" localSheetId="0">#REF!</definedName>
    <definedName name="MAYELPCREDITS">#REF!</definedName>
    <definedName name="MAYELPRECOV" localSheetId="0">#REF!</definedName>
    <definedName name="MAYELPRECOV">#REF!</definedName>
    <definedName name="METERO_M" localSheetId="0">#REF!</definedName>
    <definedName name="METERO_M">#REF!</definedName>
    <definedName name="METERWGT" localSheetId="0">#REF!</definedName>
    <definedName name="METERWGT">#REF!</definedName>
    <definedName name="MO" localSheetId="0">#REF!</definedName>
    <definedName name="MO">#REF!</definedName>
    <definedName name="MONTH" localSheetId="0">#REF!</definedName>
    <definedName name="MONTH">#REF!</definedName>
    <definedName name="NAMETABLE" localSheetId="0">#REF!</definedName>
    <definedName name="NAMETABLE">#REF!</definedName>
    <definedName name="NOVCURMOUNBILL" localSheetId="0">#REF!</definedName>
    <definedName name="NOVCURMOUNBILL">#REF!</definedName>
    <definedName name="NOVELPCREDITS" localSheetId="0">#REF!</definedName>
    <definedName name="NOVELPCREDITS">#REF!</definedName>
    <definedName name="NOVELPRECOV" localSheetId="0">#REF!</definedName>
    <definedName name="NOVELPRECOV">#REF!</definedName>
    <definedName name="OCTCURMOUNBILL" localSheetId="0">#REF!</definedName>
    <definedName name="OCTCURMOUNBILL">#REF!</definedName>
    <definedName name="OCTELPCREDITS" localSheetId="0">#REF!</definedName>
    <definedName name="OCTELPCREDITS">#REF!</definedName>
    <definedName name="OCTELPRECOV" localSheetId="0">#REF!</definedName>
    <definedName name="OCTELPRECOV">#REF!</definedName>
    <definedName name="PERIOD1" localSheetId="0">#REF!</definedName>
    <definedName name="PERIOD1">#REF!</definedName>
    <definedName name="PERIOD2" localSheetId="0">#REF!</definedName>
    <definedName name="PERIOD2">#REF!</definedName>
    <definedName name="PERIOD3" localSheetId="0">#REF!</definedName>
    <definedName name="PERIOD3">#REF!</definedName>
    <definedName name="PERIOD4" localSheetId="0">#REF!</definedName>
    <definedName name="PERIOD4">#REF!</definedName>
    <definedName name="PERIOD5" localSheetId="0">#REF!</definedName>
    <definedName name="PERIOD5">#REF!</definedName>
    <definedName name="prueba">'[1]REVREQ-VL'!$A$1:$O$47</definedName>
    <definedName name="SCHED10" localSheetId="0">#REF!</definedName>
    <definedName name="SCHED10">#REF!</definedName>
    <definedName name="SCHED11P1" localSheetId="0">#REF!</definedName>
    <definedName name="SCHED11P1">#REF!</definedName>
    <definedName name="SCHED11P2" localSheetId="0">#REF!</definedName>
    <definedName name="SCHED11P2">#REF!</definedName>
    <definedName name="SCHED11P3" localSheetId="0">#REF!</definedName>
    <definedName name="SCHED11P3">#REF!</definedName>
    <definedName name="SCHED16P1" localSheetId="0">#REF!</definedName>
    <definedName name="SCHED16P1">#REF!</definedName>
    <definedName name="SCHED16P2" localSheetId="0">#REF!</definedName>
    <definedName name="SCHED16P2">#REF!</definedName>
    <definedName name="SCHED17P1" localSheetId="0">#REF!</definedName>
    <definedName name="SCHED17P1">#REF!</definedName>
    <definedName name="SCHED17P2" localSheetId="0">#REF!</definedName>
    <definedName name="SCHED17P2">#REF!</definedName>
    <definedName name="SCHED17P3" localSheetId="0">#REF!</definedName>
    <definedName name="SCHED17P3">#REF!</definedName>
    <definedName name="SCHED17P4" localSheetId="0">#REF!</definedName>
    <definedName name="SCHED17P4">#REF!</definedName>
    <definedName name="SCHED17P5" localSheetId="0">#REF!</definedName>
    <definedName name="SCHED17P5">#REF!</definedName>
    <definedName name="SCHED18P1" localSheetId="0">#REF!</definedName>
    <definedName name="SCHED18P1">#REF!</definedName>
    <definedName name="SCHED18P2" localSheetId="0">#REF!</definedName>
    <definedName name="SCHED18P2">#REF!</definedName>
    <definedName name="SCHED19" localSheetId="0">#REF!</definedName>
    <definedName name="SCHED19">#REF!</definedName>
    <definedName name="SCHED1P1" localSheetId="0">#REF!</definedName>
    <definedName name="SCHED1P1">#REF!</definedName>
    <definedName name="SCHED1P2" localSheetId="0">#REF!</definedName>
    <definedName name="SCHED1P2">#REF!</definedName>
    <definedName name="SCHED1P3" localSheetId="0">#REF!</definedName>
    <definedName name="SCHED1P3">#REF!</definedName>
    <definedName name="SCHED20" localSheetId="0">#REF!</definedName>
    <definedName name="SCHED20">#REF!</definedName>
    <definedName name="SCHED21" localSheetId="0">#REF!</definedName>
    <definedName name="SCHED21">#REF!</definedName>
    <definedName name="SCHED22" localSheetId="0">#REF!</definedName>
    <definedName name="SCHED22">#REF!</definedName>
    <definedName name="SCHED2P1" localSheetId="0">#REF!</definedName>
    <definedName name="SCHED2P1">#REF!</definedName>
    <definedName name="SCHED2P2" localSheetId="0">#REF!</definedName>
    <definedName name="SCHED2P2">#REF!</definedName>
    <definedName name="SCHED3" localSheetId="0">#REF!</definedName>
    <definedName name="SCHED3">#REF!</definedName>
    <definedName name="SCHED4" localSheetId="0">#REF!</definedName>
    <definedName name="SCHED4">#REF!</definedName>
    <definedName name="SCHED5" localSheetId="0">#REF!</definedName>
    <definedName name="SCHED5">#REF!</definedName>
    <definedName name="SCHED6" localSheetId="0">#REF!</definedName>
    <definedName name="SCHED6">#REF!</definedName>
    <definedName name="SCHED7" localSheetId="0">#REF!</definedName>
    <definedName name="SCHED7">#REF!</definedName>
    <definedName name="SCHED8" localSheetId="0">#REF!</definedName>
    <definedName name="SCHED8">#REF!</definedName>
    <definedName name="SCHED9P1" localSheetId="0">#REF!</definedName>
    <definedName name="SCHED9P1">#REF!</definedName>
    <definedName name="SCHED9P2" localSheetId="0">#REF!</definedName>
    <definedName name="SCHED9P2">#REF!</definedName>
    <definedName name="SCHED9P3" localSheetId="0">#REF!</definedName>
    <definedName name="SCHED9P3">#REF!</definedName>
    <definedName name="SCHED9P4" localSheetId="0">#REF!</definedName>
    <definedName name="SCHED9P4">#REF!</definedName>
    <definedName name="SEPCURMOUNBILL" localSheetId="0">#REF!</definedName>
    <definedName name="SEPCURMOUNBILL">#REF!</definedName>
    <definedName name="SEPELPCREDITS" localSheetId="0">#REF!</definedName>
    <definedName name="SEPELPCREDITS">#REF!</definedName>
    <definedName name="SEPELPRECOV" localSheetId="0">#REF!</definedName>
    <definedName name="SEPELPRECOV">#REF!</definedName>
    <definedName name="SUBO_M" localSheetId="0">#REF!</definedName>
    <definedName name="SUBO_M">#REF!</definedName>
    <definedName name="t" localSheetId="0">#REF!</definedName>
    <definedName name="t">#REF!</definedName>
    <definedName name="TRANOM" localSheetId="0">#REF!</definedName>
    <definedName name="TRANOM">#REF!</definedName>
    <definedName name="TRANS_BUDGT" localSheetId="0">#REF!</definedName>
    <definedName name="TRANS_BUDGT">#REF!</definedName>
    <definedName name="VAROM" localSheetId="0">#REF!</definedName>
    <definedName name="VAROM">#REF!</definedName>
    <definedName name="YRENDBAL" localSheetId="0">#REF!</definedName>
    <definedName name="YRENDBAL">#REF!</definedName>
    <definedName name="YTDELP" localSheetId="0">#REF!</definedName>
    <definedName name="YTDELP">#REF!</definedName>
    <definedName name="YTDUNBILLEDKWH" localSheetId="0">#REF!</definedName>
    <definedName name="YTDUNBILLEDKWH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R63" i="2" l="1"/>
  <c r="Q63" i="2"/>
  <c r="P63" i="2"/>
  <c r="O63" i="2"/>
  <c r="M63" i="2"/>
  <c r="L63" i="2"/>
  <c r="K63" i="2"/>
  <c r="J63" i="2"/>
  <c r="H63" i="2"/>
  <c r="G63" i="2"/>
  <c r="F63" i="2"/>
  <c r="E63" i="2"/>
  <c r="H13" i="2" l="1"/>
  <c r="G13" i="2"/>
  <c r="C37" i="3"/>
  <c r="D37" i="3" s="1"/>
  <c r="E37" i="3" s="1"/>
  <c r="E38" i="3" s="1"/>
  <c r="H31" i="3"/>
  <c r="F31" i="3"/>
  <c r="D21" i="3"/>
  <c r="F15" i="3"/>
  <c r="D13" i="3"/>
  <c r="C13" i="3"/>
  <c r="C15" i="3" s="1"/>
  <c r="E11" i="3"/>
  <c r="D11" i="3"/>
  <c r="C11" i="3"/>
  <c r="P10" i="3"/>
  <c r="C32" i="3" s="1"/>
  <c r="N10" i="3"/>
  <c r="J31" i="3" s="1"/>
  <c r="K13" i="2" s="1"/>
  <c r="E10" i="3"/>
  <c r="E13" i="3" s="1"/>
  <c r="E15" i="3" s="1"/>
  <c r="D10" i="3"/>
  <c r="C10" i="3"/>
  <c r="Q9" i="3"/>
  <c r="P9" i="3"/>
  <c r="C23" i="3" s="1"/>
  <c r="E23" i="3" s="1"/>
  <c r="M9" i="3"/>
  <c r="P8" i="3"/>
  <c r="C30" i="3" s="1"/>
  <c r="M8" i="3"/>
  <c r="E8" i="3"/>
  <c r="D31" i="3" s="1"/>
  <c r="J13" i="2" s="1"/>
  <c r="D8" i="3"/>
  <c r="C8" i="3"/>
  <c r="Q7" i="3"/>
  <c r="P7" i="3"/>
  <c r="C29" i="3" s="1"/>
  <c r="N7" i="3"/>
  <c r="M7" i="3"/>
  <c r="R7" i="3" l="1"/>
  <c r="C24" i="3"/>
  <c r="C31" i="3"/>
  <c r="G31" i="3" s="1"/>
  <c r="R9" i="3"/>
  <c r="E31" i="3"/>
  <c r="D29" i="3"/>
  <c r="N8" i="3"/>
  <c r="H29" i="3"/>
  <c r="J29" i="3"/>
  <c r="M10" i="3"/>
  <c r="N9" i="3" s="1"/>
  <c r="K31" i="3"/>
  <c r="C22" i="3"/>
  <c r="F29" i="3"/>
  <c r="D15" i="3"/>
  <c r="C21" i="3"/>
  <c r="K29" i="3" l="1"/>
  <c r="K32" i="3" s="1"/>
  <c r="K9" i="2"/>
  <c r="L21" i="3"/>
  <c r="E21" i="3"/>
  <c r="E24" i="3" s="1"/>
  <c r="F21" i="3" s="1"/>
  <c r="R10" i="3"/>
  <c r="G29" i="3"/>
  <c r="G32" i="3" s="1"/>
  <c r="G9" i="2"/>
  <c r="E29" i="3"/>
  <c r="E32" i="3" s="1"/>
  <c r="E33" i="3" s="1"/>
  <c r="J9" i="2"/>
  <c r="I29" i="3"/>
  <c r="I32" i="3" s="1"/>
  <c r="H9" i="2"/>
  <c r="I31" i="3"/>
  <c r="G21" i="3"/>
  <c r="M21" i="3" l="1"/>
  <c r="F9" i="2"/>
  <c r="F23" i="3"/>
  <c r="G23" i="3" s="1"/>
  <c r="G24" i="3" s="1"/>
  <c r="L23" i="3" l="1"/>
  <c r="G25" i="3"/>
  <c r="H21" i="3"/>
  <c r="M23" i="3" l="1"/>
  <c r="M24" i="3" s="1"/>
  <c r="M25" i="3" s="1"/>
  <c r="F13" i="2"/>
  <c r="I21" i="3"/>
  <c r="J21" i="3"/>
  <c r="K21" i="3" s="1"/>
  <c r="H23" i="3" l="1"/>
  <c r="J23" i="3" l="1"/>
  <c r="K23" i="3" s="1"/>
  <c r="K24" i="3" s="1"/>
  <c r="K25" i="3" s="1"/>
  <c r="I23" i="3"/>
  <c r="I24" i="3" s="1"/>
  <c r="I25" i="3" s="1"/>
  <c r="T61" i="2" l="1"/>
  <c r="U59" i="2"/>
  <c r="V59" i="2" s="1"/>
  <c r="E59" i="2"/>
  <c r="U58" i="2"/>
  <c r="U57" i="2"/>
  <c r="U56" i="2"/>
  <c r="U55" i="2"/>
  <c r="U54" i="2"/>
  <c r="U53" i="2"/>
  <c r="U52" i="2"/>
  <c r="U51" i="2"/>
  <c r="U50" i="2"/>
  <c r="U49" i="2"/>
  <c r="U48" i="2"/>
  <c r="U47" i="2"/>
  <c r="U46" i="2"/>
  <c r="U45" i="2"/>
  <c r="U44" i="2"/>
  <c r="U43" i="2"/>
  <c r="U42" i="2"/>
  <c r="U41" i="2"/>
  <c r="U40" i="2"/>
  <c r="U39" i="2"/>
  <c r="U38" i="2"/>
  <c r="U37" i="2"/>
  <c r="U36" i="2"/>
  <c r="U35" i="2"/>
  <c r="U34" i="2"/>
  <c r="U33" i="2"/>
  <c r="L25" i="2"/>
  <c r="K23" i="2"/>
  <c r="L23" i="2" s="1"/>
  <c r="K22" i="2"/>
  <c r="L22" i="2" s="1"/>
  <c r="L21" i="2"/>
  <c r="L12" i="2"/>
  <c r="L11" i="2"/>
  <c r="L10" i="2"/>
  <c r="E40" i="2"/>
  <c r="C37" i="1"/>
  <c r="H31" i="1"/>
  <c r="F31" i="1"/>
  <c r="G24" i="2" s="1"/>
  <c r="D21" i="1"/>
  <c r="F15" i="1"/>
  <c r="E13" i="1"/>
  <c r="E15" i="1" s="1"/>
  <c r="E11" i="1"/>
  <c r="D11" i="1"/>
  <c r="C11" i="1"/>
  <c r="P10" i="1"/>
  <c r="N10" i="1"/>
  <c r="E10" i="1"/>
  <c r="D10" i="1"/>
  <c r="C10" i="1"/>
  <c r="Q9" i="1"/>
  <c r="R9" i="1" s="1"/>
  <c r="P9" i="1"/>
  <c r="M9" i="1"/>
  <c r="M10" i="1" s="1"/>
  <c r="P8" i="1"/>
  <c r="M8" i="1"/>
  <c r="E8" i="1"/>
  <c r="D8" i="1"/>
  <c r="C8" i="1"/>
  <c r="Q7" i="1"/>
  <c r="R7" i="1" s="1"/>
  <c r="P7" i="1"/>
  <c r="N7" i="1"/>
  <c r="C29" i="1" s="1"/>
  <c r="M7" i="1"/>
  <c r="D13" i="1" l="1"/>
  <c r="D15" i="1" s="1"/>
  <c r="L13" i="2"/>
  <c r="C13" i="1"/>
  <c r="C15" i="1" s="1"/>
  <c r="L9" i="2"/>
  <c r="E37" i="2"/>
  <c r="E42" i="2"/>
  <c r="N9" i="1"/>
  <c r="N8" i="1"/>
  <c r="C24" i="1"/>
  <c r="C32" i="1"/>
  <c r="D31" i="1" s="1"/>
  <c r="D37" i="1"/>
  <c r="E37" i="1" s="1"/>
  <c r="E38" i="1" s="1"/>
  <c r="H24" i="2"/>
  <c r="E35" i="2"/>
  <c r="E33" i="2"/>
  <c r="R10" i="1"/>
  <c r="E58" i="2"/>
  <c r="E56" i="2"/>
  <c r="E54" i="2"/>
  <c r="E52" i="2"/>
  <c r="E50" i="2"/>
  <c r="E48" i="2"/>
  <c r="E46" i="2"/>
  <c r="E44" i="2"/>
  <c r="E53" i="2"/>
  <c r="E45" i="2"/>
  <c r="E41" i="2"/>
  <c r="E38" i="2"/>
  <c r="E34" i="2"/>
  <c r="E49" i="2"/>
  <c r="E55" i="2"/>
  <c r="E47" i="2"/>
  <c r="E39" i="2"/>
  <c r="E36" i="2"/>
  <c r="E57" i="2"/>
  <c r="E43" i="2"/>
  <c r="E51" i="2"/>
  <c r="C21" i="1"/>
  <c r="E21" i="1" s="1"/>
  <c r="V58" i="2"/>
  <c r="V57" i="2" s="1"/>
  <c r="V56" i="2" s="1"/>
  <c r="V55" i="2" s="1"/>
  <c r="V54" i="2" s="1"/>
  <c r="V53" i="2" s="1"/>
  <c r="V52" i="2" s="1"/>
  <c r="V51" i="2" s="1"/>
  <c r="V50" i="2" s="1"/>
  <c r="V49" i="2" s="1"/>
  <c r="V48" i="2" s="1"/>
  <c r="V47" i="2" s="1"/>
  <c r="V46" i="2" s="1"/>
  <c r="V45" i="2" s="1"/>
  <c r="V44" i="2" s="1"/>
  <c r="V43" i="2" s="1"/>
  <c r="V42" i="2" s="1"/>
  <c r="V41" i="2" s="1"/>
  <c r="V40" i="2" s="1"/>
  <c r="V39" i="2" s="1"/>
  <c r="V38" i="2" s="1"/>
  <c r="V37" i="2" s="1"/>
  <c r="V36" i="2" s="1"/>
  <c r="V35" i="2" s="1"/>
  <c r="V34" i="2" s="1"/>
  <c r="V33" i="2" s="1"/>
  <c r="J31" i="1" l="1"/>
  <c r="O58" i="2"/>
  <c r="O38" i="2"/>
  <c r="J59" i="2"/>
  <c r="J36" i="2"/>
  <c r="O34" i="2"/>
  <c r="O51" i="2"/>
  <c r="O57" i="2"/>
  <c r="O45" i="2"/>
  <c r="J45" i="2"/>
  <c r="J43" i="2"/>
  <c r="J44" i="2"/>
  <c r="J48" i="2"/>
  <c r="J52" i="2"/>
  <c r="J56" i="2"/>
  <c r="O59" i="2"/>
  <c r="J33" i="2"/>
  <c r="O47" i="2"/>
  <c r="O49" i="2"/>
  <c r="J49" i="2"/>
  <c r="O44" i="2"/>
  <c r="O52" i="2"/>
  <c r="O56" i="2"/>
  <c r="L21" i="1"/>
  <c r="M21" i="1" s="1"/>
  <c r="O35" i="2"/>
  <c r="O36" i="2"/>
  <c r="J35" i="2"/>
  <c r="J42" i="2"/>
  <c r="O39" i="2"/>
  <c r="O40" i="2"/>
  <c r="J51" i="2"/>
  <c r="J53" i="2"/>
  <c r="J40" i="2"/>
  <c r="O53" i="2"/>
  <c r="J46" i="2"/>
  <c r="J50" i="2"/>
  <c r="J54" i="2"/>
  <c r="J58" i="2"/>
  <c r="O33" i="2"/>
  <c r="J39" i="2"/>
  <c r="J38" i="2"/>
  <c r="O37" i="2"/>
  <c r="O48" i="2"/>
  <c r="J47" i="2"/>
  <c r="O43" i="2"/>
  <c r="J37" i="2"/>
  <c r="J55" i="2"/>
  <c r="O41" i="2"/>
  <c r="J41" i="2"/>
  <c r="O55" i="2"/>
  <c r="J34" i="2"/>
  <c r="O42" i="2"/>
  <c r="J57" i="2"/>
  <c r="O46" i="2"/>
  <c r="O50" i="2"/>
  <c r="O54" i="2"/>
  <c r="J24" i="2"/>
  <c r="C30" i="1"/>
  <c r="D29" i="1" s="1"/>
  <c r="E29" i="1" s="1"/>
  <c r="C22" i="1"/>
  <c r="K24" i="2"/>
  <c r="C23" i="1"/>
  <c r="E23" i="1" s="1"/>
  <c r="E24" i="1" s="1"/>
  <c r="F21" i="1" s="1"/>
  <c r="C31" i="1"/>
  <c r="K31" i="1" s="1"/>
  <c r="G21" i="1" l="1"/>
  <c r="F29" i="1"/>
  <c r="G29" i="1" s="1"/>
  <c r="H29" i="1"/>
  <c r="I29" i="1" s="1"/>
  <c r="I32" i="1" s="1"/>
  <c r="G31" i="1"/>
  <c r="I31" i="1"/>
  <c r="J29" i="1"/>
  <c r="K29" i="1" s="1"/>
  <c r="K32" i="1" s="1"/>
  <c r="K33" i="1" s="1"/>
  <c r="L23" i="1"/>
  <c r="M23" i="1" s="1"/>
  <c r="M24" i="1" s="1"/>
  <c r="M25" i="1" s="1"/>
  <c r="E31" i="1"/>
  <c r="E32" i="1" s="1"/>
  <c r="E33" i="1" s="1"/>
  <c r="G32" i="1" l="1"/>
  <c r="F23" i="1"/>
  <c r="G23" i="1" s="1"/>
  <c r="G24" i="1" s="1"/>
  <c r="G25" i="1" l="1"/>
  <c r="H21" i="1"/>
  <c r="I21" i="1" l="1"/>
  <c r="J21" i="1"/>
  <c r="F20" i="2" l="1"/>
  <c r="K21" i="1"/>
  <c r="H23" i="1"/>
  <c r="I23" i="1" l="1"/>
  <c r="I24" i="1" s="1"/>
  <c r="I25" i="1" s="1"/>
  <c r="J23" i="1"/>
  <c r="L20" i="2"/>
  <c r="F24" i="2" l="1"/>
  <c r="K23" i="1"/>
  <c r="K24" i="1" s="1"/>
  <c r="K25" i="1" s="1"/>
  <c r="L24" i="2" l="1"/>
  <c r="F57" i="2"/>
  <c r="F49" i="2"/>
  <c r="F41" i="2"/>
  <c r="F44" i="2"/>
  <c r="F46" i="2"/>
  <c r="F56" i="2"/>
  <c r="F34" i="2"/>
  <c r="F35" i="2"/>
  <c r="F50" i="2"/>
  <c r="F59" i="2"/>
  <c r="F43" i="2"/>
  <c r="F54" i="2"/>
  <c r="F55" i="2"/>
  <c r="F47" i="2"/>
  <c r="F39" i="2"/>
  <c r="F36" i="2"/>
  <c r="F42" i="2"/>
  <c r="F40" i="2"/>
  <c r="F58" i="2"/>
  <c r="F53" i="2"/>
  <c r="F45" i="2"/>
  <c r="F37" i="2"/>
  <c r="F48" i="2"/>
  <c r="F38" i="2"/>
  <c r="F51" i="2"/>
  <c r="F52" i="2"/>
  <c r="F33" i="2"/>
  <c r="G33" i="2" l="1"/>
  <c r="H33" i="2"/>
  <c r="H58" i="2"/>
  <c r="G58" i="2"/>
  <c r="G43" i="2"/>
  <c r="H43" i="2"/>
  <c r="G41" i="2"/>
  <c r="H41" i="2"/>
  <c r="H52" i="2"/>
  <c r="G52" i="2"/>
  <c r="H40" i="2"/>
  <c r="G40" i="2"/>
  <c r="G59" i="2"/>
  <c r="H59" i="2"/>
  <c r="G49" i="2"/>
  <c r="H49" i="2"/>
  <c r="G51" i="2"/>
  <c r="H51" i="2"/>
  <c r="G45" i="2"/>
  <c r="H45" i="2"/>
  <c r="H42" i="2"/>
  <c r="G42" i="2"/>
  <c r="G55" i="2"/>
  <c r="H55" i="2"/>
  <c r="H50" i="2"/>
  <c r="G50" i="2"/>
  <c r="H46" i="2"/>
  <c r="G46" i="2"/>
  <c r="G57" i="2"/>
  <c r="H57" i="2"/>
  <c r="H48" i="2"/>
  <c r="G48" i="2"/>
  <c r="G39" i="2"/>
  <c r="H39" i="2"/>
  <c r="H34" i="2"/>
  <c r="G34" i="2"/>
  <c r="H37" i="2"/>
  <c r="G37" i="2"/>
  <c r="G47" i="2"/>
  <c r="H47" i="2"/>
  <c r="H56" i="2"/>
  <c r="G56" i="2"/>
  <c r="H38" i="2"/>
  <c r="G38" i="2"/>
  <c r="G53" i="2"/>
  <c r="H53" i="2"/>
  <c r="H36" i="2"/>
  <c r="G36" i="2"/>
  <c r="H54" i="2"/>
  <c r="G54" i="2"/>
  <c r="G35" i="2"/>
  <c r="H35" i="2"/>
  <c r="H44" i="2"/>
  <c r="G44" i="2"/>
  <c r="P59" i="2"/>
  <c r="P55" i="2"/>
  <c r="P51" i="2"/>
  <c r="P47" i="2"/>
  <c r="P43" i="2"/>
  <c r="P39" i="2"/>
  <c r="K56" i="2"/>
  <c r="P40" i="2"/>
  <c r="P54" i="2"/>
  <c r="K36" i="2"/>
  <c r="K33" i="2"/>
  <c r="K46" i="2"/>
  <c r="P36" i="2"/>
  <c r="K54" i="2"/>
  <c r="P34" i="2"/>
  <c r="P57" i="2"/>
  <c r="P45" i="2"/>
  <c r="P37" i="2"/>
  <c r="K52" i="2"/>
  <c r="K35" i="2"/>
  <c r="K40" i="2"/>
  <c r="K45" i="2"/>
  <c r="K37" i="2"/>
  <c r="K58" i="2"/>
  <c r="P33" i="2"/>
  <c r="K42" i="2"/>
  <c r="K44" i="2"/>
  <c r="K59" i="2"/>
  <c r="K55" i="2"/>
  <c r="K51" i="2"/>
  <c r="K47" i="2"/>
  <c r="K43" i="2"/>
  <c r="K39" i="2"/>
  <c r="P52" i="2"/>
  <c r="K38" i="2"/>
  <c r="K50" i="2"/>
  <c r="P35" i="2"/>
  <c r="P56" i="2"/>
  <c r="P42" i="2"/>
  <c r="K34" i="2"/>
  <c r="P53" i="2"/>
  <c r="P49" i="2"/>
  <c r="P41" i="2"/>
  <c r="K48" i="2"/>
  <c r="P46" i="2"/>
  <c r="P48" i="2"/>
  <c r="P50" i="2"/>
  <c r="K57" i="2"/>
  <c r="K53" i="2"/>
  <c r="K49" i="2"/>
  <c r="K41" i="2"/>
  <c r="P44" i="2"/>
  <c r="P38" i="2"/>
  <c r="P58" i="2"/>
  <c r="L49" i="2" l="1"/>
  <c r="M49" i="2"/>
  <c r="R48" i="2"/>
  <c r="Q48" i="2"/>
  <c r="R56" i="2"/>
  <c r="Q56" i="2"/>
  <c r="L51" i="2"/>
  <c r="M51" i="2"/>
  <c r="M42" i="2"/>
  <c r="L42" i="2"/>
  <c r="Q37" i="2"/>
  <c r="R37" i="2"/>
  <c r="M36" i="2"/>
  <c r="L36" i="2"/>
  <c r="Q55" i="2"/>
  <c r="R55" i="2"/>
  <c r="R38" i="2"/>
  <c r="Q38" i="2"/>
  <c r="R46" i="2"/>
  <c r="Q46" i="2"/>
  <c r="Q35" i="2"/>
  <c r="R35" i="2"/>
  <c r="L55" i="2"/>
  <c r="M55" i="2"/>
  <c r="Q33" i="2"/>
  <c r="R33" i="2"/>
  <c r="Q45" i="2"/>
  <c r="R45" i="2"/>
  <c r="R54" i="2"/>
  <c r="Q54" i="2"/>
  <c r="Q59" i="2"/>
  <c r="R59" i="2"/>
  <c r="R44" i="2"/>
  <c r="Q44" i="2"/>
  <c r="L57" i="2"/>
  <c r="M57" i="2"/>
  <c r="M48" i="2"/>
  <c r="L48" i="2"/>
  <c r="M34" i="2"/>
  <c r="L34" i="2"/>
  <c r="M50" i="2"/>
  <c r="L50" i="2"/>
  <c r="L43" i="2"/>
  <c r="M43" i="2"/>
  <c r="L59" i="2"/>
  <c r="M59" i="2"/>
  <c r="M58" i="2"/>
  <c r="L58" i="2"/>
  <c r="L35" i="2"/>
  <c r="M35" i="2"/>
  <c r="Q57" i="2"/>
  <c r="R57" i="2"/>
  <c r="M46" i="2"/>
  <c r="L46" i="2"/>
  <c r="R40" i="2"/>
  <c r="Q40" i="2"/>
  <c r="Q47" i="2"/>
  <c r="R47" i="2"/>
  <c r="R58" i="2"/>
  <c r="Q58" i="2"/>
  <c r="Q49" i="2"/>
  <c r="R49" i="2"/>
  <c r="R52" i="2"/>
  <c r="Q52" i="2"/>
  <c r="L45" i="2"/>
  <c r="M45" i="2"/>
  <c r="M54" i="2"/>
  <c r="L54" i="2"/>
  <c r="R39" i="2"/>
  <c r="Q39" i="2"/>
  <c r="L53" i="2"/>
  <c r="M53" i="2"/>
  <c r="Q53" i="2"/>
  <c r="R53" i="2"/>
  <c r="M39" i="2"/>
  <c r="L39" i="2"/>
  <c r="M40" i="2"/>
  <c r="L40" i="2"/>
  <c r="R36" i="2"/>
  <c r="Q36" i="2"/>
  <c r="Q43" i="2"/>
  <c r="R43" i="2"/>
  <c r="L41" i="2"/>
  <c r="M41" i="2"/>
  <c r="R50" i="2"/>
  <c r="Q50" i="2"/>
  <c r="R41" i="2"/>
  <c r="Q41" i="2"/>
  <c r="R42" i="2"/>
  <c r="Q42" i="2"/>
  <c r="M38" i="2"/>
  <c r="L38" i="2"/>
  <c r="L47" i="2"/>
  <c r="M47" i="2"/>
  <c r="M44" i="2"/>
  <c r="L44" i="2"/>
  <c r="M37" i="2"/>
  <c r="L37" i="2"/>
  <c r="M52" i="2"/>
  <c r="L52" i="2"/>
  <c r="R34" i="2"/>
  <c r="Q34" i="2"/>
  <c r="L33" i="2"/>
  <c r="M33" i="2"/>
  <c r="M56" i="2"/>
  <c r="L56" i="2"/>
  <c r="Q51" i="2"/>
  <c r="R51" i="2"/>
</calcChain>
</file>

<file path=xl/sharedStrings.xml><?xml version="1.0" encoding="utf-8"?>
<sst xmlns="http://schemas.openxmlformats.org/spreadsheetml/2006/main" count="189" uniqueCount="75">
  <si>
    <t>Central Maine Power Company</t>
  </si>
  <si>
    <t>Residential Rate Design Proposal</t>
  </si>
  <si>
    <t>Residential - All Hours KWH</t>
  </si>
  <si>
    <t>Base Distribution Revenue Requirement</t>
  </si>
  <si>
    <t>8/2021 One-Time Adjustments &amp; RDM</t>
  </si>
  <si>
    <t>8/2021 Stranded Revenue Requirement</t>
  </si>
  <si>
    <t>8/2021 Transmission Revenue Requirement</t>
  </si>
  <si>
    <t>2018 Rate Design Units</t>
  </si>
  <si>
    <t>2021 Rate Design Units</t>
  </si>
  <si>
    <t>12 Mo Rate A Units Docket No 2021-036</t>
  </si>
  <si>
    <t>Rate A Base Distribution Rates</t>
  </si>
  <si>
    <t>Rate A Base Distribution Revenues</t>
  </si>
  <si>
    <t>Customers</t>
  </si>
  <si>
    <t>Rate A</t>
  </si>
  <si>
    <t>KWH 50 or less</t>
  </si>
  <si>
    <t>KWH exceeding 50</t>
  </si>
  <si>
    <t>A-TOU</t>
  </si>
  <si>
    <t>Total</t>
  </si>
  <si>
    <t>Super Saver</t>
  </si>
  <si>
    <t>Total TOU</t>
  </si>
  <si>
    <t xml:space="preserve">Total </t>
  </si>
  <si>
    <t>Docket No. 2018-194
Table 4 M/C Testimony
4/25/2019</t>
  </si>
  <si>
    <t>Marginal Cost Based Pricing Scenario</t>
  </si>
  <si>
    <t>Residential Distribution Per Docket No. 2021-036</t>
  </si>
  <si>
    <t>Residential All Hours</t>
  </si>
  <si>
    <t>Forecasted Units</t>
  </si>
  <si>
    <t>Marginal Cost Price</t>
  </si>
  <si>
    <t>Marginal Cost Revenue</t>
  </si>
  <si>
    <t>Base D Price</t>
  </si>
  <si>
    <t>Base D Revenue</t>
  </si>
  <si>
    <t>OTA &amp; RDM D Price</t>
  </si>
  <si>
    <t>OTA &amp; RDM D Revenue</t>
  </si>
  <si>
    <t>All D Price</t>
  </si>
  <si>
    <t>All D Revenue</t>
  </si>
  <si>
    <t>Stranded Price</t>
  </si>
  <si>
    <t>Stranded Revenue</t>
  </si>
  <si>
    <t>ELP Price</t>
  </si>
  <si>
    <t>ELP Revenue</t>
  </si>
  <si>
    <t>EMT Price</t>
  </si>
  <si>
    <t>EMT Revenue</t>
  </si>
  <si>
    <t>Transmission Price</t>
  </si>
  <si>
    <t>Transmission Revenue</t>
  </si>
  <si>
    <t>Residential CP</t>
  </si>
  <si>
    <t xml:space="preserve"> Illustrative Monthly Bill Impacts for All Hours Residential Customers Using All Residential Units</t>
  </si>
  <si>
    <t>Comparing 8/1/2021 Rates for All Residential Classes Designed with 12 Months of Usage with Proposed Rates</t>
  </si>
  <si>
    <t>8/2021 T&amp;D Rate Components</t>
  </si>
  <si>
    <t xml:space="preserve">1/2022 Standard </t>
  </si>
  <si>
    <t>Rate A designed using</t>
  </si>
  <si>
    <t>Distribution</t>
  </si>
  <si>
    <t>ELP</t>
  </si>
  <si>
    <t>EMT</t>
  </si>
  <si>
    <t>SC</t>
  </si>
  <si>
    <t>Transmission</t>
  </si>
  <si>
    <t>Offer Rate</t>
  </si>
  <si>
    <t>12 Mo. Of Rate A Units</t>
  </si>
  <si>
    <t>Service Charge</t>
  </si>
  <si>
    <t>kWh</t>
  </si>
  <si>
    <t>Proposed T&amp;D Rate Components</t>
  </si>
  <si>
    <t>Proposed</t>
  </si>
  <si>
    <t xml:space="preserve">Service Charge </t>
  </si>
  <si>
    <t xml:space="preserve">kWh </t>
  </si>
  <si>
    <t>Effect of Rate Change on Bills:</t>
  </si>
  <si>
    <t>Revenue</t>
  </si>
  <si>
    <t>Percentage</t>
  </si>
  <si>
    <t>T&amp;D Only Bill</t>
  </si>
  <si>
    <t>Bundled Bill</t>
  </si>
  <si>
    <t>Average No.</t>
  </si>
  <si>
    <t>Percent of</t>
  </si>
  <si>
    <t>Cumulative</t>
  </si>
  <si>
    <t>KW</t>
  </si>
  <si>
    <t>KWH</t>
  </si>
  <si>
    <t>Change</t>
  </si>
  <si>
    <t>Customer Count</t>
  </si>
  <si>
    <t>% of Total</t>
  </si>
  <si>
    <t>Rate A Distribution Per Docket No. 2021-036 12 Mo 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</si>
</sst>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&quot;$&quot;* #,##0_);_(&quot;$&quot;* \(#,##0\);_(&quot;$&quot;* &quot;-&quot;??_);_(@_)"/>
    <numFmt numFmtId="166" formatCode="_(* #,##0.000000_);_(* \(#,##0.000000\);_(* &quot;-&quot;??_);_(@_)"/>
    <numFmt numFmtId="167" formatCode="[$-409]mmm\-yy;@"/>
    <numFmt numFmtId="168" formatCode="_(* #,##0.0_);_(* \(#,##0.0\);_(* &quot;-&quot;??_);_(@_)"/>
    <numFmt numFmtId="169" formatCode="0.0%"/>
    <numFmt numFmtId="170" formatCode="_(* #,##0.0000_);_(* \(#,##0.0000\);_(* &quot;-&quot;??_);_(@_)"/>
  </numFmts>
  <fonts count="9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u val="singleAccounting"/>
      <sz val="10"/>
      <name val="Arial"/>
      <family val="2"/>
    </font>
    <font>
      <b/>
      <u/>
      <sz val="10"/>
      <name val="Arial"/>
      <family val="2"/>
    </font>
    <font>
      <u/>
      <sz val="10"/>
      <name val="Arial"/>
      <family val="2"/>
    </font>
    <font>
      <sz val="9"/>
      <name val="Arial"/>
      <family val="2"/>
    </font>
    <font>
      <u val="singleAccounting"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1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0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/>
    <xf numFmtId="9" fontId="2" fillId="0" borderId="0" applyFont="0" applyFill="0" applyBorder="0" applyAlignment="0" applyProtection="0"/>
    <xf numFmtId="167" fontId="2" fillId="0" borderId="0"/>
  </cellStyleXfs>
  <cellXfs count="139">
    <xf numFmtId="0" fontId="0" fillId="0" borderId="0" xfId="0"/>
    <xf numFmtId="0" fontId="0" fillId="0" borderId="0" xfId="0" applyAlignment="1">
      <alignment horizontal="center" wrapText="1"/>
    </xf>
    <xf numFmtId="0" fontId="2" fillId="0" borderId="0" xfId="4"/>
    <xf numFmtId="164" fontId="2" fillId="0" borderId="0" xfId="1" applyNumberFormat="1" applyFont="1" applyFill="1"/>
    <xf numFmtId="164" fontId="0" fillId="0" borderId="0" xfId="1" applyNumberFormat="1" applyFont="1"/>
    <xf numFmtId="43" fontId="0" fillId="0" borderId="0" xfId="0" applyNumberFormat="1"/>
    <xf numFmtId="165" fontId="0" fillId="0" borderId="0" xfId="2" applyNumberFormat="1" applyFont="1"/>
    <xf numFmtId="165" fontId="0" fillId="0" borderId="0" xfId="5" applyNumberFormat="1" applyFont="1"/>
    <xf numFmtId="37" fontId="0" fillId="0" borderId="0" xfId="0" applyNumberFormat="1"/>
    <xf numFmtId="164" fontId="0" fillId="0" borderId="0" xfId="6" applyNumberFormat="1" applyFont="1" applyFill="1"/>
    <xf numFmtId="164" fontId="0" fillId="0" borderId="0" xfId="0" applyNumberFormat="1"/>
    <xf numFmtId="165" fontId="2" fillId="0" borderId="1" xfId="5" applyNumberFormat="1" applyFont="1" applyFill="1" applyBorder="1"/>
    <xf numFmtId="164" fontId="0" fillId="0" borderId="0" xfId="6" applyNumberFormat="1" applyFont="1"/>
    <xf numFmtId="0" fontId="0" fillId="0" borderId="0" xfId="0" applyAlignment="1">
      <alignment horizontal="center"/>
    </xf>
    <xf numFmtId="0" fontId="2" fillId="0" borderId="0" xfId="4" applyAlignment="1">
      <alignment horizontal="center"/>
    </xf>
    <xf numFmtId="14" fontId="2" fillId="0" borderId="0" xfId="4" applyNumberFormat="1" applyAlignment="1">
      <alignment horizontal="center" wrapText="1"/>
    </xf>
    <xf numFmtId="0" fontId="3" fillId="0" borderId="0" xfId="4" applyFont="1"/>
    <xf numFmtId="44" fontId="0" fillId="0" borderId="0" xfId="2" applyFont="1"/>
    <xf numFmtId="44" fontId="0" fillId="0" borderId="0" xfId="0" applyNumberFormat="1"/>
    <xf numFmtId="164" fontId="4" fillId="0" borderId="0" xfId="6" applyNumberFormat="1" applyFont="1"/>
    <xf numFmtId="166" fontId="0" fillId="0" borderId="0" xfId="1" applyNumberFormat="1" applyFont="1"/>
    <xf numFmtId="165" fontId="2" fillId="0" borderId="0" xfId="5" applyNumberFormat="1" applyFont="1"/>
    <xf numFmtId="165" fontId="0" fillId="0" borderId="0" xfId="0" applyNumberFormat="1"/>
    <xf numFmtId="167" fontId="2" fillId="0" borderId="0" xfId="7"/>
    <xf numFmtId="166" fontId="2" fillId="0" borderId="0" xfId="7" applyNumberFormat="1"/>
    <xf numFmtId="10" fontId="2" fillId="0" borderId="0" xfId="8" applyNumberFormat="1" applyFont="1"/>
    <xf numFmtId="165" fontId="2" fillId="0" borderId="0" xfId="8" applyNumberFormat="1" applyFont="1"/>
    <xf numFmtId="43" fontId="2" fillId="0" borderId="0" xfId="6" applyFont="1"/>
    <xf numFmtId="164" fontId="2" fillId="0" borderId="0" xfId="7" applyNumberFormat="1"/>
    <xf numFmtId="167" fontId="3" fillId="0" borderId="2" xfId="7" applyFont="1" applyBorder="1"/>
    <xf numFmtId="167" fontId="3" fillId="0" borderId="3" xfId="7" applyFont="1" applyBorder="1"/>
    <xf numFmtId="167" fontId="2" fillId="0" borderId="3" xfId="7" applyBorder="1"/>
    <xf numFmtId="14" fontId="3" fillId="2" borderId="3" xfId="7" applyNumberFormat="1" applyFont="1" applyFill="1" applyBorder="1" applyAlignment="1">
      <alignment horizontal="center"/>
    </xf>
    <xf numFmtId="14" fontId="2" fillId="0" borderId="3" xfId="7" applyNumberFormat="1" applyBorder="1" applyAlignment="1">
      <alignment horizontal="center"/>
    </xf>
    <xf numFmtId="167" fontId="2" fillId="0" borderId="4" xfId="7" applyBorder="1" applyAlignment="1">
      <alignment horizontal="center"/>
    </xf>
    <xf numFmtId="164" fontId="2" fillId="0" borderId="0" xfId="6" applyNumberFormat="1" applyFont="1"/>
    <xf numFmtId="167" fontId="2" fillId="0" borderId="5" xfId="7" applyBorder="1"/>
    <xf numFmtId="167" fontId="5" fillId="2" borderId="0" xfId="7" applyFont="1" applyFill="1" applyAlignment="1">
      <alignment horizontal="center"/>
    </xf>
    <xf numFmtId="167" fontId="6" fillId="0" borderId="0" xfId="7" applyFont="1" applyAlignment="1">
      <alignment horizontal="center"/>
    </xf>
    <xf numFmtId="167" fontId="6" fillId="0" borderId="6" xfId="7" applyFont="1" applyBorder="1" applyAlignment="1">
      <alignment horizontal="center"/>
    </xf>
    <xf numFmtId="167" fontId="3" fillId="3" borderId="0" xfId="7" applyFont="1" applyFill="1"/>
    <xf numFmtId="167" fontId="7" fillId="0" borderId="6" xfId="7" quotePrefix="1" applyFont="1" applyBorder="1" applyAlignment="1">
      <alignment horizontal="center"/>
    </xf>
    <xf numFmtId="43" fontId="3" fillId="3" borderId="0" xfId="6" applyFont="1" applyFill="1"/>
    <xf numFmtId="43" fontId="2" fillId="0" borderId="0" xfId="6" applyFont="1" applyFill="1"/>
    <xf numFmtId="43" fontId="0" fillId="0" borderId="0" xfId="6" applyFont="1" applyBorder="1"/>
    <xf numFmtId="167" fontId="2" fillId="0" borderId="6" xfId="7" applyBorder="1"/>
    <xf numFmtId="167" fontId="2" fillId="0" borderId="0" xfId="9"/>
    <xf numFmtId="10" fontId="2" fillId="0" borderId="6" xfId="8" applyNumberFormat="1" applyFont="1" applyBorder="1"/>
    <xf numFmtId="166" fontId="3" fillId="3" borderId="0" xfId="1" applyNumberFormat="1" applyFont="1" applyFill="1"/>
    <xf numFmtId="166" fontId="2" fillId="0" borderId="0" xfId="6" applyNumberFormat="1" applyFont="1" applyFill="1"/>
    <xf numFmtId="166" fontId="2" fillId="0" borderId="0" xfId="6" applyNumberFormat="1" applyFont="1" applyFill="1" applyAlignment="1">
      <alignment horizontal="right"/>
    </xf>
    <xf numFmtId="166" fontId="0" fillId="0" borderId="6" xfId="6" applyNumberFormat="1" applyFont="1" applyBorder="1"/>
    <xf numFmtId="43" fontId="3" fillId="0" borderId="0" xfId="6" applyFont="1" applyFill="1"/>
    <xf numFmtId="167" fontId="2" fillId="0" borderId="7" xfId="7" applyBorder="1"/>
    <xf numFmtId="167" fontId="2" fillId="0" borderId="8" xfId="7" applyBorder="1"/>
    <xf numFmtId="166" fontId="2" fillId="0" borderId="8" xfId="7" applyNumberFormat="1" applyBorder="1"/>
    <xf numFmtId="10" fontId="2" fillId="0" borderId="8" xfId="8" applyNumberFormat="1" applyFont="1" applyBorder="1"/>
    <xf numFmtId="10" fontId="2" fillId="0" borderId="9" xfId="8" applyNumberFormat="1" applyFont="1" applyBorder="1"/>
    <xf numFmtId="10" fontId="2" fillId="0" borderId="0" xfId="8" applyNumberFormat="1" applyFont="1" applyBorder="1"/>
    <xf numFmtId="167" fontId="3" fillId="0" borderId="5" xfId="7" applyFont="1" applyBorder="1"/>
    <xf numFmtId="167" fontId="3" fillId="0" borderId="0" xfId="7" applyFont="1"/>
    <xf numFmtId="14" fontId="3" fillId="2" borderId="0" xfId="7" applyNumberFormat="1" applyFont="1" applyFill="1" applyAlignment="1">
      <alignment horizontal="center"/>
    </xf>
    <xf numFmtId="14" fontId="2" fillId="0" borderId="0" xfId="7" applyNumberFormat="1" applyAlignment="1">
      <alignment horizontal="center"/>
    </xf>
    <xf numFmtId="43" fontId="3" fillId="3" borderId="0" xfId="6" applyFont="1" applyFill="1" applyBorder="1"/>
    <xf numFmtId="166" fontId="2" fillId="0" borderId="0" xfId="6" applyNumberFormat="1" applyFont="1"/>
    <xf numFmtId="43" fontId="2" fillId="0" borderId="0" xfId="1" applyFont="1"/>
    <xf numFmtId="164" fontId="2" fillId="0" borderId="0" xfId="1" applyNumberFormat="1" applyFont="1"/>
    <xf numFmtId="166" fontId="3" fillId="3" borderId="0" xfId="1" applyNumberFormat="1" applyFont="1" applyFill="1" applyBorder="1"/>
    <xf numFmtId="166" fontId="2" fillId="0" borderId="0" xfId="6" applyNumberFormat="1" applyFont="1" applyFill="1" applyBorder="1"/>
    <xf numFmtId="167" fontId="2" fillId="0" borderId="8" xfId="9" applyBorder="1"/>
    <xf numFmtId="167" fontId="3" fillId="0" borderId="8" xfId="7" applyFont="1" applyBorder="1"/>
    <xf numFmtId="166" fontId="2" fillId="0" borderId="8" xfId="6" applyNumberFormat="1" applyFont="1" applyFill="1" applyBorder="1"/>
    <xf numFmtId="166" fontId="2" fillId="0" borderId="8" xfId="6" applyNumberFormat="1" applyFont="1" applyFill="1" applyBorder="1" applyAlignment="1">
      <alignment horizontal="right"/>
    </xf>
    <xf numFmtId="43" fontId="2" fillId="0" borderId="8" xfId="6" applyFont="1" applyFill="1" applyBorder="1"/>
    <xf numFmtId="167" fontId="2" fillId="0" borderId="0" xfId="7" applyAlignment="1">
      <alignment horizontal="centerContinuous"/>
    </xf>
    <xf numFmtId="10" fontId="2" fillId="0" borderId="0" xfId="8" applyNumberFormat="1" applyFont="1" applyAlignment="1">
      <alignment horizontal="centerContinuous"/>
    </xf>
    <xf numFmtId="167" fontId="2" fillId="0" borderId="2" xfId="7" applyBorder="1"/>
    <xf numFmtId="167" fontId="2" fillId="0" borderId="0" xfId="7" applyAlignment="1">
      <alignment horizontal="center"/>
    </xf>
    <xf numFmtId="167" fontId="3" fillId="0" borderId="10" xfId="7" applyFont="1" applyBorder="1" applyAlignment="1">
      <alignment horizontal="center"/>
    </xf>
    <xf numFmtId="167" fontId="3" fillId="0" borderId="11" xfId="7" applyFont="1" applyBorder="1" applyAlignment="1">
      <alignment horizontal="center"/>
    </xf>
    <xf numFmtId="167" fontId="2" fillId="0" borderId="11" xfId="7" applyBorder="1" applyAlignment="1">
      <alignment horizontal="center"/>
    </xf>
    <xf numFmtId="167" fontId="2" fillId="0" borderId="12" xfId="7" applyBorder="1" applyAlignment="1">
      <alignment horizontal="center"/>
    </xf>
    <xf numFmtId="167" fontId="2" fillId="0" borderId="10" xfId="7" applyBorder="1" applyAlignment="1">
      <alignment horizontal="center"/>
    </xf>
    <xf numFmtId="167" fontId="6" fillId="0" borderId="5" xfId="7" applyFont="1" applyBorder="1"/>
    <xf numFmtId="14" fontId="6" fillId="0" borderId="13" xfId="7" applyNumberFormat="1" applyFont="1" applyBorder="1" applyAlignment="1">
      <alignment horizontal="center"/>
    </xf>
    <xf numFmtId="14" fontId="6" fillId="0" borderId="0" xfId="7" applyNumberFormat="1" applyFont="1" applyAlignment="1">
      <alignment horizontal="center"/>
    </xf>
    <xf numFmtId="167" fontId="6" fillId="0" borderId="14" xfId="7" applyFont="1" applyBorder="1" applyAlignment="1">
      <alignment horizontal="center"/>
    </xf>
    <xf numFmtId="167" fontId="6" fillId="0" borderId="13" xfId="7" applyFont="1" applyBorder="1" applyAlignment="1">
      <alignment horizontal="center"/>
    </xf>
    <xf numFmtId="167" fontId="2" fillId="0" borderId="14" xfId="7" applyBorder="1" applyAlignment="1">
      <alignment horizontal="center"/>
    </xf>
    <xf numFmtId="17" fontId="2" fillId="0" borderId="0" xfId="7" applyNumberFormat="1"/>
    <xf numFmtId="167" fontId="2" fillId="0" borderId="13" xfId="7" applyBorder="1"/>
    <xf numFmtId="167" fontId="2" fillId="0" borderId="14" xfId="7" applyBorder="1"/>
    <xf numFmtId="168" fontId="0" fillId="0" borderId="5" xfId="1" applyNumberFormat="1" applyFont="1" applyBorder="1"/>
    <xf numFmtId="164" fontId="0" fillId="0" borderId="6" xfId="6" applyNumberFormat="1" applyFont="1" applyBorder="1"/>
    <xf numFmtId="44" fontId="2" fillId="0" borderId="13" xfId="5" applyFont="1" applyBorder="1"/>
    <xf numFmtId="44" fontId="2" fillId="0" borderId="0" xfId="5" applyFont="1" applyBorder="1"/>
    <xf numFmtId="10" fontId="2" fillId="0" borderId="14" xfId="8" applyNumberFormat="1" applyFont="1" applyBorder="1"/>
    <xf numFmtId="164" fontId="0" fillId="0" borderId="13" xfId="6" applyNumberFormat="1" applyFont="1" applyBorder="1"/>
    <xf numFmtId="169" fontId="2" fillId="0" borderId="0" xfId="3" applyNumberFormat="1" applyFont="1" applyAlignment="1">
      <alignment horizontal="right"/>
    </xf>
    <xf numFmtId="169" fontId="2" fillId="0" borderId="14" xfId="3" applyNumberFormat="1" applyFont="1" applyBorder="1" applyAlignment="1">
      <alignment horizontal="right"/>
    </xf>
    <xf numFmtId="43" fontId="2" fillId="0" borderId="13" xfId="1" applyFont="1" applyBorder="1"/>
    <xf numFmtId="43" fontId="2" fillId="0" borderId="0" xfId="1" applyFont="1" applyBorder="1"/>
    <xf numFmtId="43" fontId="2" fillId="0" borderId="0" xfId="6" applyFont="1" applyBorder="1"/>
    <xf numFmtId="170" fontId="2" fillId="0" borderId="0" xfId="6" applyNumberFormat="1" applyFont="1"/>
    <xf numFmtId="164" fontId="0" fillId="0" borderId="5" xfId="6" applyNumberFormat="1" applyFont="1" applyBorder="1"/>
    <xf numFmtId="164" fontId="0" fillId="0" borderId="6" xfId="6" applyNumberFormat="1" applyFont="1" applyFill="1" applyBorder="1" applyAlignment="1">
      <alignment horizontal="right"/>
    </xf>
    <xf numFmtId="164" fontId="0" fillId="0" borderId="6" xfId="6" applyNumberFormat="1" applyFont="1" applyBorder="1" applyAlignment="1">
      <alignment horizontal="right"/>
    </xf>
    <xf numFmtId="164" fontId="0" fillId="0" borderId="5" xfId="6" applyNumberFormat="1" applyFont="1" applyFill="1" applyBorder="1"/>
    <xf numFmtId="167" fontId="2" fillId="0" borderId="0" xfId="7" applyAlignment="1">
      <alignment horizontal="right"/>
    </xf>
    <xf numFmtId="43" fontId="2" fillId="0" borderId="0" xfId="6" applyFont="1" applyFill="1" applyBorder="1"/>
    <xf numFmtId="10" fontId="2" fillId="0" borderId="14" xfId="8" applyNumberFormat="1" applyFont="1" applyFill="1" applyBorder="1"/>
    <xf numFmtId="10" fontId="2" fillId="0" borderId="0" xfId="8" applyNumberFormat="1" applyFont="1" applyFill="1" applyBorder="1"/>
    <xf numFmtId="164" fontId="0" fillId="0" borderId="13" xfId="6" applyNumberFormat="1" applyFont="1" applyFill="1" applyBorder="1"/>
    <xf numFmtId="169" fontId="2" fillId="0" borderId="0" xfId="3" applyNumberFormat="1" applyFont="1" applyFill="1" applyAlignment="1">
      <alignment horizontal="right"/>
    </xf>
    <xf numFmtId="164" fontId="0" fillId="0" borderId="13" xfId="0" applyNumberFormat="1" applyBorder="1"/>
    <xf numFmtId="43" fontId="2" fillId="0" borderId="13" xfId="6" applyFont="1" applyBorder="1"/>
    <xf numFmtId="164" fontId="8" fillId="0" borderId="13" xfId="0" applyNumberFormat="1" applyFont="1" applyBorder="1"/>
    <xf numFmtId="169" fontId="2" fillId="0" borderId="0" xfId="3" applyNumberFormat="1" applyFont="1" applyBorder="1" applyAlignment="1">
      <alignment horizontal="right"/>
    </xf>
    <xf numFmtId="164" fontId="0" fillId="0" borderId="7" xfId="6" applyNumberFormat="1" applyFont="1" applyBorder="1"/>
    <xf numFmtId="164" fontId="0" fillId="0" borderId="9" xfId="6" applyNumberFormat="1" applyFont="1" applyBorder="1" applyAlignment="1">
      <alignment horizontal="right"/>
    </xf>
    <xf numFmtId="167" fontId="2" fillId="0" borderId="8" xfId="7" applyBorder="1" applyAlignment="1">
      <alignment horizontal="right"/>
    </xf>
    <xf numFmtId="43" fontId="2" fillId="0" borderId="15" xfId="6" applyFont="1" applyBorder="1"/>
    <xf numFmtId="43" fontId="2" fillId="0" borderId="8" xfId="6" applyFont="1" applyBorder="1"/>
    <xf numFmtId="10" fontId="2" fillId="0" borderId="16" xfId="8" applyNumberFormat="1" applyFont="1" applyBorder="1"/>
    <xf numFmtId="164" fontId="0" fillId="0" borderId="15" xfId="0" applyNumberFormat="1" applyBorder="1"/>
    <xf numFmtId="169" fontId="2" fillId="0" borderId="16" xfId="3" applyNumberFormat="1" applyFont="1" applyBorder="1" applyAlignment="1">
      <alignment horizontal="right"/>
    </xf>
    <xf numFmtId="164" fontId="0" fillId="4" borderId="6" xfId="6" applyNumberFormat="1" applyFont="1" applyFill="1" applyBorder="1" applyAlignment="1">
      <alignment horizontal="right"/>
    </xf>
    <xf numFmtId="167" fontId="2" fillId="4" borderId="0" xfId="7" applyFill="1" applyAlignment="1">
      <alignment horizontal="right"/>
    </xf>
    <xf numFmtId="43" fontId="2" fillId="4" borderId="13" xfId="1" applyFont="1" applyFill="1" applyBorder="1"/>
    <xf numFmtId="43" fontId="2" fillId="4" borderId="0" xfId="1" applyFont="1" applyFill="1" applyBorder="1"/>
    <xf numFmtId="43" fontId="2" fillId="4" borderId="0" xfId="6" applyFont="1" applyFill="1" applyBorder="1"/>
    <xf numFmtId="10" fontId="2" fillId="4" borderId="14" xfId="8" applyNumberFormat="1" applyFont="1" applyFill="1" applyBorder="1"/>
    <xf numFmtId="167" fontId="2" fillId="4" borderId="0" xfId="7" applyFill="1"/>
    <xf numFmtId="10" fontId="2" fillId="4" borderId="0" xfId="8" applyNumberFormat="1" applyFont="1" applyFill="1" applyBorder="1"/>
    <xf numFmtId="164" fontId="0" fillId="4" borderId="13" xfId="0" applyNumberFormat="1" applyFill="1" applyBorder="1"/>
    <xf numFmtId="169" fontId="2" fillId="4" borderId="0" xfId="3" applyNumberFormat="1" applyFont="1" applyFill="1" applyAlignment="1">
      <alignment horizontal="right"/>
    </xf>
    <xf numFmtId="169" fontId="2" fillId="4" borderId="14" xfId="3" applyNumberFormat="1" applyFont="1" applyFill="1" applyBorder="1" applyAlignment="1">
      <alignment horizontal="right"/>
    </xf>
    <xf numFmtId="167" fontId="2" fillId="0" borderId="0" xfId="7" applyAlignment="1">
      <alignment horizontal="center"/>
    </xf>
    <xf numFmtId="167" fontId="3" fillId="0" borderId="0" xfId="7" applyFont="1" applyAlignment="1">
      <alignment horizontal="center"/>
    </xf>
  </cellXfs>
  <cellStyles count="10">
    <cellStyle name="Comma" xfId="1" builtinId="3"/>
    <cellStyle name="Comma 10" xfId="6" xr:uid="{DC9A4123-B14A-4578-A646-3145A2299EF9}"/>
    <cellStyle name="Currency" xfId="2" builtinId="4"/>
    <cellStyle name="Currency 10" xfId="5" xr:uid="{C7B06B9F-F717-4559-916A-CED3DACEA505}"/>
    <cellStyle name="Normal" xfId="0" builtinId="0"/>
    <cellStyle name="Normal 11" xfId="4" xr:uid="{2165D2C6-F0A2-45F2-8352-7BB3CE748D48}"/>
    <cellStyle name="Normal 13" xfId="7" xr:uid="{E019285F-CF0C-419E-9E1A-DC58E1328BD3}"/>
    <cellStyle name="Normal 2 2 2" xfId="9" xr:uid="{87B7E056-CA73-48C2-ABB9-3B835A9947BE}"/>
    <cellStyle name="Percent" xfId="3" builtinId="5"/>
    <cellStyle name="Percent 2" xfId="8" xr:uid="{F974FEE5-6C3D-4D79-89F6-21EA40FFCE2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2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1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erala\work\projects\C855_RG&amp;E_Cost_Studies\Electricity%20MC\Electricity%20Marginal%20Cost%20Model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RRR\2021-198%20Rate%20Design%20Issues%20Associated%20with%202021%20Legislation\Docket%20No%202018-194%20Backup%20Files\Rate%20Design%20Workpaper%20Forecasted%20Units%20All%20Classes%20%20Docket%202018-194%20RESTATED%20for%20Delayed%20Service%20Accounts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RRR\Plans%20and%20Revs\P21\Billing%20Unit%20Projections%20from%20Sales%20and%20Load%20Forecasting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RRR\Distribution%20Price%20Change%202021\Compliance\Compliance%20Attachments%201-7%20August%202021%20Price%20Chang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RC S1P1 (Old)"/>
      <sheetName val="MEC S1P1 (Superceded)"/>
      <sheetName val="MEC INPUTS"/>
      <sheetName val="MEC BY COSTING PERIODS"/>
      <sheetName val="MEC S1P1"/>
      <sheetName val="MEC S1P2"/>
      <sheetName val="MEC S1P3"/>
      <sheetName val="MEC S1P4"/>
      <sheetName val="MCC S2P1 (Superceded)"/>
      <sheetName val="MCC INPUTS"/>
      <sheetName val="MCC BY COSTING PERIODS"/>
      <sheetName val="MCC S2P1"/>
      <sheetName val="MCC S2P2"/>
      <sheetName val="MCC S2P3"/>
      <sheetName val="MCC S2P4"/>
      <sheetName val="MEC TYP HR S1P2 (Old)"/>
      <sheetName val="MEC S1P3 (Old)"/>
      <sheetName val="TRANS BUDGT (Old)"/>
      <sheetName val="alt trans inv (Old)"/>
      <sheetName val="VAROM (Old)"/>
      <sheetName val="GEN S2P1 (Old)"/>
      <sheetName val="GEN S2P2 (Old)"/>
      <sheetName val="TRANSINV S3 (Old)"/>
      <sheetName val="TRANSCOST S3P1 (Superceded)"/>
      <sheetName val="TRANSCOST S3P1"/>
      <sheetName val="TRANSCOST S3P2"/>
      <sheetName val="TRANSCOST S3P3"/>
      <sheetName val="TRANSCOST S3P4"/>
      <sheetName val="TRANSOM S4 (Old)"/>
      <sheetName val="MEP S4P1"/>
      <sheetName val="MEP S4P2"/>
      <sheetName val="MEP S4P3"/>
      <sheetName val="TPRBPK S5 (Old)"/>
      <sheetName val="DIST FAC S6"/>
      <sheetName val="SUBSTINV S7"/>
      <sheetName val="METER INV S8"/>
      <sheetName val="DISTOM"/>
      <sheetName val="DFACOM ACCT"/>
      <sheetName val="METEROandM"/>
      <sheetName val="SUBOand M"/>
      <sheetName val="SUBSTOM S9P1"/>
      <sheetName val="DFACOM S9P2"/>
      <sheetName val="MTROM S9P3"/>
      <sheetName val="MTROMCL S9P4"/>
      <sheetName val="DSTRBPERIOD S10"/>
      <sheetName val="CUSTEXS11P1"/>
      <sheetName val="custaexpS11P2"/>
      <sheetName val="CustAWtS11P3"/>
      <sheetName val="CSIEXP S12P1"/>
      <sheetName val="CSICLS S12P2"/>
      <sheetName val="LOADERS S13"/>
      <sheetName val="ECC"/>
      <sheetName val="ECCS14"/>
      <sheetName val="DMDUNIT S15"/>
      <sheetName val="DFUNIT S16P1"/>
      <sheetName val="DFUNIT S16P2"/>
      <sheetName val="CUSTUNIT S17P1"/>
      <sheetName val="CUSTUNIT S17P2"/>
      <sheetName val="CUSTUNIT S17P3"/>
      <sheetName val="CUSTUNIT S17P4"/>
      <sheetName val="CUSTUNIT S17P5"/>
      <sheetName val="TD DMD S18P1"/>
      <sheetName val="TD DMD S18P2 Demand"/>
      <sheetName val="TD DMD S18P2 Energy"/>
      <sheetName val="TD VOLT S19"/>
      <sheetName val="DFAC MONTH S20"/>
      <sheetName val="GEN SEASON S21"/>
      <sheetName val="GEN MONTH S22"/>
      <sheetName val="CUST SUM S23"/>
      <sheetName val="DEMDLOSS Q1"/>
      <sheetName val="DEMDLOSS Q2"/>
      <sheetName val="DEMDLOSS Q3"/>
      <sheetName val="DEMDLOSS Q4"/>
      <sheetName val="DEMDLOSS"/>
      <sheetName val="FUELSTOCK"/>
      <sheetName val="FUELGEN"/>
      <sheetName val="CSHWRKCP"/>
      <sheetName val="REVREQ-VL"/>
      <sheetName val="MS PREPAY"/>
      <sheetName val="T RANOM"/>
      <sheetName val="LABMAT"/>
      <sheetName val="LABCOST"/>
      <sheetName val="PLANT INFL"/>
      <sheetName val="DFAC INV RES"/>
      <sheetName val="METERWGT"/>
      <sheetName val="CUSTACC"/>
      <sheetName val="CUSTSER"/>
      <sheetName val="Cust Srv Inf Wt"/>
      <sheetName val="LOLHRAT"/>
      <sheetName val="AVGCUST"/>
      <sheetName val="BQ"/>
      <sheetName val="Module1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 refreshError="1"/>
      <sheetData sheetId="30" refreshError="1"/>
      <sheetData sheetId="31" refreshError="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 refreshError="1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 refreshError="1">
        <row r="1">
          <cell r="A1" t="str">
            <v>Range Name: REVREQ</v>
          </cell>
        </row>
        <row r="3">
          <cell r="A3" t="str">
            <v>ROCHESTER GAS &amp; ELECTRIC CORPORATION</v>
          </cell>
        </row>
        <row r="4">
          <cell r="A4" t="str">
            <v xml:space="preserve">DERIVATION OF REVENUE REQUIREMENT </v>
          </cell>
        </row>
        <row r="5">
          <cell r="A5" t="str">
            <v>FOR WORKING CAPITAL FACTOR</v>
          </cell>
        </row>
        <row r="6">
          <cell r="K6" t="str">
            <v>* This capital structure &amp;  costs reflects the gas proceedings.</v>
          </cell>
        </row>
        <row r="7">
          <cell r="K7" t="str">
            <v>[Gas Settlement, RY1 (12 Months Ending June 30, 2001)]</v>
          </cell>
        </row>
        <row r="8">
          <cell r="B8" t="str">
            <v>I.</v>
          </cell>
          <cell r="C8" t="str">
            <v>Derivation of Overall Return:</v>
          </cell>
        </row>
        <row r="10">
          <cell r="H10" t="str">
            <v>Incremental</v>
          </cell>
          <cell r="K10" t="str">
            <v xml:space="preserve"> Incremental </v>
          </cell>
          <cell r="O10" t="str">
            <v xml:space="preserve"> Weighted</v>
          </cell>
        </row>
        <row r="11">
          <cell r="H11" t="str">
            <v xml:space="preserve"> Capital </v>
          </cell>
          <cell r="K11" t="str">
            <v xml:space="preserve"> Cost of</v>
          </cell>
          <cell r="O11" t="str">
            <v xml:space="preserve"> Cost of</v>
          </cell>
        </row>
        <row r="12">
          <cell r="H12" t="str">
            <v xml:space="preserve"> Structure</v>
          </cell>
          <cell r="K12" t="str">
            <v xml:space="preserve"> Capital</v>
          </cell>
          <cell r="O12" t="str">
            <v xml:space="preserve"> Capital</v>
          </cell>
        </row>
        <row r="13">
          <cell r="A13">
            <v>-1</v>
          </cell>
          <cell r="D13" t="str">
            <v>Debt</v>
          </cell>
          <cell r="H13">
            <v>0.49310999999999999</v>
          </cell>
          <cell r="I13" t="str">
            <v xml:space="preserve"> x</v>
          </cell>
          <cell r="K13">
            <v>7.0999999999999994E-2</v>
          </cell>
          <cell r="M13" t="str">
            <v xml:space="preserve"> = </v>
          </cell>
          <cell r="O13">
            <v>3.5010809999999996E-2</v>
          </cell>
        </row>
        <row r="14">
          <cell r="A14">
            <v>-2</v>
          </cell>
          <cell r="D14" t="str">
            <v>Preferred</v>
          </cell>
          <cell r="H14">
            <v>4.4549999999999999E-2</v>
          </cell>
          <cell r="I14" t="str">
            <v xml:space="preserve"> x</v>
          </cell>
          <cell r="K14">
            <v>5.2400000000000002E-2</v>
          </cell>
          <cell r="M14" t="str">
            <v xml:space="preserve"> = </v>
          </cell>
          <cell r="O14">
            <v>2.3344200000000002E-3</v>
          </cell>
        </row>
        <row r="15">
          <cell r="A15">
            <v>-3</v>
          </cell>
          <cell r="D15" t="str">
            <v>Common Equity</v>
          </cell>
          <cell r="H15">
            <v>0.46233999999999997</v>
          </cell>
          <cell r="I15" t="str">
            <v xml:space="preserve"> x</v>
          </cell>
          <cell r="K15">
            <v>0.11</v>
          </cell>
          <cell r="M15" t="str">
            <v xml:space="preserve"> = </v>
          </cell>
          <cell r="O15">
            <v>5.0857399999999997E-2</v>
          </cell>
        </row>
        <row r="17">
          <cell r="A17">
            <v>-4</v>
          </cell>
          <cell r="D17" t="str">
            <v>Overall Return = Composite Incremental Cost of Capital</v>
          </cell>
          <cell r="M17" t="str">
            <v xml:space="preserve"> = </v>
          </cell>
          <cell r="O17">
            <v>8.820262999999999E-2</v>
          </cell>
        </row>
        <row r="20">
          <cell r="B20" t="str">
            <v>II.</v>
          </cell>
          <cell r="C20" t="str">
            <v>Derivation of Income Tax Component:</v>
          </cell>
        </row>
        <row r="22">
          <cell r="A22">
            <v>-5</v>
          </cell>
          <cell r="D22" t="str">
            <v>Income Tax Component</v>
          </cell>
        </row>
        <row r="24">
          <cell r="F24" t="str">
            <v xml:space="preserve">   Tax Rate</v>
          </cell>
        </row>
        <row r="25">
          <cell r="E25" t="str">
            <v>=</v>
          </cell>
          <cell r="F25" t="str">
            <v>-----------------  x  (Cost of Preferred + Cost of Common Equity)</v>
          </cell>
        </row>
        <row r="26">
          <cell r="F26" t="str">
            <v xml:space="preserve"> 1 - Tax Rate</v>
          </cell>
        </row>
        <row r="28">
          <cell r="F28">
            <v>41</v>
          </cell>
          <cell r="G28" t="str">
            <v>%</v>
          </cell>
        </row>
        <row r="29">
          <cell r="E29" t="str">
            <v>=</v>
          </cell>
          <cell r="F29" t="str">
            <v>-----------------</v>
          </cell>
          <cell r="H29" t="str">
            <v xml:space="preserve">   x  (0.23% + 5.09%)</v>
          </cell>
        </row>
        <row r="30">
          <cell r="F30">
            <v>59</v>
          </cell>
          <cell r="G30" t="str">
            <v>%</v>
          </cell>
        </row>
        <row r="32">
          <cell r="E32" t="str">
            <v>=</v>
          </cell>
          <cell r="F32">
            <v>3.6963807118644068E-2</v>
          </cell>
        </row>
        <row r="35">
          <cell r="B35" t="str">
            <v>III.</v>
          </cell>
          <cell r="C35" t="str">
            <v>Derivation of Revenue Requirement for Working Capital Factor:</v>
          </cell>
        </row>
        <row r="37">
          <cell r="A37">
            <v>-6</v>
          </cell>
          <cell r="D37" t="str">
            <v>Overall Return</v>
          </cell>
          <cell r="J37" t="str">
            <v xml:space="preserve"> =</v>
          </cell>
          <cell r="K37">
            <v>8.820262999999999E-2</v>
          </cell>
        </row>
        <row r="38">
          <cell r="A38">
            <v>-7</v>
          </cell>
          <cell r="D38" t="str">
            <v>Income Tax Component</v>
          </cell>
          <cell r="J38" t="str">
            <v xml:space="preserve"> =</v>
          </cell>
          <cell r="K38">
            <v>3.6963807118644068E-2</v>
          </cell>
        </row>
        <row r="40">
          <cell r="A40">
            <v>-8</v>
          </cell>
          <cell r="D40" t="str">
            <v xml:space="preserve">Revenue Requirement for Working </v>
          </cell>
        </row>
        <row r="41">
          <cell r="D41" t="str">
            <v>Capital Factor</v>
          </cell>
          <cell r="J41" t="str">
            <v xml:space="preserve"> =</v>
          </cell>
          <cell r="K41">
            <v>0.12520000000000001</v>
          </cell>
        </row>
        <row r="44">
          <cell r="A44" t="str">
            <v xml:space="preserve">Source:  </v>
          </cell>
          <cell r="D44" t="str">
            <v>Lines (1) - (3) &amp; (5):</v>
          </cell>
          <cell r="F44" t="str">
            <v>NERA worksheets RG&amp;E "Calculation of First Year</v>
          </cell>
        </row>
        <row r="45">
          <cell r="F45" t="str">
            <v xml:space="preserve">Carrying Charge," p. 1, Lines (5) and (8)-(10). </v>
          </cell>
        </row>
        <row r="46">
          <cell r="F46" t="str">
            <v xml:space="preserve"> (Files: ECC Trans.xls, ECC Dist Sub.xls,</v>
          </cell>
        </row>
        <row r="47">
          <cell r="F47" t="str">
            <v xml:space="preserve"> ECC Dist Fac.xls, and ECC Dist Meters.xls)</v>
          </cell>
        </row>
      </sheetData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 refreshError="1"/>
      <sheetData sheetId="9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aks by Class Load Bef Losses"/>
      <sheetName val="CMP Adj Mo Peaks"/>
      <sheetName val="Monthly Units Rebuttal"/>
      <sheetName val="Mo Bill Units w Off Pk"/>
      <sheetName val="RY 19-20 by rate class"/>
      <sheetName val="Res"/>
      <sheetName val="SGS"/>
      <sheetName val="MGS"/>
      <sheetName val="IGS"/>
      <sheetName val="LGS"/>
      <sheetName val="Units 7-2017 to 6-2018"/>
      <sheetName val="Units 9-14 to 10-17"/>
      <sheetName val="Units 7-17 to 6-18"/>
      <sheetName val="July_2017_LAanalysis"/>
      <sheetName val="August_2017_LAanalysis"/>
      <sheetName val="September_2017_LAanalysis"/>
      <sheetName val="October_2017_LAanalysis"/>
      <sheetName val="November_2017_LAAnalysis"/>
      <sheetName val="December_2017_LAAnalysis"/>
      <sheetName val="January_2018_LAAnalysis"/>
      <sheetName val="February_2018_LAanalysis"/>
      <sheetName val="March_2018_LAanalysis"/>
      <sheetName val="April_2018_LAanalysis"/>
      <sheetName val="May_2018_LAanalysis"/>
      <sheetName val="June_2018_LAanalysis"/>
      <sheetName val=" A Max KW"/>
      <sheetName val="AL Max KW"/>
      <sheetName val="ALM Max KW"/>
      <sheetName val="A-TOU Max KW"/>
      <sheetName val="IGS-P Max KW"/>
      <sheetName val="IGS-S Max KW"/>
      <sheetName val="LGS-P Max KW"/>
      <sheetName val="LGS-S Max KW"/>
      <sheetName val="LGS-ST Max KW"/>
      <sheetName val="LGS-T Max KW"/>
      <sheetName val="MGS-P Max KW"/>
      <sheetName val="MGS-S Max KW"/>
      <sheetName val="SGS Max KW"/>
      <sheetName val="SL Max KW"/>
      <sheetName val="All"/>
      <sheetName val="All No ST or T"/>
      <sheetName val="Gen Srvc No ST or T"/>
      <sheetName val="Weekday TOU Periods"/>
      <sheetName val="Pk Compare"/>
      <sheetName val="Mo Bill Units"/>
      <sheetName val="Rate A KWH &amp; KW Units"/>
      <sheetName val="Rate A Pricing"/>
      <sheetName val="Rate A Bill Impacts"/>
      <sheetName val="RES TOU KWH &amp; KW Units"/>
      <sheetName val="RES TOU Bill Impacts"/>
      <sheetName val="RES Bill Impacts"/>
      <sheetName val="SGS KWH &amp; KW Units"/>
      <sheetName val="SGS Bill Impacts"/>
      <sheetName val="ALM KWH &amp; KW Units"/>
      <sheetName val="MGS-S &amp; P Units"/>
      <sheetName val="IGS &amp; LGS Units"/>
    </sheetNames>
    <sheetDataSet>
      <sheetData sheetId="0"/>
      <sheetData sheetId="1"/>
      <sheetData sheetId="2">
        <row r="25">
          <cell r="C25">
            <v>2118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>
        <row r="83">
          <cell r="O83">
            <v>6793088.3972536111</v>
          </cell>
        </row>
        <row r="84">
          <cell r="O84">
            <v>326763109</v>
          </cell>
        </row>
        <row r="85">
          <cell r="O85">
            <v>3354987121</v>
          </cell>
        </row>
      </sheetData>
      <sheetData sheetId="46"/>
      <sheetData sheetId="47"/>
      <sheetData sheetId="48">
        <row r="39">
          <cell r="P39">
            <v>585205477</v>
          </cell>
        </row>
      </sheetData>
      <sheetData sheetId="49"/>
      <sheetData sheetId="50"/>
      <sheetData sheetId="51"/>
      <sheetData sheetId="52"/>
      <sheetData sheetId="53">
        <row r="23">
          <cell r="O23">
            <v>2118.405746388245</v>
          </cell>
        </row>
      </sheetData>
      <sheetData sheetId="54"/>
      <sheetData sheetId="5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21 Rate Design Units"/>
      <sheetName val="P21 Rate Design Units TOU Seas"/>
    </sheetNames>
    <sheetDataSet>
      <sheetData sheetId="0">
        <row r="9">
          <cell r="Q9">
            <v>6835374.5045549581</v>
          </cell>
        </row>
        <row r="10">
          <cell r="Q10">
            <v>322856550.35241312</v>
          </cell>
        </row>
        <row r="11">
          <cell r="Q11">
            <v>3388895488.1006942</v>
          </cell>
        </row>
        <row r="12">
          <cell r="Q12">
            <v>3711752038.4531074</v>
          </cell>
        </row>
        <row r="15">
          <cell r="Q15">
            <v>59645.009713632535</v>
          </cell>
        </row>
        <row r="19">
          <cell r="Q19">
            <v>66415667</v>
          </cell>
        </row>
        <row r="102">
          <cell r="Q102">
            <v>2736</v>
          </cell>
        </row>
        <row r="106">
          <cell r="Q106">
            <v>4023954</v>
          </cell>
        </row>
      </sheetData>
      <sheetData sheetId="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mp Att 1 pgs 1-6 Rate Summary"/>
      <sheetName val="Comp Att 1 pg 7 Res Bills"/>
      <sheetName val="Comp Att 2 Dist Rev Req"/>
      <sheetName val="Comp Att 2 Storm Summary"/>
      <sheetName val="Comp Att 2 UP EDIT RmsrAdj p1"/>
      <sheetName val="Comp Att 2 UP EDIT RmsrAdj p2"/>
      <sheetName val="Comp Att 2 UP EDIT RmsrAdj p3"/>
      <sheetName val="Comp Att 2 UP EDIT RmsrAdj p4"/>
      <sheetName val="Comp Att 2 Dist Rev Alloc"/>
      <sheetName val="Comp Att 2 Dist Rates"/>
      <sheetName val="Comp Att 3 SC Rates"/>
      <sheetName val="Comp Att 3 SC Rev Alloc"/>
      <sheetName val="Comp Att 4 T Rev Alloc"/>
      <sheetName val="Comp Att 4 T Rates"/>
      <sheetName val="Comp Att 5 pg 1 R R-TOU"/>
      <sheetName val="Comp Att 6 pg 1 EMT Assess Rate"/>
      <sheetName val="Comp Att 7 pg 1"/>
      <sheetName val="Comp Att 7 pgs 2-4 Stndrd AL SL"/>
      <sheetName val="Comp Att 7 pg 5 Decor AL SL"/>
    </sheetNames>
    <sheetDataSet>
      <sheetData sheetId="0">
        <row r="17">
          <cell r="E17">
            <v>8.8199999999999997E-4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>
        <row r="9">
          <cell r="B9">
            <v>190032566.47550994</v>
          </cell>
          <cell r="J9">
            <v>198947478.47550994</v>
          </cell>
        </row>
        <row r="10">
          <cell r="B10">
            <v>3313719.9940898689</v>
          </cell>
          <cell r="J10">
            <v>3469174.9940898689</v>
          </cell>
        </row>
        <row r="28">
          <cell r="B28">
            <v>158805.91856399999</v>
          </cell>
          <cell r="J28">
            <v>166255.91856399999</v>
          </cell>
        </row>
      </sheetData>
      <sheetData sheetId="9">
        <row r="12">
          <cell r="E12">
            <v>10.48</v>
          </cell>
        </row>
        <row r="14">
          <cell r="E14">
            <v>3.4937000000000003E-2</v>
          </cell>
        </row>
      </sheetData>
      <sheetData sheetId="10">
        <row r="220">
          <cell r="U220">
            <v>4546</v>
          </cell>
        </row>
      </sheetData>
      <sheetData sheetId="11">
        <row r="9">
          <cell r="Y9">
            <v>2302507</v>
          </cell>
        </row>
        <row r="10">
          <cell r="Y10">
            <v>45639</v>
          </cell>
        </row>
      </sheetData>
      <sheetData sheetId="12">
        <row r="16">
          <cell r="C16">
            <v>732574.94901975431</v>
          </cell>
        </row>
      </sheetData>
      <sheetData sheetId="13">
        <row r="11">
          <cell r="D11">
            <v>175275775.17000002</v>
          </cell>
        </row>
      </sheetData>
      <sheetData sheetId="14"/>
      <sheetData sheetId="15">
        <row r="17">
          <cell r="J17">
            <v>5.1580000000000003E-3</v>
          </cell>
        </row>
      </sheetData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A9350-DF39-49E9-A3E8-FC43071F870A}">
  <sheetPr>
    <pageSetUpPr fitToPage="1"/>
  </sheetPr>
  <dimension ref="A1:R38"/>
  <sheetViews>
    <sheetView topLeftCell="A4" workbookViewId="0">
      <selection activeCell="D31" sqref="D31"/>
    </sheetView>
  </sheetViews>
  <sheetFormatPr defaultRowHeight="12.75" x14ac:dyDescent="0.2"/>
  <cols>
    <col min="2" max="2" width="20.140625" bestFit="1" customWidth="1"/>
    <col min="3" max="3" width="16" customWidth="1"/>
    <col min="4" max="4" width="20.42578125" bestFit="1" customWidth="1"/>
    <col min="5" max="5" width="20.28515625" bestFit="1" customWidth="1"/>
    <col min="6" max="6" width="15" customWidth="1"/>
    <col min="7" max="7" width="15" bestFit="1" customWidth="1"/>
    <col min="8" max="8" width="18.28515625" bestFit="1" customWidth="1"/>
    <col min="9" max="9" width="21" bestFit="1" customWidth="1"/>
    <col min="10" max="10" width="17" bestFit="1" customWidth="1"/>
    <col min="11" max="11" width="19.85546875" bestFit="1" customWidth="1"/>
    <col min="12" max="12" width="17.28515625" bestFit="1" customWidth="1"/>
    <col min="13" max="13" width="15" customWidth="1"/>
    <col min="14" max="14" width="14" bestFit="1" customWidth="1"/>
    <col min="16" max="16" width="16.5703125" bestFit="1" customWidth="1"/>
    <col min="17" max="17" width="11.42578125" customWidth="1"/>
    <col min="18" max="18" width="15" bestFit="1" customWidth="1"/>
  </cols>
  <sheetData>
    <row r="1" spans="1:18" x14ac:dyDescent="0.2">
      <c r="A1" t="s">
        <v>0</v>
      </c>
    </row>
    <row r="2" spans="1:18" x14ac:dyDescent="0.2">
      <c r="A2" t="s">
        <v>1</v>
      </c>
    </row>
    <row r="3" spans="1:18" x14ac:dyDescent="0.2">
      <c r="A3" t="s">
        <v>2</v>
      </c>
    </row>
    <row r="5" spans="1:18" ht="51" x14ac:dyDescent="0.2">
      <c r="C5" s="1" t="s">
        <v>3</v>
      </c>
      <c r="D5" s="1" t="s">
        <v>4</v>
      </c>
      <c r="E5" s="1" t="s">
        <v>5</v>
      </c>
      <c r="F5" s="1" t="s">
        <v>6</v>
      </c>
      <c r="M5" s="1" t="s">
        <v>7</v>
      </c>
      <c r="N5" s="1" t="s">
        <v>8</v>
      </c>
      <c r="P5" s="1" t="s">
        <v>9</v>
      </c>
      <c r="Q5" s="1" t="s">
        <v>10</v>
      </c>
      <c r="R5" s="1" t="s">
        <v>11</v>
      </c>
    </row>
    <row r="7" spans="1:18" x14ac:dyDescent="0.2">
      <c r="L7" s="2" t="s">
        <v>12</v>
      </c>
      <c r="M7" s="3">
        <f>+'[2]Rate A KWH &amp; KW Units'!$O$83</f>
        <v>6793088.3972536111</v>
      </c>
      <c r="N7" s="3">
        <f>+'[3]P21 Rate Design Units'!$Q$9+'[3]P21 Rate Design Units'!$Q$15+'[3]P21 Rate Design Units'!$Q$102</f>
        <v>6897755.5142685911</v>
      </c>
      <c r="P7" s="4">
        <f>+'[3]P21 Rate Design Units'!$Q$9</f>
        <v>6835374.5045549581</v>
      </c>
      <c r="Q7" s="5">
        <f>+'[4]Comp Att 2 Dist Rates'!$E$12</f>
        <v>10.48</v>
      </c>
      <c r="R7" s="6">
        <f>+Q7*P7</f>
        <v>71634724.807735965</v>
      </c>
    </row>
    <row r="8" spans="1:18" x14ac:dyDescent="0.2">
      <c r="B8" s="2" t="s">
        <v>13</v>
      </c>
      <c r="C8" s="7">
        <f>+'[4]Comp Att 2 Dist Rev Alloc'!$B$9</f>
        <v>190032566.47550994</v>
      </c>
      <c r="D8" s="7">
        <f>+'[4]Comp Att 2 Dist Rev Alloc'!$J$9-'[4]Comp Att 2 Dist Rev Alloc'!$B$9</f>
        <v>8914912</v>
      </c>
      <c r="E8" s="8">
        <f>+'[4]Comp Att 3 SC Rev Alloc'!$Y$9</f>
        <v>2302507</v>
      </c>
      <c r="L8" s="2" t="s">
        <v>14</v>
      </c>
      <c r="M8" s="9">
        <f>+'[2]Rate A KWH &amp; KW Units'!$O$84</f>
        <v>326763109</v>
      </c>
      <c r="N8" s="9">
        <f>ROUND(N10*M8/M10,0)</f>
        <v>335677498</v>
      </c>
      <c r="P8" s="4">
        <f>+'[3]P21 Rate Design Units'!$Q$10</f>
        <v>322856550.35241312</v>
      </c>
      <c r="R8" s="4"/>
    </row>
    <row r="9" spans="1:18" x14ac:dyDescent="0.2">
      <c r="B9" s="2"/>
      <c r="C9" s="2"/>
      <c r="L9" s="2" t="s">
        <v>15</v>
      </c>
      <c r="M9" s="9">
        <f>+'[2]Rate A KWH &amp; KW Units'!$O$85</f>
        <v>3354987121</v>
      </c>
      <c r="N9" s="9">
        <f>ROUND(N10*M9/M10,0)</f>
        <v>3446514161</v>
      </c>
      <c r="P9" s="4">
        <f>+'[3]P21 Rate Design Units'!$Q$11</f>
        <v>3388895488.1006942</v>
      </c>
      <c r="Q9">
        <f>+'[4]Comp Att 2 Dist Rates'!$E$14</f>
        <v>3.4937000000000003E-2</v>
      </c>
      <c r="R9" s="4">
        <f>+Q9*P9</f>
        <v>118397841.66777396</v>
      </c>
    </row>
    <row r="10" spans="1:18" x14ac:dyDescent="0.2">
      <c r="B10" s="2" t="s">
        <v>16</v>
      </c>
      <c r="C10" s="6">
        <f>+'[4]Comp Att 2 Dist Rev Alloc'!$B$10</f>
        <v>3313719.9940898689</v>
      </c>
      <c r="D10" s="6">
        <f>+'[4]Comp Att 2 Dist Rev Alloc'!$J$10-'[4]Comp Att 2 Dist Rev Alloc'!$B$10</f>
        <v>155455</v>
      </c>
      <c r="E10" s="8">
        <f>+'[4]Comp Att 3 SC Rev Alloc'!$Y$10</f>
        <v>45639</v>
      </c>
      <c r="L10" s="2" t="s">
        <v>17</v>
      </c>
      <c r="M10" s="10">
        <f>+M9+M8</f>
        <v>3681750230</v>
      </c>
      <c r="N10" s="8">
        <f>+'[3]P21 Rate Design Units'!$Q$12+'[3]P21 Rate Design Units'!$Q$19+'[3]P21 Rate Design Units'!$Q$106</f>
        <v>3782191659.4531074</v>
      </c>
      <c r="P10" s="4">
        <f>+'[3]P21 Rate Design Units'!$Q$12</f>
        <v>3711752038.4531074</v>
      </c>
      <c r="R10" s="11">
        <f>SUM(R7:R9)</f>
        <v>190032566.47550994</v>
      </c>
    </row>
    <row r="11" spans="1:18" x14ac:dyDescent="0.2">
      <c r="B11" s="2" t="s">
        <v>18</v>
      </c>
      <c r="C11" s="12">
        <f>+'[4]Comp Att 2 Dist Rev Alloc'!$B$28</f>
        <v>158805.91856399999</v>
      </c>
      <c r="D11" s="12">
        <f>+'[4]Comp Att 2 Dist Rev Alloc'!$J$28-'[4]Comp Att 2 Dist Rev Alloc'!$B$28</f>
        <v>7450</v>
      </c>
      <c r="E11" s="8">
        <f>+'[4]Comp Att 3 SC Rates'!$U$220</f>
        <v>4546</v>
      </c>
    </row>
    <row r="12" spans="1:18" x14ac:dyDescent="0.2">
      <c r="B12" s="2"/>
      <c r="C12" s="12"/>
    </row>
    <row r="13" spans="1:18" x14ac:dyDescent="0.2">
      <c r="B13" s="2" t="s">
        <v>19</v>
      </c>
      <c r="C13" s="11">
        <f>+C11+C10</f>
        <v>3472525.912653869</v>
      </c>
      <c r="D13" s="11">
        <f>+D11+D10</f>
        <v>162905</v>
      </c>
      <c r="E13" s="11">
        <f>+E11+E10</f>
        <v>50185</v>
      </c>
    </row>
    <row r="15" spans="1:18" x14ac:dyDescent="0.2">
      <c r="B15" s="2" t="s">
        <v>20</v>
      </c>
      <c r="C15" s="6">
        <f>+C13+C8</f>
        <v>193505092.38816381</v>
      </c>
      <c r="D15" s="6">
        <f>+D13+D8</f>
        <v>9077817</v>
      </c>
      <c r="E15" s="6">
        <f>+E13+E8</f>
        <v>2352692</v>
      </c>
      <c r="F15" s="6">
        <f>+'[4]Comp Att 4 T Rates'!$D$11</f>
        <v>175275775.17000002</v>
      </c>
    </row>
    <row r="16" spans="1:18" x14ac:dyDescent="0.2">
      <c r="B16" s="2"/>
      <c r="C16" s="6"/>
    </row>
    <row r="17" spans="2:13" x14ac:dyDescent="0.2">
      <c r="C17" s="13"/>
      <c r="D17" s="14"/>
    </row>
    <row r="18" spans="2:13" ht="51" x14ac:dyDescent="0.2">
      <c r="D18" s="15" t="s">
        <v>21</v>
      </c>
      <c r="E18" s="14"/>
      <c r="F18" s="1" t="s">
        <v>22</v>
      </c>
      <c r="G18" s="1" t="s">
        <v>22</v>
      </c>
      <c r="H18" s="1" t="s">
        <v>22</v>
      </c>
      <c r="I18" s="1" t="s">
        <v>22</v>
      </c>
      <c r="J18" s="1" t="s">
        <v>22</v>
      </c>
      <c r="K18" s="1" t="s">
        <v>22</v>
      </c>
      <c r="L18" s="1" t="s">
        <v>74</v>
      </c>
      <c r="M18" s="1" t="s">
        <v>74</v>
      </c>
    </row>
    <row r="19" spans="2:13" x14ac:dyDescent="0.2">
      <c r="B19" s="16" t="s">
        <v>24</v>
      </c>
      <c r="C19" s="14" t="s">
        <v>25</v>
      </c>
      <c r="D19" s="14" t="s">
        <v>26</v>
      </c>
      <c r="E19" s="14" t="s">
        <v>27</v>
      </c>
      <c r="F19" s="14" t="s">
        <v>28</v>
      </c>
      <c r="G19" s="14" t="s">
        <v>29</v>
      </c>
      <c r="H19" s="14" t="s">
        <v>30</v>
      </c>
      <c r="I19" s="14" t="s">
        <v>31</v>
      </c>
      <c r="J19" s="14" t="s">
        <v>32</v>
      </c>
      <c r="K19" s="14" t="s">
        <v>33</v>
      </c>
      <c r="L19" s="14" t="s">
        <v>32</v>
      </c>
      <c r="M19" s="14" t="s">
        <v>33</v>
      </c>
    </row>
    <row r="20" spans="2:13" x14ac:dyDescent="0.2">
      <c r="D20" s="14"/>
    </row>
    <row r="21" spans="2:13" x14ac:dyDescent="0.2">
      <c r="B21" s="2" t="s">
        <v>12</v>
      </c>
      <c r="C21" s="3">
        <f>+P7</f>
        <v>6835374.5045549581</v>
      </c>
      <c r="D21" s="17">
        <f>8.87+24.71</f>
        <v>33.58</v>
      </c>
      <c r="E21" s="6">
        <f>+D21*C21</f>
        <v>229531875.86295548</v>
      </c>
      <c r="F21" s="17">
        <f>ROUND((C8*E21/E24)/C21,2)</f>
        <v>27.35</v>
      </c>
      <c r="G21" s="6">
        <f>+F21*C21</f>
        <v>186947492.69957811</v>
      </c>
      <c r="H21" s="17">
        <f>ROUND((D8*G21/G24)/C21,2)</f>
        <v>1.28</v>
      </c>
      <c r="I21" s="6">
        <f>+H21*C21</f>
        <v>8749279.3658303469</v>
      </c>
      <c r="J21" s="18">
        <f>+F21+H21</f>
        <v>28.630000000000003</v>
      </c>
      <c r="K21" s="6">
        <f>+J21*C21</f>
        <v>195696772.06540847</v>
      </c>
      <c r="L21" s="18">
        <f>ROUND(((C8+D8)*R7/R10)/C21,2)</f>
        <v>10.97</v>
      </c>
      <c r="M21" s="6">
        <f>L21*C21</f>
        <v>74984058.314967901</v>
      </c>
    </row>
    <row r="22" spans="2:13" x14ac:dyDescent="0.2">
      <c r="B22" s="2" t="s">
        <v>14</v>
      </c>
      <c r="C22" s="3">
        <f t="shared" ref="C22:C23" si="0">+P8</f>
        <v>322856550.35241312</v>
      </c>
    </row>
    <row r="23" spans="2:13" ht="15" x14ac:dyDescent="0.35">
      <c r="B23" s="2" t="s">
        <v>15</v>
      </c>
      <c r="C23" s="3">
        <f t="shared" si="0"/>
        <v>3388895488.1006942</v>
      </c>
      <c r="D23">
        <v>1.111E-3</v>
      </c>
      <c r="E23" s="19">
        <f>+D23*C23</f>
        <v>3765062.8872798714</v>
      </c>
      <c r="F23" s="20">
        <f>ROUND((C8-G21)/C23,6)</f>
        <v>9.1E-4</v>
      </c>
      <c r="G23" s="19">
        <f>+F23*C23</f>
        <v>3083894.8941716319</v>
      </c>
      <c r="H23">
        <f>ROUND((D8-I21)/C23,6)</f>
        <v>4.8999999999999998E-5</v>
      </c>
      <c r="I23" s="19">
        <f>+H23*C23</f>
        <v>166055.87891693402</v>
      </c>
      <c r="J23">
        <f>+H23+F23</f>
        <v>9.59E-4</v>
      </c>
      <c r="K23" s="19">
        <f>+J23*C23</f>
        <v>3249950.7730885656</v>
      </c>
      <c r="L23">
        <f>ROUND((C8+D8-M21)/C23,6)</f>
        <v>3.6579E-2</v>
      </c>
      <c r="M23" s="19">
        <f>+L23*C23</f>
        <v>123962408.05923529</v>
      </c>
    </row>
    <row r="24" spans="2:13" x14ac:dyDescent="0.2">
      <c r="B24" s="2" t="s">
        <v>17</v>
      </c>
      <c r="C24" s="3">
        <f>+P10</f>
        <v>3711752038.4531074</v>
      </c>
      <c r="E24" s="21">
        <f>SUM(E21:E23)</f>
        <v>233296938.75023535</v>
      </c>
      <c r="G24" s="21">
        <f>SUM(G21:G23)</f>
        <v>190031387.59374973</v>
      </c>
      <c r="I24" s="21">
        <f>SUM(I21:I23)</f>
        <v>8915335.2447472811</v>
      </c>
      <c r="K24" s="22">
        <f>SUM(K21:K23)</f>
        <v>198946722.83849704</v>
      </c>
      <c r="M24" s="22">
        <f>SUM(M21:M23)</f>
        <v>198946466.37420321</v>
      </c>
    </row>
    <row r="25" spans="2:13" x14ac:dyDescent="0.2">
      <c r="G25" s="22">
        <f>+G24-C8</f>
        <v>-1178.8817602097988</v>
      </c>
      <c r="I25" s="22">
        <f>+I24-D8</f>
        <v>423.24474728107452</v>
      </c>
      <c r="K25" s="22">
        <f>+K24-C8-D8</f>
        <v>-755.63701289892197</v>
      </c>
      <c r="M25" s="22">
        <f>+M24-C8-D8</f>
        <v>-1012.1013067364693</v>
      </c>
    </row>
    <row r="27" spans="2:13" x14ac:dyDescent="0.2">
      <c r="B27" s="16" t="s">
        <v>24</v>
      </c>
      <c r="C27" s="14" t="s">
        <v>25</v>
      </c>
      <c r="D27" s="13" t="s">
        <v>34</v>
      </c>
      <c r="E27" s="13" t="s">
        <v>35</v>
      </c>
      <c r="F27" s="13" t="s">
        <v>36</v>
      </c>
      <c r="G27" s="13" t="s">
        <v>37</v>
      </c>
      <c r="H27" s="13" t="s">
        <v>38</v>
      </c>
      <c r="I27" s="13" t="s">
        <v>39</v>
      </c>
      <c r="J27" s="13" t="s">
        <v>40</v>
      </c>
      <c r="K27" s="13" t="s">
        <v>41</v>
      </c>
    </row>
    <row r="29" spans="2:13" x14ac:dyDescent="0.2">
      <c r="B29" s="2" t="s">
        <v>12</v>
      </c>
      <c r="C29" s="3">
        <f>+P7</f>
        <v>6835374.5045549581</v>
      </c>
      <c r="D29" s="17">
        <f>ROUND(D31*C30/C29,2)</f>
        <v>0.03</v>
      </c>
      <c r="E29" s="6">
        <f>+D29*C29</f>
        <v>205061.23513664873</v>
      </c>
      <c r="F29" s="17">
        <f>ROUND(F31*C30/C29,2)</f>
        <v>0.04</v>
      </c>
      <c r="G29" s="6">
        <f>+F29*C29</f>
        <v>273414.98018219834</v>
      </c>
      <c r="H29" s="17">
        <f>ROUND(H31*C30/C29,2)</f>
        <v>0.24</v>
      </c>
      <c r="I29" s="6">
        <f>+H29*C29</f>
        <v>1640489.8810931898</v>
      </c>
      <c r="J29" s="17">
        <f>ROUND(J31*C30/C29,2)</f>
        <v>2.19</v>
      </c>
      <c r="K29" s="6">
        <f>+J29*C29</f>
        <v>14969470.164975358</v>
      </c>
    </row>
    <row r="30" spans="2:13" x14ac:dyDescent="0.2">
      <c r="B30" s="2" t="s">
        <v>14</v>
      </c>
      <c r="C30" s="3">
        <f t="shared" ref="C30:C32" si="1">+P8</f>
        <v>322856550.35241312</v>
      </c>
    </row>
    <row r="31" spans="2:13" ht="15" x14ac:dyDescent="0.35">
      <c r="B31" s="2" t="s">
        <v>15</v>
      </c>
      <c r="C31" s="3">
        <f t="shared" si="1"/>
        <v>3388895488.1006942</v>
      </c>
      <c r="D31">
        <f>ROUND(E8/C32,6)</f>
        <v>6.2E-4</v>
      </c>
      <c r="E31" s="19">
        <f>+D31*C31</f>
        <v>2101115.2026224304</v>
      </c>
      <c r="F31">
        <f>+'[4]Comp Att 1 pgs 1-6 Rate Summary'!$E$17</f>
        <v>8.8199999999999997E-4</v>
      </c>
      <c r="G31" s="19">
        <f>+F31*C31</f>
        <v>2989005.8205048121</v>
      </c>
      <c r="H31">
        <f>+'[4]Comp Att 6 pg 1 EMT Assess Rate'!$J$17</f>
        <v>5.1580000000000003E-3</v>
      </c>
      <c r="I31" s="19">
        <f>+H31*C31</f>
        <v>17479922.92762338</v>
      </c>
      <c r="J31">
        <f>ROUND(F15/N10,6)</f>
        <v>4.6342000000000001E-2</v>
      </c>
      <c r="K31" s="19">
        <f>+J31*C31</f>
        <v>157048194.70956236</v>
      </c>
    </row>
    <row r="32" spans="2:13" x14ac:dyDescent="0.2">
      <c r="B32" s="2" t="s">
        <v>17</v>
      </c>
      <c r="C32" s="3">
        <f t="shared" si="1"/>
        <v>3711752038.4531074</v>
      </c>
      <c r="E32" s="21">
        <f>SUM(E29:E31)</f>
        <v>2306176.437759079</v>
      </c>
      <c r="G32" s="21">
        <f>SUM(G29:G31)</f>
        <v>3262420.8006870104</v>
      </c>
      <c r="I32" s="21">
        <f>SUM(I29:I31)</f>
        <v>19120412.808716569</v>
      </c>
      <c r="K32" s="21">
        <f>SUM(K29:K31)</f>
        <v>172017664.87453771</v>
      </c>
    </row>
    <row r="33" spans="2:11" x14ac:dyDescent="0.2">
      <c r="E33" s="22">
        <f>+E32-E8</f>
        <v>3669.4377590790391</v>
      </c>
      <c r="K33" s="22"/>
    </row>
    <row r="35" spans="2:11" x14ac:dyDescent="0.2">
      <c r="C35" s="14" t="s">
        <v>25</v>
      </c>
      <c r="D35" s="13" t="s">
        <v>40</v>
      </c>
      <c r="E35" s="13" t="s">
        <v>41</v>
      </c>
    </row>
    <row r="36" spans="2:11" x14ac:dyDescent="0.2">
      <c r="D36" s="13"/>
      <c r="E36" s="13"/>
    </row>
    <row r="37" spans="2:11" x14ac:dyDescent="0.2">
      <c r="B37" s="2" t="s">
        <v>42</v>
      </c>
      <c r="C37" s="3">
        <f>+'[4]Comp Att 4 T Rev Alloc'!$C$16*12</f>
        <v>8790899.3882370517</v>
      </c>
      <c r="D37" s="17">
        <f>ROUND(F15/C37,2)</f>
        <v>19.940000000000001</v>
      </c>
      <c r="E37" s="6">
        <f>+D37*C37</f>
        <v>175290533.80144683</v>
      </c>
    </row>
    <row r="38" spans="2:11" x14ac:dyDescent="0.2">
      <c r="E38" s="22">
        <f>+E37-F15</f>
        <v>14758.631446808577</v>
      </c>
    </row>
  </sheetData>
  <pageMargins left="0.45" right="0.2" top="0.75" bottom="0.25" header="0.3" footer="0.3"/>
  <pageSetup scale="46" orientation="landscape" r:id="rId1"/>
  <headerFooter>
    <oddHeader>&amp;RAttachment 1
CMP Reply Comments dated 4-21-2022
Docket No. 2021-00325
Support Calculations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06818-2DB5-4E2F-8355-9864E29BF5D8}">
  <sheetPr>
    <pageSetUpPr fitToPage="1"/>
  </sheetPr>
  <dimension ref="A1:R38"/>
  <sheetViews>
    <sheetView workbookViewId="0">
      <selection activeCell="D31" sqref="D31"/>
    </sheetView>
  </sheetViews>
  <sheetFormatPr defaultRowHeight="12.75" x14ac:dyDescent="0.2"/>
  <cols>
    <col min="2" max="2" width="20.140625" bestFit="1" customWidth="1"/>
    <col min="3" max="3" width="16" customWidth="1"/>
    <col min="4" max="4" width="20.42578125" bestFit="1" customWidth="1"/>
    <col min="5" max="5" width="20.28515625" bestFit="1" customWidth="1"/>
    <col min="6" max="6" width="15" customWidth="1"/>
    <col min="7" max="7" width="15" bestFit="1" customWidth="1"/>
    <col min="8" max="8" width="18.28515625" bestFit="1" customWidth="1"/>
    <col min="9" max="9" width="21" bestFit="1" customWidth="1"/>
    <col min="10" max="10" width="17" bestFit="1" customWidth="1"/>
    <col min="11" max="11" width="19.85546875" bestFit="1" customWidth="1"/>
    <col min="12" max="12" width="17.28515625" bestFit="1" customWidth="1"/>
    <col min="13" max="14" width="14" bestFit="1" customWidth="1"/>
    <col min="16" max="16" width="16.5703125" bestFit="1" customWidth="1"/>
    <col min="17" max="17" width="11.42578125" customWidth="1"/>
    <col min="18" max="18" width="15" bestFit="1" customWidth="1"/>
  </cols>
  <sheetData>
    <row r="1" spans="1:18" x14ac:dyDescent="0.2">
      <c r="A1" t="s">
        <v>0</v>
      </c>
    </row>
    <row r="2" spans="1:18" x14ac:dyDescent="0.2">
      <c r="A2" t="s">
        <v>1</v>
      </c>
    </row>
    <row r="3" spans="1:18" x14ac:dyDescent="0.2">
      <c r="A3" t="s">
        <v>2</v>
      </c>
    </row>
    <row r="5" spans="1:18" ht="51" x14ac:dyDescent="0.2">
      <c r="C5" s="1" t="s">
        <v>3</v>
      </c>
      <c r="D5" s="1" t="s">
        <v>4</v>
      </c>
      <c r="E5" s="1" t="s">
        <v>5</v>
      </c>
      <c r="F5" s="1" t="s">
        <v>6</v>
      </c>
      <c r="M5" s="1" t="s">
        <v>7</v>
      </c>
      <c r="N5" s="1" t="s">
        <v>8</v>
      </c>
      <c r="P5" s="1" t="s">
        <v>9</v>
      </c>
      <c r="Q5" s="1" t="s">
        <v>10</v>
      </c>
      <c r="R5" s="1" t="s">
        <v>11</v>
      </c>
    </row>
    <row r="7" spans="1:18" x14ac:dyDescent="0.2">
      <c r="L7" s="2" t="s">
        <v>12</v>
      </c>
      <c r="M7" s="3">
        <f>+'[2]Rate A KWH &amp; KW Units'!$O$83</f>
        <v>6793088.3972536111</v>
      </c>
      <c r="N7" s="3">
        <f>+'[3]P21 Rate Design Units'!$Q$9+'[3]P21 Rate Design Units'!$Q$15+'[3]P21 Rate Design Units'!$Q$102</f>
        <v>6897755.5142685911</v>
      </c>
      <c r="P7" s="4">
        <f>+'[3]P21 Rate Design Units'!$Q$9</f>
        <v>6835374.5045549581</v>
      </c>
      <c r="Q7" s="5">
        <f>+'[4]Comp Att 2 Dist Rates'!$E$12</f>
        <v>10.48</v>
      </c>
      <c r="R7" s="6">
        <f>+Q7*P7</f>
        <v>71634724.807735965</v>
      </c>
    </row>
    <row r="8" spans="1:18" x14ac:dyDescent="0.2">
      <c r="B8" s="2" t="s">
        <v>13</v>
      </c>
      <c r="C8" s="7">
        <f>+'[4]Comp Att 2 Dist Rev Alloc'!$B$9</f>
        <v>190032566.47550994</v>
      </c>
      <c r="D8" s="7">
        <f>+'[4]Comp Att 2 Dist Rev Alloc'!$J$9-'[4]Comp Att 2 Dist Rev Alloc'!$B$9</f>
        <v>8914912</v>
      </c>
      <c r="E8" s="8">
        <f>+'[4]Comp Att 3 SC Rev Alloc'!$Y$9</f>
        <v>2302507</v>
      </c>
      <c r="L8" s="2" t="s">
        <v>14</v>
      </c>
      <c r="M8" s="9">
        <f>+'[2]Rate A KWH &amp; KW Units'!$O$84</f>
        <v>326763109</v>
      </c>
      <c r="N8" s="9">
        <f>ROUND(N10*M8/M10,0)</f>
        <v>335677498</v>
      </c>
      <c r="P8" s="4">
        <f>+'[3]P21 Rate Design Units'!$Q$10</f>
        <v>322856550.35241312</v>
      </c>
      <c r="R8" s="4"/>
    </row>
    <row r="9" spans="1:18" x14ac:dyDescent="0.2">
      <c r="B9" s="2"/>
      <c r="C9" s="2"/>
      <c r="L9" s="2" t="s">
        <v>15</v>
      </c>
      <c r="M9" s="9">
        <f>+'[2]Rate A KWH &amp; KW Units'!$O$85</f>
        <v>3354987121</v>
      </c>
      <c r="N9" s="9">
        <f>ROUND(N10*M9/M10,0)</f>
        <v>3446514161</v>
      </c>
      <c r="P9" s="4">
        <f>+'[3]P21 Rate Design Units'!$Q$11</f>
        <v>3388895488.1006942</v>
      </c>
      <c r="Q9">
        <f>+'[4]Comp Att 2 Dist Rates'!$E$14</f>
        <v>3.4937000000000003E-2</v>
      </c>
      <c r="R9" s="4">
        <f>+Q9*P9</f>
        <v>118397841.66777396</v>
      </c>
    </row>
    <row r="10" spans="1:18" x14ac:dyDescent="0.2">
      <c r="B10" s="2" t="s">
        <v>16</v>
      </c>
      <c r="C10" s="6">
        <f>+'[4]Comp Att 2 Dist Rev Alloc'!$B$10</f>
        <v>3313719.9940898689</v>
      </c>
      <c r="D10" s="6">
        <f>+'[4]Comp Att 2 Dist Rev Alloc'!$J$10-'[4]Comp Att 2 Dist Rev Alloc'!$B$10</f>
        <v>155455</v>
      </c>
      <c r="E10" s="8">
        <f>+'[4]Comp Att 3 SC Rev Alloc'!$Y$10</f>
        <v>45639</v>
      </c>
      <c r="L10" s="2" t="s">
        <v>17</v>
      </c>
      <c r="M10" s="10">
        <f>+M9+M8</f>
        <v>3681750230</v>
      </c>
      <c r="N10" s="8">
        <f>+'[3]P21 Rate Design Units'!$Q$12+'[3]P21 Rate Design Units'!$Q$19+'[3]P21 Rate Design Units'!$Q$106</f>
        <v>3782191659.4531074</v>
      </c>
      <c r="P10" s="4">
        <f>+'[3]P21 Rate Design Units'!$Q$12</f>
        <v>3711752038.4531074</v>
      </c>
      <c r="R10" s="11">
        <f>SUM(R7:R9)</f>
        <v>190032566.47550994</v>
      </c>
    </row>
    <row r="11" spans="1:18" x14ac:dyDescent="0.2">
      <c r="B11" s="2" t="s">
        <v>18</v>
      </c>
      <c r="C11" s="12">
        <f>+'[4]Comp Att 2 Dist Rev Alloc'!$B$28</f>
        <v>158805.91856399999</v>
      </c>
      <c r="D11" s="12">
        <f>+'[4]Comp Att 2 Dist Rev Alloc'!$J$28-'[4]Comp Att 2 Dist Rev Alloc'!$B$28</f>
        <v>7450</v>
      </c>
      <c r="E11" s="8">
        <f>+'[4]Comp Att 3 SC Rates'!$U$220</f>
        <v>4546</v>
      </c>
    </row>
    <row r="12" spans="1:18" x14ac:dyDescent="0.2">
      <c r="B12" s="2"/>
      <c r="C12" s="12"/>
    </row>
    <row r="13" spans="1:18" x14ac:dyDescent="0.2">
      <c r="B13" s="2" t="s">
        <v>19</v>
      </c>
      <c r="C13" s="11">
        <f>+C11+C10</f>
        <v>3472525.912653869</v>
      </c>
      <c r="D13" s="11">
        <f>+D11+D10</f>
        <v>162905</v>
      </c>
      <c r="E13" s="11">
        <f>+E11+E10</f>
        <v>50185</v>
      </c>
    </row>
    <row r="15" spans="1:18" x14ac:dyDescent="0.2">
      <c r="B15" s="2" t="s">
        <v>20</v>
      </c>
      <c r="C15" s="6">
        <f>+C13+C8</f>
        <v>193505092.38816381</v>
      </c>
      <c r="D15" s="6">
        <f>+D13+D8</f>
        <v>9077817</v>
      </c>
      <c r="E15" s="6">
        <f>+E13+E8</f>
        <v>2352692</v>
      </c>
      <c r="F15" s="6">
        <f>+'[4]Comp Att 4 T Rates'!$D$11</f>
        <v>175275775.17000002</v>
      </c>
    </row>
    <row r="16" spans="1:18" x14ac:dyDescent="0.2">
      <c r="B16" s="2"/>
      <c r="C16" s="6"/>
    </row>
    <row r="17" spans="2:13" x14ac:dyDescent="0.2">
      <c r="C17" s="13"/>
      <c r="D17" s="14"/>
    </row>
    <row r="18" spans="2:13" ht="51" x14ac:dyDescent="0.2">
      <c r="D18" s="15" t="s">
        <v>21</v>
      </c>
      <c r="E18" s="14"/>
      <c r="F18" s="1" t="s">
        <v>22</v>
      </c>
      <c r="G18" s="1" t="s">
        <v>22</v>
      </c>
      <c r="H18" s="1" t="s">
        <v>22</v>
      </c>
      <c r="I18" s="1" t="s">
        <v>22</v>
      </c>
      <c r="J18" s="1" t="s">
        <v>22</v>
      </c>
      <c r="K18" s="1" t="s">
        <v>22</v>
      </c>
      <c r="L18" s="1" t="s">
        <v>23</v>
      </c>
      <c r="M18" s="1" t="s">
        <v>23</v>
      </c>
    </row>
    <row r="19" spans="2:13" x14ac:dyDescent="0.2">
      <c r="B19" s="16" t="s">
        <v>24</v>
      </c>
      <c r="C19" s="14" t="s">
        <v>25</v>
      </c>
      <c r="D19" s="14" t="s">
        <v>26</v>
      </c>
      <c r="E19" s="14" t="s">
        <v>27</v>
      </c>
      <c r="F19" s="14" t="s">
        <v>28</v>
      </c>
      <c r="G19" s="14" t="s">
        <v>29</v>
      </c>
      <c r="H19" s="14" t="s">
        <v>30</v>
      </c>
      <c r="I19" s="14" t="s">
        <v>31</v>
      </c>
      <c r="J19" s="14" t="s">
        <v>32</v>
      </c>
      <c r="K19" s="14" t="s">
        <v>33</v>
      </c>
      <c r="L19" s="14" t="s">
        <v>32</v>
      </c>
      <c r="M19" s="14" t="s">
        <v>33</v>
      </c>
    </row>
    <row r="20" spans="2:13" x14ac:dyDescent="0.2">
      <c r="D20" s="14"/>
    </row>
    <row r="21" spans="2:13" x14ac:dyDescent="0.2">
      <c r="B21" s="2" t="s">
        <v>12</v>
      </c>
      <c r="C21" s="3">
        <f>+N7</f>
        <v>6897755.5142685911</v>
      </c>
      <c r="D21" s="17">
        <f>8.87+24.71</f>
        <v>33.58</v>
      </c>
      <c r="E21" s="6">
        <f>+D21*C21</f>
        <v>231626630.16913927</v>
      </c>
      <c r="F21" s="17">
        <f>ROUND((C15*E21/E24)/C21,2)</f>
        <v>27.6</v>
      </c>
      <c r="G21" s="6">
        <f>+F21*C21</f>
        <v>190378052.19381312</v>
      </c>
      <c r="H21" s="17">
        <f>ROUND((D15*G21/G24)/C21,2)</f>
        <v>1.29</v>
      </c>
      <c r="I21" s="6">
        <f>+H21*C21</f>
        <v>8898104.6134064831</v>
      </c>
      <c r="J21" s="18">
        <f>+F21+H21</f>
        <v>28.89</v>
      </c>
      <c r="K21" s="6">
        <f>+J21*C21</f>
        <v>199276156.80721959</v>
      </c>
      <c r="L21" s="18">
        <f>ROUND(((C15+D15)*R7/R10)/C21,2)</f>
        <v>11.07</v>
      </c>
      <c r="M21" s="6">
        <f>L21*C21</f>
        <v>76358153.542953312</v>
      </c>
    </row>
    <row r="22" spans="2:13" x14ac:dyDescent="0.2">
      <c r="B22" s="2" t="s">
        <v>14</v>
      </c>
      <c r="C22" s="3">
        <f t="shared" ref="C22:C24" si="0">+N8</f>
        <v>335677498</v>
      </c>
    </row>
    <row r="23" spans="2:13" ht="15" x14ac:dyDescent="0.35">
      <c r="B23" s="2" t="s">
        <v>15</v>
      </c>
      <c r="C23" s="3">
        <f t="shared" si="0"/>
        <v>3446514161</v>
      </c>
      <c r="D23">
        <v>1.111E-3</v>
      </c>
      <c r="E23" s="19">
        <f>+D23*C23</f>
        <v>3829077.2328710002</v>
      </c>
      <c r="F23" s="20">
        <f>ROUND((C15-G21)/C23,6)</f>
        <v>9.0700000000000004E-4</v>
      </c>
      <c r="G23" s="19">
        <f>+F23*C23</f>
        <v>3125988.344027</v>
      </c>
      <c r="H23">
        <f>ROUND((D15-I21)/C23,6)</f>
        <v>5.1999999999999997E-5</v>
      </c>
      <c r="I23" s="19">
        <f>+H23*C23</f>
        <v>179218.73637199998</v>
      </c>
      <c r="J23">
        <f>+H23+F23</f>
        <v>9.59E-4</v>
      </c>
      <c r="K23" s="19">
        <f>+J23*C23</f>
        <v>3305207.0803990001</v>
      </c>
      <c r="L23">
        <f>ROUND((C15+D15-M21)/C23,6)</f>
        <v>3.6623999999999997E-2</v>
      </c>
      <c r="M23" s="19">
        <f>+L23*C23</f>
        <v>126225134.63246399</v>
      </c>
    </row>
    <row r="24" spans="2:13" x14ac:dyDescent="0.2">
      <c r="B24" s="2" t="s">
        <v>17</v>
      </c>
      <c r="C24" s="3">
        <f t="shared" si="0"/>
        <v>3782191659.4531074</v>
      </c>
      <c r="E24" s="21">
        <f>SUM(E21:E23)</f>
        <v>235455707.40201026</v>
      </c>
      <c r="G24" s="21">
        <f>SUM(G21:G23)</f>
        <v>193504040.53784013</v>
      </c>
      <c r="I24" s="21">
        <f>SUM(I21:I23)</f>
        <v>9077323.3497784827</v>
      </c>
      <c r="K24" s="22">
        <f>SUM(K21:K23)</f>
        <v>202581363.8876186</v>
      </c>
      <c r="M24" s="22">
        <f>SUM(M21:M23)</f>
        <v>202583288.1754173</v>
      </c>
    </row>
    <row r="25" spans="2:13" x14ac:dyDescent="0.2">
      <c r="G25" s="22">
        <f>+G24-C15</f>
        <v>-1051.850323677063</v>
      </c>
      <c r="I25" s="22">
        <f>+I24-D15</f>
        <v>-493.65022151730955</v>
      </c>
      <c r="K25" s="22">
        <f>+K24-C15-D15</f>
        <v>-1545.5005452036858</v>
      </c>
      <c r="M25" s="22">
        <f>+M24-C15-D15</f>
        <v>378.78725349903107</v>
      </c>
    </row>
    <row r="27" spans="2:13" x14ac:dyDescent="0.2">
      <c r="B27" s="16" t="s">
        <v>24</v>
      </c>
      <c r="C27" s="14" t="s">
        <v>25</v>
      </c>
      <c r="D27" s="13" t="s">
        <v>34</v>
      </c>
      <c r="E27" s="13" t="s">
        <v>35</v>
      </c>
      <c r="F27" s="13" t="s">
        <v>36</v>
      </c>
      <c r="G27" s="13" t="s">
        <v>37</v>
      </c>
      <c r="H27" s="13" t="s">
        <v>38</v>
      </c>
      <c r="I27" s="13" t="s">
        <v>39</v>
      </c>
      <c r="J27" s="13" t="s">
        <v>40</v>
      </c>
      <c r="K27" s="13" t="s">
        <v>41</v>
      </c>
    </row>
    <row r="29" spans="2:13" x14ac:dyDescent="0.2">
      <c r="B29" s="2" t="s">
        <v>12</v>
      </c>
      <c r="C29" s="3">
        <f>+N7</f>
        <v>6897755.5142685911</v>
      </c>
      <c r="D29" s="17">
        <f>ROUND(D31*C30/C29,2)</f>
        <v>0.03</v>
      </c>
      <c r="E29" s="6">
        <f>+D29*C29</f>
        <v>206932.66542805772</v>
      </c>
      <c r="F29" s="17">
        <f>ROUND(F31*C30/C29,2)</f>
        <v>0.04</v>
      </c>
      <c r="G29" s="6">
        <f>+F29*C29</f>
        <v>275910.22057074367</v>
      </c>
      <c r="H29" s="17">
        <f>ROUND(H31*C30/C29,2)</f>
        <v>0.25</v>
      </c>
      <c r="I29" s="6">
        <f>+H29*C29</f>
        <v>1724438.8785671478</v>
      </c>
      <c r="J29" s="17">
        <f>ROUND(J31*C30/C29,2)</f>
        <v>2.2599999999999998</v>
      </c>
      <c r="K29" s="6">
        <f>+J29*C29</f>
        <v>15588927.462247014</v>
      </c>
    </row>
    <row r="30" spans="2:13" x14ac:dyDescent="0.2">
      <c r="B30" s="2" t="s">
        <v>14</v>
      </c>
      <c r="C30" s="3">
        <f t="shared" ref="C30:C32" si="1">+N8</f>
        <v>335677498</v>
      </c>
    </row>
    <row r="31" spans="2:13" ht="15" x14ac:dyDescent="0.35">
      <c r="B31" s="2" t="s">
        <v>15</v>
      </c>
      <c r="C31" s="3">
        <f t="shared" si="1"/>
        <v>3446514161</v>
      </c>
      <c r="D31">
        <f>ROUND(E15/C32,6)</f>
        <v>6.2200000000000005E-4</v>
      </c>
      <c r="E31" s="19">
        <f>+D31*C31</f>
        <v>2143731.8081420003</v>
      </c>
      <c r="F31">
        <f>+'[4]Comp Att 1 pgs 1-6 Rate Summary'!$E$17</f>
        <v>8.8199999999999997E-4</v>
      </c>
      <c r="G31" s="19">
        <f>+F31*C31</f>
        <v>3039825.4900019998</v>
      </c>
      <c r="H31">
        <f>+'[4]Comp Att 6 pg 1 EMT Assess Rate'!$J$17</f>
        <v>5.1580000000000003E-3</v>
      </c>
      <c r="I31" s="19">
        <f>+H31*C31</f>
        <v>17777120.042438</v>
      </c>
      <c r="J31">
        <f>ROUND(F15/C32,6)</f>
        <v>4.6342000000000001E-2</v>
      </c>
      <c r="K31" s="19">
        <f>+J31*C31</f>
        <v>159718359.249062</v>
      </c>
    </row>
    <row r="32" spans="2:13" x14ac:dyDescent="0.2">
      <c r="B32" s="2" t="s">
        <v>17</v>
      </c>
      <c r="C32" s="3">
        <f t="shared" si="1"/>
        <v>3782191659.4531074</v>
      </c>
      <c r="E32" s="21">
        <f>SUM(E29:E31)</f>
        <v>2350664.4735700581</v>
      </c>
      <c r="G32" s="21">
        <f>SUM(G29:G31)</f>
        <v>3315735.7105727433</v>
      </c>
      <c r="I32" s="21">
        <f>SUM(I29:I31)</f>
        <v>19501558.921005148</v>
      </c>
      <c r="K32" s="21">
        <f>SUM(K29:K31)</f>
        <v>175307286.71130902</v>
      </c>
    </row>
    <row r="33" spans="2:11" x14ac:dyDescent="0.2">
      <c r="E33" s="22">
        <f>+E32-E15</f>
        <v>-2027.5264299418777</v>
      </c>
      <c r="K33" s="22">
        <f>+K32-F15</f>
        <v>31511.541308999062</v>
      </c>
    </row>
    <row r="35" spans="2:11" x14ac:dyDescent="0.2">
      <c r="C35" s="14" t="s">
        <v>25</v>
      </c>
      <c r="D35" s="13" t="s">
        <v>40</v>
      </c>
      <c r="E35" s="13" t="s">
        <v>41</v>
      </c>
    </row>
    <row r="36" spans="2:11" x14ac:dyDescent="0.2">
      <c r="D36" s="13"/>
      <c r="E36" s="13"/>
    </row>
    <row r="37" spans="2:11" x14ac:dyDescent="0.2">
      <c r="B37" s="2" t="s">
        <v>42</v>
      </c>
      <c r="C37" s="3">
        <f>+'[4]Comp Att 4 T Rev Alloc'!$C$16*12</f>
        <v>8790899.3882370517</v>
      </c>
      <c r="D37" s="17">
        <f>ROUND(F15/C37,2)</f>
        <v>19.940000000000001</v>
      </c>
      <c r="E37" s="6">
        <f>+D37*C37</f>
        <v>175290533.80144683</v>
      </c>
    </row>
    <row r="38" spans="2:11" x14ac:dyDescent="0.2">
      <c r="E38" s="22">
        <f>+E37-F15</f>
        <v>14758.631446808577</v>
      </c>
    </row>
  </sheetData>
  <pageMargins left="0.45" right="0.2" top="0.75" bottom="0.25" header="0.3" footer="0.3"/>
  <pageSetup scale="46" orientation="landscape" r:id="rId1"/>
  <headerFooter>
    <oddHeader>&amp;RAttachment 1
CMP Reply Comments dated 4-21-2022
Docket No. 2021-00325
Support Calculations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80646-4B5D-4781-B18E-AAE25093034C}">
  <sheetPr>
    <pageSetUpPr fitToPage="1"/>
  </sheetPr>
  <dimension ref="A1:AY63"/>
  <sheetViews>
    <sheetView tabSelected="1" topLeftCell="A28" workbookViewId="0">
      <selection activeCell="H41" sqref="H41"/>
    </sheetView>
  </sheetViews>
  <sheetFormatPr defaultColWidth="8.85546875" defaultRowHeight="12.75" x14ac:dyDescent="0.2"/>
  <cols>
    <col min="1" max="1" width="3.42578125" style="23" customWidth="1"/>
    <col min="2" max="2" width="7.85546875" style="23" customWidth="1"/>
    <col min="3" max="3" width="12.7109375" style="23" customWidth="1"/>
    <col min="4" max="4" width="1.28515625" style="23" customWidth="1"/>
    <col min="5" max="6" width="11.28515625" style="23" customWidth="1"/>
    <col min="7" max="7" width="9.85546875" style="23" customWidth="1"/>
    <col min="8" max="8" width="10.28515625" style="23" customWidth="1"/>
    <col min="9" max="9" width="1.7109375" style="23" customWidth="1"/>
    <col min="10" max="11" width="12.5703125" style="23" customWidth="1"/>
    <col min="12" max="12" width="9.85546875" style="23" customWidth="1"/>
    <col min="13" max="13" width="15.140625" style="23" customWidth="1"/>
    <col min="14" max="14" width="1.85546875" style="23" customWidth="1"/>
    <col min="15" max="16" width="11.42578125" style="23" customWidth="1"/>
    <col min="17" max="17" width="9.28515625" style="23" bestFit="1" customWidth="1"/>
    <col min="18" max="18" width="10.28515625" style="23" customWidth="1"/>
    <col min="19" max="19" width="1.7109375" style="23" customWidth="1"/>
    <col min="20" max="20" width="14.5703125" style="23" bestFit="1" customWidth="1"/>
    <col min="21" max="21" width="9.42578125" style="23" bestFit="1" customWidth="1"/>
    <col min="22" max="22" width="9.7109375" style="23" bestFit="1" customWidth="1"/>
    <col min="23" max="23" width="12.85546875" style="23" customWidth="1"/>
    <col min="24" max="24" width="5.7109375" style="23" customWidth="1"/>
    <col min="25" max="25" width="12.28515625" style="23" customWidth="1"/>
    <col min="26" max="27" width="10.28515625" style="23" bestFit="1" customWidth="1"/>
    <col min="28" max="28" width="11.28515625" style="23" bestFit="1" customWidth="1"/>
    <col min="29" max="29" width="12" style="23" bestFit="1" customWidth="1"/>
    <col min="30" max="30" width="12.28515625" style="23" bestFit="1" customWidth="1"/>
    <col min="31" max="31" width="5.7109375" style="23" customWidth="1"/>
    <col min="32" max="32" width="12.28515625" style="23" bestFit="1" customWidth="1"/>
    <col min="33" max="34" width="10.28515625" style="23" bestFit="1" customWidth="1"/>
    <col min="35" max="35" width="11.28515625" style="23" bestFit="1" customWidth="1"/>
    <col min="36" max="36" width="12" style="23" bestFit="1" customWidth="1"/>
    <col min="37" max="37" width="12.28515625" style="23" bestFit="1" customWidth="1"/>
    <col min="38" max="38" width="5.7109375" style="23" customWidth="1"/>
    <col min="39" max="39" width="12.140625" style="23" customWidth="1"/>
    <col min="40" max="41" width="10.28515625" style="23" bestFit="1" customWidth="1"/>
    <col min="42" max="42" width="11.28515625" style="23" bestFit="1" customWidth="1"/>
    <col min="43" max="43" width="12" style="23" bestFit="1" customWidth="1"/>
    <col min="44" max="44" width="12.28515625" style="23" bestFit="1" customWidth="1"/>
    <col min="45" max="45" width="5.7109375" style="23" customWidth="1"/>
    <col min="46" max="46" width="12.5703125" style="23" customWidth="1"/>
    <col min="47" max="48" width="10.28515625" style="23" bestFit="1" customWidth="1"/>
    <col min="49" max="49" width="11.28515625" style="23" bestFit="1" customWidth="1"/>
    <col min="50" max="50" width="12" style="23" bestFit="1" customWidth="1"/>
    <col min="51" max="51" width="12.28515625" style="23" bestFit="1" customWidth="1"/>
    <col min="52" max="16384" width="8.85546875" style="23"/>
  </cols>
  <sheetData>
    <row r="1" spans="1:51" x14ac:dyDescent="0.2">
      <c r="A1" s="137" t="s">
        <v>0</v>
      </c>
      <c r="B1" s="137"/>
      <c r="C1" s="137"/>
      <c r="D1" s="137"/>
      <c r="E1" s="137"/>
      <c r="F1" s="137"/>
      <c r="G1" s="137"/>
      <c r="H1" s="137"/>
      <c r="I1" s="137"/>
      <c r="J1" s="137"/>
      <c r="K1" s="137"/>
      <c r="L1" s="137"/>
      <c r="M1" s="137"/>
      <c r="N1" s="137"/>
      <c r="O1" s="137"/>
    </row>
    <row r="2" spans="1:51" x14ac:dyDescent="0.2">
      <c r="A2" s="137" t="s">
        <v>43</v>
      </c>
      <c r="B2" s="137"/>
      <c r="C2" s="137"/>
      <c r="D2" s="137"/>
      <c r="E2" s="137"/>
      <c r="F2" s="137"/>
      <c r="G2" s="137"/>
      <c r="H2" s="137"/>
      <c r="I2" s="137"/>
      <c r="J2" s="137"/>
      <c r="K2" s="137"/>
      <c r="L2" s="137"/>
      <c r="M2" s="137"/>
      <c r="N2" s="137"/>
      <c r="O2" s="137"/>
    </row>
    <row r="3" spans="1:51" x14ac:dyDescent="0.2">
      <c r="A3" s="137" t="s">
        <v>44</v>
      </c>
      <c r="B3" s="137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</row>
    <row r="4" spans="1:51" x14ac:dyDescent="0.2">
      <c r="A4" s="138"/>
      <c r="B4" s="138"/>
      <c r="C4" s="138"/>
      <c r="D4" s="138"/>
      <c r="E4" s="138"/>
      <c r="F4" s="138"/>
      <c r="G4" s="138"/>
      <c r="H4" s="138"/>
      <c r="I4" s="138"/>
      <c r="J4" s="138"/>
      <c r="K4" s="138"/>
      <c r="L4" s="138"/>
      <c r="M4" s="138"/>
      <c r="N4" s="138"/>
      <c r="O4" s="138"/>
    </row>
    <row r="5" spans="1:51" ht="13.5" thickBot="1" x14ac:dyDescent="0.25">
      <c r="K5" s="24"/>
      <c r="L5" s="25"/>
      <c r="M5" s="25"/>
      <c r="N5" s="26"/>
      <c r="O5" s="25"/>
      <c r="P5" s="27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M5" s="28"/>
      <c r="AN5" s="28"/>
      <c r="AO5" s="28"/>
      <c r="AP5" s="28"/>
      <c r="AQ5" s="28"/>
      <c r="AR5" s="28"/>
      <c r="AT5" s="28"/>
      <c r="AU5" s="28"/>
      <c r="AV5" s="28"/>
      <c r="AW5" s="28"/>
      <c r="AX5" s="28"/>
      <c r="AY5" s="28"/>
    </row>
    <row r="6" spans="1:51" x14ac:dyDescent="0.2">
      <c r="A6" s="29" t="s">
        <v>45</v>
      </c>
      <c r="B6" s="30"/>
      <c r="C6" s="31"/>
      <c r="D6" s="31"/>
      <c r="E6" s="31"/>
      <c r="F6" s="32">
        <v>44409</v>
      </c>
      <c r="G6" s="33">
        <v>44409</v>
      </c>
      <c r="H6" s="33">
        <v>44409</v>
      </c>
      <c r="I6" s="33"/>
      <c r="J6" s="33">
        <v>44409</v>
      </c>
      <c r="K6" s="33">
        <v>44409</v>
      </c>
      <c r="L6" s="33">
        <v>44409</v>
      </c>
      <c r="M6" s="34" t="s">
        <v>46</v>
      </c>
      <c r="N6" s="26"/>
      <c r="O6" s="35"/>
      <c r="P6" s="27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M6" s="28"/>
      <c r="AN6" s="28"/>
      <c r="AO6" s="28"/>
      <c r="AP6" s="28"/>
      <c r="AQ6" s="28"/>
      <c r="AR6" s="28"/>
      <c r="AT6" s="28"/>
      <c r="AU6" s="28"/>
      <c r="AV6" s="28"/>
      <c r="AW6" s="28"/>
      <c r="AX6" s="28"/>
      <c r="AY6" s="28"/>
    </row>
    <row r="7" spans="1:51" x14ac:dyDescent="0.2">
      <c r="A7" s="36" t="s">
        <v>47</v>
      </c>
      <c r="F7" s="37" t="s">
        <v>48</v>
      </c>
      <c r="G7" s="38" t="s">
        <v>49</v>
      </c>
      <c r="H7" s="38" t="s">
        <v>50</v>
      </c>
      <c r="J7" s="38" t="s">
        <v>51</v>
      </c>
      <c r="K7" s="38" t="s">
        <v>52</v>
      </c>
      <c r="L7" s="38" t="s">
        <v>17</v>
      </c>
      <c r="M7" s="39" t="s">
        <v>53</v>
      </c>
      <c r="N7" s="26"/>
      <c r="O7" s="35"/>
      <c r="P7" s="27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M7" s="28"/>
      <c r="AN7" s="28"/>
      <c r="AO7" s="28"/>
      <c r="AP7" s="28"/>
      <c r="AQ7" s="28"/>
      <c r="AR7" s="28"/>
      <c r="AT7" s="28"/>
      <c r="AU7" s="28"/>
      <c r="AV7" s="28"/>
      <c r="AW7" s="28"/>
      <c r="AX7" s="28"/>
      <c r="AY7" s="28"/>
    </row>
    <row r="8" spans="1:51" x14ac:dyDescent="0.2">
      <c r="A8" s="36" t="s">
        <v>54</v>
      </c>
      <c r="F8" s="40"/>
      <c r="M8" s="41"/>
      <c r="N8" s="26"/>
      <c r="O8" s="25"/>
      <c r="P8" s="27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M8" s="28"/>
      <c r="AN8" s="28"/>
      <c r="AO8" s="28"/>
      <c r="AP8" s="28"/>
      <c r="AQ8" s="28"/>
      <c r="AR8" s="28"/>
      <c r="AT8" s="28"/>
      <c r="AU8" s="28"/>
      <c r="AV8" s="28"/>
      <c r="AW8" s="28"/>
      <c r="AX8" s="28"/>
      <c r="AY8" s="28"/>
    </row>
    <row r="9" spans="1:51" x14ac:dyDescent="0.2">
      <c r="A9" s="36"/>
      <c r="C9" s="23" t="s">
        <v>55</v>
      </c>
      <c r="F9" s="42">
        <f>+'Rate A All Hours'!L21</f>
        <v>10.97</v>
      </c>
      <c r="G9" s="43">
        <f>+'Rate A All Hours'!F29</f>
        <v>0.04</v>
      </c>
      <c r="H9" s="43">
        <f>+'Rate A All Hours'!H29</f>
        <v>0.24</v>
      </c>
      <c r="J9" s="43">
        <f>+'Rate A All Hours'!D29</f>
        <v>0.03</v>
      </c>
      <c r="K9" s="43">
        <f>+'Rate A All Hours'!J29</f>
        <v>2.19</v>
      </c>
      <c r="L9" s="44">
        <f t="shared" ref="L9:L13" si="0">SUM(F9:K9)</f>
        <v>13.469999999999999</v>
      </c>
      <c r="M9" s="45"/>
      <c r="N9" s="26"/>
      <c r="O9" s="25"/>
      <c r="P9" s="27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M9" s="28"/>
      <c r="AN9" s="28"/>
      <c r="AO9" s="28"/>
      <c r="AP9" s="28"/>
      <c r="AQ9" s="28"/>
      <c r="AR9" s="28"/>
      <c r="AT9" s="28"/>
      <c r="AU9" s="28"/>
      <c r="AV9" s="28"/>
      <c r="AW9" s="28"/>
      <c r="AX9" s="28"/>
      <c r="AY9" s="28"/>
    </row>
    <row r="10" spans="1:51" x14ac:dyDescent="0.2">
      <c r="A10" s="36"/>
      <c r="F10" s="42"/>
      <c r="G10" s="43"/>
      <c r="H10" s="43"/>
      <c r="J10" s="43"/>
      <c r="K10" s="43"/>
      <c r="L10" s="44">
        <f t="shared" si="0"/>
        <v>0</v>
      </c>
      <c r="M10" s="45"/>
      <c r="N10" s="26"/>
      <c r="O10" s="25"/>
      <c r="P10" s="27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M10" s="28"/>
      <c r="AN10" s="28"/>
      <c r="AO10" s="28"/>
      <c r="AP10" s="28"/>
      <c r="AQ10" s="28"/>
      <c r="AR10" s="28"/>
      <c r="AT10" s="28"/>
      <c r="AU10" s="28"/>
      <c r="AV10" s="28"/>
      <c r="AW10" s="28"/>
      <c r="AX10" s="28"/>
      <c r="AY10" s="28"/>
    </row>
    <row r="11" spans="1:51" x14ac:dyDescent="0.2">
      <c r="A11" s="36"/>
      <c r="C11" s="46"/>
      <c r="F11" s="42"/>
      <c r="G11" s="43"/>
      <c r="H11" s="43"/>
      <c r="J11" s="43"/>
      <c r="K11" s="43"/>
      <c r="L11" s="44">
        <f t="shared" si="0"/>
        <v>0</v>
      </c>
      <c r="M11" s="47"/>
      <c r="N11" s="26"/>
      <c r="O11" s="25"/>
      <c r="P11" s="27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M11" s="28"/>
      <c r="AN11" s="28"/>
      <c r="AO11" s="28"/>
      <c r="AP11" s="28"/>
      <c r="AQ11" s="28"/>
      <c r="AR11" s="28"/>
      <c r="AT11" s="28"/>
      <c r="AU11" s="28"/>
      <c r="AV11" s="28"/>
      <c r="AW11" s="28"/>
      <c r="AX11" s="28"/>
      <c r="AY11" s="28"/>
    </row>
    <row r="12" spans="1:51" x14ac:dyDescent="0.2">
      <c r="A12" s="36"/>
      <c r="C12" s="46"/>
      <c r="F12" s="42"/>
      <c r="G12" s="43"/>
      <c r="H12" s="43"/>
      <c r="J12" s="43"/>
      <c r="K12" s="43"/>
      <c r="L12" s="44">
        <f t="shared" si="0"/>
        <v>0</v>
      </c>
      <c r="M12" s="47"/>
      <c r="N12" s="26"/>
      <c r="O12" s="25"/>
      <c r="P12" s="27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M12" s="28"/>
      <c r="AN12" s="28"/>
      <c r="AO12" s="28"/>
      <c r="AP12" s="28"/>
      <c r="AQ12" s="28"/>
      <c r="AR12" s="28"/>
      <c r="AT12" s="28"/>
      <c r="AU12" s="28"/>
      <c r="AV12" s="28"/>
      <c r="AW12" s="28"/>
      <c r="AX12" s="28"/>
      <c r="AY12" s="28"/>
    </row>
    <row r="13" spans="1:51" x14ac:dyDescent="0.2">
      <c r="A13" s="36"/>
      <c r="C13" s="46" t="s">
        <v>56</v>
      </c>
      <c r="F13" s="48">
        <f>+'Rate A All Hours'!L23</f>
        <v>3.6579E-2</v>
      </c>
      <c r="G13" s="49">
        <f>+'Rate A All Hours'!F31</f>
        <v>8.8199999999999997E-4</v>
      </c>
      <c r="H13" s="50">
        <f>+'Rate A All Hours'!H31</f>
        <v>5.1580000000000003E-3</v>
      </c>
      <c r="J13" s="49">
        <f>+'Rate A All Hours'!D31</f>
        <v>6.2E-4</v>
      </c>
      <c r="K13" s="49">
        <f>+'Rate A All Hours'!J31</f>
        <v>4.6342000000000001E-2</v>
      </c>
      <c r="L13" s="24">
        <f t="shared" si="0"/>
        <v>8.9581000000000008E-2</v>
      </c>
      <c r="M13" s="51">
        <v>0.118161</v>
      </c>
      <c r="N13" s="26"/>
      <c r="O13" s="25"/>
      <c r="P13" s="27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M13" s="28"/>
      <c r="AN13" s="28"/>
      <c r="AO13" s="28"/>
      <c r="AP13" s="28"/>
      <c r="AQ13" s="28"/>
      <c r="AR13" s="28"/>
      <c r="AT13" s="28"/>
      <c r="AU13" s="28"/>
      <c r="AV13" s="28"/>
      <c r="AW13" s="28"/>
      <c r="AX13" s="28"/>
      <c r="AY13" s="28"/>
    </row>
    <row r="14" spans="1:51" x14ac:dyDescent="0.2">
      <c r="A14" s="36"/>
      <c r="C14" s="46"/>
      <c r="F14" s="52"/>
      <c r="G14" s="49"/>
      <c r="H14" s="50"/>
      <c r="J14" s="49"/>
      <c r="K14" s="43"/>
      <c r="L14" s="24"/>
      <c r="M14" s="47"/>
      <c r="N14" s="26"/>
      <c r="O14" s="25"/>
      <c r="P14" s="27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M14" s="28"/>
      <c r="AN14" s="28"/>
      <c r="AO14" s="28"/>
      <c r="AP14" s="28"/>
      <c r="AQ14" s="28"/>
      <c r="AR14" s="28"/>
      <c r="AT14" s="28"/>
      <c r="AU14" s="28"/>
      <c r="AV14" s="28"/>
      <c r="AW14" s="28"/>
      <c r="AX14" s="28"/>
      <c r="AY14" s="28"/>
    </row>
    <row r="15" spans="1:51" ht="13.5" thickBot="1" x14ac:dyDescent="0.25">
      <c r="A15" s="53"/>
      <c r="B15" s="54"/>
      <c r="C15" s="54"/>
      <c r="D15" s="54"/>
      <c r="E15" s="54"/>
      <c r="F15" s="54"/>
      <c r="G15" s="54"/>
      <c r="H15" s="54"/>
      <c r="I15" s="54"/>
      <c r="J15" s="54"/>
      <c r="K15" s="55"/>
      <c r="L15" s="56"/>
      <c r="M15" s="57"/>
      <c r="N15" s="26"/>
      <c r="O15" s="25"/>
      <c r="P15" s="27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M15" s="28"/>
      <c r="AN15" s="28"/>
      <c r="AO15" s="28"/>
      <c r="AP15" s="28"/>
      <c r="AQ15" s="28"/>
      <c r="AR15" s="28"/>
      <c r="AT15" s="28"/>
      <c r="AU15" s="28"/>
      <c r="AV15" s="28"/>
      <c r="AW15" s="28"/>
      <c r="AX15" s="28"/>
      <c r="AY15" s="28"/>
    </row>
    <row r="16" spans="1:51" x14ac:dyDescent="0.2">
      <c r="A16" s="36"/>
      <c r="K16" s="24"/>
      <c r="L16" s="58"/>
      <c r="M16" s="47"/>
      <c r="N16" s="26"/>
      <c r="O16" s="27"/>
      <c r="P16" s="27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M16" s="28"/>
      <c r="AN16" s="28"/>
      <c r="AO16" s="28"/>
      <c r="AP16" s="28"/>
      <c r="AQ16" s="28"/>
      <c r="AR16" s="28"/>
      <c r="AT16" s="28"/>
      <c r="AU16" s="28"/>
      <c r="AV16" s="28"/>
      <c r="AW16" s="28"/>
      <c r="AX16" s="28"/>
      <c r="AY16" s="28"/>
    </row>
    <row r="17" spans="1:51" x14ac:dyDescent="0.2">
      <c r="A17" s="59" t="s">
        <v>57</v>
      </c>
      <c r="B17" s="60"/>
      <c r="F17" s="61" t="s">
        <v>58</v>
      </c>
      <c r="G17" s="62" t="s">
        <v>58</v>
      </c>
      <c r="H17" s="62" t="s">
        <v>58</v>
      </c>
      <c r="J17" s="62" t="s">
        <v>58</v>
      </c>
      <c r="K17" s="62" t="s">
        <v>58</v>
      </c>
      <c r="L17" s="62" t="s">
        <v>58</v>
      </c>
      <c r="M17" s="47"/>
      <c r="N17" s="26"/>
      <c r="O17" s="27"/>
      <c r="P17" s="27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M17" s="28"/>
      <c r="AN17" s="28"/>
      <c r="AO17" s="28"/>
      <c r="AP17" s="28"/>
      <c r="AQ17" s="28"/>
      <c r="AR17" s="28"/>
      <c r="AT17" s="28"/>
      <c r="AU17" s="28"/>
      <c r="AV17" s="28"/>
      <c r="AW17" s="28"/>
      <c r="AX17" s="28"/>
      <c r="AY17" s="28"/>
    </row>
    <row r="18" spans="1:51" x14ac:dyDescent="0.2">
      <c r="A18" s="36"/>
      <c r="F18" s="37" t="s">
        <v>48</v>
      </c>
      <c r="G18" s="38" t="s">
        <v>49</v>
      </c>
      <c r="H18" s="38" t="s">
        <v>50</v>
      </c>
      <c r="J18" s="38" t="s">
        <v>51</v>
      </c>
      <c r="K18" s="38" t="s">
        <v>52</v>
      </c>
      <c r="L18" s="38" t="s">
        <v>17</v>
      </c>
      <c r="M18" s="47"/>
      <c r="N18" s="26"/>
      <c r="O18" s="27"/>
      <c r="P18" s="27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M18" s="28"/>
      <c r="AN18" s="28"/>
      <c r="AO18" s="28"/>
      <c r="AP18" s="28"/>
      <c r="AQ18" s="28"/>
      <c r="AR18" s="28"/>
      <c r="AT18" s="28"/>
      <c r="AU18" s="28"/>
      <c r="AV18" s="28"/>
      <c r="AW18" s="28"/>
      <c r="AX18" s="28"/>
      <c r="AY18" s="28"/>
    </row>
    <row r="19" spans="1:51" x14ac:dyDescent="0.2">
      <c r="A19" s="36"/>
      <c r="F19" s="40"/>
      <c r="M19" s="47"/>
      <c r="N19" s="26"/>
      <c r="O19" s="27"/>
      <c r="P19" s="27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M19" s="28"/>
      <c r="AN19" s="28"/>
      <c r="AO19" s="28"/>
      <c r="AP19" s="28"/>
      <c r="AQ19" s="28"/>
      <c r="AR19" s="28"/>
      <c r="AT19" s="28"/>
      <c r="AU19" s="28"/>
      <c r="AV19" s="28"/>
      <c r="AW19" s="28"/>
      <c r="AX19" s="28"/>
      <c r="AY19" s="28"/>
    </row>
    <row r="20" spans="1:51" x14ac:dyDescent="0.2">
      <c r="A20" s="36"/>
      <c r="C20" s="23" t="s">
        <v>59</v>
      </c>
      <c r="F20" s="63">
        <f>+'Res All Hours'!J21</f>
        <v>28.89</v>
      </c>
      <c r="G20" s="43"/>
      <c r="H20" s="43"/>
      <c r="J20" s="43"/>
      <c r="K20" s="43"/>
      <c r="L20" s="44">
        <f t="shared" ref="L20:L25" si="1">SUM(F20:K20)</f>
        <v>28.89</v>
      </c>
      <c r="M20" s="47"/>
      <c r="N20" s="26"/>
      <c r="O20" s="27"/>
      <c r="P20" s="27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M20" s="28"/>
      <c r="AN20" s="28"/>
      <c r="AO20" s="28"/>
      <c r="AP20" s="28"/>
      <c r="AQ20" s="28"/>
      <c r="AR20" s="28"/>
      <c r="AT20" s="28"/>
      <c r="AU20" s="28"/>
      <c r="AV20" s="28"/>
      <c r="AW20" s="28"/>
      <c r="AX20" s="28"/>
      <c r="AY20" s="28"/>
    </row>
    <row r="21" spans="1:51" x14ac:dyDescent="0.2">
      <c r="A21" s="36"/>
      <c r="F21" s="63"/>
      <c r="L21" s="44">
        <f t="shared" si="1"/>
        <v>0</v>
      </c>
      <c r="M21" s="47"/>
      <c r="N21" s="26"/>
      <c r="O21" s="64"/>
      <c r="P21" s="27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  <c r="AK21" s="28"/>
      <c r="AM21" s="28"/>
      <c r="AN21" s="28"/>
      <c r="AO21" s="28"/>
      <c r="AP21" s="28"/>
      <c r="AQ21" s="28"/>
      <c r="AR21" s="28"/>
      <c r="AT21" s="28"/>
      <c r="AU21" s="28"/>
      <c r="AV21" s="28"/>
      <c r="AW21" s="28"/>
      <c r="AX21" s="28"/>
      <c r="AY21" s="28"/>
    </row>
    <row r="22" spans="1:51" x14ac:dyDescent="0.2">
      <c r="A22" s="36"/>
      <c r="C22" s="46"/>
      <c r="F22" s="63"/>
      <c r="J22" s="43"/>
      <c r="K22" s="43">
        <f>ROUND(K11*1.08,2)</f>
        <v>0</v>
      </c>
      <c r="L22" s="44">
        <f t="shared" si="1"/>
        <v>0</v>
      </c>
      <c r="M22" s="47"/>
      <c r="N22" s="26"/>
      <c r="O22" s="65"/>
      <c r="P22" s="65"/>
      <c r="Q22" s="65"/>
      <c r="R22" s="65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  <c r="AK22" s="28"/>
      <c r="AM22" s="28"/>
      <c r="AN22" s="28"/>
      <c r="AO22" s="28"/>
      <c r="AP22" s="28"/>
      <c r="AQ22" s="28"/>
      <c r="AR22" s="28"/>
      <c r="AT22" s="28"/>
      <c r="AU22" s="28"/>
      <c r="AV22" s="28"/>
      <c r="AW22" s="28"/>
      <c r="AX22" s="28"/>
      <c r="AY22" s="28"/>
    </row>
    <row r="23" spans="1:51" x14ac:dyDescent="0.2">
      <c r="A23" s="36"/>
      <c r="C23" s="46"/>
      <c r="F23" s="63"/>
      <c r="J23" s="43"/>
      <c r="K23" s="43">
        <f>+K22</f>
        <v>0</v>
      </c>
      <c r="L23" s="44">
        <f t="shared" si="1"/>
        <v>0</v>
      </c>
      <c r="M23" s="47"/>
      <c r="N23" s="26"/>
      <c r="O23" s="65"/>
      <c r="P23" s="65"/>
      <c r="Q23" s="66"/>
      <c r="R23" s="65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  <c r="AK23" s="28"/>
      <c r="AM23" s="28"/>
      <c r="AN23" s="28"/>
      <c r="AO23" s="28"/>
      <c r="AP23" s="28"/>
      <c r="AQ23" s="28"/>
      <c r="AR23" s="28"/>
      <c r="AT23" s="28"/>
      <c r="AU23" s="28"/>
      <c r="AV23" s="28"/>
      <c r="AW23" s="28"/>
      <c r="AX23" s="28"/>
      <c r="AY23" s="28"/>
    </row>
    <row r="24" spans="1:51" x14ac:dyDescent="0.2">
      <c r="A24" s="36"/>
      <c r="C24" s="46" t="s">
        <v>60</v>
      </c>
      <c r="F24" s="67">
        <f>+'Res All Hours'!J23</f>
        <v>9.59E-4</v>
      </c>
      <c r="G24" s="49">
        <f>+'Res All Hours'!F31</f>
        <v>8.8199999999999997E-4</v>
      </c>
      <c r="H24" s="50">
        <f>+'Res All Hours'!H31</f>
        <v>5.1580000000000003E-3</v>
      </c>
      <c r="J24" s="49">
        <f>+'Res All Hours'!D31</f>
        <v>6.2200000000000005E-4</v>
      </c>
      <c r="K24" s="49">
        <f>+'Res All Hours'!J31</f>
        <v>4.6342000000000001E-2</v>
      </c>
      <c r="L24" s="68">
        <f t="shared" si="1"/>
        <v>5.3963000000000004E-2</v>
      </c>
      <c r="M24" s="47"/>
      <c r="N24" s="26"/>
      <c r="O24" s="65"/>
      <c r="P24" s="65"/>
      <c r="Q24" s="66"/>
      <c r="R24" s="65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  <c r="AK24" s="28"/>
      <c r="AM24" s="28"/>
      <c r="AN24" s="28"/>
      <c r="AO24" s="28"/>
      <c r="AP24" s="28"/>
      <c r="AQ24" s="28"/>
      <c r="AR24" s="28"/>
      <c r="AT24" s="28"/>
      <c r="AU24" s="28"/>
      <c r="AV24" s="28"/>
      <c r="AW24" s="28"/>
      <c r="AX24" s="28"/>
      <c r="AY24" s="28"/>
    </row>
    <row r="25" spans="1:51" ht="13.5" thickBot="1" x14ac:dyDescent="0.25">
      <c r="A25" s="53"/>
      <c r="B25" s="54"/>
      <c r="C25" s="69"/>
      <c r="D25" s="54"/>
      <c r="E25" s="54"/>
      <c r="F25" s="70"/>
      <c r="G25" s="71"/>
      <c r="H25" s="72"/>
      <c r="I25" s="54"/>
      <c r="J25" s="71"/>
      <c r="K25" s="73"/>
      <c r="L25" s="71">
        <f t="shared" si="1"/>
        <v>0</v>
      </c>
      <c r="M25" s="57"/>
      <c r="N25" s="26"/>
      <c r="O25" s="65"/>
      <c r="P25" s="65"/>
      <c r="Q25" s="66"/>
      <c r="R25" s="65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  <c r="AK25" s="28"/>
      <c r="AM25" s="28"/>
      <c r="AN25" s="28"/>
      <c r="AO25" s="28"/>
      <c r="AP25" s="28"/>
      <c r="AQ25" s="28"/>
      <c r="AR25" s="28"/>
      <c r="AT25" s="28"/>
      <c r="AU25" s="28"/>
      <c r="AV25" s="28"/>
      <c r="AW25" s="28"/>
      <c r="AX25" s="28"/>
      <c r="AY25" s="28"/>
    </row>
    <row r="26" spans="1:51" x14ac:dyDescent="0.2">
      <c r="F26" s="66"/>
      <c r="J26" s="24"/>
      <c r="K26" s="25"/>
      <c r="L26" s="25"/>
      <c r="M26" s="26"/>
      <c r="N26" s="25"/>
      <c r="O26" s="27"/>
      <c r="P26" s="27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  <c r="AK26" s="28"/>
      <c r="AM26" s="28"/>
      <c r="AN26" s="28"/>
      <c r="AO26" s="28"/>
      <c r="AP26" s="28"/>
      <c r="AQ26" s="28"/>
      <c r="AR26" s="28"/>
      <c r="AT26" s="28"/>
      <c r="AU26" s="28"/>
      <c r="AV26" s="28"/>
      <c r="AW26" s="28"/>
      <c r="AX26" s="28"/>
      <c r="AY26" s="28"/>
    </row>
    <row r="27" spans="1:51" x14ac:dyDescent="0.2">
      <c r="E27" s="65"/>
      <c r="J27" s="24"/>
      <c r="K27" s="25"/>
      <c r="L27" s="25"/>
      <c r="M27" s="26"/>
      <c r="N27" s="25"/>
      <c r="O27" s="27"/>
      <c r="P27" s="27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  <c r="AK27" s="28"/>
      <c r="AM27" s="28"/>
      <c r="AN27" s="28"/>
      <c r="AO27" s="28"/>
      <c r="AP27" s="28"/>
      <c r="AQ27" s="28"/>
      <c r="AR27" s="28"/>
      <c r="AT27" s="28"/>
      <c r="AU27" s="28"/>
      <c r="AV27" s="28"/>
      <c r="AW27" s="28"/>
      <c r="AX27" s="28"/>
      <c r="AY27" s="28"/>
    </row>
    <row r="28" spans="1:51" x14ac:dyDescent="0.2">
      <c r="C28" s="138" t="s">
        <v>61</v>
      </c>
      <c r="D28" s="138"/>
      <c r="E28" s="138"/>
      <c r="F28" s="138"/>
      <c r="G28" s="138"/>
      <c r="H28" s="138"/>
      <c r="I28" s="138"/>
      <c r="J28" s="138"/>
      <c r="K28" s="138"/>
      <c r="L28" s="138"/>
      <c r="M28" s="138"/>
      <c r="N28" s="138"/>
      <c r="O28" s="138"/>
      <c r="P28" s="74"/>
      <c r="Q28" s="75"/>
    </row>
    <row r="29" spans="1:51" ht="13.5" thickBot="1" x14ac:dyDescent="0.25">
      <c r="C29" s="60"/>
      <c r="Y29" s="28"/>
      <c r="AD29" s="28"/>
      <c r="AF29" s="28"/>
      <c r="AK29" s="28"/>
      <c r="AM29" s="28"/>
      <c r="AR29" s="28"/>
      <c r="AT29" s="28"/>
      <c r="AY29" s="28"/>
    </row>
    <row r="30" spans="1:51" x14ac:dyDescent="0.2">
      <c r="B30" s="76"/>
      <c r="C30" s="34"/>
      <c r="D30" s="77"/>
      <c r="E30" s="78" t="s">
        <v>48</v>
      </c>
      <c r="F30" s="79" t="s">
        <v>48</v>
      </c>
      <c r="G30" s="80" t="s">
        <v>62</v>
      </c>
      <c r="H30" s="81" t="s">
        <v>63</v>
      </c>
      <c r="J30" s="78" t="s">
        <v>64</v>
      </c>
      <c r="K30" s="79" t="s">
        <v>64</v>
      </c>
      <c r="L30" s="80" t="s">
        <v>62</v>
      </c>
      <c r="M30" s="81" t="s">
        <v>63</v>
      </c>
      <c r="N30" s="77"/>
      <c r="O30" s="78" t="s">
        <v>65</v>
      </c>
      <c r="P30" s="79" t="s">
        <v>65</v>
      </c>
      <c r="Q30" s="80" t="s">
        <v>62</v>
      </c>
      <c r="R30" s="81" t="s">
        <v>63</v>
      </c>
      <c r="T30" s="82" t="s">
        <v>66</v>
      </c>
      <c r="U30" s="80" t="s">
        <v>67</v>
      </c>
      <c r="V30" s="81" t="s">
        <v>68</v>
      </c>
    </row>
    <row r="31" spans="1:51" x14ac:dyDescent="0.2">
      <c r="B31" s="83" t="s">
        <v>69</v>
      </c>
      <c r="C31" s="39" t="s">
        <v>70</v>
      </c>
      <c r="D31" s="38"/>
      <c r="E31" s="84">
        <v>44409</v>
      </c>
      <c r="F31" s="85" t="s">
        <v>58</v>
      </c>
      <c r="G31" s="85" t="s">
        <v>71</v>
      </c>
      <c r="H31" s="86" t="s">
        <v>71</v>
      </c>
      <c r="J31" s="84">
        <v>44409</v>
      </c>
      <c r="K31" s="85" t="s">
        <v>58</v>
      </c>
      <c r="L31" s="85" t="s">
        <v>71</v>
      </c>
      <c r="M31" s="86" t="s">
        <v>71</v>
      </c>
      <c r="N31" s="38"/>
      <c r="O31" s="84">
        <v>44409</v>
      </c>
      <c r="P31" s="85" t="s">
        <v>58</v>
      </c>
      <c r="Q31" s="85" t="s">
        <v>71</v>
      </c>
      <c r="R31" s="86" t="s">
        <v>71</v>
      </c>
      <c r="T31" s="87" t="s">
        <v>72</v>
      </c>
      <c r="U31" s="38" t="s">
        <v>17</v>
      </c>
      <c r="V31" s="88" t="s">
        <v>73</v>
      </c>
      <c r="Y31" s="89"/>
      <c r="Z31" s="10"/>
      <c r="AA31" s="77"/>
      <c r="AF31" s="28"/>
      <c r="AM31" s="28"/>
      <c r="AT31" s="28"/>
    </row>
    <row r="32" spans="1:51" x14ac:dyDescent="0.2">
      <c r="B32" s="36"/>
      <c r="C32" s="45"/>
      <c r="E32" s="90"/>
      <c r="H32" s="91"/>
      <c r="J32" s="90"/>
      <c r="M32" s="91"/>
      <c r="O32" s="90"/>
      <c r="R32" s="91"/>
      <c r="T32" s="90"/>
      <c r="V32" s="91"/>
      <c r="Z32" s="10"/>
    </row>
    <row r="33" spans="2:31" x14ac:dyDescent="0.2">
      <c r="B33" s="92"/>
      <c r="C33" s="93">
        <v>5000</v>
      </c>
      <c r="E33" s="94">
        <f t="shared" ref="E33:E58" si="2">+$F$9+$F$13*(C33-50)</f>
        <v>192.03604999999999</v>
      </c>
      <c r="F33" s="95">
        <f>+$F$20+$F$24*C33</f>
        <v>33.685000000000002</v>
      </c>
      <c r="G33" s="95">
        <f>+F33-E33</f>
        <v>-158.35104999999999</v>
      </c>
      <c r="H33" s="96">
        <f t="shared" ref="H33:H59" si="3">+(F33-E33)/E33</f>
        <v>-0.82459022667879289</v>
      </c>
      <c r="J33" s="94">
        <f t="shared" ref="J33:J58" si="4">+$L$9+$L$12*B33+$L$13*(C33-50)</f>
        <v>456.89595000000008</v>
      </c>
      <c r="K33" s="95">
        <f>+$L$20+$L$22*B33+$L$24*C33</f>
        <v>298.70499999999998</v>
      </c>
      <c r="L33" s="95">
        <f>+K33-J33</f>
        <v>-158.1909500000001</v>
      </c>
      <c r="M33" s="96">
        <f t="shared" ref="M33:M59" si="5">+(K33-J33)/J33</f>
        <v>-0.34622970503459283</v>
      </c>
      <c r="N33" s="58"/>
      <c r="O33" s="94">
        <f t="shared" ref="O33:O58" si="6">+$L$9+$L$12*B33+$L$13*(C33-50)+$M$13*C33</f>
        <v>1047.7009500000001</v>
      </c>
      <c r="P33" s="95">
        <f>+$L$20+$L$22*B33+$L$24*C33+$M$13*C33</f>
        <v>889.51</v>
      </c>
      <c r="Q33" s="95">
        <f>+P33-O33</f>
        <v>-158.19095000000016</v>
      </c>
      <c r="R33" s="96">
        <f t="shared" ref="R33:R59" si="7">+(P33-O33)/O33</f>
        <v>-0.15098864804885415</v>
      </c>
      <c r="T33" s="97">
        <v>803</v>
      </c>
      <c r="U33" s="98">
        <f t="shared" ref="U33:U59" si="8">T33/SUM($T$33:$T$59)</f>
        <v>1.4717215935280904E-3</v>
      </c>
      <c r="V33" s="99">
        <f t="shared" ref="V33:V57" si="9">+V34+U33</f>
        <v>0.99999999999999978</v>
      </c>
      <c r="Y33" s="12"/>
      <c r="Z33" s="10"/>
      <c r="AA33" s="28"/>
    </row>
    <row r="34" spans="2:31" x14ac:dyDescent="0.2">
      <c r="B34" s="92"/>
      <c r="C34" s="93">
        <v>4500</v>
      </c>
      <c r="E34" s="100">
        <f t="shared" si="2"/>
        <v>173.74655000000001</v>
      </c>
      <c r="F34" s="101">
        <f>+$F$20+$F$24*C34</f>
        <v>33.205500000000001</v>
      </c>
      <c r="G34" s="102">
        <f t="shared" ref="G34:G58" si="10">+F34-E34</f>
        <v>-140.54105000000001</v>
      </c>
      <c r="H34" s="96">
        <f t="shared" si="3"/>
        <v>-0.80888541383987189</v>
      </c>
      <c r="J34" s="100">
        <f t="shared" si="4"/>
        <v>412.10545000000002</v>
      </c>
      <c r="K34" s="101">
        <f>+$L$20+$L$22*B34+$L$24*C34</f>
        <v>271.7235</v>
      </c>
      <c r="L34" s="102">
        <f t="shared" ref="L34:L58" si="11">+K34-J34</f>
        <v>-140.38195000000002</v>
      </c>
      <c r="M34" s="96">
        <f t="shared" si="5"/>
        <v>-0.34064570123981619</v>
      </c>
      <c r="N34" s="58"/>
      <c r="O34" s="100">
        <f t="shared" si="6"/>
        <v>943.82995000000005</v>
      </c>
      <c r="P34" s="101">
        <f>+$L$20+$L$22*B34+$L$24*C34+$M$13*C34</f>
        <v>803.44800000000009</v>
      </c>
      <c r="Q34" s="102">
        <f t="shared" ref="Q34:Q59" si="12">+P34-O34</f>
        <v>-140.38194999999996</v>
      </c>
      <c r="R34" s="96">
        <f t="shared" si="7"/>
        <v>-0.14873648584684132</v>
      </c>
      <c r="T34" s="97">
        <v>226.5</v>
      </c>
      <c r="U34" s="98">
        <f t="shared" si="8"/>
        <v>4.1512445944472294E-4</v>
      </c>
      <c r="V34" s="99">
        <f t="shared" si="9"/>
        <v>0.99852827840647174</v>
      </c>
      <c r="Y34" s="12"/>
      <c r="Z34" s="10"/>
      <c r="AA34" s="28"/>
    </row>
    <row r="35" spans="2:31" x14ac:dyDescent="0.2">
      <c r="B35" s="92"/>
      <c r="C35" s="93">
        <v>4000</v>
      </c>
      <c r="E35" s="100">
        <f t="shared" si="2"/>
        <v>155.45705000000001</v>
      </c>
      <c r="F35" s="101">
        <f t="shared" ref="F35:F59" si="13">+$F$20+$F$24*C35</f>
        <v>32.725999999999999</v>
      </c>
      <c r="G35" s="102">
        <f t="shared" si="10"/>
        <v>-122.73105000000001</v>
      </c>
      <c r="H35" s="96">
        <f t="shared" si="3"/>
        <v>-0.78948526297134802</v>
      </c>
      <c r="J35" s="100">
        <f t="shared" si="4"/>
        <v>367.31495000000007</v>
      </c>
      <c r="K35" s="101">
        <f t="shared" ref="K35:K59" si="14">+$L$20+$L$22*B35+$L$24*C35</f>
        <v>244.74200000000002</v>
      </c>
      <c r="L35" s="102">
        <f t="shared" si="11"/>
        <v>-122.57295000000005</v>
      </c>
      <c r="M35" s="96">
        <f t="shared" si="5"/>
        <v>-0.33369986710314958</v>
      </c>
      <c r="N35" s="58"/>
      <c r="O35" s="100">
        <f t="shared" si="6"/>
        <v>839.95895000000007</v>
      </c>
      <c r="P35" s="101">
        <f t="shared" ref="P35:P59" si="15">+$L$20+$L$22*B35+$L$24*C35+$M$13*C35</f>
        <v>717.38599999999997</v>
      </c>
      <c r="Q35" s="102">
        <f t="shared" si="12"/>
        <v>-122.57295000000011</v>
      </c>
      <c r="R35" s="96">
        <f t="shared" si="7"/>
        <v>-0.14592730990008512</v>
      </c>
      <c r="T35" s="97">
        <v>327</v>
      </c>
      <c r="U35" s="98">
        <f t="shared" si="8"/>
        <v>5.9931875601953381E-4</v>
      </c>
      <c r="V35" s="99">
        <f t="shared" si="9"/>
        <v>0.99811315394702704</v>
      </c>
      <c r="X35" s="103"/>
      <c r="Y35" s="12"/>
      <c r="Z35" s="10"/>
      <c r="AA35" s="28"/>
      <c r="AE35" s="103"/>
    </row>
    <row r="36" spans="2:31" x14ac:dyDescent="0.2">
      <c r="B36" s="92"/>
      <c r="C36" s="93">
        <v>3800</v>
      </c>
      <c r="E36" s="100">
        <f t="shared" si="2"/>
        <v>148.14125000000001</v>
      </c>
      <c r="F36" s="101">
        <f t="shared" si="13"/>
        <v>32.534199999999998</v>
      </c>
      <c r="G36" s="102">
        <f t="shared" si="10"/>
        <v>-115.60705000000002</v>
      </c>
      <c r="H36" s="96">
        <f t="shared" si="3"/>
        <v>-0.78038392412646718</v>
      </c>
      <c r="J36" s="100">
        <f t="shared" si="4"/>
        <v>349.39875000000006</v>
      </c>
      <c r="K36" s="101">
        <f t="shared" si="14"/>
        <v>233.94940000000003</v>
      </c>
      <c r="L36" s="102">
        <f t="shared" si="11"/>
        <v>-115.44935000000004</v>
      </c>
      <c r="M36" s="96">
        <f t="shared" si="5"/>
        <v>-0.33042290506190997</v>
      </c>
      <c r="N36" s="58"/>
      <c r="O36" s="100">
        <f t="shared" si="6"/>
        <v>798.41055000000006</v>
      </c>
      <c r="P36" s="101">
        <f t="shared" si="15"/>
        <v>682.96119999999996</v>
      </c>
      <c r="Q36" s="102">
        <f t="shared" si="12"/>
        <v>-115.44935000000009</v>
      </c>
      <c r="R36" s="96">
        <f t="shared" si="7"/>
        <v>-0.14459897855808654</v>
      </c>
      <c r="T36" s="97">
        <v>191.5</v>
      </c>
      <c r="U36" s="98">
        <f t="shared" si="8"/>
        <v>3.5097719198085844E-4</v>
      </c>
      <c r="V36" s="99">
        <f t="shared" si="9"/>
        <v>0.99751383519100756</v>
      </c>
      <c r="Y36" s="12"/>
      <c r="Z36" s="10"/>
      <c r="AA36" s="28"/>
    </row>
    <row r="37" spans="2:31" x14ac:dyDescent="0.2">
      <c r="B37" s="104"/>
      <c r="C37" s="93">
        <v>3600</v>
      </c>
      <c r="E37" s="100">
        <f t="shared" si="2"/>
        <v>140.82544999999999</v>
      </c>
      <c r="F37" s="101">
        <f t="shared" si="13"/>
        <v>32.342399999999998</v>
      </c>
      <c r="G37" s="102">
        <f t="shared" si="10"/>
        <v>-108.48304999999999</v>
      </c>
      <c r="H37" s="96">
        <f t="shared" si="3"/>
        <v>-0.77033696679115882</v>
      </c>
      <c r="J37" s="100">
        <f t="shared" si="4"/>
        <v>331.48255000000006</v>
      </c>
      <c r="K37" s="101">
        <f t="shared" si="14"/>
        <v>223.15680000000003</v>
      </c>
      <c r="L37" s="102">
        <f t="shared" si="11"/>
        <v>-108.32575000000003</v>
      </c>
      <c r="M37" s="96">
        <f t="shared" si="5"/>
        <v>-0.32679171196191176</v>
      </c>
      <c r="N37" s="58"/>
      <c r="O37" s="100">
        <f t="shared" si="6"/>
        <v>756.86215000000004</v>
      </c>
      <c r="P37" s="101">
        <f t="shared" si="15"/>
        <v>648.53639999999996</v>
      </c>
      <c r="Q37" s="102">
        <f t="shared" si="12"/>
        <v>-108.32575000000008</v>
      </c>
      <c r="R37" s="96">
        <f t="shared" si="7"/>
        <v>-0.14312480813051634</v>
      </c>
      <c r="T37" s="97">
        <v>233.5</v>
      </c>
      <c r="U37" s="98">
        <f t="shared" si="8"/>
        <v>4.279539129374958E-4</v>
      </c>
      <c r="V37" s="99">
        <f t="shared" si="9"/>
        <v>0.99716285799902671</v>
      </c>
      <c r="Y37" s="12"/>
      <c r="Z37" s="10"/>
      <c r="AA37" s="28"/>
    </row>
    <row r="38" spans="2:31" x14ac:dyDescent="0.2">
      <c r="B38" s="104"/>
      <c r="C38" s="93">
        <v>3400</v>
      </c>
      <c r="E38" s="100">
        <f t="shared" si="2"/>
        <v>133.50964999999999</v>
      </c>
      <c r="F38" s="101">
        <f t="shared" si="13"/>
        <v>32.150599999999997</v>
      </c>
      <c r="G38" s="102">
        <f t="shared" si="10"/>
        <v>-101.35905</v>
      </c>
      <c r="H38" s="96">
        <f t="shared" si="3"/>
        <v>-0.75918894252213232</v>
      </c>
      <c r="J38" s="100">
        <f t="shared" si="4"/>
        <v>313.56635000000006</v>
      </c>
      <c r="K38" s="101">
        <f t="shared" si="14"/>
        <v>212.36420000000004</v>
      </c>
      <c r="L38" s="102">
        <f t="shared" si="11"/>
        <v>-101.20215000000002</v>
      </c>
      <c r="M38" s="96">
        <f t="shared" si="5"/>
        <v>-0.32274556884053407</v>
      </c>
      <c r="N38" s="58"/>
      <c r="O38" s="100">
        <f t="shared" si="6"/>
        <v>715.31375000000003</v>
      </c>
      <c r="P38" s="101">
        <f t="shared" si="15"/>
        <v>614.11160000000007</v>
      </c>
      <c r="Q38" s="102">
        <f t="shared" si="12"/>
        <v>-101.20214999999996</v>
      </c>
      <c r="R38" s="96">
        <f t="shared" si="7"/>
        <v>-0.14147938579399594</v>
      </c>
      <c r="T38" s="97">
        <v>262</v>
      </c>
      <c r="U38" s="98">
        <f t="shared" si="8"/>
        <v>4.8018811644378543E-4</v>
      </c>
      <c r="V38" s="99">
        <f t="shared" si="9"/>
        <v>0.99673490408608922</v>
      </c>
      <c r="Y38" s="12"/>
      <c r="Z38" s="10"/>
      <c r="AA38" s="28"/>
    </row>
    <row r="39" spans="2:31" x14ac:dyDescent="0.2">
      <c r="B39" s="104"/>
      <c r="C39" s="93">
        <v>3200</v>
      </c>
      <c r="E39" s="100">
        <f t="shared" si="2"/>
        <v>126.19385</v>
      </c>
      <c r="F39" s="101">
        <f t="shared" si="13"/>
        <v>31.9588</v>
      </c>
      <c r="G39" s="102">
        <f t="shared" si="10"/>
        <v>-94.235050000000001</v>
      </c>
      <c r="H39" s="96">
        <f t="shared" si="3"/>
        <v>-0.74674835580339294</v>
      </c>
      <c r="J39" s="100">
        <f t="shared" si="4"/>
        <v>295.65015000000005</v>
      </c>
      <c r="K39" s="101">
        <f t="shared" si="14"/>
        <v>201.57159999999999</v>
      </c>
      <c r="L39" s="102">
        <f t="shared" si="11"/>
        <v>-94.078550000000064</v>
      </c>
      <c r="M39" s="96">
        <f t="shared" si="5"/>
        <v>-0.31820903862216898</v>
      </c>
      <c r="N39" s="58"/>
      <c r="O39" s="100">
        <f t="shared" si="6"/>
        <v>673.76535000000013</v>
      </c>
      <c r="P39" s="101">
        <f t="shared" si="15"/>
        <v>579.68679999999995</v>
      </c>
      <c r="Q39" s="102">
        <f t="shared" si="12"/>
        <v>-94.078550000000178</v>
      </c>
      <c r="R39" s="96">
        <f t="shared" si="7"/>
        <v>-0.13963103029860494</v>
      </c>
      <c r="T39" s="97">
        <v>329.5</v>
      </c>
      <c r="U39" s="98">
        <f t="shared" si="8"/>
        <v>6.0390070369552404E-4</v>
      </c>
      <c r="V39" s="99">
        <f t="shared" si="9"/>
        <v>0.99625471596964543</v>
      </c>
      <c r="Y39" s="12"/>
      <c r="Z39" s="10"/>
      <c r="AA39" s="28"/>
    </row>
    <row r="40" spans="2:31" x14ac:dyDescent="0.2">
      <c r="B40" s="104"/>
      <c r="C40" s="93">
        <v>3000</v>
      </c>
      <c r="E40" s="100">
        <f t="shared" si="2"/>
        <v>118.87805</v>
      </c>
      <c r="F40" s="101">
        <f t="shared" si="13"/>
        <v>31.766999999999999</v>
      </c>
      <c r="G40" s="102">
        <f t="shared" si="10"/>
        <v>-87.111050000000006</v>
      </c>
      <c r="H40" s="96">
        <f t="shared" si="3"/>
        <v>-0.73277657229404425</v>
      </c>
      <c r="J40" s="100">
        <f t="shared" si="4"/>
        <v>277.73395000000005</v>
      </c>
      <c r="K40" s="101">
        <f t="shared" si="14"/>
        <v>190.779</v>
      </c>
      <c r="L40" s="102">
        <f t="shared" si="11"/>
        <v>-86.954950000000053</v>
      </c>
      <c r="M40" s="96">
        <f t="shared" si="5"/>
        <v>-0.3130872189013984</v>
      </c>
      <c r="N40" s="58"/>
      <c r="O40" s="100">
        <f t="shared" si="6"/>
        <v>632.21695</v>
      </c>
      <c r="P40" s="101">
        <f t="shared" si="15"/>
        <v>545.26199999999994</v>
      </c>
      <c r="Q40" s="102">
        <f t="shared" si="12"/>
        <v>-86.954950000000053</v>
      </c>
      <c r="R40" s="96">
        <f t="shared" si="7"/>
        <v>-0.13753973220743299</v>
      </c>
      <c r="T40" s="97">
        <v>456</v>
      </c>
      <c r="U40" s="98">
        <f t="shared" si="8"/>
        <v>8.3574725610063426E-4</v>
      </c>
      <c r="V40" s="99">
        <f t="shared" si="9"/>
        <v>0.9956508152659499</v>
      </c>
      <c r="Y40" s="12"/>
      <c r="Z40" s="10"/>
      <c r="AA40" s="28"/>
    </row>
    <row r="41" spans="2:31" x14ac:dyDescent="0.2">
      <c r="B41" s="104"/>
      <c r="C41" s="93">
        <v>2800</v>
      </c>
      <c r="E41" s="100">
        <f t="shared" si="2"/>
        <v>111.56225000000001</v>
      </c>
      <c r="F41" s="101">
        <f t="shared" si="13"/>
        <v>31.575200000000002</v>
      </c>
      <c r="G41" s="102">
        <f t="shared" si="10"/>
        <v>-79.987050000000011</v>
      </c>
      <c r="H41" s="96">
        <f t="shared" si="3"/>
        <v>-0.71697236296327838</v>
      </c>
      <c r="J41" s="100">
        <f t="shared" si="4"/>
        <v>259.81775000000005</v>
      </c>
      <c r="K41" s="101">
        <f t="shared" si="14"/>
        <v>179.9864</v>
      </c>
      <c r="L41" s="102">
        <f t="shared" si="11"/>
        <v>-79.831350000000043</v>
      </c>
      <c r="M41" s="96">
        <f t="shared" si="5"/>
        <v>-0.30725903060895582</v>
      </c>
      <c r="N41" s="58"/>
      <c r="O41" s="100">
        <f t="shared" si="6"/>
        <v>590.6685500000001</v>
      </c>
      <c r="P41" s="101">
        <f t="shared" si="15"/>
        <v>510.8372</v>
      </c>
      <c r="Q41" s="102">
        <f t="shared" si="12"/>
        <v>-79.8313500000001</v>
      </c>
      <c r="R41" s="96">
        <f t="shared" si="7"/>
        <v>-0.13515422481863998</v>
      </c>
      <c r="T41" s="97">
        <v>609</v>
      </c>
      <c r="U41" s="98">
        <f t="shared" si="8"/>
        <v>1.1161624538712418E-3</v>
      </c>
      <c r="V41" s="99">
        <f t="shared" si="9"/>
        <v>0.99481506800984931</v>
      </c>
      <c r="Y41" s="12"/>
      <c r="Z41" s="10"/>
      <c r="AA41" s="28"/>
    </row>
    <row r="42" spans="2:31" x14ac:dyDescent="0.2">
      <c r="B42" s="104"/>
      <c r="C42" s="93">
        <v>2600</v>
      </c>
      <c r="E42" s="100">
        <f t="shared" si="2"/>
        <v>104.24645</v>
      </c>
      <c r="F42" s="101">
        <f t="shared" si="13"/>
        <v>31.383400000000002</v>
      </c>
      <c r="G42" s="102">
        <f t="shared" si="10"/>
        <v>-72.863049999999987</v>
      </c>
      <c r="H42" s="96">
        <f t="shared" si="3"/>
        <v>-0.69894994026175461</v>
      </c>
      <c r="J42" s="100">
        <f t="shared" si="4"/>
        <v>241.90155000000001</v>
      </c>
      <c r="K42" s="101">
        <f t="shared" si="14"/>
        <v>169.19380000000001</v>
      </c>
      <c r="L42" s="102">
        <f t="shared" si="11"/>
        <v>-72.707750000000004</v>
      </c>
      <c r="M42" s="96">
        <f t="shared" si="5"/>
        <v>-0.30056752426762046</v>
      </c>
      <c r="N42" s="58"/>
      <c r="O42" s="100">
        <f t="shared" si="6"/>
        <v>549.12014999999997</v>
      </c>
      <c r="P42" s="101">
        <f t="shared" si="15"/>
        <v>476.41239999999999</v>
      </c>
      <c r="Q42" s="102">
        <f t="shared" si="12"/>
        <v>-72.707749999999976</v>
      </c>
      <c r="R42" s="96">
        <f t="shared" si="7"/>
        <v>-0.13240772534025563</v>
      </c>
      <c r="T42" s="97">
        <v>817</v>
      </c>
      <c r="U42" s="98">
        <f t="shared" si="8"/>
        <v>1.4973805005136364E-3</v>
      </c>
      <c r="V42" s="99">
        <f t="shared" si="9"/>
        <v>0.99369890555597806</v>
      </c>
      <c r="Y42" s="12"/>
      <c r="Z42" s="10"/>
      <c r="AA42" s="28"/>
    </row>
    <row r="43" spans="2:31" x14ac:dyDescent="0.2">
      <c r="B43" s="104"/>
      <c r="C43" s="93">
        <v>2400</v>
      </c>
      <c r="E43" s="100">
        <f t="shared" si="2"/>
        <v>96.93065</v>
      </c>
      <c r="F43" s="101">
        <f t="shared" si="13"/>
        <v>31.191600000000001</v>
      </c>
      <c r="G43" s="102">
        <f t="shared" si="10"/>
        <v>-65.739049999999992</v>
      </c>
      <c r="H43" s="96">
        <f t="shared" si="3"/>
        <v>-0.67820704802866782</v>
      </c>
      <c r="J43" s="100">
        <f t="shared" si="4"/>
        <v>223.98535000000001</v>
      </c>
      <c r="K43" s="101">
        <f t="shared" si="14"/>
        <v>158.40120000000002</v>
      </c>
      <c r="L43" s="102">
        <f t="shared" si="11"/>
        <v>-65.584149999999994</v>
      </c>
      <c r="M43" s="96">
        <f t="shared" si="5"/>
        <v>-0.29280553393335768</v>
      </c>
      <c r="N43" s="58"/>
      <c r="O43" s="100">
        <f t="shared" si="6"/>
        <v>507.57175000000007</v>
      </c>
      <c r="P43" s="101">
        <f t="shared" si="15"/>
        <v>441.98760000000004</v>
      </c>
      <c r="Q43" s="102">
        <f t="shared" si="12"/>
        <v>-65.584150000000022</v>
      </c>
      <c r="R43" s="96">
        <f t="shared" si="7"/>
        <v>-0.12921158437206171</v>
      </c>
      <c r="T43" s="97">
        <v>1123</v>
      </c>
      <c r="U43" s="98">
        <f t="shared" si="8"/>
        <v>2.0582108960548514E-3</v>
      </c>
      <c r="V43" s="99">
        <f t="shared" si="9"/>
        <v>0.99220152505546444</v>
      </c>
      <c r="Y43" s="12"/>
      <c r="Z43" s="10"/>
      <c r="AA43" s="28"/>
    </row>
    <row r="44" spans="2:31" x14ac:dyDescent="0.2">
      <c r="B44" s="104"/>
      <c r="C44" s="93">
        <v>2200</v>
      </c>
      <c r="E44" s="100">
        <f t="shared" si="2"/>
        <v>89.614850000000004</v>
      </c>
      <c r="F44" s="101">
        <f t="shared" si="13"/>
        <v>30.9998</v>
      </c>
      <c r="G44" s="102">
        <f t="shared" si="10"/>
        <v>-58.615050000000004</v>
      </c>
      <c r="H44" s="96">
        <f t="shared" si="3"/>
        <v>-0.65407742132023883</v>
      </c>
      <c r="J44" s="100">
        <f t="shared" si="4"/>
        <v>206.06915000000001</v>
      </c>
      <c r="K44" s="101">
        <f t="shared" si="14"/>
        <v>147.60860000000002</v>
      </c>
      <c r="L44" s="102">
        <f t="shared" si="11"/>
        <v>-58.460549999999984</v>
      </c>
      <c r="M44" s="96">
        <f t="shared" si="5"/>
        <v>-0.28369384742937009</v>
      </c>
      <c r="N44" s="58"/>
      <c r="O44" s="100">
        <f t="shared" si="6"/>
        <v>466.02335000000005</v>
      </c>
      <c r="P44" s="101">
        <f t="shared" si="15"/>
        <v>407.56280000000004</v>
      </c>
      <c r="Q44" s="102">
        <f t="shared" si="12"/>
        <v>-58.460550000000012</v>
      </c>
      <c r="R44" s="96">
        <f t="shared" si="7"/>
        <v>-0.12544553829759819</v>
      </c>
      <c r="T44" s="97">
        <v>1564</v>
      </c>
      <c r="U44" s="98">
        <f t="shared" si="8"/>
        <v>2.8664664660995437E-3</v>
      </c>
      <c r="V44" s="99">
        <f t="shared" si="9"/>
        <v>0.99014331415940959</v>
      </c>
      <c r="Y44" s="12"/>
      <c r="Z44" s="10"/>
      <c r="AA44" s="28"/>
    </row>
    <row r="45" spans="2:31" x14ac:dyDescent="0.2">
      <c r="B45" s="104"/>
      <c r="C45" s="93">
        <v>2000</v>
      </c>
      <c r="E45" s="100">
        <f t="shared" si="2"/>
        <v>82.299049999999994</v>
      </c>
      <c r="F45" s="101">
        <f t="shared" si="13"/>
        <v>30.808</v>
      </c>
      <c r="G45" s="102">
        <f t="shared" si="10"/>
        <v>-51.491049999999994</v>
      </c>
      <c r="H45" s="96">
        <f t="shared" si="3"/>
        <v>-0.62565789034016794</v>
      </c>
      <c r="J45" s="100">
        <f t="shared" si="4"/>
        <v>188.15295</v>
      </c>
      <c r="K45" s="101">
        <f t="shared" si="14"/>
        <v>136.816</v>
      </c>
      <c r="L45" s="102">
        <f t="shared" si="11"/>
        <v>-51.336950000000002</v>
      </c>
      <c r="M45" s="96">
        <f t="shared" si="5"/>
        <v>-0.27284690460606648</v>
      </c>
      <c r="N45" s="58"/>
      <c r="O45" s="100">
        <f t="shared" si="6"/>
        <v>424.47495000000004</v>
      </c>
      <c r="P45" s="101">
        <f t="shared" si="15"/>
        <v>373.13800000000003</v>
      </c>
      <c r="Q45" s="102">
        <f t="shared" si="12"/>
        <v>-51.336950000000002</v>
      </c>
      <c r="R45" s="96">
        <f t="shared" si="7"/>
        <v>-0.12094223699184133</v>
      </c>
      <c r="T45" s="97">
        <v>2240</v>
      </c>
      <c r="U45" s="98">
        <f t="shared" si="8"/>
        <v>4.1054251176873263E-3</v>
      </c>
      <c r="V45" s="99">
        <f t="shared" si="9"/>
        <v>0.98727684769331003</v>
      </c>
      <c r="Y45" s="12"/>
      <c r="Z45" s="10"/>
      <c r="AA45" s="28"/>
    </row>
    <row r="46" spans="2:31" x14ac:dyDescent="0.2">
      <c r="B46" s="104"/>
      <c r="C46" s="93">
        <v>1800</v>
      </c>
      <c r="E46" s="100">
        <f t="shared" si="2"/>
        <v>74.983249999999998</v>
      </c>
      <c r="F46" s="101">
        <f t="shared" si="13"/>
        <v>30.616199999999999</v>
      </c>
      <c r="G46" s="102">
        <f t="shared" si="10"/>
        <v>-44.367049999999999</v>
      </c>
      <c r="H46" s="96">
        <f t="shared" si="3"/>
        <v>-0.59169281139454477</v>
      </c>
      <c r="J46" s="100">
        <f t="shared" si="4"/>
        <v>170.23675</v>
      </c>
      <c r="K46" s="101">
        <f t="shared" si="14"/>
        <v>126.02340000000001</v>
      </c>
      <c r="L46" s="102">
        <f t="shared" si="11"/>
        <v>-44.213349999999991</v>
      </c>
      <c r="M46" s="96">
        <f t="shared" si="5"/>
        <v>-0.25971683552464431</v>
      </c>
      <c r="N46" s="58"/>
      <c r="O46" s="100">
        <f t="shared" si="6"/>
        <v>382.92655000000002</v>
      </c>
      <c r="P46" s="101">
        <f t="shared" si="15"/>
        <v>338.71320000000003</v>
      </c>
      <c r="Q46" s="102">
        <f t="shared" si="12"/>
        <v>-44.213349999999991</v>
      </c>
      <c r="R46" s="96">
        <f t="shared" si="7"/>
        <v>-0.11546169885582493</v>
      </c>
      <c r="T46" s="97">
        <v>3393.5</v>
      </c>
      <c r="U46" s="98">
        <f t="shared" si="8"/>
        <v>6.2195357753892597E-3</v>
      </c>
      <c r="V46" s="99">
        <f t="shared" si="9"/>
        <v>0.98317142257562273</v>
      </c>
      <c r="Y46" s="12"/>
      <c r="Z46" s="10"/>
      <c r="AA46" s="28"/>
    </row>
    <row r="47" spans="2:31" x14ac:dyDescent="0.2">
      <c r="B47" s="104"/>
      <c r="C47" s="105">
        <v>1600</v>
      </c>
      <c r="E47" s="100">
        <f t="shared" si="2"/>
        <v>67.667450000000002</v>
      </c>
      <c r="F47" s="101">
        <f t="shared" si="13"/>
        <v>30.424400000000002</v>
      </c>
      <c r="G47" s="102">
        <f t="shared" si="10"/>
        <v>-37.243049999999997</v>
      </c>
      <c r="H47" s="96">
        <f t="shared" si="3"/>
        <v>-0.55038353004287877</v>
      </c>
      <c r="J47" s="100">
        <f t="shared" si="4"/>
        <v>152.32055</v>
      </c>
      <c r="K47" s="101">
        <f t="shared" si="14"/>
        <v>115.2308</v>
      </c>
      <c r="L47" s="102">
        <f t="shared" si="11"/>
        <v>-37.089749999999995</v>
      </c>
      <c r="M47" s="96">
        <f t="shared" si="5"/>
        <v>-0.24349800470126975</v>
      </c>
      <c r="N47" s="58"/>
      <c r="O47" s="100">
        <f t="shared" si="6"/>
        <v>341.37815000000001</v>
      </c>
      <c r="P47" s="101">
        <f t="shared" si="15"/>
        <v>304.28840000000002</v>
      </c>
      <c r="Q47" s="102">
        <f t="shared" si="12"/>
        <v>-37.089749999999981</v>
      </c>
      <c r="R47" s="96">
        <f t="shared" si="7"/>
        <v>-0.10864711171467764</v>
      </c>
      <c r="T47" s="97">
        <v>5301</v>
      </c>
      <c r="U47" s="98">
        <f t="shared" si="8"/>
        <v>9.7155618521698722E-3</v>
      </c>
      <c r="V47" s="99">
        <f t="shared" si="9"/>
        <v>0.97695188680023348</v>
      </c>
      <c r="Y47" s="12"/>
      <c r="Z47" s="10"/>
      <c r="AA47" s="28"/>
      <c r="AB47" s="28"/>
      <c r="AC47" s="28"/>
      <c r="AD47" s="28"/>
    </row>
    <row r="48" spans="2:31" x14ac:dyDescent="0.2">
      <c r="B48" s="104"/>
      <c r="C48" s="106">
        <v>1400</v>
      </c>
      <c r="E48" s="100">
        <f t="shared" si="2"/>
        <v>60.351649999999999</v>
      </c>
      <c r="F48" s="101">
        <f t="shared" si="13"/>
        <v>30.232600000000001</v>
      </c>
      <c r="G48" s="102">
        <f t="shared" si="10"/>
        <v>-30.119049999999998</v>
      </c>
      <c r="H48" s="96">
        <f t="shared" si="3"/>
        <v>-0.49905926349983798</v>
      </c>
      <c r="J48" s="100">
        <f t="shared" si="4"/>
        <v>134.40435000000002</v>
      </c>
      <c r="K48" s="101">
        <f t="shared" si="14"/>
        <v>104.43820000000001</v>
      </c>
      <c r="L48" s="102">
        <f t="shared" si="11"/>
        <v>-29.966150000000013</v>
      </c>
      <c r="M48" s="96">
        <f t="shared" si="5"/>
        <v>-0.222955209411005</v>
      </c>
      <c r="N48" s="102"/>
      <c r="O48" s="100">
        <f t="shared" si="6"/>
        <v>299.82974999999999</v>
      </c>
      <c r="P48" s="101">
        <f t="shared" si="15"/>
        <v>269.86360000000002</v>
      </c>
      <c r="Q48" s="102">
        <f t="shared" si="12"/>
        <v>-29.966149999999971</v>
      </c>
      <c r="R48" s="96">
        <f t="shared" si="7"/>
        <v>-9.9943884821302661E-2</v>
      </c>
      <c r="T48" s="97">
        <v>8418.5</v>
      </c>
      <c r="U48" s="98">
        <f t="shared" si="8"/>
        <v>1.54292506041298E-2</v>
      </c>
      <c r="V48" s="99">
        <f t="shared" si="9"/>
        <v>0.96723632494806366</v>
      </c>
      <c r="Y48" s="12"/>
      <c r="Z48" s="10"/>
      <c r="AA48" s="28"/>
    </row>
    <row r="49" spans="2:27" x14ac:dyDescent="0.2">
      <c r="B49" s="104"/>
      <c r="C49" s="106">
        <v>1200</v>
      </c>
      <c r="E49" s="100">
        <f t="shared" si="2"/>
        <v>53.035849999999996</v>
      </c>
      <c r="F49" s="101">
        <f t="shared" si="13"/>
        <v>30.040800000000001</v>
      </c>
      <c r="G49" s="102">
        <f t="shared" si="10"/>
        <v>-22.995049999999996</v>
      </c>
      <c r="H49" s="96">
        <f t="shared" si="3"/>
        <v>-0.43357559085033986</v>
      </c>
      <c r="J49" s="100">
        <f t="shared" si="4"/>
        <v>116.48815</v>
      </c>
      <c r="K49" s="101">
        <f t="shared" si="14"/>
        <v>93.645600000000002</v>
      </c>
      <c r="L49" s="102">
        <f t="shared" si="11"/>
        <v>-22.842550000000003</v>
      </c>
      <c r="M49" s="96">
        <f t="shared" si="5"/>
        <v>-0.19609333653251426</v>
      </c>
      <c r="N49" s="58"/>
      <c r="O49" s="100">
        <f t="shared" si="6"/>
        <v>258.28135000000003</v>
      </c>
      <c r="P49" s="101">
        <f t="shared" si="15"/>
        <v>235.43880000000001</v>
      </c>
      <c r="Q49" s="102">
        <f t="shared" si="12"/>
        <v>-22.842550000000017</v>
      </c>
      <c r="R49" s="96">
        <f t="shared" si="7"/>
        <v>-8.8440570718714362E-2</v>
      </c>
      <c r="T49" s="97">
        <v>14307.5</v>
      </c>
      <c r="U49" s="98">
        <f t="shared" si="8"/>
        <v>2.6222486549692597E-2</v>
      </c>
      <c r="V49" s="99">
        <f t="shared" si="9"/>
        <v>0.95180707434393386</v>
      </c>
      <c r="Y49" s="12"/>
      <c r="Z49" s="10"/>
      <c r="AA49" s="28"/>
    </row>
    <row r="50" spans="2:27" x14ac:dyDescent="0.2">
      <c r="B50" s="107"/>
      <c r="C50" s="106">
        <v>1000</v>
      </c>
      <c r="D50" s="108"/>
      <c r="E50" s="100">
        <f t="shared" si="2"/>
        <v>45.720050000000001</v>
      </c>
      <c r="F50" s="101">
        <f t="shared" si="13"/>
        <v>29.849</v>
      </c>
      <c r="G50" s="109">
        <f t="shared" si="10"/>
        <v>-15.87105</v>
      </c>
      <c r="H50" s="110">
        <f t="shared" si="3"/>
        <v>-0.34713544713971223</v>
      </c>
      <c r="J50" s="100">
        <f t="shared" si="4"/>
        <v>98.571950000000001</v>
      </c>
      <c r="K50" s="101">
        <f t="shared" si="14"/>
        <v>82.853000000000009</v>
      </c>
      <c r="L50" s="109">
        <f t="shared" si="11"/>
        <v>-15.718949999999992</v>
      </c>
      <c r="M50" s="110">
        <f t="shared" si="5"/>
        <v>-0.15946676513957564</v>
      </c>
      <c r="N50" s="111"/>
      <c r="O50" s="100">
        <f t="shared" si="6"/>
        <v>216.73295000000002</v>
      </c>
      <c r="P50" s="101">
        <f t="shared" si="15"/>
        <v>201.01400000000001</v>
      </c>
      <c r="Q50" s="109">
        <f t="shared" si="12"/>
        <v>-15.718950000000007</v>
      </c>
      <c r="R50" s="110">
        <f t="shared" si="7"/>
        <v>-7.2526812374399022E-2</v>
      </c>
      <c r="T50" s="97">
        <v>24815.5</v>
      </c>
      <c r="U50" s="98">
        <f t="shared" si="8"/>
        <v>4.5481329021415107E-2</v>
      </c>
      <c r="V50" s="99">
        <f t="shared" si="9"/>
        <v>0.92558458779424124</v>
      </c>
      <c r="Y50" s="12"/>
      <c r="Z50" s="10"/>
      <c r="AA50" s="28"/>
    </row>
    <row r="51" spans="2:27" x14ac:dyDescent="0.2">
      <c r="B51" s="107"/>
      <c r="C51" s="105">
        <v>800</v>
      </c>
      <c r="D51" s="108"/>
      <c r="E51" s="100">
        <f t="shared" si="2"/>
        <v>38.404249999999998</v>
      </c>
      <c r="F51" s="101">
        <f t="shared" si="13"/>
        <v>29.6572</v>
      </c>
      <c r="G51" s="109">
        <f t="shared" si="10"/>
        <v>-8.747049999999998</v>
      </c>
      <c r="H51" s="110">
        <f t="shared" si="3"/>
        <v>-0.2277625523216831</v>
      </c>
      <c r="J51" s="100">
        <f t="shared" si="4"/>
        <v>80.655750000000012</v>
      </c>
      <c r="K51" s="101">
        <f t="shared" si="14"/>
        <v>72.060400000000001</v>
      </c>
      <c r="L51" s="109">
        <f t="shared" si="11"/>
        <v>-8.5953500000000105</v>
      </c>
      <c r="M51" s="110">
        <f t="shared" si="5"/>
        <v>-0.1065683475759634</v>
      </c>
      <c r="N51" s="111"/>
      <c r="O51" s="100">
        <f t="shared" si="6"/>
        <v>175.18455</v>
      </c>
      <c r="P51" s="101">
        <f t="shared" si="15"/>
        <v>166.58920000000001</v>
      </c>
      <c r="Q51" s="109">
        <f t="shared" si="12"/>
        <v>-8.5953499999999963</v>
      </c>
      <c r="R51" s="110">
        <f t="shared" si="7"/>
        <v>-4.9064543648398198E-2</v>
      </c>
      <c r="T51" s="112">
        <v>44523.5</v>
      </c>
      <c r="U51" s="113">
        <f t="shared" si="8"/>
        <v>8.1601738940781987E-2</v>
      </c>
      <c r="V51" s="99">
        <f t="shared" si="9"/>
        <v>0.88010325877282614</v>
      </c>
      <c r="Y51" s="9"/>
      <c r="Z51" s="10"/>
      <c r="AA51" s="28"/>
    </row>
    <row r="52" spans="2:27" x14ac:dyDescent="0.2">
      <c r="B52" s="104"/>
      <c r="C52" s="106">
        <v>600</v>
      </c>
      <c r="D52" s="108"/>
      <c r="E52" s="100">
        <f t="shared" si="2"/>
        <v>31.088450000000002</v>
      </c>
      <c r="F52" s="101">
        <f t="shared" si="13"/>
        <v>29.465399999999999</v>
      </c>
      <c r="G52" s="102">
        <f t="shared" si="10"/>
        <v>-1.6230500000000028</v>
      </c>
      <c r="H52" s="96">
        <f t="shared" si="3"/>
        <v>-5.2207491849867158E-2</v>
      </c>
      <c r="J52" s="100">
        <f t="shared" si="4"/>
        <v>62.739550000000001</v>
      </c>
      <c r="K52" s="101">
        <f t="shared" si="14"/>
        <v>61.267800000000001</v>
      </c>
      <c r="L52" s="102">
        <f t="shared" si="11"/>
        <v>-1.4717500000000001</v>
      </c>
      <c r="M52" s="96">
        <f t="shared" si="5"/>
        <v>-2.3458089833286979E-2</v>
      </c>
      <c r="N52" s="58"/>
      <c r="O52" s="100">
        <f t="shared" si="6"/>
        <v>133.63615000000001</v>
      </c>
      <c r="P52" s="101">
        <f t="shared" si="15"/>
        <v>132.1644</v>
      </c>
      <c r="Q52" s="102">
        <f t="shared" si="12"/>
        <v>-1.4717500000000143</v>
      </c>
      <c r="R52" s="96">
        <f t="shared" si="7"/>
        <v>-1.1013112844092067E-2</v>
      </c>
      <c r="T52" s="114">
        <v>75547</v>
      </c>
      <c r="U52" s="98">
        <f t="shared" si="8"/>
        <v>0.13846096043121625</v>
      </c>
      <c r="V52" s="99">
        <f t="shared" si="9"/>
        <v>0.79850151983204409</v>
      </c>
      <c r="Y52" s="12"/>
      <c r="Z52" s="10"/>
      <c r="AA52" s="28"/>
    </row>
    <row r="53" spans="2:27" x14ac:dyDescent="0.2">
      <c r="B53" s="104"/>
      <c r="C53" s="126">
        <v>550</v>
      </c>
      <c r="D53" s="127"/>
      <c r="E53" s="128">
        <f t="shared" si="2"/>
        <v>29.259500000000003</v>
      </c>
      <c r="F53" s="129">
        <f t="shared" si="13"/>
        <v>29.417450000000002</v>
      </c>
      <c r="G53" s="130">
        <f t="shared" si="10"/>
        <v>0.15794999999999959</v>
      </c>
      <c r="H53" s="131">
        <f t="shared" si="3"/>
        <v>5.3982467232864392E-3</v>
      </c>
      <c r="I53" s="132"/>
      <c r="J53" s="128">
        <f t="shared" si="4"/>
        <v>58.2605</v>
      </c>
      <c r="K53" s="129">
        <f t="shared" si="14"/>
        <v>58.569650000000003</v>
      </c>
      <c r="L53" s="130">
        <f t="shared" si="11"/>
        <v>0.30915000000000248</v>
      </c>
      <c r="M53" s="131">
        <f t="shared" si="5"/>
        <v>5.3063396297663504E-3</v>
      </c>
      <c r="N53" s="133"/>
      <c r="O53" s="128">
        <f t="shared" si="6"/>
        <v>123.24905000000001</v>
      </c>
      <c r="P53" s="129">
        <f t="shared" si="15"/>
        <v>123.5582</v>
      </c>
      <c r="Q53" s="130">
        <f t="shared" si="12"/>
        <v>0.30914999999998827</v>
      </c>
      <c r="R53" s="131">
        <f t="shared" si="7"/>
        <v>2.5083357640483901E-3</v>
      </c>
      <c r="S53" s="132"/>
      <c r="T53" s="134">
        <v>24736</v>
      </c>
      <c r="U53" s="135">
        <f t="shared" si="8"/>
        <v>4.5335623085318612E-2</v>
      </c>
      <c r="V53" s="136">
        <f t="shared" si="9"/>
        <v>0.66004055940082784</v>
      </c>
      <c r="Y53" s="12"/>
      <c r="Z53" s="10"/>
      <c r="AA53" s="28"/>
    </row>
    <row r="54" spans="2:27" x14ac:dyDescent="0.2">
      <c r="B54" s="104"/>
      <c r="C54" s="106">
        <v>400</v>
      </c>
      <c r="D54" s="108"/>
      <c r="E54" s="100">
        <f t="shared" si="2"/>
        <v>23.772649999999999</v>
      </c>
      <c r="F54" s="101">
        <f t="shared" si="13"/>
        <v>29.273600000000002</v>
      </c>
      <c r="G54" s="102">
        <f t="shared" si="10"/>
        <v>5.5009500000000031</v>
      </c>
      <c r="H54" s="96">
        <f t="shared" si="3"/>
        <v>0.23139826649532144</v>
      </c>
      <c r="J54" s="100">
        <f t="shared" si="4"/>
        <v>44.823350000000005</v>
      </c>
      <c r="K54" s="101">
        <f t="shared" si="14"/>
        <v>50.475200000000001</v>
      </c>
      <c r="L54" s="102">
        <f t="shared" si="11"/>
        <v>5.651849999999996</v>
      </c>
      <c r="M54" s="96">
        <f t="shared" si="5"/>
        <v>0.12609164642981829</v>
      </c>
      <c r="N54" s="58"/>
      <c r="O54" s="100">
        <f t="shared" si="6"/>
        <v>92.08775</v>
      </c>
      <c r="P54" s="101">
        <f t="shared" si="15"/>
        <v>97.739599999999996</v>
      </c>
      <c r="Q54" s="102">
        <f t="shared" si="12"/>
        <v>5.651849999999996</v>
      </c>
      <c r="R54" s="96">
        <f t="shared" si="7"/>
        <v>6.1374612801376904E-2</v>
      </c>
      <c r="T54" s="114">
        <v>86560</v>
      </c>
      <c r="U54" s="98">
        <f t="shared" si="8"/>
        <v>0.15864535633348881</v>
      </c>
      <c r="V54" s="99">
        <f t="shared" si="9"/>
        <v>0.61470493631550926</v>
      </c>
      <c r="W54" s="66"/>
      <c r="Y54" s="12"/>
      <c r="Z54" s="10"/>
      <c r="AA54" s="28"/>
    </row>
    <row r="55" spans="2:27" x14ac:dyDescent="0.2">
      <c r="B55" s="104"/>
      <c r="C55" s="106">
        <v>200</v>
      </c>
      <c r="D55" s="108"/>
      <c r="E55" s="100">
        <f t="shared" si="2"/>
        <v>16.456850000000003</v>
      </c>
      <c r="F55" s="101">
        <f t="shared" si="13"/>
        <v>29.081800000000001</v>
      </c>
      <c r="G55" s="102">
        <f t="shared" si="10"/>
        <v>12.624949999999998</v>
      </c>
      <c r="H55" s="96">
        <f t="shared" si="3"/>
        <v>0.76715471065240282</v>
      </c>
      <c r="J55" s="100">
        <f t="shared" si="4"/>
        <v>26.907150000000001</v>
      </c>
      <c r="K55" s="101">
        <f t="shared" si="14"/>
        <v>39.682600000000001</v>
      </c>
      <c r="L55" s="102">
        <f t="shared" si="11"/>
        <v>12.775449999999999</v>
      </c>
      <c r="M55" s="96">
        <f t="shared" si="5"/>
        <v>0.47479759097488955</v>
      </c>
      <c r="N55" s="58"/>
      <c r="O55" s="100">
        <f t="shared" si="6"/>
        <v>50.539349999999999</v>
      </c>
      <c r="P55" s="101">
        <f t="shared" si="15"/>
        <v>63.314800000000005</v>
      </c>
      <c r="Q55" s="102">
        <f t="shared" si="12"/>
        <v>12.775450000000006</v>
      </c>
      <c r="R55" s="96">
        <f t="shared" si="7"/>
        <v>0.25278223799870808</v>
      </c>
      <c r="T55" s="114">
        <v>121567.5</v>
      </c>
      <c r="U55" s="98">
        <f t="shared" si="8"/>
        <v>0.22280636964038125</v>
      </c>
      <c r="V55" s="99">
        <f t="shared" si="9"/>
        <v>0.4560595799820204</v>
      </c>
      <c r="Y55" s="12"/>
      <c r="Z55" s="10"/>
      <c r="AA55" s="28"/>
    </row>
    <row r="56" spans="2:27" x14ac:dyDescent="0.2">
      <c r="B56" s="104"/>
      <c r="C56" s="106">
        <v>150</v>
      </c>
      <c r="D56" s="108"/>
      <c r="E56" s="100">
        <f t="shared" si="2"/>
        <v>14.6279</v>
      </c>
      <c r="F56" s="101">
        <f t="shared" si="13"/>
        <v>29.033850000000001</v>
      </c>
      <c r="G56" s="102">
        <f t="shared" si="10"/>
        <v>14.405950000000001</v>
      </c>
      <c r="H56" s="96">
        <f t="shared" si="3"/>
        <v>0.98482694029901763</v>
      </c>
      <c r="J56" s="100">
        <f t="shared" si="4"/>
        <v>22.428100000000001</v>
      </c>
      <c r="K56" s="101">
        <f t="shared" si="14"/>
        <v>36.984450000000002</v>
      </c>
      <c r="L56" s="102">
        <f t="shared" si="11"/>
        <v>14.556350000000002</v>
      </c>
      <c r="M56" s="96">
        <f t="shared" si="5"/>
        <v>0.64902287755092947</v>
      </c>
      <c r="N56" s="58"/>
      <c r="O56" s="100">
        <f t="shared" si="6"/>
        <v>40.152250000000002</v>
      </c>
      <c r="P56" s="101">
        <f t="shared" si="15"/>
        <v>54.708600000000004</v>
      </c>
      <c r="Q56" s="102">
        <f t="shared" si="12"/>
        <v>14.556350000000002</v>
      </c>
      <c r="R56" s="96">
        <f t="shared" si="7"/>
        <v>0.36252887447154269</v>
      </c>
      <c r="T56" s="114">
        <v>26945</v>
      </c>
      <c r="U56" s="98">
        <f t="shared" si="8"/>
        <v>4.9384232051823664E-2</v>
      </c>
      <c r="V56" s="99">
        <f t="shared" si="9"/>
        <v>0.23325321034163918</v>
      </c>
      <c r="Y56" s="12"/>
      <c r="Z56" s="12"/>
      <c r="AA56" s="28"/>
    </row>
    <row r="57" spans="2:27" x14ac:dyDescent="0.2">
      <c r="B57" s="104"/>
      <c r="C57" s="106">
        <v>100</v>
      </c>
      <c r="D57" s="108"/>
      <c r="E57" s="100">
        <f t="shared" si="2"/>
        <v>12.798950000000001</v>
      </c>
      <c r="F57" s="101">
        <f t="shared" si="13"/>
        <v>28.985900000000001</v>
      </c>
      <c r="G57" s="102">
        <f t="shared" si="10"/>
        <v>16.18695</v>
      </c>
      <c r="H57" s="96">
        <f t="shared" si="3"/>
        <v>1.2647092144277459</v>
      </c>
      <c r="J57" s="100">
        <f t="shared" si="4"/>
        <v>17.94905</v>
      </c>
      <c r="K57" s="101">
        <f t="shared" si="14"/>
        <v>34.286299999999997</v>
      </c>
      <c r="L57" s="102">
        <f t="shared" si="11"/>
        <v>16.337249999999997</v>
      </c>
      <c r="M57" s="96">
        <f t="shared" si="5"/>
        <v>0.91020137556026626</v>
      </c>
      <c r="N57" s="58"/>
      <c r="O57" s="100">
        <f t="shared" si="6"/>
        <v>29.765149999999998</v>
      </c>
      <c r="P57" s="101">
        <f t="shared" si="15"/>
        <v>46.102399999999996</v>
      </c>
      <c r="Q57" s="102">
        <f t="shared" si="12"/>
        <v>16.337249999999997</v>
      </c>
      <c r="R57" s="96">
        <f t="shared" si="7"/>
        <v>0.54887175102426822</v>
      </c>
      <c r="T57" s="114">
        <v>24521</v>
      </c>
      <c r="U57" s="98">
        <f t="shared" si="8"/>
        <v>4.4941575585183448E-2</v>
      </c>
      <c r="V57" s="99">
        <f t="shared" si="9"/>
        <v>0.18386897828981552</v>
      </c>
      <c r="Y57" s="12"/>
      <c r="Z57" s="12"/>
      <c r="AA57" s="28"/>
    </row>
    <row r="58" spans="2:27" x14ac:dyDescent="0.2">
      <c r="B58" s="104"/>
      <c r="C58" s="106">
        <v>50</v>
      </c>
      <c r="D58" s="108"/>
      <c r="E58" s="100">
        <f t="shared" si="2"/>
        <v>10.97</v>
      </c>
      <c r="F58" s="101">
        <f t="shared" si="13"/>
        <v>28.937950000000001</v>
      </c>
      <c r="G58" s="102">
        <f t="shared" si="10"/>
        <v>17.967950000000002</v>
      </c>
      <c r="H58" s="96">
        <f t="shared" si="3"/>
        <v>1.6379170464904285</v>
      </c>
      <c r="J58" s="100">
        <f t="shared" si="4"/>
        <v>13.469999999999999</v>
      </c>
      <c r="K58" s="101">
        <f t="shared" si="14"/>
        <v>31.588149999999999</v>
      </c>
      <c r="L58" s="102">
        <f t="shared" si="11"/>
        <v>18.11815</v>
      </c>
      <c r="M58" s="96">
        <f t="shared" si="5"/>
        <v>1.3450742390497403</v>
      </c>
      <c r="N58" s="58"/>
      <c r="O58" s="100">
        <f t="shared" si="6"/>
        <v>19.378049999999998</v>
      </c>
      <c r="P58" s="101">
        <f t="shared" si="15"/>
        <v>37.496200000000002</v>
      </c>
      <c r="Q58" s="102">
        <f t="shared" si="12"/>
        <v>18.118150000000004</v>
      </c>
      <c r="R58" s="96">
        <f t="shared" si="7"/>
        <v>0.93498313813825462</v>
      </c>
      <c r="T58" s="114">
        <v>21794.5</v>
      </c>
      <c r="U58" s="98">
        <f t="shared" si="8"/>
        <v>3.9944503449748404E-2</v>
      </c>
      <c r="V58" s="99">
        <f>+U59+U58</f>
        <v>0.13892740270463208</v>
      </c>
      <c r="Y58" s="12"/>
      <c r="Z58" s="12"/>
      <c r="AA58" s="28"/>
    </row>
    <row r="59" spans="2:27" ht="15" x14ac:dyDescent="0.35">
      <c r="B59" s="104"/>
      <c r="C59" s="106">
        <v>0</v>
      </c>
      <c r="D59" s="108"/>
      <c r="E59" s="115">
        <f>+$F$9</f>
        <v>10.97</v>
      </c>
      <c r="F59" s="101">
        <f t="shared" si="13"/>
        <v>28.89</v>
      </c>
      <c r="G59" s="102">
        <f>+F59-E59</f>
        <v>17.920000000000002</v>
      </c>
      <c r="H59" s="96">
        <f t="shared" si="3"/>
        <v>1.6335460346399271</v>
      </c>
      <c r="J59" s="115">
        <f>+$L$9</f>
        <v>13.469999999999999</v>
      </c>
      <c r="K59" s="101">
        <f t="shared" si="14"/>
        <v>28.89</v>
      </c>
      <c r="L59" s="102">
        <f>+K59-J59</f>
        <v>15.420000000000002</v>
      </c>
      <c r="M59" s="96">
        <f t="shared" si="5"/>
        <v>1.1447661469933188</v>
      </c>
      <c r="N59" s="58"/>
      <c r="O59" s="115">
        <f>+$L$9</f>
        <v>13.469999999999999</v>
      </c>
      <c r="P59" s="101">
        <f t="shared" si="15"/>
        <v>28.89</v>
      </c>
      <c r="Q59" s="102">
        <f t="shared" si="12"/>
        <v>15.420000000000002</v>
      </c>
      <c r="R59" s="96">
        <f t="shared" si="7"/>
        <v>1.1447661469933188</v>
      </c>
      <c r="T59" s="116">
        <v>54007</v>
      </c>
      <c r="U59" s="117">
        <f t="shared" si="8"/>
        <v>9.8982899254883669E-2</v>
      </c>
      <c r="V59" s="99">
        <f>+U59</f>
        <v>9.8982899254883669E-2</v>
      </c>
      <c r="Y59" s="12"/>
      <c r="Z59" s="12"/>
      <c r="AA59" s="28"/>
    </row>
    <row r="60" spans="2:27" x14ac:dyDescent="0.2">
      <c r="B60" s="104"/>
      <c r="C60" s="106"/>
      <c r="D60" s="108"/>
      <c r="E60" s="115"/>
      <c r="F60" s="102"/>
      <c r="G60" s="102"/>
      <c r="H60" s="96"/>
      <c r="J60" s="115"/>
      <c r="K60" s="102"/>
      <c r="L60" s="102"/>
      <c r="M60" s="96"/>
      <c r="N60" s="58"/>
      <c r="O60" s="115"/>
      <c r="P60" s="102"/>
      <c r="Q60" s="102"/>
      <c r="R60" s="96"/>
      <c r="T60" s="114"/>
      <c r="V60" s="99"/>
    </row>
    <row r="61" spans="2:27" ht="13.5" thickBot="1" x14ac:dyDescent="0.25">
      <c r="B61" s="118"/>
      <c r="C61" s="119"/>
      <c r="D61" s="120"/>
      <c r="E61" s="121"/>
      <c r="F61" s="122"/>
      <c r="G61" s="122"/>
      <c r="H61" s="123"/>
      <c r="I61" s="54"/>
      <c r="J61" s="121"/>
      <c r="K61" s="122"/>
      <c r="L61" s="122"/>
      <c r="M61" s="123"/>
      <c r="N61" s="56"/>
      <c r="O61" s="121"/>
      <c r="P61" s="122"/>
      <c r="Q61" s="122"/>
      <c r="R61" s="123"/>
      <c r="S61" s="54"/>
      <c r="T61" s="124">
        <f>SUM(T33:T59)</f>
        <v>545619.5</v>
      </c>
      <c r="U61" s="54"/>
      <c r="V61" s="125"/>
    </row>
    <row r="63" spans="2:27" x14ac:dyDescent="0.2">
      <c r="C63" s="126">
        <v>560</v>
      </c>
      <c r="D63" s="127"/>
      <c r="E63" s="128">
        <f t="shared" ref="E63" si="16">+$F$9+$F$13*(C63-50)</f>
        <v>29.62529</v>
      </c>
      <c r="F63" s="129">
        <f t="shared" ref="F63" si="17">+$F$20+$F$24*C63</f>
        <v>29.427040000000002</v>
      </c>
      <c r="G63" s="130">
        <f t="shared" ref="G63" si="18">+F63-E63</f>
        <v>-0.19824999999999804</v>
      </c>
      <c r="H63" s="131">
        <f t="shared" ref="H63" si="19">+(F63-E63)/E63</f>
        <v>-6.6919176149836182E-3</v>
      </c>
      <c r="I63" s="132"/>
      <c r="J63" s="128">
        <f t="shared" ref="J63" si="20">+$L$9+$L$12*B63+$L$13*(C63-50)</f>
        <v>59.156310000000005</v>
      </c>
      <c r="K63" s="129">
        <f t="shared" ref="K63" si="21">+$L$20+$L$22*B63+$L$24*C63</f>
        <v>59.109279999999998</v>
      </c>
      <c r="L63" s="130">
        <f t="shared" ref="L63" si="22">+K63-J63</f>
        <v>-4.7030000000006567E-2</v>
      </c>
      <c r="M63" s="131">
        <f t="shared" ref="M63" si="23">+(K63-J63)/J63</f>
        <v>-7.9501240019883869E-4</v>
      </c>
      <c r="N63" s="133"/>
      <c r="O63" s="128">
        <f t="shared" ref="O63" si="24">+$L$9+$L$12*B63+$L$13*(C63-50)+$M$13*C63</f>
        <v>125.32647</v>
      </c>
      <c r="P63" s="129">
        <f t="shared" ref="P63" si="25">+$L$20+$L$22*B63+$L$24*C63+$M$13*C63</f>
        <v>125.27943999999999</v>
      </c>
      <c r="Q63" s="130">
        <f t="shared" ref="Q63" si="26">+P63-O63</f>
        <v>-4.7030000000006567E-2</v>
      </c>
      <c r="R63" s="131">
        <f t="shared" ref="R63" si="27">+(P63-O63)/O63</f>
        <v>-3.7525991117444359E-4</v>
      </c>
      <c r="S63"/>
      <c r="T63"/>
      <c r="U63"/>
      <c r="V63"/>
    </row>
  </sheetData>
  <mergeCells count="5">
    <mergeCell ref="A1:O1"/>
    <mergeCell ref="A2:O2"/>
    <mergeCell ref="A3:O3"/>
    <mergeCell ref="A4:O4"/>
    <mergeCell ref="C28:O28"/>
  </mergeCells>
  <pageMargins left="0.5" right="0.2" top="0.5" bottom="0.25" header="0.3" footer="0.3"/>
  <pageSetup scale="66" orientation="landscape" horizontalDpi="1200" verticalDpi="1200" r:id="rId1"/>
  <headerFooter>
    <oddHeader>&amp;RAttachment 2
CMP Reply Comments dated 4-21-2022
Docket No. 2021-00325
Page 1 of 1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Rate A All Hours</vt:lpstr>
      <vt:lpstr>Res All Hours</vt:lpstr>
      <vt:lpstr>RES Bill Impacts T KWH</vt:lpstr>
    </vt:vector>
  </TitlesOfParts>
  <Company>IBERDROLA S.A.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 Theriault</dc:creator>
  <cp:lastModifiedBy>Hevey, Richard P.</cp:lastModifiedBy>
  <cp:lastPrinted>2022-04-13T21:33:27Z</cp:lastPrinted>
  <dcterms:created xsi:type="dcterms:W3CDTF">2022-04-13T20:29:15Z</dcterms:created>
  <dcterms:modified xsi:type="dcterms:W3CDTF">2022-04-21T16:00:47Z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24b1752-a977-4927-b9e6-e48a43684aee_Enabled">
    <vt:lpwstr>true</vt:lpwstr>
  </property>
  <property fmtid="{D5CDD505-2E9C-101B-9397-08002B2CF9AE}" pid="3" name="MSIP_Label_624b1752-a977-4927-b9e6-e48a43684aee_SetDate">
    <vt:lpwstr>2022-04-13T21:33:33Z</vt:lpwstr>
  </property>
  <property fmtid="{D5CDD505-2E9C-101B-9397-08002B2CF9AE}" pid="4" name="MSIP_Label_624b1752-a977-4927-b9e6-e48a43684aee_Method">
    <vt:lpwstr>Privileged</vt:lpwstr>
  </property>
  <property fmtid="{D5CDD505-2E9C-101B-9397-08002B2CF9AE}" pid="5" name="MSIP_Label_624b1752-a977-4927-b9e6-e48a43684aee_Name">
    <vt:lpwstr>Public</vt:lpwstr>
  </property>
  <property fmtid="{D5CDD505-2E9C-101B-9397-08002B2CF9AE}" pid="6" name="MSIP_Label_624b1752-a977-4927-b9e6-e48a43684aee_SiteId">
    <vt:lpwstr>031a09bc-a2bf-44df-888e-4e09355b7a24</vt:lpwstr>
  </property>
  <property fmtid="{D5CDD505-2E9C-101B-9397-08002B2CF9AE}" pid="7" name="MSIP_Label_624b1752-a977-4927-b9e6-e48a43684aee_ActionId">
    <vt:lpwstr>6998aca7-4b00-4d66-b05d-2cc349055bc3</vt:lpwstr>
  </property>
  <property fmtid="{D5CDD505-2E9C-101B-9397-08002B2CF9AE}" pid="8" name="MSIP_Label_624b1752-a977-4927-b9e6-e48a43684aee_ContentBits">
    <vt:lpwstr>0</vt:lpwstr>
  </property>
  <property fmtid="{D5CDD505-2E9C-101B-9397-08002B2CF9AE}" pid="10" name="_NewReviewCycle">
    <vt:lpwstr/>
  </property>
</Properties>
</file>